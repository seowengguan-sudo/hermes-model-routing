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3d259e1426a5c6/Documents/OAK CONSULTING/Tools/"/>
    </mc:Choice>
  </mc:AlternateContent>
  <xr:revisionPtr revIDLastSave="0" documentId="8_{99F866F4-058C-4FD0-9D5A-FE086CC30AEC}" xr6:coauthVersionLast="47" xr6:coauthVersionMax="47" xr10:uidLastSave="{00000000-0000-0000-0000-000000000000}"/>
  <bookViews>
    <workbookView xWindow="-120" yWindow="-120" windowWidth="29040" windowHeight="15720" activeTab="2" xr2:uid="{AB5E2EC1-A027-491F-A845-9B7D060CA0AE}"/>
  </bookViews>
  <sheets>
    <sheet name="Val Size" sheetId="1" r:id="rId1"/>
    <sheet name="Client Data" sheetId="3" r:id="rId2"/>
    <sheet name="Micro Data Tabulation" sheetId="2" r:id="rId3"/>
    <sheet name="Chart" sheetId="4" r:id="rId4"/>
  </sheets>
  <definedNames>
    <definedName name="_xlnm._FilterDatabase" localSheetId="0" hidden="1">'Val Size'!$B$11:$H$21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58" i="2" l="1"/>
  <c r="AI857" i="2"/>
  <c r="AI856" i="2"/>
  <c r="AI855" i="2"/>
  <c r="AI854" i="2"/>
  <c r="AI853" i="2"/>
  <c r="AI852" i="2"/>
  <c r="AI851" i="2"/>
  <c r="AH858" i="2"/>
  <c r="AH857" i="2"/>
  <c r="AH856" i="2"/>
  <c r="AH855" i="2"/>
  <c r="AH854" i="2"/>
  <c r="AH853" i="2"/>
  <c r="AH852" i="2"/>
  <c r="AH851" i="2"/>
  <c r="AG858" i="2"/>
  <c r="AG857" i="2"/>
  <c r="AG856" i="2"/>
  <c r="AG855" i="2"/>
  <c r="AG854" i="2"/>
  <c r="AG853" i="2"/>
  <c r="AG852" i="2"/>
  <c r="AG851" i="2"/>
  <c r="AF858" i="2"/>
  <c r="AF857" i="2"/>
  <c r="AF856" i="2"/>
  <c r="AF855" i="2"/>
  <c r="AF854" i="2"/>
  <c r="AF853" i="2"/>
  <c r="AF852" i="2"/>
  <c r="AF851" i="2"/>
  <c r="AE858" i="2"/>
  <c r="AE857" i="2"/>
  <c r="AE856" i="2"/>
  <c r="AE855" i="2"/>
  <c r="AE854" i="2"/>
  <c r="AE853" i="2"/>
  <c r="AE852" i="2"/>
  <c r="AE851" i="2"/>
  <c r="AD858" i="2"/>
  <c r="AD857" i="2"/>
  <c r="AD856" i="2"/>
  <c r="AD855" i="2"/>
  <c r="AD854" i="2"/>
  <c r="AD853" i="2"/>
  <c r="AD852" i="2"/>
  <c r="AD851" i="2"/>
  <c r="H851" i="2"/>
  <c r="H852" i="2"/>
  <c r="H853" i="2"/>
  <c r="H854" i="2"/>
  <c r="H855" i="2"/>
  <c r="H856" i="2"/>
  <c r="H857" i="2"/>
  <c r="H858" i="2"/>
  <c r="AC858" i="2"/>
  <c r="AC857" i="2"/>
  <c r="AC856" i="2"/>
  <c r="AC855" i="2"/>
  <c r="AC854" i="2"/>
  <c r="AC853" i="2"/>
  <c r="AC852" i="2"/>
  <c r="AC851" i="2"/>
  <c r="AB858" i="2"/>
  <c r="AB857" i="2"/>
  <c r="AB856" i="2"/>
  <c r="AB855" i="2"/>
  <c r="AB854" i="2"/>
  <c r="AB853" i="2"/>
  <c r="AB852" i="2"/>
  <c r="AB851" i="2"/>
  <c r="AA858" i="2"/>
  <c r="AA857" i="2"/>
  <c r="AA856" i="2"/>
  <c r="AA855" i="2"/>
  <c r="AA854" i="2"/>
  <c r="AA853" i="2"/>
  <c r="AA852" i="2"/>
  <c r="AA851" i="2"/>
  <c r="Z858" i="2"/>
  <c r="Z857" i="2"/>
  <c r="Z856" i="2"/>
  <c r="Z855" i="2"/>
  <c r="Z854" i="2"/>
  <c r="Z853" i="2"/>
  <c r="Z852" i="2"/>
  <c r="Z851" i="2"/>
  <c r="Y858" i="2"/>
  <c r="Y857" i="2"/>
  <c r="Y856" i="2"/>
  <c r="Y855" i="2"/>
  <c r="Y854" i="2"/>
  <c r="Y853" i="2"/>
  <c r="Y852" i="2"/>
  <c r="Y851" i="2"/>
  <c r="X853" i="2"/>
  <c r="X854" i="2" s="1"/>
  <c r="X855" i="2" s="1"/>
  <c r="X856" i="2" s="1"/>
  <c r="X857" i="2" s="1"/>
  <c r="X858" i="2" s="1"/>
  <c r="X852" i="2"/>
  <c r="W854" i="2"/>
  <c r="W855" i="2" s="1"/>
  <c r="W856" i="2" s="1"/>
  <c r="W857" i="2" s="1"/>
  <c r="W858" i="2" s="1"/>
  <c r="W853" i="2"/>
  <c r="W852" i="2"/>
  <c r="X851" i="2"/>
  <c r="W851" i="2"/>
  <c r="V855" i="2"/>
  <c r="V856" i="2" s="1"/>
  <c r="V857" i="2" s="1"/>
  <c r="V858" i="2" s="1"/>
  <c r="V854" i="2"/>
  <c r="V853" i="2"/>
  <c r="V852" i="2"/>
  <c r="V851" i="2"/>
  <c r="U858" i="2"/>
  <c r="U857" i="2"/>
  <c r="U856" i="2"/>
  <c r="U855" i="2"/>
  <c r="U854" i="2"/>
  <c r="U853" i="2"/>
  <c r="U852" i="2"/>
  <c r="U851" i="2"/>
  <c r="T858" i="2"/>
  <c r="T857" i="2"/>
  <c r="T856" i="2"/>
  <c r="T855" i="2"/>
  <c r="T854" i="2"/>
  <c r="T853" i="2"/>
  <c r="T852" i="2"/>
  <c r="T851" i="2"/>
  <c r="S858" i="2"/>
  <c r="S857" i="2"/>
  <c r="S856" i="2"/>
  <c r="S855" i="2"/>
  <c r="S854" i="2"/>
  <c r="S853" i="2"/>
  <c r="S852" i="2"/>
  <c r="S851" i="2"/>
  <c r="R858" i="2"/>
  <c r="R857" i="2"/>
  <c r="R856" i="2"/>
  <c r="R855" i="2"/>
  <c r="R854" i="2"/>
  <c r="R853" i="2"/>
  <c r="R852" i="2"/>
  <c r="R851" i="2"/>
  <c r="Q858" i="2"/>
  <c r="Q857" i="2"/>
  <c r="Q856" i="2"/>
  <c r="Q855" i="2"/>
  <c r="Q854" i="2"/>
  <c r="Q853" i="2"/>
  <c r="Q852" i="2"/>
  <c r="Q851" i="2"/>
  <c r="P851" i="2"/>
  <c r="P852" i="2" s="1"/>
  <c r="P853" i="2" s="1"/>
  <c r="P854" i="2" s="1"/>
  <c r="P855" i="2" s="1"/>
  <c r="P856" i="2" s="1"/>
  <c r="P857" i="2" s="1"/>
  <c r="P858" i="2" s="1"/>
  <c r="O858" i="2"/>
  <c r="O857" i="2"/>
  <c r="O856" i="2"/>
  <c r="O855" i="2"/>
  <c r="O854" i="2"/>
  <c r="O853" i="2"/>
  <c r="O852" i="2"/>
  <c r="O851" i="2"/>
  <c r="N851" i="2"/>
  <c r="N852" i="2"/>
  <c r="N853" i="2" s="1"/>
  <c r="N854" i="2" s="1"/>
  <c r="N855" i="2" s="1"/>
  <c r="N856" i="2" s="1"/>
  <c r="N857" i="2" s="1"/>
  <c r="N858" i="2" s="1"/>
  <c r="M858" i="2"/>
  <c r="L858" i="2"/>
  <c r="K858" i="2"/>
  <c r="M857" i="2"/>
  <c r="L857" i="2"/>
  <c r="K857" i="2"/>
  <c r="M856" i="2"/>
  <c r="L856" i="2"/>
  <c r="K856" i="2"/>
  <c r="M855" i="2"/>
  <c r="L855" i="2"/>
  <c r="K855" i="2"/>
  <c r="M854" i="2"/>
  <c r="L854" i="2"/>
  <c r="K854" i="2"/>
  <c r="M853" i="2"/>
  <c r="L853" i="2"/>
  <c r="K853" i="2"/>
  <c r="M852" i="2"/>
  <c r="L852" i="2"/>
  <c r="K852" i="2"/>
  <c r="M851" i="2"/>
  <c r="L851" i="2"/>
  <c r="K851" i="2"/>
  <c r="J858" i="2"/>
  <c r="I858" i="2"/>
  <c r="G858" i="2"/>
  <c r="F858" i="2"/>
  <c r="E858" i="2"/>
  <c r="D858" i="2"/>
  <c r="C858" i="2"/>
  <c r="J857" i="2"/>
  <c r="I857" i="2"/>
  <c r="G857" i="2"/>
  <c r="F857" i="2"/>
  <c r="E857" i="2"/>
  <c r="D857" i="2"/>
  <c r="C857" i="2"/>
  <c r="J856" i="2"/>
  <c r="I856" i="2"/>
  <c r="G856" i="2"/>
  <c r="F856" i="2"/>
  <c r="E856" i="2"/>
  <c r="D856" i="2"/>
  <c r="C856" i="2"/>
  <c r="J855" i="2"/>
  <c r="I855" i="2"/>
  <c r="G855" i="2"/>
  <c r="F855" i="2"/>
  <c r="E855" i="2"/>
  <c r="D855" i="2"/>
  <c r="C855" i="2"/>
  <c r="J854" i="2"/>
  <c r="I854" i="2"/>
  <c r="G854" i="2"/>
  <c r="F854" i="2"/>
  <c r="E854" i="2"/>
  <c r="D854" i="2"/>
  <c r="C854" i="2"/>
  <c r="J853" i="2"/>
  <c r="I853" i="2"/>
  <c r="G853" i="2"/>
  <c r="F853" i="2"/>
  <c r="E853" i="2"/>
  <c r="D853" i="2"/>
  <c r="C853" i="2"/>
  <c r="J852" i="2"/>
  <c r="I852" i="2"/>
  <c r="G852" i="2"/>
  <c r="F852" i="2"/>
  <c r="E852" i="2"/>
  <c r="D852" i="2"/>
  <c r="C852" i="2"/>
  <c r="J851" i="2"/>
  <c r="I851" i="2"/>
  <c r="G851" i="2"/>
  <c r="F851" i="2"/>
  <c r="E851" i="2"/>
  <c r="D851" i="2"/>
  <c r="C851" i="2"/>
  <c r="BC511" i="3"/>
  <c r="BC510" i="3"/>
  <c r="BC509" i="3"/>
  <c r="BC508" i="3"/>
  <c r="BC507" i="3"/>
  <c r="BC506" i="3"/>
  <c r="BC505" i="3"/>
  <c r="BC504" i="3"/>
  <c r="BC512" i="3" s="1"/>
  <c r="BC502" i="3"/>
  <c r="BC501" i="3"/>
  <c r="BC500" i="3"/>
  <c r="BC499" i="3"/>
  <c r="BC498" i="3"/>
  <c r="BC497" i="3"/>
  <c r="BC496" i="3"/>
  <c r="BC495" i="3"/>
  <c r="BC494" i="3"/>
  <c r="BC492" i="3"/>
  <c r="BC491" i="3"/>
  <c r="BC490" i="3"/>
  <c r="BC489" i="3"/>
  <c r="BC488" i="3"/>
  <c r="BC487" i="3"/>
  <c r="BC486" i="3"/>
  <c r="BC485" i="3"/>
  <c r="BC484" i="3"/>
  <c r="BI368" i="3"/>
  <c r="BH368" i="3"/>
  <c r="BG368" i="3"/>
  <c r="BF368" i="3"/>
  <c r="BE368" i="3"/>
  <c r="BD368" i="3"/>
  <c r="BC368" i="3"/>
  <c r="BB368" i="3"/>
  <c r="BA368" i="3"/>
  <c r="AZ368" i="3"/>
  <c r="AY368" i="3"/>
  <c r="AX368" i="3"/>
  <c r="AW368" i="3"/>
  <c r="AV368" i="3"/>
  <c r="AU368" i="3"/>
  <c r="AT368" i="3"/>
  <c r="AS368" i="3"/>
  <c r="AR368" i="3"/>
  <c r="AQ368" i="3"/>
  <c r="AP368" i="3"/>
  <c r="AO368" i="3"/>
  <c r="AN368" i="3"/>
  <c r="AM368" i="3"/>
  <c r="AL368" i="3"/>
  <c r="AK368" i="3"/>
  <c r="AJ368" i="3"/>
  <c r="AI368" i="3"/>
  <c r="AH368" i="3"/>
  <c r="AG368" i="3"/>
  <c r="AF368" i="3"/>
  <c r="AE368" i="3"/>
  <c r="AD368" i="3"/>
  <c r="AC368" i="3"/>
  <c r="AB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BI367" i="3"/>
  <c r="BH367" i="3"/>
  <c r="BG367" i="3"/>
  <c r="BF367" i="3"/>
  <c r="BE367" i="3"/>
  <c r="BD367" i="3"/>
  <c r="BC367" i="3"/>
  <c r="BB367" i="3"/>
  <c r="BA367" i="3"/>
  <c r="AZ367" i="3"/>
  <c r="AY367" i="3"/>
  <c r="AX367" i="3"/>
  <c r="AW367" i="3"/>
  <c r="AV367" i="3"/>
  <c r="AU367" i="3"/>
  <c r="AT367" i="3"/>
  <c r="AS367" i="3"/>
  <c r="AR367" i="3"/>
  <c r="AQ367" i="3"/>
  <c r="AP367" i="3"/>
  <c r="AO367" i="3"/>
  <c r="AN367" i="3"/>
  <c r="AM367" i="3"/>
  <c r="AL367" i="3"/>
  <c r="AK367" i="3"/>
  <c r="AJ367" i="3"/>
  <c r="AI367" i="3"/>
  <c r="AH367" i="3"/>
  <c r="AG367" i="3"/>
  <c r="AF367" i="3"/>
  <c r="AE367" i="3"/>
  <c r="AD367" i="3"/>
  <c r="AC367" i="3"/>
  <c r="AB367" i="3"/>
  <c r="AA367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BI366" i="3"/>
  <c r="BH366" i="3"/>
  <c r="BG366" i="3"/>
  <c r="BF366" i="3"/>
  <c r="BE366" i="3"/>
  <c r="BD366" i="3"/>
  <c r="BC366" i="3"/>
  <c r="BB366" i="3"/>
  <c r="BA366" i="3"/>
  <c r="AZ366" i="3"/>
  <c r="AY366" i="3"/>
  <c r="AX366" i="3"/>
  <c r="AW366" i="3"/>
  <c r="AV366" i="3"/>
  <c r="AU366" i="3"/>
  <c r="AT366" i="3"/>
  <c r="AS366" i="3"/>
  <c r="AR366" i="3"/>
  <c r="AQ366" i="3"/>
  <c r="AP366" i="3"/>
  <c r="AO366" i="3"/>
  <c r="AN366" i="3"/>
  <c r="AM366" i="3"/>
  <c r="AL366" i="3"/>
  <c r="AK366" i="3"/>
  <c r="AJ366" i="3"/>
  <c r="AI366" i="3"/>
  <c r="AH366" i="3"/>
  <c r="AG366" i="3"/>
  <c r="AF366" i="3"/>
  <c r="AE366" i="3"/>
  <c r="AD366" i="3"/>
  <c r="AC366" i="3"/>
  <c r="AB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U307" i="3"/>
  <c r="U306" i="3"/>
  <c r="U305" i="3"/>
  <c r="U304" i="3"/>
  <c r="U303" i="3"/>
  <c r="U302" i="3"/>
  <c r="U301" i="3"/>
  <c r="U300" i="3"/>
  <c r="T307" i="3"/>
  <c r="T306" i="3"/>
  <c r="T305" i="3"/>
  <c r="T304" i="3"/>
  <c r="T303" i="3"/>
  <c r="T302" i="3"/>
  <c r="T301" i="3"/>
  <c r="T300" i="3"/>
  <c r="V307" i="3"/>
  <c r="V306" i="3"/>
  <c r="V305" i="3"/>
  <c r="V304" i="3"/>
  <c r="V303" i="3"/>
  <c r="V302" i="3"/>
  <c r="V301" i="3"/>
  <c r="V300" i="3"/>
  <c r="R300" i="3"/>
  <c r="S307" i="3"/>
  <c r="S306" i="3"/>
  <c r="S305" i="3"/>
  <c r="S304" i="3"/>
  <c r="S303" i="3"/>
  <c r="S302" i="3"/>
  <c r="S301" i="3"/>
  <c r="S300" i="3"/>
  <c r="R307" i="3"/>
  <c r="R306" i="3"/>
  <c r="R305" i="3"/>
  <c r="R304" i="3"/>
  <c r="R303" i="3"/>
  <c r="R302" i="3"/>
  <c r="R301" i="3"/>
  <c r="BF364" i="3"/>
  <c r="P364" i="3"/>
  <c r="O364" i="3"/>
  <c r="M364" i="3"/>
  <c r="BH359" i="3"/>
  <c r="BE359" i="3"/>
  <c r="AI359" i="3"/>
  <c r="AD356" i="3"/>
  <c r="AC356" i="3"/>
  <c r="BD351" i="3"/>
  <c r="AD350" i="3"/>
  <c r="AU346" i="3"/>
  <c r="AT346" i="3"/>
  <c r="AM346" i="3"/>
  <c r="AI346" i="3"/>
  <c r="P346" i="3"/>
  <c r="L346" i="3"/>
  <c r="AO338" i="3"/>
  <c r="AN338" i="3"/>
  <c r="AL338" i="3"/>
  <c r="N336" i="3"/>
  <c r="L336" i="3"/>
  <c r="K336" i="3"/>
  <c r="AR335" i="3"/>
  <c r="AF335" i="3"/>
  <c r="BH330" i="3"/>
  <c r="P330" i="3"/>
  <c r="O330" i="3"/>
  <c r="AP329" i="3"/>
  <c r="H327" i="3"/>
  <c r="AM307" i="3"/>
  <c r="H365" i="3" s="1"/>
  <c r="AH365" i="3" s="1"/>
  <c r="AL307" i="3"/>
  <c r="H357" i="3" s="1"/>
  <c r="AU357" i="3" s="1"/>
  <c r="AK307" i="3"/>
  <c r="H349" i="3" s="1"/>
  <c r="AJ307" i="3"/>
  <c r="H341" i="3" s="1"/>
  <c r="Q341" i="3" s="1"/>
  <c r="AI307" i="3"/>
  <c r="H333" i="3" s="1"/>
  <c r="AM306" i="3"/>
  <c r="H364" i="3" s="1"/>
  <c r="AL364" i="3" s="1"/>
  <c r="AL306" i="3"/>
  <c r="H356" i="3" s="1"/>
  <c r="AX356" i="3" s="1"/>
  <c r="AK306" i="3"/>
  <c r="H348" i="3" s="1"/>
  <c r="AJ306" i="3"/>
  <c r="H340" i="3" s="1"/>
  <c r="AJ340" i="3" s="1"/>
  <c r="AI306" i="3"/>
  <c r="H332" i="3" s="1"/>
  <c r="AM305" i="3"/>
  <c r="H363" i="3" s="1"/>
  <c r="AZ363" i="3" s="1"/>
  <c r="AL305" i="3"/>
  <c r="H355" i="3" s="1"/>
  <c r="AK305" i="3"/>
  <c r="H347" i="3" s="1"/>
  <c r="BG347" i="3" s="1"/>
  <c r="AJ305" i="3"/>
  <c r="H339" i="3" s="1"/>
  <c r="AI305" i="3"/>
  <c r="H331" i="3" s="1"/>
  <c r="BG331" i="3" s="1"/>
  <c r="AM304" i="3"/>
  <c r="H362" i="3" s="1"/>
  <c r="R362" i="3" s="1"/>
  <c r="AL304" i="3"/>
  <c r="H354" i="3" s="1"/>
  <c r="AK304" i="3"/>
  <c r="H346" i="3" s="1"/>
  <c r="AZ346" i="3" s="1"/>
  <c r="AJ304" i="3"/>
  <c r="H338" i="3" s="1"/>
  <c r="AS338" i="3" s="1"/>
  <c r="AI304" i="3"/>
  <c r="H330" i="3" s="1"/>
  <c r="AP330" i="3" s="1"/>
  <c r="AM303" i="3"/>
  <c r="H361" i="3" s="1"/>
  <c r="AV361" i="3" s="1"/>
  <c r="AL303" i="3"/>
  <c r="H353" i="3" s="1"/>
  <c r="AK303" i="3"/>
  <c r="H345" i="3" s="1"/>
  <c r="R345" i="3" s="1"/>
  <c r="AJ303" i="3"/>
  <c r="H337" i="3" s="1"/>
  <c r="AE337" i="3" s="1"/>
  <c r="AI303" i="3"/>
  <c r="H329" i="3" s="1"/>
  <c r="AM302" i="3"/>
  <c r="H360" i="3" s="1"/>
  <c r="AL302" i="3"/>
  <c r="H352" i="3" s="1"/>
  <c r="BH352" i="3" s="1"/>
  <c r="AK302" i="3"/>
  <c r="H344" i="3" s="1"/>
  <c r="AK344" i="3" s="1"/>
  <c r="AJ302" i="3"/>
  <c r="H336" i="3" s="1"/>
  <c r="BH336" i="3" s="1"/>
  <c r="AI302" i="3"/>
  <c r="H328" i="3" s="1"/>
  <c r="AH328" i="3" s="1"/>
  <c r="AM301" i="3"/>
  <c r="H359" i="3" s="1"/>
  <c r="AY359" i="3" s="1"/>
  <c r="AL301" i="3"/>
  <c r="H351" i="3" s="1"/>
  <c r="K351" i="3" s="1"/>
  <c r="AK301" i="3"/>
  <c r="H343" i="3" s="1"/>
  <c r="AB343" i="3" s="1"/>
  <c r="AJ301" i="3"/>
  <c r="H335" i="3" s="1"/>
  <c r="AI301" i="3"/>
  <c r="AM300" i="3"/>
  <c r="H358" i="3" s="1"/>
  <c r="Z358" i="3" s="1"/>
  <c r="AL300" i="3"/>
  <c r="H350" i="3" s="1"/>
  <c r="BA350" i="3" s="1"/>
  <c r="AK300" i="3"/>
  <c r="H342" i="3" s="1"/>
  <c r="AJ300" i="3"/>
  <c r="H334" i="3" s="1"/>
  <c r="X334" i="3" s="1"/>
  <c r="AI300" i="3"/>
  <c r="H326" i="3" s="1"/>
  <c r="AW326" i="3" s="1"/>
  <c r="D503" i="3"/>
  <c r="E503" i="3" s="1"/>
  <c r="F503" i="3" s="1"/>
  <c r="G503" i="3" s="1"/>
  <c r="H503" i="3" s="1"/>
  <c r="I503" i="3" s="1"/>
  <c r="J503" i="3" s="1"/>
  <c r="K503" i="3" s="1"/>
  <c r="L503" i="3" s="1"/>
  <c r="M503" i="3" s="1"/>
  <c r="N503" i="3" s="1"/>
  <c r="O503" i="3" s="1"/>
  <c r="P503" i="3" s="1"/>
  <c r="Q503" i="3" s="1"/>
  <c r="R503" i="3" s="1"/>
  <c r="S503" i="3" s="1"/>
  <c r="T503" i="3" s="1"/>
  <c r="U503" i="3" s="1"/>
  <c r="V503" i="3" s="1"/>
  <c r="W503" i="3" s="1"/>
  <c r="X503" i="3" s="1"/>
  <c r="Y503" i="3" s="1"/>
  <c r="Z503" i="3" s="1"/>
  <c r="AA503" i="3" s="1"/>
  <c r="AB503" i="3" s="1"/>
  <c r="AC503" i="3" s="1"/>
  <c r="AD503" i="3" s="1"/>
  <c r="AE503" i="3" s="1"/>
  <c r="AF503" i="3" s="1"/>
  <c r="AG503" i="3" s="1"/>
  <c r="AH503" i="3" s="1"/>
  <c r="AI503" i="3" s="1"/>
  <c r="AJ503" i="3" s="1"/>
  <c r="AK503" i="3" s="1"/>
  <c r="AL503" i="3" s="1"/>
  <c r="AM503" i="3" s="1"/>
  <c r="AN503" i="3" s="1"/>
  <c r="AO503" i="3" s="1"/>
  <c r="AP503" i="3" s="1"/>
  <c r="AQ503" i="3" s="1"/>
  <c r="AR503" i="3" s="1"/>
  <c r="AS503" i="3" s="1"/>
  <c r="AT503" i="3" s="1"/>
  <c r="AU503" i="3" s="1"/>
  <c r="AV503" i="3" s="1"/>
  <c r="AW503" i="3" s="1"/>
  <c r="AX503" i="3" s="1"/>
  <c r="AY503" i="3" s="1"/>
  <c r="AZ503" i="3" s="1"/>
  <c r="BA503" i="3" s="1"/>
  <c r="BB503" i="3" s="1"/>
  <c r="D493" i="3"/>
  <c r="E493" i="3" s="1"/>
  <c r="F493" i="3" s="1"/>
  <c r="G493" i="3" s="1"/>
  <c r="H493" i="3" s="1"/>
  <c r="I493" i="3" s="1"/>
  <c r="J493" i="3" s="1"/>
  <c r="K493" i="3" s="1"/>
  <c r="L493" i="3" s="1"/>
  <c r="M493" i="3" s="1"/>
  <c r="N493" i="3" s="1"/>
  <c r="O493" i="3" s="1"/>
  <c r="P493" i="3" s="1"/>
  <c r="Q493" i="3" s="1"/>
  <c r="R493" i="3" s="1"/>
  <c r="S493" i="3" s="1"/>
  <c r="T493" i="3" s="1"/>
  <c r="U493" i="3" s="1"/>
  <c r="V493" i="3" s="1"/>
  <c r="W493" i="3" s="1"/>
  <c r="X493" i="3" s="1"/>
  <c r="Y493" i="3" s="1"/>
  <c r="Z493" i="3" s="1"/>
  <c r="AA493" i="3" s="1"/>
  <c r="AB493" i="3" s="1"/>
  <c r="AC493" i="3" s="1"/>
  <c r="AD493" i="3" s="1"/>
  <c r="AE493" i="3" s="1"/>
  <c r="AF493" i="3" s="1"/>
  <c r="AG493" i="3" s="1"/>
  <c r="AH493" i="3" s="1"/>
  <c r="AI493" i="3" s="1"/>
  <c r="AJ493" i="3" s="1"/>
  <c r="AK493" i="3" s="1"/>
  <c r="AL493" i="3" s="1"/>
  <c r="AM493" i="3" s="1"/>
  <c r="AN493" i="3" s="1"/>
  <c r="AO493" i="3" s="1"/>
  <c r="AP493" i="3" s="1"/>
  <c r="AQ493" i="3" s="1"/>
  <c r="AR493" i="3" s="1"/>
  <c r="AS493" i="3" s="1"/>
  <c r="AT493" i="3" s="1"/>
  <c r="AU493" i="3" s="1"/>
  <c r="AV493" i="3" s="1"/>
  <c r="AW493" i="3" s="1"/>
  <c r="AX493" i="3" s="1"/>
  <c r="AY493" i="3" s="1"/>
  <c r="AZ493" i="3" s="1"/>
  <c r="BA493" i="3" s="1"/>
  <c r="BB493" i="3" s="1"/>
  <c r="D483" i="3"/>
  <c r="E483" i="3" s="1"/>
  <c r="F483" i="3" s="1"/>
  <c r="G483" i="3" s="1"/>
  <c r="H483" i="3" s="1"/>
  <c r="I483" i="3" s="1"/>
  <c r="J483" i="3" s="1"/>
  <c r="K483" i="3" s="1"/>
  <c r="L483" i="3" s="1"/>
  <c r="M483" i="3" s="1"/>
  <c r="N483" i="3" s="1"/>
  <c r="O483" i="3" s="1"/>
  <c r="P483" i="3" s="1"/>
  <c r="Q483" i="3" s="1"/>
  <c r="R483" i="3" s="1"/>
  <c r="S483" i="3" s="1"/>
  <c r="T483" i="3" s="1"/>
  <c r="U483" i="3" s="1"/>
  <c r="V483" i="3" s="1"/>
  <c r="W483" i="3" s="1"/>
  <c r="X483" i="3" s="1"/>
  <c r="Y483" i="3" s="1"/>
  <c r="Z483" i="3" s="1"/>
  <c r="AA483" i="3" s="1"/>
  <c r="AB483" i="3" s="1"/>
  <c r="AC483" i="3" s="1"/>
  <c r="AD483" i="3" s="1"/>
  <c r="AE483" i="3" s="1"/>
  <c r="AF483" i="3" s="1"/>
  <c r="AG483" i="3" s="1"/>
  <c r="AH483" i="3" s="1"/>
  <c r="AI483" i="3" s="1"/>
  <c r="AJ483" i="3" s="1"/>
  <c r="AK483" i="3" s="1"/>
  <c r="AL483" i="3" s="1"/>
  <c r="AM483" i="3" s="1"/>
  <c r="AN483" i="3" s="1"/>
  <c r="AO483" i="3" s="1"/>
  <c r="AP483" i="3" s="1"/>
  <c r="AQ483" i="3" s="1"/>
  <c r="AR483" i="3" s="1"/>
  <c r="AS483" i="3" s="1"/>
  <c r="AT483" i="3" s="1"/>
  <c r="AU483" i="3" s="1"/>
  <c r="AV483" i="3" s="1"/>
  <c r="AW483" i="3" s="1"/>
  <c r="AX483" i="3" s="1"/>
  <c r="AY483" i="3" s="1"/>
  <c r="AZ483" i="3" s="1"/>
  <c r="BA483" i="3" s="1"/>
  <c r="BB483" i="3" s="1"/>
  <c r="AB307" i="3"/>
  <c r="AA307" i="3"/>
  <c r="Z307" i="3"/>
  <c r="AB306" i="3"/>
  <c r="AA306" i="3"/>
  <c r="Z306" i="3"/>
  <c r="AB305" i="3"/>
  <c r="AA305" i="3"/>
  <c r="Z305" i="3"/>
  <c r="AB304" i="3"/>
  <c r="AA304" i="3"/>
  <c r="Z304" i="3"/>
  <c r="AB303" i="3"/>
  <c r="AA303" i="3"/>
  <c r="Z303" i="3"/>
  <c r="AB302" i="3"/>
  <c r="AA302" i="3"/>
  <c r="Z302" i="3"/>
  <c r="AB301" i="3"/>
  <c r="AA301" i="3"/>
  <c r="Z301" i="3"/>
  <c r="AB300" i="3"/>
  <c r="AA300" i="3"/>
  <c r="Z300" i="3"/>
  <c r="K322" i="3"/>
  <c r="L322" i="3" s="1"/>
  <c r="M322" i="3" s="1"/>
  <c r="N322" i="3" s="1"/>
  <c r="O322" i="3" s="1"/>
  <c r="P322" i="3" s="1"/>
  <c r="Q322" i="3" s="1"/>
  <c r="R322" i="3" s="1"/>
  <c r="S322" i="3" s="1"/>
  <c r="T322" i="3" s="1"/>
  <c r="U322" i="3" s="1"/>
  <c r="V322" i="3" s="1"/>
  <c r="W322" i="3" s="1"/>
  <c r="X322" i="3" s="1"/>
  <c r="Y322" i="3" s="1"/>
  <c r="Z322" i="3" s="1"/>
  <c r="AA322" i="3" s="1"/>
  <c r="AB322" i="3" s="1"/>
  <c r="AC322" i="3" s="1"/>
  <c r="AD322" i="3" s="1"/>
  <c r="AE322" i="3" s="1"/>
  <c r="AF322" i="3" s="1"/>
  <c r="AG322" i="3" s="1"/>
  <c r="AH322" i="3" s="1"/>
  <c r="AI322" i="3" s="1"/>
  <c r="AJ322" i="3" s="1"/>
  <c r="AK322" i="3" s="1"/>
  <c r="AL322" i="3" s="1"/>
  <c r="AM322" i="3" s="1"/>
  <c r="AN322" i="3" s="1"/>
  <c r="AO322" i="3" s="1"/>
  <c r="AP322" i="3" s="1"/>
  <c r="AQ322" i="3" s="1"/>
  <c r="AR322" i="3" s="1"/>
  <c r="AS322" i="3" s="1"/>
  <c r="AT322" i="3" s="1"/>
  <c r="AU322" i="3" s="1"/>
  <c r="AV322" i="3" s="1"/>
  <c r="AW322" i="3" s="1"/>
  <c r="AX322" i="3" s="1"/>
  <c r="AY322" i="3" s="1"/>
  <c r="AZ322" i="3" s="1"/>
  <c r="BA322" i="3" s="1"/>
  <c r="BB322" i="3" s="1"/>
  <c r="BC322" i="3" s="1"/>
  <c r="BD322" i="3" s="1"/>
  <c r="BE322" i="3" s="1"/>
  <c r="BF322" i="3" s="1"/>
  <c r="BG322" i="3" s="1"/>
  <c r="BH322" i="3" s="1"/>
  <c r="BI322" i="3" s="1"/>
  <c r="BB333" i="3" l="1"/>
  <c r="AY333" i="3"/>
  <c r="BA333" i="3"/>
  <c r="AZ333" i="3"/>
  <c r="Y326" i="3"/>
  <c r="P326" i="3"/>
  <c r="AX326" i="3"/>
  <c r="M338" i="3"/>
  <c r="S341" i="3"/>
  <c r="U359" i="3"/>
  <c r="U362" i="3"/>
  <c r="Q326" i="3"/>
  <c r="BA326" i="3"/>
  <c r="P338" i="3"/>
  <c r="AJ341" i="3"/>
  <c r="S346" i="3"/>
  <c r="AH350" i="3"/>
  <c r="AE359" i="3"/>
  <c r="AG362" i="3"/>
  <c r="V326" i="3"/>
  <c r="BB326" i="3"/>
  <c r="J341" i="3"/>
  <c r="AI338" i="3"/>
  <c r="AN341" i="3"/>
  <c r="AH346" i="3"/>
  <c r="AF359" i="3"/>
  <c r="Y363" i="3"/>
  <c r="BF326" i="3"/>
  <c r="BI326" i="3"/>
  <c r="AQ341" i="3"/>
  <c r="J346" i="3"/>
  <c r="AV346" i="3"/>
  <c r="AL356" i="3"/>
  <c r="W361" i="3"/>
  <c r="X364" i="3"/>
  <c r="AK326" i="3"/>
  <c r="Q330" i="3"/>
  <c r="BF336" i="3"/>
  <c r="N341" i="3"/>
  <c r="K343" i="3"/>
  <c r="AX346" i="3"/>
  <c r="AP356" i="3"/>
  <c r="X361" i="3"/>
  <c r="AM364" i="3"/>
  <c r="AD326" i="3"/>
  <c r="BD341" i="3"/>
  <c r="AH326" i="3"/>
  <c r="BE338" i="3"/>
  <c r="AG356" i="3"/>
  <c r="V361" i="3"/>
  <c r="W364" i="3"/>
  <c r="AJ326" i="3"/>
  <c r="BG338" i="3"/>
  <c r="AL326" i="3"/>
  <c r="R330" i="3"/>
  <c r="O341" i="3"/>
  <c r="U347" i="3"/>
  <c r="J362" i="3"/>
  <c r="P362" i="3"/>
  <c r="AS364" i="3"/>
  <c r="AO341" i="3"/>
  <c r="Z326" i="3"/>
  <c r="J326" i="3"/>
  <c r="AM326" i="3"/>
  <c r="K338" i="3"/>
  <c r="P341" i="3"/>
  <c r="BF347" i="3"/>
  <c r="P359" i="3"/>
  <c r="Q362" i="3"/>
  <c r="O326" i="3"/>
  <c r="L338" i="3"/>
  <c r="O346" i="3"/>
  <c r="S359" i="3"/>
  <c r="AK342" i="3"/>
  <c r="AV348" i="3"/>
  <c r="AW348" i="3"/>
  <c r="Y348" i="3"/>
  <c r="AU348" i="3"/>
  <c r="X348" i="3"/>
  <c r="AR348" i="3"/>
  <c r="W348" i="3"/>
  <c r="AQ348" i="3"/>
  <c r="V348" i="3"/>
  <c r="BE348" i="3"/>
  <c r="U348" i="3"/>
  <c r="BD348" i="3"/>
  <c r="R348" i="3"/>
  <c r="BA348" i="3"/>
  <c r="P348" i="3"/>
  <c r="AZ348" i="3"/>
  <c r="L348" i="3"/>
  <c r="K348" i="3"/>
  <c r="BH348" i="3"/>
  <c r="BG348" i="3"/>
  <c r="AN348" i="3"/>
  <c r="AL348" i="3"/>
  <c r="AK348" i="3"/>
  <c r="AG348" i="3"/>
  <c r="AE348" i="3"/>
  <c r="J348" i="3"/>
  <c r="AP348" i="3"/>
  <c r="AH348" i="3"/>
  <c r="Z348" i="3"/>
  <c r="AY355" i="3"/>
  <c r="J355" i="3"/>
  <c r="AT355" i="3"/>
  <c r="AQ355" i="3"/>
  <c r="AJ355" i="3"/>
  <c r="U355" i="3"/>
  <c r="T355" i="3"/>
  <c r="S355" i="3"/>
  <c r="BI355" i="3"/>
  <c r="BG355" i="3"/>
  <c r="W355" i="3"/>
  <c r="V355" i="3"/>
  <c r="BD355" i="3"/>
  <c r="BA355" i="3"/>
  <c r="AH355" i="3"/>
  <c r="BC355" i="3"/>
  <c r="AA355" i="3"/>
  <c r="AY353" i="3"/>
  <c r="AT353" i="3"/>
  <c r="AS353" i="3"/>
  <c r="AR353" i="3"/>
  <c r="AQ353" i="3"/>
  <c r="BA353" i="3"/>
  <c r="AP353" i="3"/>
  <c r="AH353" i="3"/>
  <c r="AE353" i="3"/>
  <c r="K353" i="3"/>
  <c r="P353" i="3"/>
  <c r="AT332" i="3"/>
  <c r="AN332" i="3"/>
  <c r="AJ332" i="3"/>
  <c r="P332" i="3"/>
  <c r="O332" i="3"/>
  <c r="N332" i="3"/>
  <c r="BH332" i="3"/>
  <c r="BF332" i="3"/>
  <c r="BD332" i="3"/>
  <c r="AQ332" i="3"/>
  <c r="AI332" i="3"/>
  <c r="S332" i="3"/>
  <c r="R332" i="3"/>
  <c r="BE332" i="3"/>
  <c r="AG332" i="3"/>
  <c r="BF335" i="3"/>
  <c r="AE335" i="3"/>
  <c r="J335" i="3"/>
  <c r="AY335" i="3"/>
  <c r="Y335" i="3"/>
  <c r="AX335" i="3"/>
  <c r="V335" i="3"/>
  <c r="AU335" i="3"/>
  <c r="U335" i="3"/>
  <c r="AM335" i="3"/>
  <c r="AK335" i="3"/>
  <c r="AI335" i="3"/>
  <c r="AH335" i="3"/>
  <c r="U337" i="3"/>
  <c r="N328" i="3"/>
  <c r="AT335" i="3"/>
  <c r="S340" i="3"/>
  <c r="BG363" i="3"/>
  <c r="BG335" i="3"/>
  <c r="AF328" i="3"/>
  <c r="O335" i="3"/>
  <c r="AF345" i="3"/>
  <c r="BI345" i="3"/>
  <c r="AY345" i="3"/>
  <c r="AW345" i="3"/>
  <c r="AW337" i="3"/>
  <c r="AQ337" i="3"/>
  <c r="AJ337" i="3"/>
  <c r="AI337" i="3"/>
  <c r="AF337" i="3"/>
  <c r="BH337" i="3"/>
  <c r="BG337" i="3"/>
  <c r="AV337" i="3"/>
  <c r="AS337" i="3"/>
  <c r="AU327" i="3"/>
  <c r="BF327" i="3"/>
  <c r="AO327" i="3"/>
  <c r="AM327" i="3"/>
  <c r="AL327" i="3"/>
  <c r="W327" i="3"/>
  <c r="V327" i="3"/>
  <c r="R327" i="3"/>
  <c r="P337" i="3"/>
  <c r="AQ328" i="3"/>
  <c r="BE328" i="3"/>
  <c r="BB328" i="3"/>
  <c r="AX328" i="3"/>
  <c r="BH327" i="3"/>
  <c r="S337" i="3"/>
  <c r="Z363" i="3"/>
  <c r="BI327" i="3"/>
  <c r="AS335" i="3"/>
  <c r="AA363" i="3"/>
  <c r="AP343" i="3"/>
  <c r="AM343" i="3"/>
  <c r="AL343" i="3"/>
  <c r="AD343" i="3"/>
  <c r="BF343" i="3"/>
  <c r="BE343" i="3"/>
  <c r="AC343" i="3"/>
  <c r="BB361" i="3"/>
  <c r="AJ361" i="3"/>
  <c r="K361" i="3"/>
  <c r="BG361" i="3"/>
  <c r="AI361" i="3"/>
  <c r="BD361" i="3"/>
  <c r="AG361" i="3"/>
  <c r="BC361" i="3"/>
  <c r="AC361" i="3"/>
  <c r="AS361" i="3"/>
  <c r="AQ361" i="3"/>
  <c r="AO361" i="3"/>
  <c r="AK361" i="3"/>
  <c r="AA361" i="3"/>
  <c r="AZ340" i="3"/>
  <c r="X340" i="3"/>
  <c r="AY340" i="3"/>
  <c r="W340" i="3"/>
  <c r="AX340" i="3"/>
  <c r="V340" i="3"/>
  <c r="AV340" i="3"/>
  <c r="T340" i="3"/>
  <c r="L340" i="3"/>
  <c r="K340" i="3"/>
  <c r="BB340" i="3"/>
  <c r="AQ340" i="3"/>
  <c r="AI333" i="3"/>
  <c r="AG333" i="3"/>
  <c r="J333" i="3"/>
  <c r="Y333" i="3"/>
  <c r="M333" i="3"/>
  <c r="K333" i="3"/>
  <c r="BE333" i="3"/>
  <c r="AZ351" i="3"/>
  <c r="AQ351" i="3"/>
  <c r="AJ351" i="3"/>
  <c r="AI351" i="3"/>
  <c r="AG351" i="3"/>
  <c r="AF351" i="3"/>
  <c r="AC351" i="3"/>
  <c r="W351" i="3"/>
  <c r="T351" i="3"/>
  <c r="BE330" i="3"/>
  <c r="AA330" i="3"/>
  <c r="BD330" i="3"/>
  <c r="X330" i="3"/>
  <c r="AK330" i="3"/>
  <c r="AH330" i="3"/>
  <c r="AG330" i="3"/>
  <c r="BI330" i="3"/>
  <c r="AF330" i="3"/>
  <c r="AD328" i="3"/>
  <c r="T330" i="3"/>
  <c r="BD333" i="3"/>
  <c r="AR337" i="3"/>
  <c r="Z340" i="3"/>
  <c r="BF351" i="3"/>
  <c r="AW361" i="3"/>
  <c r="AE328" i="3"/>
  <c r="AL330" i="3"/>
  <c r="J340" i="3"/>
  <c r="BI335" i="3"/>
  <c r="AA340" i="3"/>
  <c r="N345" i="3"/>
  <c r="BI351" i="3"/>
  <c r="AX361" i="3"/>
  <c r="AO330" i="3"/>
  <c r="AI340" i="3"/>
  <c r="O345" i="3"/>
  <c r="AY361" i="3"/>
  <c r="AV328" i="3"/>
  <c r="AS330" i="3"/>
  <c r="Q335" i="3"/>
  <c r="AM340" i="3"/>
  <c r="Z345" i="3"/>
  <c r="N361" i="3"/>
  <c r="AV330" i="3"/>
  <c r="AC333" i="3"/>
  <c r="R335" i="3"/>
  <c r="AN340" i="3"/>
  <c r="S344" i="3"/>
  <c r="AJ344" i="3"/>
  <c r="Q361" i="3"/>
  <c r="M330" i="3"/>
  <c r="AZ330" i="3"/>
  <c r="AF333" i="3"/>
  <c r="S335" i="3"/>
  <c r="AO340" i="3"/>
  <c r="S361" i="3"/>
  <c r="M329" i="3"/>
  <c r="T329" i="3"/>
  <c r="AO329" i="3"/>
  <c r="W329" i="3"/>
  <c r="AY347" i="3"/>
  <c r="T347" i="3"/>
  <c r="Q327" i="3"/>
  <c r="N330" i="3"/>
  <c r="BF330" i="3"/>
  <c r="AJ333" i="3"/>
  <c r="T335" i="3"/>
  <c r="O337" i="3"/>
  <c r="J343" i="3"/>
  <c r="AE358" i="3"/>
  <c r="U361" i="3"/>
  <c r="AQ336" i="3"/>
  <c r="BC336" i="3"/>
  <c r="AN336" i="3"/>
  <c r="AM336" i="3"/>
  <c r="AL336" i="3"/>
  <c r="AC336" i="3"/>
  <c r="AZ326" i="3"/>
  <c r="AG326" i="3"/>
  <c r="L326" i="3"/>
  <c r="AY326" i="3"/>
  <c r="AF326" i="3"/>
  <c r="AZ362" i="3"/>
  <c r="BD362" i="3"/>
  <c r="L362" i="3"/>
  <c r="BC362" i="3"/>
  <c r="AU362" i="3"/>
  <c r="AR362" i="3"/>
  <c r="AF341" i="3"/>
  <c r="BH341" i="3"/>
  <c r="AB341" i="3"/>
  <c r="BG341" i="3"/>
  <c r="AA341" i="3"/>
  <c r="BE341" i="3"/>
  <c r="U341" i="3"/>
  <c r="R326" i="3"/>
  <c r="AR326" i="3"/>
  <c r="AE336" i="3"/>
  <c r="AR341" i="3"/>
  <c r="AH362" i="3"/>
  <c r="T326" i="3"/>
  <c r="AS326" i="3"/>
  <c r="AJ336" i="3"/>
  <c r="L341" i="3"/>
  <c r="AU341" i="3"/>
  <c r="AM362" i="3"/>
  <c r="AM360" i="3"/>
  <c r="AO360" i="3"/>
  <c r="U326" i="3"/>
  <c r="AT326" i="3"/>
  <c r="J336" i="3"/>
  <c r="BD336" i="3"/>
  <c r="M341" i="3"/>
  <c r="AV341" i="3"/>
  <c r="AN362" i="3"/>
  <c r="AJ338" i="3"/>
  <c r="AR356" i="3"/>
  <c r="AK338" i="3"/>
  <c r="K346" i="3"/>
  <c r="J359" i="3"/>
  <c r="BD364" i="3"/>
  <c r="BH349" i="3"/>
  <c r="AV349" i="3"/>
  <c r="AJ349" i="3"/>
  <c r="X349" i="3"/>
  <c r="L349" i="3"/>
  <c r="BG349" i="3"/>
  <c r="AT349" i="3"/>
  <c r="AG349" i="3"/>
  <c r="T349" i="3"/>
  <c r="BC349" i="3"/>
  <c r="AP349" i="3"/>
  <c r="AC349" i="3"/>
  <c r="P349" i="3"/>
  <c r="AU349" i="3"/>
  <c r="AE349" i="3"/>
  <c r="O349" i="3"/>
  <c r="BE349" i="3"/>
  <c r="AO349" i="3"/>
  <c r="Z349" i="3"/>
  <c r="BI349" i="3"/>
  <c r="AN349" i="3"/>
  <c r="V349" i="3"/>
  <c r="BF349" i="3"/>
  <c r="AM349" i="3"/>
  <c r="U349" i="3"/>
  <c r="BD349" i="3"/>
  <c r="AL349" i="3"/>
  <c r="S349" i="3"/>
  <c r="BA349" i="3"/>
  <c r="AI349" i="3"/>
  <c r="Q349" i="3"/>
  <c r="J349" i="3"/>
  <c r="AF349" i="3"/>
  <c r="AD349" i="3"/>
  <c r="AY349" i="3"/>
  <c r="Y349" i="3"/>
  <c r="AB349" i="3"/>
  <c r="AA349" i="3"/>
  <c r="W349" i="3"/>
  <c r="BB349" i="3"/>
  <c r="R349" i="3"/>
  <c r="AS349" i="3"/>
  <c r="AR349" i="3"/>
  <c r="AQ349" i="3"/>
  <c r="AK349" i="3"/>
  <c r="AH349" i="3"/>
  <c r="K349" i="3"/>
  <c r="AZ349" i="3"/>
  <c r="N349" i="3"/>
  <c r="AX349" i="3"/>
  <c r="M349" i="3"/>
  <c r="AW349" i="3"/>
  <c r="AZ339" i="3"/>
  <c r="AN339" i="3"/>
  <c r="AB339" i="3"/>
  <c r="P339" i="3"/>
  <c r="BH339" i="3"/>
  <c r="AV339" i="3"/>
  <c r="AJ339" i="3"/>
  <c r="X339" i="3"/>
  <c r="L339" i="3"/>
  <c r="BC339" i="3"/>
  <c r="AO339" i="3"/>
  <c r="Z339" i="3"/>
  <c r="K339" i="3"/>
  <c r="J339" i="3"/>
  <c r="BB339" i="3"/>
  <c r="AM339" i="3"/>
  <c r="Y339" i="3"/>
  <c r="BA339" i="3"/>
  <c r="AL339" i="3"/>
  <c r="W339" i="3"/>
  <c r="AX339" i="3"/>
  <c r="AI339" i="3"/>
  <c r="U339" i="3"/>
  <c r="AS339" i="3"/>
  <c r="V339" i="3"/>
  <c r="BI339" i="3"/>
  <c r="AP339" i="3"/>
  <c r="R339" i="3"/>
  <c r="BE339" i="3"/>
  <c r="AE339" i="3"/>
  <c r="BD339" i="3"/>
  <c r="AD339" i="3"/>
  <c r="AY339" i="3"/>
  <c r="AC339" i="3"/>
  <c r="AW339" i="3"/>
  <c r="AA339" i="3"/>
  <c r="AR339" i="3"/>
  <c r="AQ339" i="3"/>
  <c r="O339" i="3"/>
  <c r="AK339" i="3"/>
  <c r="N339" i="3"/>
  <c r="AH339" i="3"/>
  <c r="M339" i="3"/>
  <c r="BG339" i="3"/>
  <c r="AG339" i="3"/>
  <c r="AF339" i="3"/>
  <c r="AU339" i="3"/>
  <c r="T339" i="3"/>
  <c r="AT339" i="3"/>
  <c r="S339" i="3"/>
  <c r="Q339" i="3"/>
  <c r="BF339" i="3"/>
  <c r="BE354" i="3"/>
  <c r="AS354" i="3"/>
  <c r="AG354" i="3"/>
  <c r="U354" i="3"/>
  <c r="BC354" i="3"/>
  <c r="AP354" i="3"/>
  <c r="AC354" i="3"/>
  <c r="P354" i="3"/>
  <c r="AY354" i="3"/>
  <c r="AL354" i="3"/>
  <c r="Y354" i="3"/>
  <c r="L354" i="3"/>
  <c r="AX354" i="3"/>
  <c r="AI354" i="3"/>
  <c r="S354" i="3"/>
  <c r="BI354" i="3"/>
  <c r="AT354" i="3"/>
  <c r="AD354" i="3"/>
  <c r="N354" i="3"/>
  <c r="AR354" i="3"/>
  <c r="Z354" i="3"/>
  <c r="AQ354" i="3"/>
  <c r="X354" i="3"/>
  <c r="BH354" i="3"/>
  <c r="AO354" i="3"/>
  <c r="W354" i="3"/>
  <c r="BF354" i="3"/>
  <c r="AM354" i="3"/>
  <c r="T354" i="3"/>
  <c r="AJ354" i="3"/>
  <c r="AH354" i="3"/>
  <c r="BB354" i="3"/>
  <c r="AB354" i="3"/>
  <c r="J354" i="3"/>
  <c r="AZ354" i="3"/>
  <c r="O354" i="3"/>
  <c r="AW354" i="3"/>
  <c r="M354" i="3"/>
  <c r="AV354" i="3"/>
  <c r="AU354" i="3"/>
  <c r="AF354" i="3"/>
  <c r="AE354" i="3"/>
  <c r="AA354" i="3"/>
  <c r="BG354" i="3"/>
  <c r="V354" i="3"/>
  <c r="BD354" i="3"/>
  <c r="R354" i="3"/>
  <c r="BA354" i="3"/>
  <c r="Q354" i="3"/>
  <c r="K354" i="3"/>
  <c r="AN354" i="3"/>
  <c r="AK354" i="3"/>
  <c r="AQ331" i="3"/>
  <c r="BB334" i="3"/>
  <c r="U342" i="3"/>
  <c r="AM344" i="3"/>
  <c r="AF342" i="3"/>
  <c r="AB363" i="3"/>
  <c r="AX331" i="3"/>
  <c r="AD363" i="3"/>
  <c r="AY329" i="3"/>
  <c r="AU344" i="3"/>
  <c r="AK347" i="3"/>
  <c r="AW350" i="3"/>
  <c r="T352" i="3"/>
  <c r="J363" i="3"/>
  <c r="U360" i="3"/>
  <c r="AE363" i="3"/>
  <c r="Q365" i="3"/>
  <c r="BH343" i="3"/>
  <c r="AV343" i="3"/>
  <c r="AJ343" i="3"/>
  <c r="X343" i="3"/>
  <c r="L343" i="3"/>
  <c r="BD343" i="3"/>
  <c r="AR343" i="3"/>
  <c r="AF343" i="3"/>
  <c r="T343" i="3"/>
  <c r="AY343" i="3"/>
  <c r="AK343" i="3"/>
  <c r="V343" i="3"/>
  <c r="AX343" i="3"/>
  <c r="AI343" i="3"/>
  <c r="U343" i="3"/>
  <c r="AW343" i="3"/>
  <c r="AH343" i="3"/>
  <c r="S343" i="3"/>
  <c r="BI343" i="3"/>
  <c r="AT343" i="3"/>
  <c r="AE343" i="3"/>
  <c r="Q343" i="3"/>
  <c r="AO343" i="3"/>
  <c r="R343" i="3"/>
  <c r="BG343" i="3"/>
  <c r="AN343" i="3"/>
  <c r="P343" i="3"/>
  <c r="BC343" i="3"/>
  <c r="AG343" i="3"/>
  <c r="M343" i="3"/>
  <c r="AX333" i="3"/>
  <c r="AL333" i="3"/>
  <c r="Z333" i="3"/>
  <c r="N333" i="3"/>
  <c r="BF333" i="3"/>
  <c r="AT333" i="3"/>
  <c r="AH333" i="3"/>
  <c r="V333" i="3"/>
  <c r="BH333" i="3"/>
  <c r="AS333" i="3"/>
  <c r="AE333" i="3"/>
  <c r="Q333" i="3"/>
  <c r="BG333" i="3"/>
  <c r="AR333" i="3"/>
  <c r="AD333" i="3"/>
  <c r="P333" i="3"/>
  <c r="BC333" i="3"/>
  <c r="AO333" i="3"/>
  <c r="AA333" i="3"/>
  <c r="L333" i="3"/>
  <c r="AV333" i="3"/>
  <c r="AB333" i="3"/>
  <c r="AP333" i="3"/>
  <c r="W333" i="3"/>
  <c r="AA327" i="3"/>
  <c r="AX327" i="3"/>
  <c r="S328" i="3"/>
  <c r="AM328" i="3"/>
  <c r="BH328" i="3"/>
  <c r="AD329" i="3"/>
  <c r="AZ329" i="3"/>
  <c r="K331" i="3"/>
  <c r="AH331" i="3"/>
  <c r="BB331" i="3"/>
  <c r="Z332" i="3"/>
  <c r="AS332" i="3"/>
  <c r="O333" i="3"/>
  <c r="AK333" i="3"/>
  <c r="BI333" i="3"/>
  <c r="N334" i="3"/>
  <c r="AP334" i="3"/>
  <c r="O336" i="3"/>
  <c r="AP336" i="3"/>
  <c r="U338" i="3"/>
  <c r="AP338" i="3"/>
  <c r="J347" i="3"/>
  <c r="AJ342" i="3"/>
  <c r="N343" i="3"/>
  <c r="AQ343" i="3"/>
  <c r="T344" i="3"/>
  <c r="AW344" i="3"/>
  <c r="AH345" i="3"/>
  <c r="AN347" i="3"/>
  <c r="O350" i="3"/>
  <c r="AZ350" i="3"/>
  <c r="Y352" i="3"/>
  <c r="AV356" i="3"/>
  <c r="AF357" i="3"/>
  <c r="J365" i="3"/>
  <c r="AY358" i="3"/>
  <c r="AJ359" i="3"/>
  <c r="V360" i="3"/>
  <c r="AF363" i="3"/>
  <c r="AK364" i="3"/>
  <c r="T365" i="3"/>
  <c r="BB351" i="3"/>
  <c r="AP351" i="3"/>
  <c r="AD351" i="3"/>
  <c r="R351" i="3"/>
  <c r="AY351" i="3"/>
  <c r="AL351" i="3"/>
  <c r="Y351" i="3"/>
  <c r="L351" i="3"/>
  <c r="BH351" i="3"/>
  <c r="AU351" i="3"/>
  <c r="AH351" i="3"/>
  <c r="U351" i="3"/>
  <c r="AT351" i="3"/>
  <c r="AE351" i="3"/>
  <c r="O351" i="3"/>
  <c r="BE351" i="3"/>
  <c r="AO351" i="3"/>
  <c r="Z351" i="3"/>
  <c r="AV351" i="3"/>
  <c r="AB351" i="3"/>
  <c r="J351" i="3"/>
  <c r="AS351" i="3"/>
  <c r="AA351" i="3"/>
  <c r="AR351" i="3"/>
  <c r="X351" i="3"/>
  <c r="BG351" i="3"/>
  <c r="AN351" i="3"/>
  <c r="V351" i="3"/>
  <c r="AX351" i="3"/>
  <c r="S351" i="3"/>
  <c r="AW351" i="3"/>
  <c r="Q351" i="3"/>
  <c r="AK351" i="3"/>
  <c r="M351" i="3"/>
  <c r="BG330" i="3"/>
  <c r="AU330" i="3"/>
  <c r="AI330" i="3"/>
  <c r="W330" i="3"/>
  <c r="K330" i="3"/>
  <c r="BC330" i="3"/>
  <c r="AQ330" i="3"/>
  <c r="AE330" i="3"/>
  <c r="S330" i="3"/>
  <c r="J330" i="3"/>
  <c r="BB330" i="3"/>
  <c r="AN330" i="3"/>
  <c r="Z330" i="3"/>
  <c r="L330" i="3"/>
  <c r="BA330" i="3"/>
  <c r="AM330" i="3"/>
  <c r="Y330" i="3"/>
  <c r="AX330" i="3"/>
  <c r="AJ330" i="3"/>
  <c r="U330" i="3"/>
  <c r="AT330" i="3"/>
  <c r="AB330" i="3"/>
  <c r="AC327" i="3"/>
  <c r="AY327" i="3"/>
  <c r="T328" i="3"/>
  <c r="K329" i="3"/>
  <c r="AE329" i="3"/>
  <c r="BA329" i="3"/>
  <c r="V330" i="3"/>
  <c r="AR330" i="3"/>
  <c r="L331" i="3"/>
  <c r="AJ331" i="3"/>
  <c r="BC331" i="3"/>
  <c r="AA332" i="3"/>
  <c r="R333" i="3"/>
  <c r="AM333" i="3"/>
  <c r="P334" i="3"/>
  <c r="AR334" i="3"/>
  <c r="Q336" i="3"/>
  <c r="T337" i="3"/>
  <c r="AU337" i="3"/>
  <c r="V338" i="3"/>
  <c r="O343" i="3"/>
  <c r="AS343" i="3"/>
  <c r="V344" i="3"/>
  <c r="AX344" i="3"/>
  <c r="AI345" i="3"/>
  <c r="Q346" i="3"/>
  <c r="AO347" i="3"/>
  <c r="Q350" i="3"/>
  <c r="AM351" i="3"/>
  <c r="AD352" i="3"/>
  <c r="M353" i="3"/>
  <c r="AI357" i="3"/>
  <c r="O358" i="3"/>
  <c r="BC358" i="3"/>
  <c r="AL359" i="3"/>
  <c r="X360" i="3"/>
  <c r="N362" i="3"/>
  <c r="AR363" i="3"/>
  <c r="Y365" i="3"/>
  <c r="W331" i="3"/>
  <c r="AY342" i="3"/>
  <c r="AM342" i="3"/>
  <c r="AA342" i="3"/>
  <c r="O342" i="3"/>
  <c r="J342" i="3"/>
  <c r="BG342" i="3"/>
  <c r="AU342" i="3"/>
  <c r="AI342" i="3"/>
  <c r="W342" i="3"/>
  <c r="K342" i="3"/>
  <c r="BF342" i="3"/>
  <c r="AR342" i="3"/>
  <c r="AD342" i="3"/>
  <c r="P342" i="3"/>
  <c r="BE342" i="3"/>
  <c r="AQ342" i="3"/>
  <c r="AC342" i="3"/>
  <c r="N342" i="3"/>
  <c r="BD342" i="3"/>
  <c r="AP342" i="3"/>
  <c r="AB342" i="3"/>
  <c r="M342" i="3"/>
  <c r="BB342" i="3"/>
  <c r="AN342" i="3"/>
  <c r="Y342" i="3"/>
  <c r="AW342" i="3"/>
  <c r="Z342" i="3"/>
  <c r="AV342" i="3"/>
  <c r="X342" i="3"/>
  <c r="AO342" i="3"/>
  <c r="T342" i="3"/>
  <c r="AZ342" i="3"/>
  <c r="AD334" i="3"/>
  <c r="O344" i="3"/>
  <c r="Z331" i="3"/>
  <c r="J357" i="3"/>
  <c r="AE357" i="3"/>
  <c r="AT358" i="3"/>
  <c r="BF360" i="3"/>
  <c r="AY356" i="3"/>
  <c r="AM356" i="3"/>
  <c r="AA356" i="3"/>
  <c r="O356" i="3"/>
  <c r="J356" i="3"/>
  <c r="BF356" i="3"/>
  <c r="AS356" i="3"/>
  <c r="AF356" i="3"/>
  <c r="S356" i="3"/>
  <c r="BB356" i="3"/>
  <c r="AO356" i="3"/>
  <c r="AB356" i="3"/>
  <c r="N356" i="3"/>
  <c r="BG356" i="3"/>
  <c r="AQ356" i="3"/>
  <c r="Z356" i="3"/>
  <c r="K356" i="3"/>
  <c r="BA356" i="3"/>
  <c r="AK356" i="3"/>
  <c r="V356" i="3"/>
  <c r="BD356" i="3"/>
  <c r="AJ356" i="3"/>
  <c r="R356" i="3"/>
  <c r="BC356" i="3"/>
  <c r="AI356" i="3"/>
  <c r="Q356" i="3"/>
  <c r="AZ356" i="3"/>
  <c r="AH356" i="3"/>
  <c r="P356" i="3"/>
  <c r="AW356" i="3"/>
  <c r="AE356" i="3"/>
  <c r="L356" i="3"/>
  <c r="AU356" i="3"/>
  <c r="U356" i="3"/>
  <c r="AT356" i="3"/>
  <c r="T356" i="3"/>
  <c r="AN356" i="3"/>
  <c r="BF331" i="3"/>
  <c r="Y343" i="3"/>
  <c r="N347" i="3"/>
  <c r="BH353" i="3"/>
  <c r="AV353" i="3"/>
  <c r="AJ353" i="3"/>
  <c r="X353" i="3"/>
  <c r="L353" i="3"/>
  <c r="BB353" i="3"/>
  <c r="AO353" i="3"/>
  <c r="AB353" i="3"/>
  <c r="O353" i="3"/>
  <c r="AX353" i="3"/>
  <c r="AK353" i="3"/>
  <c r="W353" i="3"/>
  <c r="J353" i="3"/>
  <c r="BC353" i="3"/>
  <c r="AM353" i="3"/>
  <c r="V353" i="3"/>
  <c r="AW353" i="3"/>
  <c r="AG353" i="3"/>
  <c r="R353" i="3"/>
  <c r="BF353" i="3"/>
  <c r="AN353" i="3"/>
  <c r="T353" i="3"/>
  <c r="BE353" i="3"/>
  <c r="AL353" i="3"/>
  <c r="S353" i="3"/>
  <c r="BD353" i="3"/>
  <c r="AI353" i="3"/>
  <c r="Q353" i="3"/>
  <c r="AZ353" i="3"/>
  <c r="AF353" i="3"/>
  <c r="N353" i="3"/>
  <c r="BI353" i="3"/>
  <c r="AD353" i="3"/>
  <c r="BG353" i="3"/>
  <c r="AC353" i="3"/>
  <c r="AU353" i="3"/>
  <c r="Y353" i="3"/>
  <c r="U353" i="3"/>
  <c r="W356" i="3"/>
  <c r="BH356" i="3"/>
  <c r="AR357" i="3"/>
  <c r="L359" i="3"/>
  <c r="AU359" i="3"/>
  <c r="AK360" i="3"/>
  <c r="AY363" i="3"/>
  <c r="AC365" i="3"/>
  <c r="U333" i="3"/>
  <c r="BA351" i="3"/>
  <c r="M359" i="3"/>
  <c r="K363" i="3"/>
  <c r="BC334" i="3"/>
  <c r="AQ334" i="3"/>
  <c r="AE334" i="3"/>
  <c r="S334" i="3"/>
  <c r="AY334" i="3"/>
  <c r="AM334" i="3"/>
  <c r="AA334" i="3"/>
  <c r="O334" i="3"/>
  <c r="J334" i="3"/>
  <c r="AX334" i="3"/>
  <c r="AJ334" i="3"/>
  <c r="V334" i="3"/>
  <c r="AW334" i="3"/>
  <c r="AI334" i="3"/>
  <c r="U334" i="3"/>
  <c r="AV334" i="3"/>
  <c r="AH334" i="3"/>
  <c r="T334" i="3"/>
  <c r="BH334" i="3"/>
  <c r="AT334" i="3"/>
  <c r="AF334" i="3"/>
  <c r="Q334" i="3"/>
  <c r="BI334" i="3"/>
  <c r="AO334" i="3"/>
  <c r="R334" i="3"/>
  <c r="BE334" i="3"/>
  <c r="AK334" i="3"/>
  <c r="M334" i="3"/>
  <c r="AY352" i="3"/>
  <c r="AM352" i="3"/>
  <c r="AA352" i="3"/>
  <c r="O352" i="3"/>
  <c r="BA352" i="3"/>
  <c r="AN352" i="3"/>
  <c r="Z352" i="3"/>
  <c r="M352" i="3"/>
  <c r="BI352" i="3"/>
  <c r="AV352" i="3"/>
  <c r="AI352" i="3"/>
  <c r="V352" i="3"/>
  <c r="BF352" i="3"/>
  <c r="AQ352" i="3"/>
  <c r="AB352" i="3"/>
  <c r="K352" i="3"/>
  <c r="BB352" i="3"/>
  <c r="AK352" i="3"/>
  <c r="U352" i="3"/>
  <c r="AZ352" i="3"/>
  <c r="AG352" i="3"/>
  <c r="P352" i="3"/>
  <c r="AX352" i="3"/>
  <c r="AF352" i="3"/>
  <c r="N352" i="3"/>
  <c r="AW352" i="3"/>
  <c r="AE352" i="3"/>
  <c r="L352" i="3"/>
  <c r="AT352" i="3"/>
  <c r="AC352" i="3"/>
  <c r="BD352" i="3"/>
  <c r="X352" i="3"/>
  <c r="BC352" i="3"/>
  <c r="W352" i="3"/>
  <c r="AR352" i="3"/>
  <c r="R352" i="3"/>
  <c r="BD331" i="3"/>
  <c r="AR331" i="3"/>
  <c r="AF331" i="3"/>
  <c r="T331" i="3"/>
  <c r="AZ331" i="3"/>
  <c r="AN331" i="3"/>
  <c r="AB331" i="3"/>
  <c r="P331" i="3"/>
  <c r="BI331" i="3"/>
  <c r="AU331" i="3"/>
  <c r="AG331" i="3"/>
  <c r="R331" i="3"/>
  <c r="BH331" i="3"/>
  <c r="AT331" i="3"/>
  <c r="AE331" i="3"/>
  <c r="Q331" i="3"/>
  <c r="BE331" i="3"/>
  <c r="AP331" i="3"/>
  <c r="AA331" i="3"/>
  <c r="M331" i="3"/>
  <c r="BA331" i="3"/>
  <c r="AI331" i="3"/>
  <c r="N331" i="3"/>
  <c r="AB334" i="3"/>
  <c r="BH357" i="3"/>
  <c r="AV357" i="3"/>
  <c r="AJ357" i="3"/>
  <c r="X357" i="3"/>
  <c r="L357" i="3"/>
  <c r="BG357" i="3"/>
  <c r="AT357" i="3"/>
  <c r="AG357" i="3"/>
  <c r="T357" i="3"/>
  <c r="BC357" i="3"/>
  <c r="AP357" i="3"/>
  <c r="AC357" i="3"/>
  <c r="P357" i="3"/>
  <c r="BB357" i="3"/>
  <c r="AM357" i="3"/>
  <c r="W357" i="3"/>
  <c r="AX357" i="3"/>
  <c r="AH357" i="3"/>
  <c r="R357" i="3"/>
  <c r="AQ357" i="3"/>
  <c r="Y357" i="3"/>
  <c r="BI357" i="3"/>
  <c r="AO357" i="3"/>
  <c r="V357" i="3"/>
  <c r="BF357" i="3"/>
  <c r="AN357" i="3"/>
  <c r="U357" i="3"/>
  <c r="BD357" i="3"/>
  <c r="AK357" i="3"/>
  <c r="Q357" i="3"/>
  <c r="AZ357" i="3"/>
  <c r="AA357" i="3"/>
  <c r="AY357" i="3"/>
  <c r="Z357" i="3"/>
  <c r="AS357" i="3"/>
  <c r="N357" i="3"/>
  <c r="AP352" i="3"/>
  <c r="M357" i="3"/>
  <c r="BA357" i="3"/>
  <c r="BC360" i="3"/>
  <c r="AQ360" i="3"/>
  <c r="AE360" i="3"/>
  <c r="S360" i="3"/>
  <c r="BD360" i="3"/>
  <c r="AP360" i="3"/>
  <c r="AC360" i="3"/>
  <c r="P360" i="3"/>
  <c r="AY360" i="3"/>
  <c r="AL360" i="3"/>
  <c r="Y360" i="3"/>
  <c r="L360" i="3"/>
  <c r="AX360" i="3"/>
  <c r="AI360" i="3"/>
  <c r="T360" i="3"/>
  <c r="BI360" i="3"/>
  <c r="AT360" i="3"/>
  <c r="AD360" i="3"/>
  <c r="N360" i="3"/>
  <c r="AZ360" i="3"/>
  <c r="AG360" i="3"/>
  <c r="M360" i="3"/>
  <c r="AW360" i="3"/>
  <c r="AF360" i="3"/>
  <c r="K360" i="3"/>
  <c r="AV360" i="3"/>
  <c r="AB360" i="3"/>
  <c r="AS360" i="3"/>
  <c r="Z360" i="3"/>
  <c r="BH360" i="3"/>
  <c r="AJ360" i="3"/>
  <c r="BG360" i="3"/>
  <c r="AH360" i="3"/>
  <c r="BB360" i="3"/>
  <c r="W360" i="3"/>
  <c r="X331" i="3"/>
  <c r="AS331" i="3"/>
  <c r="AC334" i="3"/>
  <c r="BD334" i="3"/>
  <c r="BH344" i="3"/>
  <c r="BD344" i="3"/>
  <c r="BF344" i="3"/>
  <c r="AS344" i="3"/>
  <c r="AG344" i="3"/>
  <c r="U344" i="3"/>
  <c r="BA344" i="3"/>
  <c r="AO344" i="3"/>
  <c r="AC344" i="3"/>
  <c r="Q344" i="3"/>
  <c r="BG344" i="3"/>
  <c r="AQ344" i="3"/>
  <c r="AB344" i="3"/>
  <c r="N344" i="3"/>
  <c r="BE344" i="3"/>
  <c r="AP344" i="3"/>
  <c r="AA344" i="3"/>
  <c r="M344" i="3"/>
  <c r="BC344" i="3"/>
  <c r="AN344" i="3"/>
  <c r="Z344" i="3"/>
  <c r="L344" i="3"/>
  <c r="AZ344" i="3"/>
  <c r="AL344" i="3"/>
  <c r="X344" i="3"/>
  <c r="BB344" i="3"/>
  <c r="AH344" i="3"/>
  <c r="K344" i="3"/>
  <c r="AY344" i="3"/>
  <c r="AF344" i="3"/>
  <c r="J344" i="3"/>
  <c r="AV344" i="3"/>
  <c r="Y344" i="3"/>
  <c r="V342" i="3"/>
  <c r="BA342" i="3"/>
  <c r="BI358" i="3"/>
  <c r="AW358" i="3"/>
  <c r="AK358" i="3"/>
  <c r="Y358" i="3"/>
  <c r="M358" i="3"/>
  <c r="BA358" i="3"/>
  <c r="AN358" i="3"/>
  <c r="AA358" i="3"/>
  <c r="N358" i="3"/>
  <c r="AV358" i="3"/>
  <c r="AI358" i="3"/>
  <c r="V358" i="3"/>
  <c r="BF358" i="3"/>
  <c r="AQ358" i="3"/>
  <c r="AB358" i="3"/>
  <c r="K358" i="3"/>
  <c r="BB358" i="3"/>
  <c r="AL358" i="3"/>
  <c r="U358" i="3"/>
  <c r="BG358" i="3"/>
  <c r="AO358" i="3"/>
  <c r="T358" i="3"/>
  <c r="J358" i="3"/>
  <c r="BE358" i="3"/>
  <c r="AM358" i="3"/>
  <c r="S358" i="3"/>
  <c r="BD358" i="3"/>
  <c r="AJ358" i="3"/>
  <c r="R358" i="3"/>
  <c r="AZ358" i="3"/>
  <c r="AG358" i="3"/>
  <c r="P358" i="3"/>
  <c r="AX358" i="3"/>
  <c r="X358" i="3"/>
  <c r="AU358" i="3"/>
  <c r="W358" i="3"/>
  <c r="AR358" i="3"/>
  <c r="L358" i="3"/>
  <c r="AS352" i="3"/>
  <c r="O357" i="3"/>
  <c r="BE357" i="3"/>
  <c r="AF358" i="3"/>
  <c r="AR360" i="3"/>
  <c r="BE350" i="3"/>
  <c r="AS350" i="3"/>
  <c r="AG350" i="3"/>
  <c r="U350" i="3"/>
  <c r="AX350" i="3"/>
  <c r="AK350" i="3"/>
  <c r="X350" i="3"/>
  <c r="K350" i="3"/>
  <c r="BG350" i="3"/>
  <c r="AT350" i="3"/>
  <c r="AF350" i="3"/>
  <c r="S350" i="3"/>
  <c r="AY350" i="3"/>
  <c r="AI350" i="3"/>
  <c r="R350" i="3"/>
  <c r="J350" i="3"/>
  <c r="BI350" i="3"/>
  <c r="AR350" i="3"/>
  <c r="AC350" i="3"/>
  <c r="N350" i="3"/>
  <c r="BH350" i="3"/>
  <c r="AO350" i="3"/>
  <c r="W350" i="3"/>
  <c r="BF350" i="3"/>
  <c r="AN350" i="3"/>
  <c r="V350" i="3"/>
  <c r="BD350" i="3"/>
  <c r="AM350" i="3"/>
  <c r="T350" i="3"/>
  <c r="BB350" i="3"/>
  <c r="AJ350" i="3"/>
  <c r="P350" i="3"/>
  <c r="AQ350" i="3"/>
  <c r="M350" i="3"/>
  <c r="AP350" i="3"/>
  <c r="L350" i="3"/>
  <c r="AE350" i="3"/>
  <c r="AX329" i="3"/>
  <c r="AL329" i="3"/>
  <c r="Z329" i="3"/>
  <c r="N329" i="3"/>
  <c r="BF329" i="3"/>
  <c r="AT329" i="3"/>
  <c r="AH329" i="3"/>
  <c r="V329" i="3"/>
  <c r="AV329" i="3"/>
  <c r="AG329" i="3"/>
  <c r="S329" i="3"/>
  <c r="BI329" i="3"/>
  <c r="AU329" i="3"/>
  <c r="AF329" i="3"/>
  <c r="R329" i="3"/>
  <c r="BE329" i="3"/>
  <c r="AQ329" i="3"/>
  <c r="AC329" i="3"/>
  <c r="O329" i="3"/>
  <c r="BG329" i="3"/>
  <c r="AN329" i="3"/>
  <c r="U329" i="3"/>
  <c r="J329" i="3"/>
  <c r="BB347" i="3"/>
  <c r="AP347" i="3"/>
  <c r="AD347" i="3"/>
  <c r="R347" i="3"/>
  <c r="BE347" i="3"/>
  <c r="AR347" i="3"/>
  <c r="AE347" i="3"/>
  <c r="Q347" i="3"/>
  <c r="AZ347" i="3"/>
  <c r="AM347" i="3"/>
  <c r="Z347" i="3"/>
  <c r="M347" i="3"/>
  <c r="BC347" i="3"/>
  <c r="AL347" i="3"/>
  <c r="W347" i="3"/>
  <c r="AW347" i="3"/>
  <c r="AH347" i="3"/>
  <c r="S347" i="3"/>
  <c r="AV347" i="3"/>
  <c r="AC347" i="3"/>
  <c r="K347" i="3"/>
  <c r="AU347" i="3"/>
  <c r="AB347" i="3"/>
  <c r="AT347" i="3"/>
  <c r="AA347" i="3"/>
  <c r="BI347" i="3"/>
  <c r="AQ347" i="3"/>
  <c r="X347" i="3"/>
  <c r="AJ347" i="3"/>
  <c r="BH347" i="3"/>
  <c r="AI347" i="3"/>
  <c r="BD347" i="3"/>
  <c r="Y347" i="3"/>
  <c r="BI365" i="3"/>
  <c r="BH365" i="3"/>
  <c r="BG365" i="3"/>
  <c r="BF365" i="3"/>
  <c r="BE365" i="3"/>
  <c r="BD365" i="3"/>
  <c r="BC365" i="3"/>
  <c r="BB365" i="3"/>
  <c r="BA365" i="3"/>
  <c r="AZ365" i="3"/>
  <c r="AN365" i="3"/>
  <c r="AB365" i="3"/>
  <c r="P365" i="3"/>
  <c r="AY365" i="3"/>
  <c r="AX365" i="3"/>
  <c r="AW365" i="3"/>
  <c r="AJ365" i="3"/>
  <c r="W365" i="3"/>
  <c r="AV365" i="3"/>
  <c r="AS365" i="3"/>
  <c r="AF365" i="3"/>
  <c r="S365" i="3"/>
  <c r="AU365" i="3"/>
  <c r="AE365" i="3"/>
  <c r="O365" i="3"/>
  <c r="AT365" i="3"/>
  <c r="AD365" i="3"/>
  <c r="N365" i="3"/>
  <c r="AP365" i="3"/>
  <c r="Z365" i="3"/>
  <c r="K365" i="3"/>
  <c r="AR365" i="3"/>
  <c r="X365" i="3"/>
  <c r="AQ365" i="3"/>
  <c r="V365" i="3"/>
  <c r="AO365" i="3"/>
  <c r="U365" i="3"/>
  <c r="AL365" i="3"/>
  <c r="R365" i="3"/>
  <c r="AM365" i="3"/>
  <c r="AK365" i="3"/>
  <c r="AG365" i="3"/>
  <c r="X329" i="3"/>
  <c r="AR329" i="3"/>
  <c r="Y331" i="3"/>
  <c r="AV331" i="3"/>
  <c r="BF334" i="3"/>
  <c r="AE342" i="3"/>
  <c r="BC342" i="3"/>
  <c r="V347" i="3"/>
  <c r="BF363" i="3"/>
  <c r="AT363" i="3"/>
  <c r="AH363" i="3"/>
  <c r="V363" i="3"/>
  <c r="BH363" i="3"/>
  <c r="AU363" i="3"/>
  <c r="AG363" i="3"/>
  <c r="T363" i="3"/>
  <c r="BC363" i="3"/>
  <c r="AP363" i="3"/>
  <c r="AC363" i="3"/>
  <c r="P363" i="3"/>
  <c r="BB363" i="3"/>
  <c r="AM363" i="3"/>
  <c r="X363" i="3"/>
  <c r="BA363" i="3"/>
  <c r="AL363" i="3"/>
  <c r="W363" i="3"/>
  <c r="AX363" i="3"/>
  <c r="AI363" i="3"/>
  <c r="R363" i="3"/>
  <c r="AQ363" i="3"/>
  <c r="U363" i="3"/>
  <c r="AO363" i="3"/>
  <c r="S363" i="3"/>
  <c r="BI363" i="3"/>
  <c r="AN363" i="3"/>
  <c r="Q363" i="3"/>
  <c r="BE363" i="3"/>
  <c r="AJ363" i="3"/>
  <c r="N363" i="3"/>
  <c r="AW363" i="3"/>
  <c r="O363" i="3"/>
  <c r="AV363" i="3"/>
  <c r="M363" i="3"/>
  <c r="AK363" i="3"/>
  <c r="AL350" i="3"/>
  <c r="AU352" i="3"/>
  <c r="S357" i="3"/>
  <c r="AH358" i="3"/>
  <c r="O360" i="3"/>
  <c r="AU360" i="3"/>
  <c r="BD327" i="3"/>
  <c r="AR327" i="3"/>
  <c r="AF327" i="3"/>
  <c r="T327" i="3"/>
  <c r="AZ327" i="3"/>
  <c r="AN327" i="3"/>
  <c r="AB327" i="3"/>
  <c r="P327" i="3"/>
  <c r="AW327" i="3"/>
  <c r="AI327" i="3"/>
  <c r="U327" i="3"/>
  <c r="AV327" i="3"/>
  <c r="AH327" i="3"/>
  <c r="S327" i="3"/>
  <c r="BG327" i="3"/>
  <c r="AS327" i="3"/>
  <c r="AD327" i="3"/>
  <c r="O327" i="3"/>
  <c r="AT327" i="3"/>
  <c r="Z327" i="3"/>
  <c r="AP327" i="3"/>
  <c r="Y329" i="3"/>
  <c r="AS329" i="3"/>
  <c r="AW331" i="3"/>
  <c r="AG334" i="3"/>
  <c r="BG334" i="3"/>
  <c r="BH342" i="3"/>
  <c r="P344" i="3"/>
  <c r="AR344" i="3"/>
  <c r="AF347" i="3"/>
  <c r="J352" i="3"/>
  <c r="AU350" i="3"/>
  <c r="Q352" i="3"/>
  <c r="BE352" i="3"/>
  <c r="AB357" i="3"/>
  <c r="J360" i="3"/>
  <c r="AP358" i="3"/>
  <c r="Q360" i="3"/>
  <c r="BA360" i="3"/>
  <c r="L365" i="3"/>
  <c r="BE345" i="3"/>
  <c r="AS345" i="3"/>
  <c r="AG345" i="3"/>
  <c r="U345" i="3"/>
  <c r="BA345" i="3"/>
  <c r="AO345" i="3"/>
  <c r="AC345" i="3"/>
  <c r="Q345" i="3"/>
  <c r="AX345" i="3"/>
  <c r="AJ345" i="3"/>
  <c r="V345" i="3"/>
  <c r="BH345" i="3"/>
  <c r="AT345" i="3"/>
  <c r="AE345" i="3"/>
  <c r="P345" i="3"/>
  <c r="BG345" i="3"/>
  <c r="AP345" i="3"/>
  <c r="Y345" i="3"/>
  <c r="BF345" i="3"/>
  <c r="AN345" i="3"/>
  <c r="X345" i="3"/>
  <c r="BD345" i="3"/>
  <c r="AM345" i="3"/>
  <c r="W345" i="3"/>
  <c r="BB345" i="3"/>
  <c r="AK345" i="3"/>
  <c r="S345" i="3"/>
  <c r="BC345" i="3"/>
  <c r="AD345" i="3"/>
  <c r="J345" i="3"/>
  <c r="AZ345" i="3"/>
  <c r="AB345" i="3"/>
  <c r="AV345" i="3"/>
  <c r="T345" i="3"/>
  <c r="BA328" i="3"/>
  <c r="AO328" i="3"/>
  <c r="AC328" i="3"/>
  <c r="Q328" i="3"/>
  <c r="BI328" i="3"/>
  <c r="AW328" i="3"/>
  <c r="AK328" i="3"/>
  <c r="Y328" i="3"/>
  <c r="M328" i="3"/>
  <c r="BD328" i="3"/>
  <c r="AP328" i="3"/>
  <c r="AA328" i="3"/>
  <c r="L328" i="3"/>
  <c r="BC328" i="3"/>
  <c r="AN328" i="3"/>
  <c r="Z328" i="3"/>
  <c r="K328" i="3"/>
  <c r="AY328" i="3"/>
  <c r="AJ328" i="3"/>
  <c r="V328" i="3"/>
  <c r="AZ328" i="3"/>
  <c r="AG328" i="3"/>
  <c r="O328" i="3"/>
  <c r="X327" i="3"/>
  <c r="AQ327" i="3"/>
  <c r="P328" i="3"/>
  <c r="AI328" i="3"/>
  <c r="BF328" i="3"/>
  <c r="AA329" i="3"/>
  <c r="AW329" i="3"/>
  <c r="AC331" i="3"/>
  <c r="K334" i="3"/>
  <c r="AL334" i="3"/>
  <c r="AG342" i="3"/>
  <c r="BI342" i="3"/>
  <c r="R344" i="3"/>
  <c r="AT344" i="3"/>
  <c r="AA345" i="3"/>
  <c r="AG347" i="3"/>
  <c r="AV350" i="3"/>
  <c r="S352" i="3"/>
  <c r="BG352" i="3"/>
  <c r="AD357" i="3"/>
  <c r="AS358" i="3"/>
  <c r="R360" i="3"/>
  <c r="BE360" i="3"/>
  <c r="M365" i="3"/>
  <c r="BA332" i="3"/>
  <c r="AO332" i="3"/>
  <c r="AC332" i="3"/>
  <c r="Q332" i="3"/>
  <c r="BI332" i="3"/>
  <c r="AW332" i="3"/>
  <c r="AK332" i="3"/>
  <c r="Y332" i="3"/>
  <c r="M332" i="3"/>
  <c r="BB332" i="3"/>
  <c r="AM332" i="3"/>
  <c r="X332" i="3"/>
  <c r="AZ332" i="3"/>
  <c r="AL332" i="3"/>
  <c r="W332" i="3"/>
  <c r="AV332" i="3"/>
  <c r="AH332" i="3"/>
  <c r="T332" i="3"/>
  <c r="BG332" i="3"/>
  <c r="AP332" i="3"/>
  <c r="U332" i="3"/>
  <c r="Y327" i="3"/>
  <c r="R328" i="3"/>
  <c r="AL328" i="3"/>
  <c r="BG328" i="3"/>
  <c r="AB329" i="3"/>
  <c r="AD331" i="3"/>
  <c r="AY331" i="3"/>
  <c r="V332" i="3"/>
  <c r="AR332" i="3"/>
  <c r="L334" i="3"/>
  <c r="AN334" i="3"/>
  <c r="AH342" i="3"/>
  <c r="BF359" i="3"/>
  <c r="AT359" i="3"/>
  <c r="AH359" i="3"/>
  <c r="V359" i="3"/>
  <c r="BB359" i="3"/>
  <c r="AO359" i="3"/>
  <c r="AB359" i="3"/>
  <c r="O359" i="3"/>
  <c r="AX359" i="3"/>
  <c r="AK359" i="3"/>
  <c r="X359" i="3"/>
  <c r="K359" i="3"/>
  <c r="BC359" i="3"/>
  <c r="AM359" i="3"/>
  <c r="W359" i="3"/>
  <c r="AW359" i="3"/>
  <c r="AG359" i="3"/>
  <c r="R359" i="3"/>
  <c r="AS359" i="3"/>
  <c r="AA359" i="3"/>
  <c r="AR359" i="3"/>
  <c r="Z359" i="3"/>
  <c r="BI359" i="3"/>
  <c r="AQ359" i="3"/>
  <c r="Y359" i="3"/>
  <c r="BG359" i="3"/>
  <c r="AN359" i="3"/>
  <c r="T359" i="3"/>
  <c r="BD359" i="3"/>
  <c r="AD359" i="3"/>
  <c r="BA359" i="3"/>
  <c r="AC359" i="3"/>
  <c r="AV359" i="3"/>
  <c r="Q359" i="3"/>
  <c r="BC338" i="3"/>
  <c r="AQ338" i="3"/>
  <c r="AE338" i="3"/>
  <c r="S338" i="3"/>
  <c r="J338" i="3"/>
  <c r="AY338" i="3"/>
  <c r="AM338" i="3"/>
  <c r="AA338" i="3"/>
  <c r="O338" i="3"/>
  <c r="AV338" i="3"/>
  <c r="AH338" i="3"/>
  <c r="T338" i="3"/>
  <c r="BI338" i="3"/>
  <c r="AU338" i="3"/>
  <c r="AG338" i="3"/>
  <c r="R338" i="3"/>
  <c r="BH338" i="3"/>
  <c r="AT338" i="3"/>
  <c r="AF338" i="3"/>
  <c r="Q338" i="3"/>
  <c r="BF338" i="3"/>
  <c r="AR338" i="3"/>
  <c r="AC338" i="3"/>
  <c r="N338" i="3"/>
  <c r="BA338" i="3"/>
  <c r="AD338" i="3"/>
  <c r="AW338" i="3"/>
  <c r="Y338" i="3"/>
  <c r="J327" i="3"/>
  <c r="K327" i="3"/>
  <c r="AE327" i="3"/>
  <c r="BA327" i="3"/>
  <c r="U328" i="3"/>
  <c r="AR328" i="3"/>
  <c r="L329" i="3"/>
  <c r="AI329" i="3"/>
  <c r="BB329" i="3"/>
  <c r="O331" i="3"/>
  <c r="AK331" i="3"/>
  <c r="AB332" i="3"/>
  <c r="AU332" i="3"/>
  <c r="S333" i="3"/>
  <c r="AN333" i="3"/>
  <c r="BI336" i="3"/>
  <c r="AW336" i="3"/>
  <c r="AK336" i="3"/>
  <c r="Y336" i="3"/>
  <c r="M336" i="3"/>
  <c r="BE336" i="3"/>
  <c r="AS336" i="3"/>
  <c r="AG336" i="3"/>
  <c r="U336" i="3"/>
  <c r="AX336" i="3"/>
  <c r="AI336" i="3"/>
  <c r="T336" i="3"/>
  <c r="AV336" i="3"/>
  <c r="AH336" i="3"/>
  <c r="S336" i="3"/>
  <c r="AU336" i="3"/>
  <c r="AF336" i="3"/>
  <c r="R336" i="3"/>
  <c r="BG336" i="3"/>
  <c r="AR336" i="3"/>
  <c r="AD336" i="3"/>
  <c r="P336" i="3"/>
  <c r="AT336" i="3"/>
  <c r="Z336" i="3"/>
  <c r="AO336" i="3"/>
  <c r="V336" i="3"/>
  <c r="W334" i="3"/>
  <c r="AS334" i="3"/>
  <c r="W336" i="3"/>
  <c r="AY336" i="3"/>
  <c r="W338" i="3"/>
  <c r="AX338" i="3"/>
  <c r="L342" i="3"/>
  <c r="AL342" i="3"/>
  <c r="W343" i="3"/>
  <c r="AU343" i="3"/>
  <c r="W344" i="3"/>
  <c r="BI344" i="3"/>
  <c r="AL345" i="3"/>
  <c r="L347" i="3"/>
  <c r="AS347" i="3"/>
  <c r="Y350" i="3"/>
  <c r="BC350" i="3"/>
  <c r="AH352" i="3"/>
  <c r="M356" i="3"/>
  <c r="BE356" i="3"/>
  <c r="AL357" i="3"/>
  <c r="Q358" i="3"/>
  <c r="BH358" i="3"/>
  <c r="AP359" i="3"/>
  <c r="AA360" i="3"/>
  <c r="AS363" i="3"/>
  <c r="AA365" i="3"/>
  <c r="BE346" i="3"/>
  <c r="AS346" i="3"/>
  <c r="BC346" i="3"/>
  <c r="AP346" i="3"/>
  <c r="AD346" i="3"/>
  <c r="R346" i="3"/>
  <c r="AY346" i="3"/>
  <c r="AL346" i="3"/>
  <c r="Z346" i="3"/>
  <c r="N346" i="3"/>
  <c r="BG346" i="3"/>
  <c r="AQ346" i="3"/>
  <c r="AB346" i="3"/>
  <c r="M346" i="3"/>
  <c r="BA346" i="3"/>
  <c r="AK346" i="3"/>
  <c r="W346" i="3"/>
  <c r="AR346" i="3"/>
  <c r="Y346" i="3"/>
  <c r="BI346" i="3"/>
  <c r="AO346" i="3"/>
  <c r="X346" i="3"/>
  <c r="BH346" i="3"/>
  <c r="AN346" i="3"/>
  <c r="V346" i="3"/>
  <c r="BD346" i="3"/>
  <c r="AJ346" i="3"/>
  <c r="T346" i="3"/>
  <c r="BF346" i="3"/>
  <c r="AF346" i="3"/>
  <c r="BB346" i="3"/>
  <c r="AE346" i="3"/>
  <c r="AW346" i="3"/>
  <c r="U346" i="3"/>
  <c r="BC364" i="3"/>
  <c r="AQ364" i="3"/>
  <c r="AE364" i="3"/>
  <c r="S364" i="3"/>
  <c r="BI364" i="3"/>
  <c r="AV364" i="3"/>
  <c r="AI364" i="3"/>
  <c r="V364" i="3"/>
  <c r="BE364" i="3"/>
  <c r="AR364" i="3"/>
  <c r="AD364" i="3"/>
  <c r="Q364" i="3"/>
  <c r="J364" i="3"/>
  <c r="AY364" i="3"/>
  <c r="AJ364" i="3"/>
  <c r="T364" i="3"/>
  <c r="AX364" i="3"/>
  <c r="AH364" i="3"/>
  <c r="R364" i="3"/>
  <c r="AT364" i="3"/>
  <c r="AC364" i="3"/>
  <c r="N364" i="3"/>
  <c r="BB364" i="3"/>
  <c r="AG364" i="3"/>
  <c r="L364" i="3"/>
  <c r="BA364" i="3"/>
  <c r="AF364" i="3"/>
  <c r="K364" i="3"/>
  <c r="AZ364" i="3"/>
  <c r="AB364" i="3"/>
  <c r="AU364" i="3"/>
  <c r="Z364" i="3"/>
  <c r="BH364" i="3"/>
  <c r="AA364" i="3"/>
  <c r="BG364" i="3"/>
  <c r="Y364" i="3"/>
  <c r="AW364" i="3"/>
  <c r="U364" i="3"/>
  <c r="J328" i="3"/>
  <c r="L327" i="3"/>
  <c r="AG327" i="3"/>
  <c r="BB327" i="3"/>
  <c r="W328" i="3"/>
  <c r="AS328" i="3"/>
  <c r="AJ329" i="3"/>
  <c r="BC329" i="3"/>
  <c r="S331" i="3"/>
  <c r="AL331" i="3"/>
  <c r="AD332" i="3"/>
  <c r="AX332" i="3"/>
  <c r="T333" i="3"/>
  <c r="AQ333" i="3"/>
  <c r="BF337" i="3"/>
  <c r="AT337" i="3"/>
  <c r="AH337" i="3"/>
  <c r="V337" i="3"/>
  <c r="BB337" i="3"/>
  <c r="AP337" i="3"/>
  <c r="AD337" i="3"/>
  <c r="R337" i="3"/>
  <c r="BD337" i="3"/>
  <c r="AO337" i="3"/>
  <c r="AA337" i="3"/>
  <c r="M337" i="3"/>
  <c r="BC337" i="3"/>
  <c r="AN337" i="3"/>
  <c r="Z337" i="3"/>
  <c r="L337" i="3"/>
  <c r="J337" i="3"/>
  <c r="BA337" i="3"/>
  <c r="AM337" i="3"/>
  <c r="Y337" i="3"/>
  <c r="K337" i="3"/>
  <c r="AY337" i="3"/>
  <c r="AK337" i="3"/>
  <c r="W337" i="3"/>
  <c r="BI337" i="3"/>
  <c r="AL337" i="3"/>
  <c r="Q337" i="3"/>
  <c r="BE337" i="3"/>
  <c r="AG337" i="3"/>
  <c r="N337" i="3"/>
  <c r="AU334" i="3"/>
  <c r="X336" i="3"/>
  <c r="AZ336" i="3"/>
  <c r="X337" i="3"/>
  <c r="X338" i="3"/>
  <c r="AZ338" i="3"/>
  <c r="Q342" i="3"/>
  <c r="AS342" i="3"/>
  <c r="AZ343" i="3"/>
  <c r="AD344" i="3"/>
  <c r="K345" i="3"/>
  <c r="AQ345" i="3"/>
  <c r="AA346" i="3"/>
  <c r="AX347" i="3"/>
  <c r="Z350" i="3"/>
  <c r="AJ352" i="3"/>
  <c r="AN364" i="3"/>
  <c r="J331" i="3"/>
  <c r="M327" i="3"/>
  <c r="AJ327" i="3"/>
  <c r="BC327" i="3"/>
  <c r="X328" i="3"/>
  <c r="AT328" i="3"/>
  <c r="P329" i="3"/>
  <c r="AK329" i="3"/>
  <c r="BD329" i="3"/>
  <c r="AC330" i="3"/>
  <c r="AW330" i="3"/>
  <c r="U331" i="3"/>
  <c r="AM331" i="3"/>
  <c r="K332" i="3"/>
  <c r="AE332" i="3"/>
  <c r="AY332" i="3"/>
  <c r="AU333" i="3"/>
  <c r="Y334" i="3"/>
  <c r="AZ334" i="3"/>
  <c r="AA336" i="3"/>
  <c r="BA336" i="3"/>
  <c r="AB337" i="3"/>
  <c r="AX337" i="3"/>
  <c r="Z338" i="3"/>
  <c r="BB338" i="3"/>
  <c r="R342" i="3"/>
  <c r="AT342" i="3"/>
  <c r="Z343" i="3"/>
  <c r="BA343" i="3"/>
  <c r="AE344" i="3"/>
  <c r="L345" i="3"/>
  <c r="AR345" i="3"/>
  <c r="AC346" i="3"/>
  <c r="O347" i="3"/>
  <c r="AA350" i="3"/>
  <c r="N351" i="3"/>
  <c r="AL352" i="3"/>
  <c r="Z353" i="3"/>
  <c r="X356" i="3"/>
  <c r="BI356" i="3"/>
  <c r="AC358" i="3"/>
  <c r="AO364" i="3"/>
  <c r="BG326" i="3"/>
  <c r="AU326" i="3"/>
  <c r="AI326" i="3"/>
  <c r="W326" i="3"/>
  <c r="K326" i="3"/>
  <c r="BC326" i="3"/>
  <c r="AQ326" i="3"/>
  <c r="AE326" i="3"/>
  <c r="S326" i="3"/>
  <c r="BE326" i="3"/>
  <c r="AP326" i="3"/>
  <c r="AB326" i="3"/>
  <c r="N326" i="3"/>
  <c r="BD326" i="3"/>
  <c r="AO326" i="3"/>
  <c r="AA326" i="3"/>
  <c r="M326" i="3"/>
  <c r="BH326" i="3"/>
  <c r="AN326" i="3"/>
  <c r="X326" i="3"/>
  <c r="BI362" i="3"/>
  <c r="AW362" i="3"/>
  <c r="AK362" i="3"/>
  <c r="Y362" i="3"/>
  <c r="M362" i="3"/>
  <c r="BF362" i="3"/>
  <c r="AS362" i="3"/>
  <c r="AF362" i="3"/>
  <c r="S362" i="3"/>
  <c r="BB362" i="3"/>
  <c r="AO362" i="3"/>
  <c r="AB362" i="3"/>
  <c r="O362" i="3"/>
  <c r="BG362" i="3"/>
  <c r="AQ362" i="3"/>
  <c r="AA362" i="3"/>
  <c r="K362" i="3"/>
  <c r="BE362" i="3"/>
  <c r="AP362" i="3"/>
  <c r="Z362" i="3"/>
  <c r="BA362" i="3"/>
  <c r="AL362" i="3"/>
  <c r="V362" i="3"/>
  <c r="AY362" i="3"/>
  <c r="AE362" i="3"/>
  <c r="AX362" i="3"/>
  <c r="AD362" i="3"/>
  <c r="AV362" i="3"/>
  <c r="AC362" i="3"/>
  <c r="AT362" i="3"/>
  <c r="W362" i="3"/>
  <c r="AJ362" i="3"/>
  <c r="AI362" i="3"/>
  <c r="BH362" i="3"/>
  <c r="X362" i="3"/>
  <c r="BF341" i="3"/>
  <c r="AT341" i="3"/>
  <c r="AH341" i="3"/>
  <c r="V341" i="3"/>
  <c r="BB341" i="3"/>
  <c r="AP341" i="3"/>
  <c r="AD341" i="3"/>
  <c r="R341" i="3"/>
  <c r="BA341" i="3"/>
  <c r="AM341" i="3"/>
  <c r="Y341" i="3"/>
  <c r="K341" i="3"/>
  <c r="AZ341" i="3"/>
  <c r="AL341" i="3"/>
  <c r="X341" i="3"/>
  <c r="AY341" i="3"/>
  <c r="AK341" i="3"/>
  <c r="W341" i="3"/>
  <c r="AW341" i="3"/>
  <c r="AI341" i="3"/>
  <c r="T341" i="3"/>
  <c r="BC341" i="3"/>
  <c r="AE341" i="3"/>
  <c r="AX341" i="3"/>
  <c r="AC341" i="3"/>
  <c r="AS341" i="3"/>
  <c r="Z341" i="3"/>
  <c r="J332" i="3"/>
  <c r="AC326" i="3"/>
  <c r="AV326" i="3"/>
  <c r="N327" i="3"/>
  <c r="AK327" i="3"/>
  <c r="BE327" i="3"/>
  <c r="AB328" i="3"/>
  <c r="AU328" i="3"/>
  <c r="Q329" i="3"/>
  <c r="AM329" i="3"/>
  <c r="BH329" i="3"/>
  <c r="AD330" i="3"/>
  <c r="AY330" i="3"/>
  <c r="V331" i="3"/>
  <c r="AO331" i="3"/>
  <c r="L332" i="3"/>
  <c r="AF332" i="3"/>
  <c r="BC332" i="3"/>
  <c r="X333" i="3"/>
  <c r="AW333" i="3"/>
  <c r="BI340" i="3"/>
  <c r="AW340" i="3"/>
  <c r="AK340" i="3"/>
  <c r="Y340" i="3"/>
  <c r="M340" i="3"/>
  <c r="BE340" i="3"/>
  <c r="AS340" i="3"/>
  <c r="AG340" i="3"/>
  <c r="U340" i="3"/>
  <c r="AU340" i="3"/>
  <c r="AF340" i="3"/>
  <c r="R340" i="3"/>
  <c r="BH340" i="3"/>
  <c r="AT340" i="3"/>
  <c r="AE340" i="3"/>
  <c r="Q340" i="3"/>
  <c r="BG340" i="3"/>
  <c r="AR340" i="3"/>
  <c r="AD340" i="3"/>
  <c r="P340" i="3"/>
  <c r="BD340" i="3"/>
  <c r="AP340" i="3"/>
  <c r="AB340" i="3"/>
  <c r="N340" i="3"/>
  <c r="BF340" i="3"/>
  <c r="AL340" i="3"/>
  <c r="O340" i="3"/>
  <c r="BA340" i="3"/>
  <c r="AH340" i="3"/>
  <c r="Z334" i="3"/>
  <c r="BA334" i="3"/>
  <c r="AB336" i="3"/>
  <c r="BB336" i="3"/>
  <c r="AC337" i="3"/>
  <c r="AZ337" i="3"/>
  <c r="AB338" i="3"/>
  <c r="BD338" i="3"/>
  <c r="AC340" i="3"/>
  <c r="BC340" i="3"/>
  <c r="AG341" i="3"/>
  <c r="BI341" i="3"/>
  <c r="S342" i="3"/>
  <c r="AX342" i="3"/>
  <c r="AA343" i="3"/>
  <c r="BB343" i="3"/>
  <c r="AI344" i="3"/>
  <c r="M345" i="3"/>
  <c r="AU345" i="3"/>
  <c r="AG346" i="3"/>
  <c r="P347" i="3"/>
  <c r="BA347" i="3"/>
  <c r="BB355" i="3"/>
  <c r="AP355" i="3"/>
  <c r="AD355" i="3"/>
  <c r="R355" i="3"/>
  <c r="BE355" i="3"/>
  <c r="AR355" i="3"/>
  <c r="AE355" i="3"/>
  <c r="Q355" i="3"/>
  <c r="AZ355" i="3"/>
  <c r="AM355" i="3"/>
  <c r="Z355" i="3"/>
  <c r="M355" i="3"/>
  <c r="AU355" i="3"/>
  <c r="AF355" i="3"/>
  <c r="O355" i="3"/>
  <c r="BF355" i="3"/>
  <c r="AO355" i="3"/>
  <c r="Y355" i="3"/>
  <c r="AX355" i="3"/>
  <c r="AG355" i="3"/>
  <c r="L355" i="3"/>
  <c r="AW355" i="3"/>
  <c r="AC355" i="3"/>
  <c r="K355" i="3"/>
  <c r="AV355" i="3"/>
  <c r="AB355" i="3"/>
  <c r="AS355" i="3"/>
  <c r="X355" i="3"/>
  <c r="AN355" i="3"/>
  <c r="P355" i="3"/>
  <c r="AL355" i="3"/>
  <c r="N355" i="3"/>
  <c r="BH355" i="3"/>
  <c r="AI355" i="3"/>
  <c r="AB350" i="3"/>
  <c r="P351" i="3"/>
  <c r="BC351" i="3"/>
  <c r="AO352" i="3"/>
  <c r="AA353" i="3"/>
  <c r="AK355" i="3"/>
  <c r="Y356" i="3"/>
  <c r="K357" i="3"/>
  <c r="AW357" i="3"/>
  <c r="AD358" i="3"/>
  <c r="N359" i="3"/>
  <c r="AZ359" i="3"/>
  <c r="AN360" i="3"/>
  <c r="T362" i="3"/>
  <c r="L363" i="3"/>
  <c r="BD363" i="3"/>
  <c r="AP364" i="3"/>
  <c r="AI365" i="3"/>
  <c r="AZ335" i="3"/>
  <c r="AN335" i="3"/>
  <c r="AB335" i="3"/>
  <c r="P335" i="3"/>
  <c r="BH335" i="3"/>
  <c r="AV335" i="3"/>
  <c r="AJ335" i="3"/>
  <c r="X335" i="3"/>
  <c r="L335" i="3"/>
  <c r="BE335" i="3"/>
  <c r="AQ335" i="3"/>
  <c r="AC335" i="3"/>
  <c r="N335" i="3"/>
  <c r="BD335" i="3"/>
  <c r="AP335" i="3"/>
  <c r="AA335" i="3"/>
  <c r="M335" i="3"/>
  <c r="BC335" i="3"/>
  <c r="AO335" i="3"/>
  <c r="Z335" i="3"/>
  <c r="K335" i="3"/>
  <c r="BA335" i="3"/>
  <c r="AL335" i="3"/>
  <c r="W335" i="3"/>
  <c r="AD335" i="3"/>
  <c r="AW335" i="3"/>
  <c r="AG335" i="3"/>
  <c r="BB335" i="3"/>
  <c r="AC348" i="3"/>
  <c r="L361" i="3"/>
  <c r="AH361" i="3"/>
  <c r="AZ361" i="3"/>
  <c r="AN361" i="3"/>
  <c r="AB361" i="3"/>
  <c r="P361" i="3"/>
  <c r="BE361" i="3"/>
  <c r="AR361" i="3"/>
  <c r="AE361" i="3"/>
  <c r="R361" i="3"/>
  <c r="BA361" i="3"/>
  <c r="AM361" i="3"/>
  <c r="Z361" i="3"/>
  <c r="M361" i="3"/>
  <c r="AU361" i="3"/>
  <c r="AF361" i="3"/>
  <c r="O361" i="3"/>
  <c r="BI361" i="3"/>
  <c r="AT361" i="3"/>
  <c r="AD361" i="3"/>
  <c r="BF361" i="3"/>
  <c r="AP361" i="3"/>
  <c r="Y361" i="3"/>
  <c r="J361" i="3"/>
  <c r="AY348" i="3"/>
  <c r="AM348" i="3"/>
  <c r="AA348" i="3"/>
  <c r="O348" i="3"/>
  <c r="BF348" i="3"/>
  <c r="AS348" i="3"/>
  <c r="AF348" i="3"/>
  <c r="S348" i="3"/>
  <c r="BB348" i="3"/>
  <c r="AO348" i="3"/>
  <c r="AB348" i="3"/>
  <c r="N348" i="3"/>
  <c r="AX348" i="3"/>
  <c r="AI348" i="3"/>
  <c r="T348" i="3"/>
  <c r="BI348" i="3"/>
  <c r="AT348" i="3"/>
  <c r="AD348" i="3"/>
  <c r="M348" i="3"/>
  <c r="Q348" i="3"/>
  <c r="AJ348" i="3"/>
  <c r="BC348" i="3"/>
  <c r="T361" i="3"/>
  <c r="AL361" i="3"/>
  <c r="BH361" i="3"/>
  <c r="D184" i="3"/>
  <c r="E184" i="3" s="1"/>
  <c r="F184" i="3" s="1"/>
  <c r="G184" i="3" s="1"/>
  <c r="H184" i="3" s="1"/>
  <c r="I184" i="3" s="1"/>
  <c r="J184" i="3" s="1"/>
  <c r="K184" i="3" s="1"/>
  <c r="L184" i="3" s="1"/>
  <c r="M184" i="3" s="1"/>
  <c r="N184" i="3" s="1"/>
  <c r="O184" i="3" s="1"/>
  <c r="P184" i="3" s="1"/>
  <c r="Q184" i="3" s="1"/>
  <c r="R184" i="3" s="1"/>
  <c r="S184" i="3" s="1"/>
  <c r="T184" i="3" s="1"/>
  <c r="U184" i="3" s="1"/>
  <c r="V184" i="3" s="1"/>
  <c r="W184" i="3" s="1"/>
  <c r="X184" i="3" s="1"/>
  <c r="Y184" i="3" s="1"/>
  <c r="Z184" i="3" s="1"/>
  <c r="AA184" i="3" s="1"/>
  <c r="AB184" i="3" s="1"/>
  <c r="AC184" i="3" s="1"/>
  <c r="AD184" i="3" s="1"/>
  <c r="AE184" i="3" s="1"/>
  <c r="AF184" i="3" s="1"/>
  <c r="AG184" i="3" s="1"/>
  <c r="AH184" i="3" s="1"/>
  <c r="AI184" i="3" s="1"/>
  <c r="AJ184" i="3" s="1"/>
  <c r="AK184" i="3" s="1"/>
  <c r="AL184" i="3" s="1"/>
  <c r="AM184" i="3" s="1"/>
  <c r="AN184" i="3" s="1"/>
  <c r="AO184" i="3" s="1"/>
  <c r="AP184" i="3" s="1"/>
  <c r="AQ184" i="3" s="1"/>
  <c r="AR184" i="3" s="1"/>
  <c r="AS184" i="3" s="1"/>
  <c r="AT184" i="3" s="1"/>
  <c r="AU184" i="3" s="1"/>
  <c r="AV184" i="3" s="1"/>
  <c r="AW184" i="3" s="1"/>
  <c r="AX184" i="3" s="1"/>
  <c r="AY184" i="3" s="1"/>
  <c r="AZ184" i="3" s="1"/>
  <c r="BA184" i="3" s="1"/>
  <c r="BB184" i="3" s="1"/>
  <c r="D191" i="3"/>
  <c r="E191" i="3" s="1"/>
  <c r="F191" i="3" s="1"/>
  <c r="G191" i="3" s="1"/>
  <c r="H191" i="3" s="1"/>
  <c r="I191" i="3" s="1"/>
  <c r="J191" i="3" s="1"/>
  <c r="K191" i="3" s="1"/>
  <c r="L191" i="3" s="1"/>
  <c r="M191" i="3" s="1"/>
  <c r="N191" i="3" s="1"/>
  <c r="O191" i="3" s="1"/>
  <c r="P191" i="3" s="1"/>
  <c r="Q191" i="3" s="1"/>
  <c r="R191" i="3" s="1"/>
  <c r="S191" i="3" s="1"/>
  <c r="T191" i="3" s="1"/>
  <c r="U191" i="3" s="1"/>
  <c r="V191" i="3" s="1"/>
  <c r="W191" i="3" s="1"/>
  <c r="X191" i="3" s="1"/>
  <c r="Y191" i="3" s="1"/>
  <c r="Z191" i="3" s="1"/>
  <c r="AA191" i="3" s="1"/>
  <c r="AB191" i="3" s="1"/>
  <c r="AC191" i="3" s="1"/>
  <c r="AD191" i="3" s="1"/>
  <c r="AE191" i="3" s="1"/>
  <c r="AF191" i="3" s="1"/>
  <c r="AG191" i="3" s="1"/>
  <c r="AH191" i="3" s="1"/>
  <c r="AI191" i="3" s="1"/>
  <c r="AJ191" i="3" s="1"/>
  <c r="AK191" i="3" s="1"/>
  <c r="AL191" i="3" s="1"/>
  <c r="AM191" i="3" s="1"/>
  <c r="AN191" i="3" s="1"/>
  <c r="AO191" i="3" s="1"/>
  <c r="AP191" i="3" s="1"/>
  <c r="AQ191" i="3" s="1"/>
  <c r="AR191" i="3" s="1"/>
  <c r="AS191" i="3" s="1"/>
  <c r="AT191" i="3" s="1"/>
  <c r="AU191" i="3" s="1"/>
  <c r="AV191" i="3" s="1"/>
  <c r="AW191" i="3" s="1"/>
  <c r="AX191" i="3" s="1"/>
  <c r="AY191" i="3" s="1"/>
  <c r="AZ191" i="3" s="1"/>
  <c r="BA191" i="3" s="1"/>
  <c r="BB191" i="3" s="1"/>
  <c r="D198" i="3"/>
  <c r="E198" i="3" s="1"/>
  <c r="F198" i="3" s="1"/>
  <c r="G198" i="3" s="1"/>
  <c r="H198" i="3" s="1"/>
  <c r="I198" i="3" s="1"/>
  <c r="J198" i="3" s="1"/>
  <c r="K198" i="3" s="1"/>
  <c r="L198" i="3" s="1"/>
  <c r="M198" i="3" s="1"/>
  <c r="N198" i="3" s="1"/>
  <c r="O198" i="3" s="1"/>
  <c r="P198" i="3" s="1"/>
  <c r="Q198" i="3" s="1"/>
  <c r="R198" i="3" s="1"/>
  <c r="S198" i="3" s="1"/>
  <c r="T198" i="3" s="1"/>
  <c r="U198" i="3" s="1"/>
  <c r="V198" i="3" s="1"/>
  <c r="W198" i="3" s="1"/>
  <c r="X198" i="3" s="1"/>
  <c r="Y198" i="3" s="1"/>
  <c r="Z198" i="3" s="1"/>
  <c r="AA198" i="3" s="1"/>
  <c r="AB198" i="3" s="1"/>
  <c r="AC198" i="3" s="1"/>
  <c r="AD198" i="3" s="1"/>
  <c r="AE198" i="3" s="1"/>
  <c r="AF198" i="3" s="1"/>
  <c r="AG198" i="3" s="1"/>
  <c r="AH198" i="3" s="1"/>
  <c r="AI198" i="3" s="1"/>
  <c r="AJ198" i="3" s="1"/>
  <c r="AK198" i="3" s="1"/>
  <c r="AL198" i="3" s="1"/>
  <c r="AM198" i="3" s="1"/>
  <c r="AN198" i="3" s="1"/>
  <c r="AO198" i="3" s="1"/>
  <c r="AP198" i="3" s="1"/>
  <c r="AQ198" i="3" s="1"/>
  <c r="AR198" i="3" s="1"/>
  <c r="AS198" i="3" s="1"/>
  <c r="AT198" i="3" s="1"/>
  <c r="AU198" i="3" s="1"/>
  <c r="AV198" i="3" s="1"/>
  <c r="AW198" i="3" s="1"/>
  <c r="AX198" i="3" s="1"/>
  <c r="AY198" i="3" s="1"/>
  <c r="AZ198" i="3" s="1"/>
  <c r="BA198" i="3" s="1"/>
  <c r="BB198" i="3" s="1"/>
  <c r="D205" i="3"/>
  <c r="E205" i="3" s="1"/>
  <c r="F205" i="3" s="1"/>
  <c r="G205" i="3" s="1"/>
  <c r="H205" i="3" s="1"/>
  <c r="I205" i="3" s="1"/>
  <c r="J205" i="3" s="1"/>
  <c r="K205" i="3" s="1"/>
  <c r="L205" i="3" s="1"/>
  <c r="M205" i="3" s="1"/>
  <c r="N205" i="3" s="1"/>
  <c r="O205" i="3" s="1"/>
  <c r="P205" i="3" s="1"/>
  <c r="Q205" i="3" s="1"/>
  <c r="R205" i="3" s="1"/>
  <c r="S205" i="3" s="1"/>
  <c r="T205" i="3" s="1"/>
  <c r="U205" i="3" s="1"/>
  <c r="V205" i="3" s="1"/>
  <c r="W205" i="3" s="1"/>
  <c r="X205" i="3" s="1"/>
  <c r="Y205" i="3" s="1"/>
  <c r="Z205" i="3" s="1"/>
  <c r="AA205" i="3" s="1"/>
  <c r="AB205" i="3" s="1"/>
  <c r="AC205" i="3" s="1"/>
  <c r="AD205" i="3" s="1"/>
  <c r="AE205" i="3" s="1"/>
  <c r="AF205" i="3" s="1"/>
  <c r="AG205" i="3" s="1"/>
  <c r="AH205" i="3" s="1"/>
  <c r="AI205" i="3" s="1"/>
  <c r="AJ205" i="3" s="1"/>
  <c r="AK205" i="3" s="1"/>
  <c r="AL205" i="3" s="1"/>
  <c r="AM205" i="3" s="1"/>
  <c r="AN205" i="3" s="1"/>
  <c r="AO205" i="3" s="1"/>
  <c r="AP205" i="3" s="1"/>
  <c r="AQ205" i="3" s="1"/>
  <c r="AR205" i="3" s="1"/>
  <c r="AS205" i="3" s="1"/>
  <c r="AT205" i="3" s="1"/>
  <c r="AU205" i="3" s="1"/>
  <c r="AV205" i="3" s="1"/>
  <c r="AW205" i="3" s="1"/>
  <c r="AX205" i="3" s="1"/>
  <c r="AY205" i="3" s="1"/>
  <c r="AZ205" i="3" s="1"/>
  <c r="BA205" i="3" s="1"/>
  <c r="BB205" i="3" s="1"/>
  <c r="BB536" i="2"/>
  <c r="BA536" i="2"/>
  <c r="AZ536" i="2"/>
  <c r="AY536" i="2"/>
  <c r="AX536" i="2"/>
  <c r="AW536" i="2"/>
  <c r="AV536" i="2"/>
  <c r="AU536" i="2"/>
  <c r="AT536" i="2"/>
  <c r="AS536" i="2"/>
  <c r="AR536" i="2"/>
  <c r="AQ536" i="2"/>
  <c r="AP536" i="2"/>
  <c r="AO536" i="2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BB535" i="2"/>
  <c r="BA535" i="2"/>
  <c r="AZ535" i="2"/>
  <c r="AY535" i="2"/>
  <c r="AX535" i="2"/>
  <c r="AW535" i="2"/>
  <c r="AV535" i="2"/>
  <c r="AU535" i="2"/>
  <c r="AT535" i="2"/>
  <c r="AS535" i="2"/>
  <c r="AR535" i="2"/>
  <c r="AQ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BB534" i="2"/>
  <c r="BA534" i="2"/>
  <c r="AZ534" i="2"/>
  <c r="AY534" i="2"/>
  <c r="AX534" i="2"/>
  <c r="AW534" i="2"/>
  <c r="AV534" i="2"/>
  <c r="AU534" i="2"/>
  <c r="AT534" i="2"/>
  <c r="AS534" i="2"/>
  <c r="AR534" i="2"/>
  <c r="AQ534" i="2"/>
  <c r="AP534" i="2"/>
  <c r="AO534" i="2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BB533" i="2"/>
  <c r="BA533" i="2"/>
  <c r="AZ533" i="2"/>
  <c r="AY533" i="2"/>
  <c r="AX533" i="2"/>
  <c r="AW533" i="2"/>
  <c r="AV533" i="2"/>
  <c r="AU533" i="2"/>
  <c r="AT533" i="2"/>
  <c r="AS533" i="2"/>
  <c r="AR533" i="2"/>
  <c r="AQ533" i="2"/>
  <c r="AP533" i="2"/>
  <c r="AO533" i="2"/>
  <c r="AN533" i="2"/>
  <c r="AM533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BB532" i="2"/>
  <c r="BA532" i="2"/>
  <c r="AZ532" i="2"/>
  <c r="AY532" i="2"/>
  <c r="AX532" i="2"/>
  <c r="AW532" i="2"/>
  <c r="AV532" i="2"/>
  <c r="AU532" i="2"/>
  <c r="AT532" i="2"/>
  <c r="AS532" i="2"/>
  <c r="AR532" i="2"/>
  <c r="AQ532" i="2"/>
  <c r="AP532" i="2"/>
  <c r="AO532" i="2"/>
  <c r="AN532" i="2"/>
  <c r="AM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BB531" i="2"/>
  <c r="BA531" i="2"/>
  <c r="AZ531" i="2"/>
  <c r="AY531" i="2"/>
  <c r="AX531" i="2"/>
  <c r="AW531" i="2"/>
  <c r="AV531" i="2"/>
  <c r="AU531" i="2"/>
  <c r="AT531" i="2"/>
  <c r="AS531" i="2"/>
  <c r="AR531" i="2"/>
  <c r="AQ531" i="2"/>
  <c r="AP531" i="2"/>
  <c r="AO531" i="2"/>
  <c r="AN531" i="2"/>
  <c r="AM531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X531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BB530" i="2"/>
  <c r="BA530" i="2"/>
  <c r="AZ530" i="2"/>
  <c r="AY530" i="2"/>
  <c r="AX530" i="2"/>
  <c r="AW530" i="2"/>
  <c r="AV530" i="2"/>
  <c r="AU530" i="2"/>
  <c r="AT530" i="2"/>
  <c r="AS530" i="2"/>
  <c r="AR530" i="2"/>
  <c r="AQ530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BB529" i="2"/>
  <c r="BA529" i="2"/>
  <c r="AZ529" i="2"/>
  <c r="AY529" i="2"/>
  <c r="AX529" i="2"/>
  <c r="AW529" i="2"/>
  <c r="AV529" i="2"/>
  <c r="AU529" i="2"/>
  <c r="AT529" i="2"/>
  <c r="AS529" i="2"/>
  <c r="AR529" i="2"/>
  <c r="AQ529" i="2"/>
  <c r="AP529" i="2"/>
  <c r="AO529" i="2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BB527" i="2"/>
  <c r="BA527" i="2"/>
  <c r="AZ527" i="2"/>
  <c r="AY527" i="2"/>
  <c r="AX527" i="2"/>
  <c r="AW527" i="2"/>
  <c r="AV527" i="2"/>
  <c r="AU527" i="2"/>
  <c r="AT527" i="2"/>
  <c r="AS527" i="2"/>
  <c r="AR527" i="2"/>
  <c r="AQ527" i="2"/>
  <c r="AP527" i="2"/>
  <c r="AO527" i="2"/>
  <c r="AN527" i="2"/>
  <c r="AM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BB526" i="2"/>
  <c r="BA526" i="2"/>
  <c r="AZ526" i="2"/>
  <c r="AY526" i="2"/>
  <c r="AX526" i="2"/>
  <c r="AW526" i="2"/>
  <c r="AV526" i="2"/>
  <c r="AU526" i="2"/>
  <c r="AT526" i="2"/>
  <c r="AS526" i="2"/>
  <c r="AR526" i="2"/>
  <c r="AQ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BB525" i="2"/>
  <c r="BA525" i="2"/>
  <c r="AZ525" i="2"/>
  <c r="AY525" i="2"/>
  <c r="AX525" i="2"/>
  <c r="AW525" i="2"/>
  <c r="AV525" i="2"/>
  <c r="AU525" i="2"/>
  <c r="AT525" i="2"/>
  <c r="AS525" i="2"/>
  <c r="AR525" i="2"/>
  <c r="AQ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BB524" i="2"/>
  <c r="BA524" i="2"/>
  <c r="AZ524" i="2"/>
  <c r="AY524" i="2"/>
  <c r="AX524" i="2"/>
  <c r="AW524" i="2"/>
  <c r="AV524" i="2"/>
  <c r="AU524" i="2"/>
  <c r="AT524" i="2"/>
  <c r="AS524" i="2"/>
  <c r="AR524" i="2"/>
  <c r="AQ524" i="2"/>
  <c r="AP524" i="2"/>
  <c r="AO524" i="2"/>
  <c r="AN524" i="2"/>
  <c r="AM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BB518" i="2"/>
  <c r="BA518" i="2"/>
  <c r="AZ518" i="2"/>
  <c r="AY518" i="2"/>
  <c r="AX518" i="2"/>
  <c r="AW518" i="2"/>
  <c r="AV518" i="2"/>
  <c r="AU518" i="2"/>
  <c r="AT518" i="2"/>
  <c r="AS518" i="2"/>
  <c r="AR518" i="2"/>
  <c r="AQ518" i="2"/>
  <c r="AP518" i="2"/>
  <c r="AO518" i="2"/>
  <c r="AN518" i="2"/>
  <c r="AM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BB512" i="2"/>
  <c r="BA512" i="2"/>
  <c r="AZ512" i="2"/>
  <c r="AY512" i="2"/>
  <c r="AX512" i="2"/>
  <c r="AW512" i="2"/>
  <c r="AV512" i="2"/>
  <c r="AU512" i="2"/>
  <c r="AT512" i="2"/>
  <c r="AS512" i="2"/>
  <c r="AR512" i="2"/>
  <c r="AQ512" i="2"/>
  <c r="AP512" i="2"/>
  <c r="AO512" i="2"/>
  <c r="AN512" i="2"/>
  <c r="AM512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BB511" i="2"/>
  <c r="BA511" i="2"/>
  <c r="AZ511" i="2"/>
  <c r="AY511" i="2"/>
  <c r="AX511" i="2"/>
  <c r="AW511" i="2"/>
  <c r="AV511" i="2"/>
  <c r="AU511" i="2"/>
  <c r="AT511" i="2"/>
  <c r="AS511" i="2"/>
  <c r="AR511" i="2"/>
  <c r="AQ511" i="2"/>
  <c r="AP511" i="2"/>
  <c r="AO511" i="2"/>
  <c r="AN511" i="2"/>
  <c r="AM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BB509" i="2"/>
  <c r="BA509" i="2"/>
  <c r="AZ509" i="2"/>
  <c r="AY509" i="2"/>
  <c r="AX509" i="2"/>
  <c r="AW509" i="2"/>
  <c r="AV509" i="2"/>
  <c r="AU509" i="2"/>
  <c r="AT509" i="2"/>
  <c r="AS509" i="2"/>
  <c r="AR509" i="2"/>
  <c r="AQ509" i="2"/>
  <c r="AP509" i="2"/>
  <c r="AO509" i="2"/>
  <c r="AN509" i="2"/>
  <c r="AM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BB508" i="2"/>
  <c r="BA508" i="2"/>
  <c r="AZ508" i="2"/>
  <c r="AY508" i="2"/>
  <c r="AX508" i="2"/>
  <c r="AW508" i="2"/>
  <c r="AV508" i="2"/>
  <c r="AU508" i="2"/>
  <c r="AT508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BB507" i="2"/>
  <c r="BA507" i="2"/>
  <c r="AZ507" i="2"/>
  <c r="AY507" i="2"/>
  <c r="AX507" i="2"/>
  <c r="AW507" i="2"/>
  <c r="AV507" i="2"/>
  <c r="AU507" i="2"/>
  <c r="AT507" i="2"/>
  <c r="AS507" i="2"/>
  <c r="AR507" i="2"/>
  <c r="AQ507" i="2"/>
  <c r="AP507" i="2"/>
  <c r="AO507" i="2"/>
  <c r="AN507" i="2"/>
  <c r="AM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BB506" i="2"/>
  <c r="BA506" i="2"/>
  <c r="AZ506" i="2"/>
  <c r="AY506" i="2"/>
  <c r="AX506" i="2"/>
  <c r="AW506" i="2"/>
  <c r="AV506" i="2"/>
  <c r="AU506" i="2"/>
  <c r="AT506" i="2"/>
  <c r="AS506" i="2"/>
  <c r="AR506" i="2"/>
  <c r="AQ506" i="2"/>
  <c r="AP506" i="2"/>
  <c r="AO506" i="2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BB505" i="2"/>
  <c r="BA505" i="2"/>
  <c r="AZ505" i="2"/>
  <c r="AY505" i="2"/>
  <c r="AX505" i="2"/>
  <c r="AW505" i="2"/>
  <c r="AV505" i="2"/>
  <c r="AU505" i="2"/>
  <c r="AT505" i="2"/>
  <c r="AS505" i="2"/>
  <c r="AR505" i="2"/>
  <c r="AQ505" i="2"/>
  <c r="AP505" i="2"/>
  <c r="AO505" i="2"/>
  <c r="AN505" i="2"/>
  <c r="AM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BB504" i="2"/>
  <c r="BA504" i="2"/>
  <c r="AZ504" i="2"/>
  <c r="AY504" i="2"/>
  <c r="AX504" i="2"/>
  <c r="AW504" i="2"/>
  <c r="AV504" i="2"/>
  <c r="AU504" i="2"/>
  <c r="AT504" i="2"/>
  <c r="AS504" i="2"/>
  <c r="AR504" i="2"/>
  <c r="AQ504" i="2"/>
  <c r="AP504" i="2"/>
  <c r="AO504" i="2"/>
  <c r="AN504" i="2"/>
  <c r="AM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X504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BB500" i="2"/>
  <c r="BA500" i="2"/>
  <c r="AZ500" i="2"/>
  <c r="AY500" i="2"/>
  <c r="AX500" i="2"/>
  <c r="AW500" i="2"/>
  <c r="AV500" i="2"/>
  <c r="AU500" i="2"/>
  <c r="AT500" i="2"/>
  <c r="AS500" i="2"/>
  <c r="AR500" i="2"/>
  <c r="AQ500" i="2"/>
  <c r="AP500" i="2"/>
  <c r="AO500" i="2"/>
  <c r="AN500" i="2"/>
  <c r="AM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BB494" i="2"/>
  <c r="BA494" i="2"/>
  <c r="AZ494" i="2"/>
  <c r="AY494" i="2"/>
  <c r="AX494" i="2"/>
  <c r="AW494" i="2"/>
  <c r="AV494" i="2"/>
  <c r="AU494" i="2"/>
  <c r="AT494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BB491" i="2"/>
  <c r="BA491" i="2"/>
  <c r="AZ491" i="2"/>
  <c r="AY491" i="2"/>
  <c r="AX491" i="2"/>
  <c r="AW491" i="2"/>
  <c r="AV491" i="2"/>
  <c r="AU491" i="2"/>
  <c r="AT491" i="2"/>
  <c r="AS491" i="2"/>
  <c r="AR491" i="2"/>
  <c r="AQ491" i="2"/>
  <c r="AP491" i="2"/>
  <c r="AO491" i="2"/>
  <c r="AN491" i="2"/>
  <c r="AM491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BB487" i="2"/>
  <c r="BA487" i="2"/>
  <c r="AZ487" i="2"/>
  <c r="AY487" i="2"/>
  <c r="AX487" i="2"/>
  <c r="AW487" i="2"/>
  <c r="AV487" i="2"/>
  <c r="AU487" i="2"/>
  <c r="AT487" i="2"/>
  <c r="AS487" i="2"/>
  <c r="AR487" i="2"/>
  <c r="AQ487" i="2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BB481" i="2"/>
  <c r="BA481" i="2"/>
  <c r="AZ481" i="2"/>
  <c r="AY481" i="2"/>
  <c r="AX481" i="2"/>
  <c r="AW481" i="2"/>
  <c r="AV481" i="2"/>
  <c r="AU481" i="2"/>
  <c r="AT481" i="2"/>
  <c r="AS481" i="2"/>
  <c r="AR481" i="2"/>
  <c r="AQ481" i="2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BB478" i="2"/>
  <c r="BA478" i="2"/>
  <c r="AZ478" i="2"/>
  <c r="AY478" i="2"/>
  <c r="AX478" i="2"/>
  <c r="AW478" i="2"/>
  <c r="AV478" i="2"/>
  <c r="AU478" i="2"/>
  <c r="AT478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BB477" i="2"/>
  <c r="BA477" i="2"/>
  <c r="AZ477" i="2"/>
  <c r="AY477" i="2"/>
  <c r="AX477" i="2"/>
  <c r="AW477" i="2"/>
  <c r="AV477" i="2"/>
  <c r="AU477" i="2"/>
  <c r="AT477" i="2"/>
  <c r="AS477" i="2"/>
  <c r="AR477" i="2"/>
  <c r="AQ477" i="2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BB476" i="2"/>
  <c r="BA476" i="2"/>
  <c r="AZ476" i="2"/>
  <c r="AY476" i="2"/>
  <c r="AX476" i="2"/>
  <c r="AW476" i="2"/>
  <c r="AV476" i="2"/>
  <c r="AU476" i="2"/>
  <c r="AT476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BB475" i="2"/>
  <c r="BA475" i="2"/>
  <c r="AZ475" i="2"/>
  <c r="AY475" i="2"/>
  <c r="AX475" i="2"/>
  <c r="AW475" i="2"/>
  <c r="AV475" i="2"/>
  <c r="AU475" i="2"/>
  <c r="AT475" i="2"/>
  <c r="AS475" i="2"/>
  <c r="AR475" i="2"/>
  <c r="AQ475" i="2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BB473" i="2"/>
  <c r="BA473" i="2"/>
  <c r="AZ473" i="2"/>
  <c r="AY473" i="2"/>
  <c r="AX473" i="2"/>
  <c r="AW473" i="2"/>
  <c r="AV473" i="2"/>
  <c r="AU473" i="2"/>
  <c r="AT473" i="2"/>
  <c r="AS473" i="2"/>
  <c r="AR473" i="2"/>
  <c r="AQ473" i="2"/>
  <c r="AP473" i="2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BB472" i="2"/>
  <c r="BA472" i="2"/>
  <c r="AZ472" i="2"/>
  <c r="AY472" i="2"/>
  <c r="AX472" i="2"/>
  <c r="AW472" i="2"/>
  <c r="AV472" i="2"/>
  <c r="AU472" i="2"/>
  <c r="AT472" i="2"/>
  <c r="AS472" i="2"/>
  <c r="AR472" i="2"/>
  <c r="AQ472" i="2"/>
  <c r="AP472" i="2"/>
  <c r="AO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BB471" i="2"/>
  <c r="BA471" i="2"/>
  <c r="AZ471" i="2"/>
  <c r="AY471" i="2"/>
  <c r="AX471" i="2"/>
  <c r="AW471" i="2"/>
  <c r="AV471" i="2"/>
  <c r="AU471" i="2"/>
  <c r="AT471" i="2"/>
  <c r="AS471" i="2"/>
  <c r="AR471" i="2"/>
  <c r="AQ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BB470" i="2"/>
  <c r="BA470" i="2"/>
  <c r="AZ470" i="2"/>
  <c r="AY470" i="2"/>
  <c r="AX470" i="2"/>
  <c r="AW470" i="2"/>
  <c r="AV470" i="2"/>
  <c r="AU470" i="2"/>
  <c r="AT470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BB466" i="2"/>
  <c r="BA466" i="2"/>
  <c r="AZ466" i="2"/>
  <c r="AY466" i="2"/>
  <c r="AX466" i="2"/>
  <c r="AW466" i="2"/>
  <c r="AV466" i="2"/>
  <c r="AU466" i="2"/>
  <c r="AT466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BB460" i="2"/>
  <c r="BA460" i="2"/>
  <c r="AZ460" i="2"/>
  <c r="AY460" i="2"/>
  <c r="AX460" i="2"/>
  <c r="AW460" i="2"/>
  <c r="AV460" i="2"/>
  <c r="AU460" i="2"/>
  <c r="AT460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BB457" i="2"/>
  <c r="BA457" i="2"/>
  <c r="AZ457" i="2"/>
  <c r="AY457" i="2"/>
  <c r="AX457" i="2"/>
  <c r="AW457" i="2"/>
  <c r="AV457" i="2"/>
  <c r="AU457" i="2"/>
  <c r="AT457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75" i="2"/>
  <c r="C464" i="2"/>
  <c r="C463" i="2"/>
  <c r="C462" i="2"/>
  <c r="C461" i="2"/>
  <c r="C460" i="2"/>
  <c r="C459" i="2"/>
  <c r="C458" i="2"/>
  <c r="C493" i="2"/>
  <c r="C484" i="2"/>
  <c r="C466" i="2"/>
  <c r="C457" i="2"/>
  <c r="C467" i="2"/>
  <c r="C468" i="2"/>
  <c r="C469" i="2"/>
  <c r="C470" i="2"/>
  <c r="C471" i="2"/>
  <c r="C472" i="2"/>
  <c r="C473" i="2"/>
  <c r="BG25" i="3"/>
  <c r="BG95" i="3"/>
  <c r="BG85" i="3"/>
  <c r="BG75" i="3"/>
  <c r="BG65" i="3"/>
  <c r="BG55" i="3"/>
  <c r="BG45" i="3"/>
  <c r="BG35" i="3"/>
  <c r="N43" i="2"/>
  <c r="Q43" i="2" s="1"/>
  <c r="R43" i="2" s="1"/>
  <c r="N42" i="2"/>
  <c r="Q42" i="2" s="1"/>
  <c r="R42" i="2" s="1"/>
  <c r="N40" i="2"/>
  <c r="Q40" i="2" s="1"/>
  <c r="R40" i="2" s="1"/>
  <c r="W2" i="2"/>
  <c r="H41" i="2" s="1"/>
  <c r="M6" i="2"/>
  <c r="H35" i="2" s="1"/>
  <c r="Q17" i="2"/>
  <c r="Q16" i="2"/>
  <c r="Q15" i="2"/>
  <c r="Q14" i="2"/>
  <c r="Q13" i="2"/>
  <c r="Q12" i="2"/>
  <c r="Q11" i="2"/>
  <c r="Q10" i="2"/>
  <c r="N17" i="2"/>
  <c r="N16" i="2"/>
  <c r="N15" i="2"/>
  <c r="N14" i="2"/>
  <c r="N13" i="2"/>
  <c r="N12" i="2"/>
  <c r="N11" i="2"/>
  <c r="N10" i="2"/>
  <c r="J17" i="2"/>
  <c r="K17" i="2" s="1"/>
  <c r="J16" i="2"/>
  <c r="K16" i="2" s="1"/>
  <c r="J15" i="2"/>
  <c r="K15" i="2" s="1"/>
  <c r="J14" i="2"/>
  <c r="K14" i="2" s="1"/>
  <c r="J13" i="2"/>
  <c r="K13" i="2" s="1"/>
  <c r="J12" i="2"/>
  <c r="J11" i="2"/>
  <c r="K11" i="2" s="1"/>
  <c r="J10" i="2"/>
  <c r="K10" i="2" s="1"/>
  <c r="I17" i="2"/>
  <c r="AM601" i="2" s="1"/>
  <c r="H17" i="2"/>
  <c r="I16" i="2"/>
  <c r="AG600" i="2" s="1"/>
  <c r="H16" i="2"/>
  <c r="AL592" i="2" s="1"/>
  <c r="I15" i="2"/>
  <c r="AU599" i="2" s="1"/>
  <c r="H15" i="2"/>
  <c r="W591" i="2" s="1"/>
  <c r="I14" i="2"/>
  <c r="H14" i="2"/>
  <c r="I13" i="2"/>
  <c r="X597" i="2" s="1"/>
  <c r="H13" i="2"/>
  <c r="AV589" i="2" s="1"/>
  <c r="I12" i="2"/>
  <c r="AN596" i="2" s="1"/>
  <c r="H12" i="2"/>
  <c r="Q588" i="2" s="1"/>
  <c r="I11" i="2"/>
  <c r="AI595" i="2" s="1"/>
  <c r="H11" i="2"/>
  <c r="T587" i="2" s="1"/>
  <c r="I10" i="2"/>
  <c r="AA594" i="2" s="1"/>
  <c r="H10" i="2"/>
  <c r="AL586" i="2" s="1"/>
  <c r="G17" i="2"/>
  <c r="G16" i="2"/>
  <c r="G15" i="2"/>
  <c r="G14" i="2"/>
  <c r="AO582" i="2" s="1"/>
  <c r="G13" i="2"/>
  <c r="AN581" i="2" s="1"/>
  <c r="G12" i="2"/>
  <c r="H580" i="2" s="1"/>
  <c r="G11" i="2"/>
  <c r="AO579" i="2" s="1"/>
  <c r="G10" i="2"/>
  <c r="AP578" i="2" s="1"/>
  <c r="F17" i="2"/>
  <c r="AC577" i="2" s="1"/>
  <c r="E17" i="2"/>
  <c r="F16" i="2"/>
  <c r="AC576" i="2" s="1"/>
  <c r="E16" i="2"/>
  <c r="AE568" i="2" s="1"/>
  <c r="F15" i="2"/>
  <c r="E15" i="2"/>
  <c r="AH567" i="2" s="1"/>
  <c r="F14" i="2"/>
  <c r="E14" i="2"/>
  <c r="AN566" i="2" s="1"/>
  <c r="F13" i="2"/>
  <c r="AX573" i="2" s="1"/>
  <c r="E13" i="2"/>
  <c r="U565" i="2" s="1"/>
  <c r="F12" i="2"/>
  <c r="E12" i="2"/>
  <c r="S564" i="2" s="1"/>
  <c r="F11" i="2"/>
  <c r="P571" i="2" s="1"/>
  <c r="E11" i="2"/>
  <c r="F10" i="2"/>
  <c r="AO570" i="2" s="1"/>
  <c r="E10" i="2"/>
  <c r="AD562" i="2" s="1"/>
  <c r="N9" i="2"/>
  <c r="J9" i="2"/>
  <c r="I9" i="2"/>
  <c r="H9" i="2"/>
  <c r="G9" i="2"/>
  <c r="F9" i="2"/>
  <c r="E9" i="2"/>
  <c r="D17" i="2"/>
  <c r="BA553" i="2" s="1"/>
  <c r="D16" i="2"/>
  <c r="AT552" i="2" s="1"/>
  <c r="D15" i="2"/>
  <c r="Y551" i="2" s="1"/>
  <c r="D14" i="2"/>
  <c r="AR550" i="2" s="1"/>
  <c r="D13" i="2"/>
  <c r="AX549" i="2" s="1"/>
  <c r="D12" i="2"/>
  <c r="D11" i="2"/>
  <c r="O547" i="2" s="1"/>
  <c r="D10" i="2"/>
  <c r="D9" i="2"/>
  <c r="C299" i="3"/>
  <c r="C29" i="2"/>
  <c r="C844" i="2" s="1"/>
  <c r="C28" i="2"/>
  <c r="C843" i="2" s="1"/>
  <c r="C27" i="2"/>
  <c r="C842" i="2" s="1"/>
  <c r="C26" i="2"/>
  <c r="C841" i="2" s="1"/>
  <c r="C25" i="2"/>
  <c r="C840" i="2" s="1"/>
  <c r="C24" i="2"/>
  <c r="C839" i="2" s="1"/>
  <c r="C23" i="2"/>
  <c r="C838" i="2" s="1"/>
  <c r="C22" i="2"/>
  <c r="C837" i="2" s="1"/>
  <c r="C21" i="2"/>
  <c r="C836" i="2" s="1"/>
  <c r="C20" i="2"/>
  <c r="C835" i="2" s="1"/>
  <c r="C19" i="2"/>
  <c r="C834" i="2" s="1"/>
  <c r="C18" i="2"/>
  <c r="C833" i="2" s="1"/>
  <c r="C17" i="2"/>
  <c r="C16" i="2"/>
  <c r="C15" i="2"/>
  <c r="C14" i="2"/>
  <c r="C13" i="2"/>
  <c r="C12" i="2"/>
  <c r="C11" i="2"/>
  <c r="C10" i="2"/>
  <c r="C825" i="2" s="1"/>
  <c r="C9" i="2"/>
  <c r="B29" i="2"/>
  <c r="B782" i="2" s="1"/>
  <c r="B844" i="2" s="1"/>
  <c r="B28" i="2"/>
  <c r="B781" i="2" s="1"/>
  <c r="B843" i="2" s="1"/>
  <c r="B27" i="2"/>
  <c r="B780" i="2" s="1"/>
  <c r="B842" i="2" s="1"/>
  <c r="B26" i="2"/>
  <c r="B779" i="2" s="1"/>
  <c r="B841" i="2" s="1"/>
  <c r="B25" i="2"/>
  <c r="B778" i="2" s="1"/>
  <c r="B24" i="2"/>
  <c r="B777" i="2" s="1"/>
  <c r="B23" i="2"/>
  <c r="B776" i="2" s="1"/>
  <c r="B22" i="2"/>
  <c r="B775" i="2" s="1"/>
  <c r="B837" i="2" s="1"/>
  <c r="B21" i="2"/>
  <c r="B774" i="2" s="1"/>
  <c r="B20" i="2"/>
  <c r="B773" i="2" s="1"/>
  <c r="B835" i="2" s="1"/>
  <c r="B19" i="2"/>
  <c r="B772" i="2" s="1"/>
  <c r="B834" i="2" s="1"/>
  <c r="B18" i="2"/>
  <c r="B771" i="2" s="1"/>
  <c r="B833" i="2" s="1"/>
  <c r="B17" i="2"/>
  <c r="B770" i="2" s="1"/>
  <c r="B16" i="2"/>
  <c r="B769" i="2" s="1"/>
  <c r="B15" i="2"/>
  <c r="B768" i="2" s="1"/>
  <c r="B14" i="2"/>
  <c r="B767" i="2" s="1"/>
  <c r="B13" i="2"/>
  <c r="B766" i="2" s="1"/>
  <c r="B788" i="2" s="1"/>
  <c r="B12" i="2"/>
  <c r="B765" i="2" s="1"/>
  <c r="B787" i="2" s="1"/>
  <c r="B11" i="2"/>
  <c r="B764" i="2" s="1"/>
  <c r="B786" i="2" s="1"/>
  <c r="B10" i="2"/>
  <c r="B763" i="2" s="1"/>
  <c r="B785" i="2" s="1"/>
  <c r="B9" i="2"/>
  <c r="K29" i="2"/>
  <c r="K28" i="2"/>
  <c r="K27" i="2"/>
  <c r="K26" i="2"/>
  <c r="K25" i="2"/>
  <c r="K24" i="2"/>
  <c r="K23" i="2"/>
  <c r="K22" i="2"/>
  <c r="K21" i="2"/>
  <c r="K20" i="2"/>
  <c r="K19" i="2"/>
  <c r="K18" i="2"/>
  <c r="AE2" i="2"/>
  <c r="AB4" i="2"/>
  <c r="U39" i="2" s="1"/>
  <c r="R4" i="2"/>
  <c r="P107" i="3"/>
  <c r="E19" i="1" s="1"/>
  <c r="G19" i="1" s="1"/>
  <c r="C36" i="1" s="1"/>
  <c r="M2" i="2"/>
  <c r="H34" i="2" s="1"/>
  <c r="H2" i="2"/>
  <c r="H3" i="2"/>
  <c r="H4" i="2"/>
  <c r="C3" i="2"/>
  <c r="J106" i="3"/>
  <c r="C2" i="2"/>
  <c r="B265" i="2"/>
  <c r="B617" i="2"/>
  <c r="B616" i="2"/>
  <c r="B615" i="2"/>
  <c r="B614" i="2"/>
  <c r="B613" i="2"/>
  <c r="B612" i="2"/>
  <c r="B611" i="2"/>
  <c r="B610" i="2"/>
  <c r="B453" i="2"/>
  <c r="BE96" i="3"/>
  <c r="BE97" i="3" s="1"/>
  <c r="BE98" i="3" s="1"/>
  <c r="BE99" i="3" s="1"/>
  <c r="BE100" i="3" s="1"/>
  <c r="BE101" i="3" s="1"/>
  <c r="BE102" i="3" s="1"/>
  <c r="BE103" i="3" s="1"/>
  <c r="BE86" i="3"/>
  <c r="BE87" i="3" s="1"/>
  <c r="BE88" i="3" s="1"/>
  <c r="BE89" i="3" s="1"/>
  <c r="BE90" i="3" s="1"/>
  <c r="BE91" i="3" s="1"/>
  <c r="BE92" i="3" s="1"/>
  <c r="BE93" i="3" s="1"/>
  <c r="BE76" i="3"/>
  <c r="BE77" i="3" s="1"/>
  <c r="BE78" i="3" s="1"/>
  <c r="BE79" i="3" s="1"/>
  <c r="BE80" i="3" s="1"/>
  <c r="BE81" i="3" s="1"/>
  <c r="BE82" i="3" s="1"/>
  <c r="BE83" i="3" s="1"/>
  <c r="BE66" i="3"/>
  <c r="BE67" i="3" s="1"/>
  <c r="BE68" i="3" s="1"/>
  <c r="BE69" i="3" s="1"/>
  <c r="BE70" i="3" s="1"/>
  <c r="BE71" i="3" s="1"/>
  <c r="BE72" i="3" s="1"/>
  <c r="BE73" i="3" s="1"/>
  <c r="BE56" i="3"/>
  <c r="BE57" i="3" s="1"/>
  <c r="BE58" i="3" s="1"/>
  <c r="BE59" i="3" s="1"/>
  <c r="BE60" i="3" s="1"/>
  <c r="BE61" i="3" s="1"/>
  <c r="BE62" i="3" s="1"/>
  <c r="BE63" i="3" s="1"/>
  <c r="BE46" i="3"/>
  <c r="BE47" i="3" s="1"/>
  <c r="BE36" i="3"/>
  <c r="BE37" i="3" s="1"/>
  <c r="BE38" i="3" s="1"/>
  <c r="BE39" i="3" s="1"/>
  <c r="BE40" i="3" s="1"/>
  <c r="BE41" i="3" s="1"/>
  <c r="BE42" i="3" s="1"/>
  <c r="BE43" i="3" s="1"/>
  <c r="BE26" i="3"/>
  <c r="BE27" i="3" s="1"/>
  <c r="BE28" i="3" s="1"/>
  <c r="BE29" i="3" s="1"/>
  <c r="BE30" i="3" s="1"/>
  <c r="BE31" i="3" s="1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D307" i="3"/>
  <c r="D306" i="3"/>
  <c r="D305" i="3"/>
  <c r="D304" i="3"/>
  <c r="D303" i="3"/>
  <c r="D302" i="3"/>
  <c r="D301" i="3"/>
  <c r="D300" i="3"/>
  <c r="C306" i="3"/>
  <c r="C300" i="3"/>
  <c r="B299" i="3"/>
  <c r="B300" i="3"/>
  <c r="B301" i="3"/>
  <c r="B302" i="3"/>
  <c r="B303" i="3"/>
  <c r="B304" i="3"/>
  <c r="B305" i="3"/>
  <c r="B306" i="3"/>
  <c r="B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1" i="2"/>
  <c r="B402" i="2" s="1"/>
  <c r="B419" i="2" s="1"/>
  <c r="B428" i="2"/>
  <c r="L33" i="1"/>
  <c r="A191" i="2"/>
  <c r="A198" i="2" s="1"/>
  <c r="A106" i="2"/>
  <c r="A107" i="2" s="1"/>
  <c r="B108" i="2"/>
  <c r="B240" i="2"/>
  <c r="B233" i="2"/>
  <c r="B226" i="2"/>
  <c r="B219" i="2"/>
  <c r="B212" i="2"/>
  <c r="B205" i="2"/>
  <c r="B198" i="2"/>
  <c r="B197" i="2"/>
  <c r="B196" i="2"/>
  <c r="B195" i="2"/>
  <c r="B194" i="2"/>
  <c r="B193" i="2"/>
  <c r="B192" i="2"/>
  <c r="B191" i="2"/>
  <c r="E2" i="3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E34" i="3"/>
  <c r="F34" i="3" s="1"/>
  <c r="G34" i="3" s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E24" i="3"/>
  <c r="F24" i="3" s="1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AF24" i="3" s="1"/>
  <c r="AG24" i="3" s="1"/>
  <c r="AH24" i="3" s="1"/>
  <c r="AI24" i="3" s="1"/>
  <c r="AJ24" i="3" s="1"/>
  <c r="AK24" i="3" s="1"/>
  <c r="AL24" i="3" s="1"/>
  <c r="AM24" i="3" s="1"/>
  <c r="AN24" i="3" s="1"/>
  <c r="AO24" i="3" s="1"/>
  <c r="AP24" i="3" s="1"/>
  <c r="AQ24" i="3" s="1"/>
  <c r="AR24" i="3" s="1"/>
  <c r="AS24" i="3" s="1"/>
  <c r="AT24" i="3" s="1"/>
  <c r="AU24" i="3" s="1"/>
  <c r="AV24" i="3" s="1"/>
  <c r="AW24" i="3" s="1"/>
  <c r="AX24" i="3" s="1"/>
  <c r="AY24" i="3" s="1"/>
  <c r="AZ24" i="3" s="1"/>
  <c r="BA24" i="3" s="1"/>
  <c r="BB24" i="3" s="1"/>
  <c r="BC24" i="3" s="1"/>
  <c r="E44" i="3"/>
  <c r="F44" i="3" s="1"/>
  <c r="G44" i="3" s="1"/>
  <c r="H44" i="3" s="1"/>
  <c r="I44" i="3" s="1"/>
  <c r="J44" i="3" s="1"/>
  <c r="K44" i="3" s="1"/>
  <c r="L44" i="3" s="1"/>
  <c r="M44" i="3" s="1"/>
  <c r="N44" i="3" s="1"/>
  <c r="O44" i="3" s="1"/>
  <c r="P44" i="3" s="1"/>
  <c r="Q44" i="3" s="1"/>
  <c r="R44" i="3" s="1"/>
  <c r="S44" i="3" s="1"/>
  <c r="T44" i="3" s="1"/>
  <c r="U44" i="3" s="1"/>
  <c r="V44" i="3" s="1"/>
  <c r="W44" i="3" s="1"/>
  <c r="X44" i="3" s="1"/>
  <c r="Y44" i="3" s="1"/>
  <c r="Z44" i="3" s="1"/>
  <c r="AA44" i="3" s="1"/>
  <c r="AB44" i="3" s="1"/>
  <c r="AC44" i="3" s="1"/>
  <c r="AD44" i="3" s="1"/>
  <c r="AE44" i="3" s="1"/>
  <c r="AF44" i="3" s="1"/>
  <c r="AG44" i="3" s="1"/>
  <c r="AH44" i="3" s="1"/>
  <c r="AI44" i="3" s="1"/>
  <c r="AJ44" i="3" s="1"/>
  <c r="AK44" i="3" s="1"/>
  <c r="AL44" i="3" s="1"/>
  <c r="AM44" i="3" s="1"/>
  <c r="AN44" i="3" s="1"/>
  <c r="AO44" i="3" s="1"/>
  <c r="AP44" i="3" s="1"/>
  <c r="AQ44" i="3" s="1"/>
  <c r="AR44" i="3" s="1"/>
  <c r="AS44" i="3" s="1"/>
  <c r="AT44" i="3" s="1"/>
  <c r="AU44" i="3" s="1"/>
  <c r="AV44" i="3" s="1"/>
  <c r="AW44" i="3" s="1"/>
  <c r="AX44" i="3" s="1"/>
  <c r="AY44" i="3" s="1"/>
  <c r="AZ44" i="3" s="1"/>
  <c r="BA44" i="3" s="1"/>
  <c r="BB44" i="3" s="1"/>
  <c r="BC44" i="3" s="1"/>
  <c r="E54" i="3"/>
  <c r="F54" i="3" s="1"/>
  <c r="G54" i="3" s="1"/>
  <c r="H54" i="3" s="1"/>
  <c r="I54" i="3" s="1"/>
  <c r="J54" i="3" s="1"/>
  <c r="K54" i="3" s="1"/>
  <c r="L54" i="3" s="1"/>
  <c r="M54" i="3" s="1"/>
  <c r="N54" i="3" s="1"/>
  <c r="O54" i="3" s="1"/>
  <c r="P54" i="3" s="1"/>
  <c r="Q54" i="3" s="1"/>
  <c r="R54" i="3" s="1"/>
  <c r="S54" i="3" s="1"/>
  <c r="T54" i="3" s="1"/>
  <c r="U54" i="3" s="1"/>
  <c r="V54" i="3" s="1"/>
  <c r="W54" i="3" s="1"/>
  <c r="X54" i="3" s="1"/>
  <c r="Y54" i="3" s="1"/>
  <c r="Z54" i="3" s="1"/>
  <c r="AA54" i="3" s="1"/>
  <c r="AB54" i="3" s="1"/>
  <c r="AC54" i="3" s="1"/>
  <c r="AD54" i="3" s="1"/>
  <c r="AE54" i="3" s="1"/>
  <c r="AF54" i="3" s="1"/>
  <c r="AG54" i="3" s="1"/>
  <c r="AH54" i="3" s="1"/>
  <c r="AI54" i="3" s="1"/>
  <c r="AJ54" i="3" s="1"/>
  <c r="AK54" i="3" s="1"/>
  <c r="AL54" i="3" s="1"/>
  <c r="AM54" i="3" s="1"/>
  <c r="AN54" i="3" s="1"/>
  <c r="AO54" i="3" s="1"/>
  <c r="AP54" i="3" s="1"/>
  <c r="AQ54" i="3" s="1"/>
  <c r="AR54" i="3" s="1"/>
  <c r="AS54" i="3" s="1"/>
  <c r="AT54" i="3" s="1"/>
  <c r="AU54" i="3" s="1"/>
  <c r="AV54" i="3" s="1"/>
  <c r="AW54" i="3" s="1"/>
  <c r="AX54" i="3" s="1"/>
  <c r="AY54" i="3" s="1"/>
  <c r="AZ54" i="3" s="1"/>
  <c r="BA54" i="3" s="1"/>
  <c r="BB54" i="3" s="1"/>
  <c r="BC54" i="3" s="1"/>
  <c r="E64" i="3"/>
  <c r="F64" i="3" s="1"/>
  <c r="G64" i="3" s="1"/>
  <c r="H64" i="3" s="1"/>
  <c r="I64" i="3" s="1"/>
  <c r="J64" i="3" s="1"/>
  <c r="K64" i="3" s="1"/>
  <c r="L64" i="3" s="1"/>
  <c r="M64" i="3" s="1"/>
  <c r="N64" i="3" s="1"/>
  <c r="O64" i="3" s="1"/>
  <c r="P64" i="3" s="1"/>
  <c r="Q64" i="3" s="1"/>
  <c r="R64" i="3" s="1"/>
  <c r="S64" i="3" s="1"/>
  <c r="T64" i="3" s="1"/>
  <c r="U64" i="3" s="1"/>
  <c r="V64" i="3" s="1"/>
  <c r="W64" i="3" s="1"/>
  <c r="X64" i="3" s="1"/>
  <c r="Y64" i="3" s="1"/>
  <c r="Z64" i="3" s="1"/>
  <c r="AA64" i="3" s="1"/>
  <c r="AB64" i="3" s="1"/>
  <c r="AC64" i="3" s="1"/>
  <c r="AD64" i="3" s="1"/>
  <c r="AE64" i="3" s="1"/>
  <c r="AF64" i="3" s="1"/>
  <c r="AG64" i="3" s="1"/>
  <c r="AH64" i="3" s="1"/>
  <c r="AI64" i="3" s="1"/>
  <c r="AJ64" i="3" s="1"/>
  <c r="AK64" i="3" s="1"/>
  <c r="AL64" i="3" s="1"/>
  <c r="AM64" i="3" s="1"/>
  <c r="AN64" i="3" s="1"/>
  <c r="AO64" i="3" s="1"/>
  <c r="AP64" i="3" s="1"/>
  <c r="AQ64" i="3" s="1"/>
  <c r="AR64" i="3" s="1"/>
  <c r="AS64" i="3" s="1"/>
  <c r="AT64" i="3" s="1"/>
  <c r="AU64" i="3" s="1"/>
  <c r="AV64" i="3" s="1"/>
  <c r="AW64" i="3" s="1"/>
  <c r="AX64" i="3" s="1"/>
  <c r="AY64" i="3" s="1"/>
  <c r="AZ64" i="3" s="1"/>
  <c r="BA64" i="3" s="1"/>
  <c r="BB64" i="3" s="1"/>
  <c r="BC64" i="3" s="1"/>
  <c r="E74" i="3"/>
  <c r="F74" i="3" s="1"/>
  <c r="G74" i="3" s="1"/>
  <c r="H74" i="3" s="1"/>
  <c r="I74" i="3" s="1"/>
  <c r="J74" i="3" s="1"/>
  <c r="K74" i="3" s="1"/>
  <c r="L74" i="3" s="1"/>
  <c r="M74" i="3" s="1"/>
  <c r="N74" i="3" s="1"/>
  <c r="O74" i="3" s="1"/>
  <c r="P74" i="3" s="1"/>
  <c r="Q74" i="3" s="1"/>
  <c r="R74" i="3" s="1"/>
  <c r="S74" i="3" s="1"/>
  <c r="T74" i="3" s="1"/>
  <c r="U74" i="3" s="1"/>
  <c r="V74" i="3" s="1"/>
  <c r="W74" i="3" s="1"/>
  <c r="X74" i="3" s="1"/>
  <c r="Y74" i="3" s="1"/>
  <c r="Z74" i="3" s="1"/>
  <c r="AA74" i="3" s="1"/>
  <c r="AB74" i="3" s="1"/>
  <c r="AC74" i="3" s="1"/>
  <c r="AD74" i="3" s="1"/>
  <c r="AE74" i="3" s="1"/>
  <c r="AF74" i="3" s="1"/>
  <c r="AG74" i="3" s="1"/>
  <c r="AH74" i="3" s="1"/>
  <c r="AI74" i="3" s="1"/>
  <c r="AJ74" i="3" s="1"/>
  <c r="AK74" i="3" s="1"/>
  <c r="AL74" i="3" s="1"/>
  <c r="AM74" i="3" s="1"/>
  <c r="AN74" i="3" s="1"/>
  <c r="AO74" i="3" s="1"/>
  <c r="AP74" i="3" s="1"/>
  <c r="AQ74" i="3" s="1"/>
  <c r="AR74" i="3" s="1"/>
  <c r="AS74" i="3" s="1"/>
  <c r="AT74" i="3" s="1"/>
  <c r="AU74" i="3" s="1"/>
  <c r="AV74" i="3" s="1"/>
  <c r="AW74" i="3" s="1"/>
  <c r="AX74" i="3" s="1"/>
  <c r="AY74" i="3" s="1"/>
  <c r="AZ74" i="3" s="1"/>
  <c r="BA74" i="3" s="1"/>
  <c r="BB74" i="3" s="1"/>
  <c r="BC74" i="3" s="1"/>
  <c r="E84" i="3"/>
  <c r="F84" i="3" s="1"/>
  <c r="G84" i="3" s="1"/>
  <c r="H84" i="3" s="1"/>
  <c r="I84" i="3" s="1"/>
  <c r="J84" i="3" s="1"/>
  <c r="K84" i="3" s="1"/>
  <c r="L84" i="3" s="1"/>
  <c r="M84" i="3" s="1"/>
  <c r="N84" i="3" s="1"/>
  <c r="O84" i="3" s="1"/>
  <c r="P84" i="3" s="1"/>
  <c r="Q84" i="3" s="1"/>
  <c r="R84" i="3" s="1"/>
  <c r="S84" i="3" s="1"/>
  <c r="T84" i="3" s="1"/>
  <c r="U84" i="3" s="1"/>
  <c r="V84" i="3" s="1"/>
  <c r="W84" i="3" s="1"/>
  <c r="X84" i="3" s="1"/>
  <c r="Y84" i="3" s="1"/>
  <c r="Z84" i="3" s="1"/>
  <c r="AA84" i="3" s="1"/>
  <c r="AB84" i="3" s="1"/>
  <c r="AC84" i="3" s="1"/>
  <c r="AD84" i="3" s="1"/>
  <c r="AE84" i="3" s="1"/>
  <c r="AF84" i="3" s="1"/>
  <c r="AG84" i="3" s="1"/>
  <c r="AH84" i="3" s="1"/>
  <c r="AI84" i="3" s="1"/>
  <c r="AJ84" i="3" s="1"/>
  <c r="AK84" i="3" s="1"/>
  <c r="AL84" i="3" s="1"/>
  <c r="AM84" i="3" s="1"/>
  <c r="AN84" i="3" s="1"/>
  <c r="AO84" i="3" s="1"/>
  <c r="AP84" i="3" s="1"/>
  <c r="AQ84" i="3" s="1"/>
  <c r="AR84" i="3" s="1"/>
  <c r="AS84" i="3" s="1"/>
  <c r="AT84" i="3" s="1"/>
  <c r="AU84" i="3" s="1"/>
  <c r="AV84" i="3" s="1"/>
  <c r="AW84" i="3" s="1"/>
  <c r="AX84" i="3" s="1"/>
  <c r="AY84" i="3" s="1"/>
  <c r="AZ84" i="3" s="1"/>
  <c r="BA84" i="3" s="1"/>
  <c r="BB84" i="3" s="1"/>
  <c r="BC84" i="3" s="1"/>
  <c r="E94" i="3"/>
  <c r="F94" i="3" s="1"/>
  <c r="G94" i="3" s="1"/>
  <c r="H94" i="3" s="1"/>
  <c r="I94" i="3" s="1"/>
  <c r="J94" i="3" s="1"/>
  <c r="K94" i="3" s="1"/>
  <c r="L94" i="3" s="1"/>
  <c r="M94" i="3" s="1"/>
  <c r="N94" i="3" s="1"/>
  <c r="O94" i="3" s="1"/>
  <c r="P94" i="3" s="1"/>
  <c r="Q94" i="3" s="1"/>
  <c r="R94" i="3" s="1"/>
  <c r="S94" i="3" s="1"/>
  <c r="T94" i="3" s="1"/>
  <c r="U94" i="3" s="1"/>
  <c r="V94" i="3" s="1"/>
  <c r="W94" i="3" s="1"/>
  <c r="X94" i="3" s="1"/>
  <c r="Y94" i="3" s="1"/>
  <c r="Z94" i="3" s="1"/>
  <c r="AA94" i="3" s="1"/>
  <c r="AB94" i="3" s="1"/>
  <c r="AC94" i="3" s="1"/>
  <c r="AD94" i="3" s="1"/>
  <c r="AE94" i="3" s="1"/>
  <c r="AF94" i="3" s="1"/>
  <c r="AG94" i="3" s="1"/>
  <c r="AH94" i="3" s="1"/>
  <c r="AI94" i="3" s="1"/>
  <c r="AJ94" i="3" s="1"/>
  <c r="AK94" i="3" s="1"/>
  <c r="AL94" i="3" s="1"/>
  <c r="AM94" i="3" s="1"/>
  <c r="AN94" i="3" s="1"/>
  <c r="AO94" i="3" s="1"/>
  <c r="AP94" i="3" s="1"/>
  <c r="AQ94" i="3" s="1"/>
  <c r="AR94" i="3" s="1"/>
  <c r="AS94" i="3" s="1"/>
  <c r="AT94" i="3" s="1"/>
  <c r="AU94" i="3" s="1"/>
  <c r="AV94" i="3" s="1"/>
  <c r="AW94" i="3" s="1"/>
  <c r="AX94" i="3" s="1"/>
  <c r="AY94" i="3" s="1"/>
  <c r="AZ94" i="3" s="1"/>
  <c r="BA94" i="3" s="1"/>
  <c r="BB94" i="3" s="1"/>
  <c r="BC94" i="3" s="1"/>
  <c r="E109" i="3"/>
  <c r="F109" i="3" s="1"/>
  <c r="G109" i="3" s="1"/>
  <c r="H109" i="3" s="1"/>
  <c r="I109" i="3" s="1"/>
  <c r="J109" i="3" s="1"/>
  <c r="K109" i="3" s="1"/>
  <c r="L109" i="3" s="1"/>
  <c r="M109" i="3" s="1"/>
  <c r="N109" i="3" s="1"/>
  <c r="O109" i="3" s="1"/>
  <c r="P109" i="3" s="1"/>
  <c r="Q109" i="3" s="1"/>
  <c r="R109" i="3" s="1"/>
  <c r="S109" i="3" s="1"/>
  <c r="T109" i="3" s="1"/>
  <c r="U109" i="3" s="1"/>
  <c r="V109" i="3" s="1"/>
  <c r="W109" i="3" s="1"/>
  <c r="X109" i="3" s="1"/>
  <c r="Y109" i="3" s="1"/>
  <c r="Z109" i="3" s="1"/>
  <c r="AA109" i="3" s="1"/>
  <c r="AB109" i="3" s="1"/>
  <c r="AC109" i="3" s="1"/>
  <c r="AD109" i="3" s="1"/>
  <c r="AE109" i="3" s="1"/>
  <c r="AF109" i="3" s="1"/>
  <c r="AG109" i="3" s="1"/>
  <c r="AH109" i="3" s="1"/>
  <c r="AI109" i="3" s="1"/>
  <c r="AJ109" i="3" s="1"/>
  <c r="AK109" i="3" s="1"/>
  <c r="AL109" i="3" s="1"/>
  <c r="AM109" i="3" s="1"/>
  <c r="AN109" i="3" s="1"/>
  <c r="AO109" i="3" s="1"/>
  <c r="AP109" i="3" s="1"/>
  <c r="AQ109" i="3" s="1"/>
  <c r="AR109" i="3" s="1"/>
  <c r="AS109" i="3" s="1"/>
  <c r="AT109" i="3" s="1"/>
  <c r="AU109" i="3" s="1"/>
  <c r="AV109" i="3" s="1"/>
  <c r="AW109" i="3" s="1"/>
  <c r="AX109" i="3" s="1"/>
  <c r="AY109" i="3" s="1"/>
  <c r="AZ109" i="3" s="1"/>
  <c r="BA109" i="3" s="1"/>
  <c r="BB109" i="3" s="1"/>
  <c r="BC109" i="3" s="1"/>
  <c r="E118" i="3"/>
  <c r="F118" i="3" s="1"/>
  <c r="G118" i="3" s="1"/>
  <c r="H118" i="3" s="1"/>
  <c r="I118" i="3" s="1"/>
  <c r="J118" i="3" s="1"/>
  <c r="K118" i="3" s="1"/>
  <c r="L118" i="3" s="1"/>
  <c r="M118" i="3" s="1"/>
  <c r="N118" i="3" s="1"/>
  <c r="O118" i="3" s="1"/>
  <c r="P118" i="3" s="1"/>
  <c r="Q118" i="3" s="1"/>
  <c r="R118" i="3" s="1"/>
  <c r="S118" i="3" s="1"/>
  <c r="T118" i="3" s="1"/>
  <c r="U118" i="3" s="1"/>
  <c r="V118" i="3" s="1"/>
  <c r="W118" i="3" s="1"/>
  <c r="X118" i="3" s="1"/>
  <c r="Y118" i="3" s="1"/>
  <c r="Z118" i="3" s="1"/>
  <c r="AA118" i="3" s="1"/>
  <c r="AB118" i="3" s="1"/>
  <c r="AC118" i="3" s="1"/>
  <c r="AD118" i="3" s="1"/>
  <c r="AE118" i="3" s="1"/>
  <c r="AF118" i="3" s="1"/>
  <c r="AG118" i="3" s="1"/>
  <c r="AH118" i="3" s="1"/>
  <c r="AI118" i="3" s="1"/>
  <c r="AJ118" i="3" s="1"/>
  <c r="AK118" i="3" s="1"/>
  <c r="AL118" i="3" s="1"/>
  <c r="AM118" i="3" s="1"/>
  <c r="AN118" i="3" s="1"/>
  <c r="AO118" i="3" s="1"/>
  <c r="AP118" i="3" s="1"/>
  <c r="AQ118" i="3" s="1"/>
  <c r="AR118" i="3" s="1"/>
  <c r="AS118" i="3" s="1"/>
  <c r="AT118" i="3" s="1"/>
  <c r="AU118" i="3" s="1"/>
  <c r="AV118" i="3" s="1"/>
  <c r="AW118" i="3" s="1"/>
  <c r="AX118" i="3" s="1"/>
  <c r="AY118" i="3" s="1"/>
  <c r="AZ118" i="3" s="1"/>
  <c r="BA118" i="3" s="1"/>
  <c r="BB118" i="3" s="1"/>
  <c r="BC118" i="3" s="1"/>
  <c r="E127" i="3"/>
  <c r="F127" i="3" s="1"/>
  <c r="G127" i="3" s="1"/>
  <c r="H127" i="3" s="1"/>
  <c r="I127" i="3" s="1"/>
  <c r="J127" i="3" s="1"/>
  <c r="K127" i="3" s="1"/>
  <c r="L127" i="3" s="1"/>
  <c r="M127" i="3" s="1"/>
  <c r="N127" i="3" s="1"/>
  <c r="O127" i="3" s="1"/>
  <c r="P127" i="3" s="1"/>
  <c r="Q127" i="3" s="1"/>
  <c r="R127" i="3" s="1"/>
  <c r="S127" i="3" s="1"/>
  <c r="T127" i="3" s="1"/>
  <c r="U127" i="3" s="1"/>
  <c r="V127" i="3" s="1"/>
  <c r="W127" i="3" s="1"/>
  <c r="X127" i="3" s="1"/>
  <c r="Y127" i="3" s="1"/>
  <c r="Z127" i="3" s="1"/>
  <c r="AA127" i="3" s="1"/>
  <c r="AB127" i="3" s="1"/>
  <c r="AC127" i="3" s="1"/>
  <c r="AD127" i="3" s="1"/>
  <c r="AE127" i="3" s="1"/>
  <c r="AF127" i="3" s="1"/>
  <c r="AG127" i="3" s="1"/>
  <c r="AH127" i="3" s="1"/>
  <c r="AI127" i="3" s="1"/>
  <c r="AJ127" i="3" s="1"/>
  <c r="AK127" i="3" s="1"/>
  <c r="AL127" i="3" s="1"/>
  <c r="AM127" i="3" s="1"/>
  <c r="AN127" i="3" s="1"/>
  <c r="AO127" i="3" s="1"/>
  <c r="AP127" i="3" s="1"/>
  <c r="AQ127" i="3" s="1"/>
  <c r="AR127" i="3" s="1"/>
  <c r="AS127" i="3" s="1"/>
  <c r="AT127" i="3" s="1"/>
  <c r="AU127" i="3" s="1"/>
  <c r="AV127" i="3" s="1"/>
  <c r="AW127" i="3" s="1"/>
  <c r="AX127" i="3" s="1"/>
  <c r="AY127" i="3" s="1"/>
  <c r="AZ127" i="3" s="1"/>
  <c r="BA127" i="3" s="1"/>
  <c r="BB127" i="3" s="1"/>
  <c r="BC127" i="3" s="1"/>
  <c r="E136" i="3"/>
  <c r="F136" i="3" s="1"/>
  <c r="G136" i="3" s="1"/>
  <c r="H136" i="3" s="1"/>
  <c r="I136" i="3" s="1"/>
  <c r="J136" i="3" s="1"/>
  <c r="K136" i="3" s="1"/>
  <c r="L136" i="3" s="1"/>
  <c r="M136" i="3" s="1"/>
  <c r="N136" i="3" s="1"/>
  <c r="O136" i="3" s="1"/>
  <c r="P136" i="3" s="1"/>
  <c r="Q136" i="3" s="1"/>
  <c r="R136" i="3" s="1"/>
  <c r="S136" i="3" s="1"/>
  <c r="T136" i="3" s="1"/>
  <c r="U136" i="3" s="1"/>
  <c r="V136" i="3" s="1"/>
  <c r="W136" i="3" s="1"/>
  <c r="X136" i="3" s="1"/>
  <c r="Y136" i="3" s="1"/>
  <c r="Z136" i="3" s="1"/>
  <c r="AA136" i="3" s="1"/>
  <c r="AB136" i="3" s="1"/>
  <c r="AC136" i="3" s="1"/>
  <c r="AD136" i="3" s="1"/>
  <c r="AE136" i="3" s="1"/>
  <c r="AF136" i="3" s="1"/>
  <c r="AG136" i="3" s="1"/>
  <c r="AH136" i="3" s="1"/>
  <c r="AI136" i="3" s="1"/>
  <c r="AJ136" i="3" s="1"/>
  <c r="AK136" i="3" s="1"/>
  <c r="AL136" i="3" s="1"/>
  <c r="AM136" i="3" s="1"/>
  <c r="AN136" i="3" s="1"/>
  <c r="AO136" i="3" s="1"/>
  <c r="AP136" i="3" s="1"/>
  <c r="AQ136" i="3" s="1"/>
  <c r="AR136" i="3" s="1"/>
  <c r="AS136" i="3" s="1"/>
  <c r="AT136" i="3" s="1"/>
  <c r="AU136" i="3" s="1"/>
  <c r="AV136" i="3" s="1"/>
  <c r="AW136" i="3" s="1"/>
  <c r="AX136" i="3" s="1"/>
  <c r="AY136" i="3" s="1"/>
  <c r="AZ136" i="3" s="1"/>
  <c r="BA136" i="3" s="1"/>
  <c r="BB136" i="3" s="1"/>
  <c r="BC136" i="3" s="1"/>
  <c r="E145" i="3"/>
  <c r="F145" i="3" s="1"/>
  <c r="G145" i="3" s="1"/>
  <c r="H145" i="3" s="1"/>
  <c r="I145" i="3" s="1"/>
  <c r="J145" i="3" s="1"/>
  <c r="K145" i="3" s="1"/>
  <c r="L145" i="3" s="1"/>
  <c r="M145" i="3" s="1"/>
  <c r="N145" i="3" s="1"/>
  <c r="O145" i="3" s="1"/>
  <c r="P145" i="3" s="1"/>
  <c r="Q145" i="3" s="1"/>
  <c r="R145" i="3" s="1"/>
  <c r="S145" i="3" s="1"/>
  <c r="T145" i="3" s="1"/>
  <c r="U145" i="3" s="1"/>
  <c r="V145" i="3" s="1"/>
  <c r="W145" i="3" s="1"/>
  <c r="X145" i="3" s="1"/>
  <c r="Y145" i="3" s="1"/>
  <c r="Z145" i="3" s="1"/>
  <c r="AA145" i="3" s="1"/>
  <c r="AB145" i="3" s="1"/>
  <c r="AC145" i="3" s="1"/>
  <c r="AD145" i="3" s="1"/>
  <c r="AE145" i="3" s="1"/>
  <c r="AF145" i="3" s="1"/>
  <c r="AG145" i="3" s="1"/>
  <c r="AH145" i="3" s="1"/>
  <c r="AI145" i="3" s="1"/>
  <c r="AJ145" i="3" s="1"/>
  <c r="AK145" i="3" s="1"/>
  <c r="AL145" i="3" s="1"/>
  <c r="AM145" i="3" s="1"/>
  <c r="AN145" i="3" s="1"/>
  <c r="AO145" i="3" s="1"/>
  <c r="AP145" i="3" s="1"/>
  <c r="AQ145" i="3" s="1"/>
  <c r="AR145" i="3" s="1"/>
  <c r="AS145" i="3" s="1"/>
  <c r="AT145" i="3" s="1"/>
  <c r="AU145" i="3" s="1"/>
  <c r="AV145" i="3" s="1"/>
  <c r="AW145" i="3" s="1"/>
  <c r="AX145" i="3" s="1"/>
  <c r="AY145" i="3" s="1"/>
  <c r="AZ145" i="3" s="1"/>
  <c r="BA145" i="3" s="1"/>
  <c r="BB145" i="3" s="1"/>
  <c r="BC145" i="3" s="1"/>
  <c r="E154" i="3"/>
  <c r="F154" i="3" s="1"/>
  <c r="G154" i="3" s="1"/>
  <c r="H154" i="3" s="1"/>
  <c r="I154" i="3" s="1"/>
  <c r="J154" i="3" s="1"/>
  <c r="K154" i="3" s="1"/>
  <c r="L154" i="3" s="1"/>
  <c r="M154" i="3" s="1"/>
  <c r="N154" i="3" s="1"/>
  <c r="O154" i="3" s="1"/>
  <c r="P154" i="3" s="1"/>
  <c r="Q154" i="3" s="1"/>
  <c r="R154" i="3" s="1"/>
  <c r="S154" i="3" s="1"/>
  <c r="T154" i="3" s="1"/>
  <c r="U154" i="3" s="1"/>
  <c r="V154" i="3" s="1"/>
  <c r="W154" i="3" s="1"/>
  <c r="X154" i="3" s="1"/>
  <c r="Y154" i="3" s="1"/>
  <c r="Z154" i="3" s="1"/>
  <c r="AA154" i="3" s="1"/>
  <c r="AB154" i="3" s="1"/>
  <c r="AC154" i="3" s="1"/>
  <c r="AD154" i="3" s="1"/>
  <c r="AE154" i="3" s="1"/>
  <c r="AF154" i="3" s="1"/>
  <c r="AG154" i="3" s="1"/>
  <c r="AH154" i="3" s="1"/>
  <c r="AI154" i="3" s="1"/>
  <c r="AJ154" i="3" s="1"/>
  <c r="AK154" i="3" s="1"/>
  <c r="AL154" i="3" s="1"/>
  <c r="AM154" i="3" s="1"/>
  <c r="AN154" i="3" s="1"/>
  <c r="AO154" i="3" s="1"/>
  <c r="AP154" i="3" s="1"/>
  <c r="AQ154" i="3" s="1"/>
  <c r="AR154" i="3" s="1"/>
  <c r="AS154" i="3" s="1"/>
  <c r="AT154" i="3" s="1"/>
  <c r="AU154" i="3" s="1"/>
  <c r="AV154" i="3" s="1"/>
  <c r="AW154" i="3" s="1"/>
  <c r="AX154" i="3" s="1"/>
  <c r="AY154" i="3" s="1"/>
  <c r="AZ154" i="3" s="1"/>
  <c r="BA154" i="3" s="1"/>
  <c r="BB154" i="3" s="1"/>
  <c r="BC154" i="3" s="1"/>
  <c r="E163" i="3"/>
  <c r="F163" i="3" s="1"/>
  <c r="G163" i="3" s="1"/>
  <c r="H163" i="3" s="1"/>
  <c r="I163" i="3" s="1"/>
  <c r="J163" i="3" s="1"/>
  <c r="K163" i="3" s="1"/>
  <c r="L163" i="3" s="1"/>
  <c r="M163" i="3" s="1"/>
  <c r="N163" i="3" s="1"/>
  <c r="O163" i="3" s="1"/>
  <c r="P163" i="3" s="1"/>
  <c r="Q163" i="3" s="1"/>
  <c r="R163" i="3" s="1"/>
  <c r="S163" i="3" s="1"/>
  <c r="T163" i="3" s="1"/>
  <c r="U163" i="3" s="1"/>
  <c r="V163" i="3" s="1"/>
  <c r="W163" i="3" s="1"/>
  <c r="X163" i="3" s="1"/>
  <c r="Y163" i="3" s="1"/>
  <c r="Z163" i="3" s="1"/>
  <c r="AA163" i="3" s="1"/>
  <c r="AB163" i="3" s="1"/>
  <c r="AC163" i="3" s="1"/>
  <c r="AD163" i="3" s="1"/>
  <c r="AE163" i="3" s="1"/>
  <c r="AF163" i="3" s="1"/>
  <c r="AG163" i="3" s="1"/>
  <c r="AH163" i="3" s="1"/>
  <c r="AI163" i="3" s="1"/>
  <c r="AJ163" i="3" s="1"/>
  <c r="AK163" i="3" s="1"/>
  <c r="AL163" i="3" s="1"/>
  <c r="AM163" i="3" s="1"/>
  <c r="AN163" i="3" s="1"/>
  <c r="AO163" i="3" s="1"/>
  <c r="AP163" i="3" s="1"/>
  <c r="AQ163" i="3" s="1"/>
  <c r="AR163" i="3" s="1"/>
  <c r="AS163" i="3" s="1"/>
  <c r="AT163" i="3" s="1"/>
  <c r="AU163" i="3" s="1"/>
  <c r="AV163" i="3" s="1"/>
  <c r="AW163" i="3" s="1"/>
  <c r="AX163" i="3" s="1"/>
  <c r="AY163" i="3" s="1"/>
  <c r="AZ163" i="3" s="1"/>
  <c r="BA163" i="3" s="1"/>
  <c r="BB163" i="3" s="1"/>
  <c r="BC163" i="3" s="1"/>
  <c r="E172" i="3"/>
  <c r="F172" i="3" s="1"/>
  <c r="G172" i="3" s="1"/>
  <c r="H172" i="3" s="1"/>
  <c r="I172" i="3" s="1"/>
  <c r="J172" i="3" s="1"/>
  <c r="K172" i="3" s="1"/>
  <c r="L172" i="3" s="1"/>
  <c r="M172" i="3" s="1"/>
  <c r="N172" i="3" s="1"/>
  <c r="O172" i="3" s="1"/>
  <c r="P172" i="3" s="1"/>
  <c r="Q172" i="3" s="1"/>
  <c r="R172" i="3" s="1"/>
  <c r="S172" i="3" s="1"/>
  <c r="T172" i="3" s="1"/>
  <c r="U172" i="3" s="1"/>
  <c r="V172" i="3" s="1"/>
  <c r="W172" i="3" s="1"/>
  <c r="X172" i="3" s="1"/>
  <c r="Y172" i="3" s="1"/>
  <c r="Z172" i="3" s="1"/>
  <c r="AA172" i="3" s="1"/>
  <c r="AB172" i="3" s="1"/>
  <c r="AC172" i="3" s="1"/>
  <c r="AD172" i="3" s="1"/>
  <c r="AE172" i="3" s="1"/>
  <c r="AF172" i="3" s="1"/>
  <c r="AG172" i="3" s="1"/>
  <c r="AH172" i="3" s="1"/>
  <c r="AI172" i="3" s="1"/>
  <c r="AJ172" i="3" s="1"/>
  <c r="AK172" i="3" s="1"/>
  <c r="AL172" i="3" s="1"/>
  <c r="AM172" i="3" s="1"/>
  <c r="AN172" i="3" s="1"/>
  <c r="AO172" i="3" s="1"/>
  <c r="AP172" i="3" s="1"/>
  <c r="AQ172" i="3" s="1"/>
  <c r="AR172" i="3" s="1"/>
  <c r="AS172" i="3" s="1"/>
  <c r="AT172" i="3" s="1"/>
  <c r="AU172" i="3" s="1"/>
  <c r="AV172" i="3" s="1"/>
  <c r="AW172" i="3" s="1"/>
  <c r="AX172" i="3" s="1"/>
  <c r="AY172" i="3" s="1"/>
  <c r="AZ172" i="3" s="1"/>
  <c r="BA172" i="3" s="1"/>
  <c r="BB172" i="3" s="1"/>
  <c r="BC172" i="3" s="1"/>
  <c r="D212" i="3"/>
  <c r="E212" i="3" s="1"/>
  <c r="F212" i="3" s="1"/>
  <c r="G212" i="3" s="1"/>
  <c r="H212" i="3" s="1"/>
  <c r="I212" i="3" s="1"/>
  <c r="J212" i="3" s="1"/>
  <c r="K212" i="3" s="1"/>
  <c r="L212" i="3" s="1"/>
  <c r="M212" i="3" s="1"/>
  <c r="N212" i="3" s="1"/>
  <c r="O212" i="3" s="1"/>
  <c r="P212" i="3" s="1"/>
  <c r="Q212" i="3" s="1"/>
  <c r="R212" i="3" s="1"/>
  <c r="S212" i="3" s="1"/>
  <c r="T212" i="3" s="1"/>
  <c r="U212" i="3" s="1"/>
  <c r="V212" i="3" s="1"/>
  <c r="W212" i="3" s="1"/>
  <c r="X212" i="3" s="1"/>
  <c r="Y212" i="3" s="1"/>
  <c r="Z212" i="3" s="1"/>
  <c r="AA212" i="3" s="1"/>
  <c r="AB212" i="3" s="1"/>
  <c r="AC212" i="3" s="1"/>
  <c r="AD212" i="3" s="1"/>
  <c r="AE212" i="3" s="1"/>
  <c r="AF212" i="3" s="1"/>
  <c r="AG212" i="3" s="1"/>
  <c r="AH212" i="3" s="1"/>
  <c r="AI212" i="3" s="1"/>
  <c r="AJ212" i="3" s="1"/>
  <c r="AK212" i="3" s="1"/>
  <c r="AL212" i="3" s="1"/>
  <c r="AM212" i="3" s="1"/>
  <c r="AN212" i="3" s="1"/>
  <c r="AO212" i="3" s="1"/>
  <c r="AP212" i="3" s="1"/>
  <c r="AQ212" i="3" s="1"/>
  <c r="AR212" i="3" s="1"/>
  <c r="AS212" i="3" s="1"/>
  <c r="AT212" i="3" s="1"/>
  <c r="AU212" i="3" s="1"/>
  <c r="AV212" i="3" s="1"/>
  <c r="AW212" i="3" s="1"/>
  <c r="AX212" i="3" s="1"/>
  <c r="AY212" i="3" s="1"/>
  <c r="AZ212" i="3" s="1"/>
  <c r="BA212" i="3" s="1"/>
  <c r="BB212" i="3" s="1"/>
  <c r="D219" i="3"/>
  <c r="E219" i="3" s="1"/>
  <c r="F219" i="3" s="1"/>
  <c r="G219" i="3" s="1"/>
  <c r="H219" i="3" s="1"/>
  <c r="I219" i="3" s="1"/>
  <c r="J219" i="3" s="1"/>
  <c r="K219" i="3" s="1"/>
  <c r="L219" i="3" s="1"/>
  <c r="M219" i="3" s="1"/>
  <c r="N219" i="3" s="1"/>
  <c r="O219" i="3" s="1"/>
  <c r="P219" i="3" s="1"/>
  <c r="Q219" i="3" s="1"/>
  <c r="R219" i="3" s="1"/>
  <c r="S219" i="3" s="1"/>
  <c r="T219" i="3" s="1"/>
  <c r="U219" i="3" s="1"/>
  <c r="V219" i="3" s="1"/>
  <c r="W219" i="3" s="1"/>
  <c r="X219" i="3" s="1"/>
  <c r="Y219" i="3" s="1"/>
  <c r="Z219" i="3" s="1"/>
  <c r="AA219" i="3" s="1"/>
  <c r="AB219" i="3" s="1"/>
  <c r="AC219" i="3" s="1"/>
  <c r="AD219" i="3" s="1"/>
  <c r="AE219" i="3" s="1"/>
  <c r="AF219" i="3" s="1"/>
  <c r="AG219" i="3" s="1"/>
  <c r="AH219" i="3" s="1"/>
  <c r="AI219" i="3" s="1"/>
  <c r="AJ219" i="3" s="1"/>
  <c r="AK219" i="3" s="1"/>
  <c r="AL219" i="3" s="1"/>
  <c r="AM219" i="3" s="1"/>
  <c r="AN219" i="3" s="1"/>
  <c r="AO219" i="3" s="1"/>
  <c r="AP219" i="3" s="1"/>
  <c r="AQ219" i="3" s="1"/>
  <c r="AR219" i="3" s="1"/>
  <c r="AS219" i="3" s="1"/>
  <c r="AT219" i="3" s="1"/>
  <c r="AU219" i="3" s="1"/>
  <c r="AV219" i="3" s="1"/>
  <c r="AW219" i="3" s="1"/>
  <c r="AX219" i="3" s="1"/>
  <c r="AY219" i="3" s="1"/>
  <c r="AZ219" i="3" s="1"/>
  <c r="BA219" i="3" s="1"/>
  <c r="BB219" i="3" s="1"/>
  <c r="D226" i="3"/>
  <c r="E226" i="3" s="1"/>
  <c r="F226" i="3" s="1"/>
  <c r="G226" i="3" s="1"/>
  <c r="H226" i="3" s="1"/>
  <c r="I226" i="3" s="1"/>
  <c r="J226" i="3" s="1"/>
  <c r="K226" i="3" s="1"/>
  <c r="L226" i="3" s="1"/>
  <c r="M226" i="3" s="1"/>
  <c r="N226" i="3" s="1"/>
  <c r="O226" i="3" s="1"/>
  <c r="P226" i="3" s="1"/>
  <c r="Q226" i="3" s="1"/>
  <c r="R226" i="3" s="1"/>
  <c r="S226" i="3" s="1"/>
  <c r="T226" i="3" s="1"/>
  <c r="U226" i="3" s="1"/>
  <c r="V226" i="3" s="1"/>
  <c r="W226" i="3" s="1"/>
  <c r="X226" i="3" s="1"/>
  <c r="Y226" i="3" s="1"/>
  <c r="Z226" i="3" s="1"/>
  <c r="AA226" i="3" s="1"/>
  <c r="AB226" i="3" s="1"/>
  <c r="AC226" i="3" s="1"/>
  <c r="AD226" i="3" s="1"/>
  <c r="AE226" i="3" s="1"/>
  <c r="AF226" i="3" s="1"/>
  <c r="AG226" i="3" s="1"/>
  <c r="AH226" i="3" s="1"/>
  <c r="AI226" i="3" s="1"/>
  <c r="AJ226" i="3" s="1"/>
  <c r="AK226" i="3" s="1"/>
  <c r="AL226" i="3" s="1"/>
  <c r="AM226" i="3" s="1"/>
  <c r="AN226" i="3" s="1"/>
  <c r="AO226" i="3" s="1"/>
  <c r="AP226" i="3" s="1"/>
  <c r="AQ226" i="3" s="1"/>
  <c r="AR226" i="3" s="1"/>
  <c r="AS226" i="3" s="1"/>
  <c r="AT226" i="3" s="1"/>
  <c r="AU226" i="3" s="1"/>
  <c r="AV226" i="3" s="1"/>
  <c r="AW226" i="3" s="1"/>
  <c r="AX226" i="3" s="1"/>
  <c r="AY226" i="3" s="1"/>
  <c r="AZ226" i="3" s="1"/>
  <c r="BA226" i="3" s="1"/>
  <c r="BB226" i="3" s="1"/>
  <c r="D233" i="3"/>
  <c r="E233" i="3" s="1"/>
  <c r="F233" i="3" s="1"/>
  <c r="G233" i="3" s="1"/>
  <c r="H233" i="3" s="1"/>
  <c r="I233" i="3" s="1"/>
  <c r="J233" i="3" s="1"/>
  <c r="K233" i="3" s="1"/>
  <c r="L233" i="3" s="1"/>
  <c r="M233" i="3" s="1"/>
  <c r="N233" i="3" s="1"/>
  <c r="O233" i="3" s="1"/>
  <c r="P233" i="3" s="1"/>
  <c r="Q233" i="3" s="1"/>
  <c r="R233" i="3" s="1"/>
  <c r="S233" i="3" s="1"/>
  <c r="T233" i="3" s="1"/>
  <c r="U233" i="3" s="1"/>
  <c r="V233" i="3" s="1"/>
  <c r="W233" i="3" s="1"/>
  <c r="X233" i="3" s="1"/>
  <c r="Y233" i="3" s="1"/>
  <c r="Z233" i="3" s="1"/>
  <c r="AA233" i="3" s="1"/>
  <c r="AB233" i="3" s="1"/>
  <c r="AC233" i="3" s="1"/>
  <c r="AD233" i="3" s="1"/>
  <c r="AE233" i="3" s="1"/>
  <c r="AF233" i="3" s="1"/>
  <c r="AG233" i="3" s="1"/>
  <c r="AH233" i="3" s="1"/>
  <c r="AI233" i="3" s="1"/>
  <c r="AJ233" i="3" s="1"/>
  <c r="AK233" i="3" s="1"/>
  <c r="AL233" i="3" s="1"/>
  <c r="AM233" i="3" s="1"/>
  <c r="AN233" i="3" s="1"/>
  <c r="AO233" i="3" s="1"/>
  <c r="AP233" i="3" s="1"/>
  <c r="AQ233" i="3" s="1"/>
  <c r="AR233" i="3" s="1"/>
  <c r="AS233" i="3" s="1"/>
  <c r="AT233" i="3" s="1"/>
  <c r="AU233" i="3" s="1"/>
  <c r="AV233" i="3" s="1"/>
  <c r="AW233" i="3" s="1"/>
  <c r="AX233" i="3" s="1"/>
  <c r="AY233" i="3" s="1"/>
  <c r="AZ233" i="3" s="1"/>
  <c r="BA233" i="3" s="1"/>
  <c r="BB233" i="3" s="1"/>
  <c r="D290" i="3"/>
  <c r="E290" i="3" s="1"/>
  <c r="F290" i="3" s="1"/>
  <c r="G290" i="3" s="1"/>
  <c r="H290" i="3" s="1"/>
  <c r="I290" i="3" s="1"/>
  <c r="J290" i="3" s="1"/>
  <c r="K290" i="3" s="1"/>
  <c r="L290" i="3" s="1"/>
  <c r="M290" i="3" s="1"/>
  <c r="N290" i="3" s="1"/>
  <c r="O290" i="3" s="1"/>
  <c r="P290" i="3" s="1"/>
  <c r="Q290" i="3" s="1"/>
  <c r="R290" i="3" s="1"/>
  <c r="S290" i="3" s="1"/>
  <c r="T290" i="3" s="1"/>
  <c r="U290" i="3" s="1"/>
  <c r="V290" i="3" s="1"/>
  <c r="W290" i="3" s="1"/>
  <c r="X290" i="3" s="1"/>
  <c r="Y290" i="3" s="1"/>
  <c r="Z290" i="3" s="1"/>
  <c r="AA290" i="3" s="1"/>
  <c r="AB290" i="3" s="1"/>
  <c r="AC290" i="3" s="1"/>
  <c r="AD290" i="3" s="1"/>
  <c r="AE290" i="3" s="1"/>
  <c r="AF290" i="3" s="1"/>
  <c r="AG290" i="3" s="1"/>
  <c r="AH290" i="3" s="1"/>
  <c r="AI290" i="3" s="1"/>
  <c r="AJ290" i="3" s="1"/>
  <c r="AK290" i="3" s="1"/>
  <c r="AL290" i="3" s="1"/>
  <c r="AM290" i="3" s="1"/>
  <c r="AN290" i="3" s="1"/>
  <c r="AO290" i="3" s="1"/>
  <c r="AP290" i="3" s="1"/>
  <c r="AQ290" i="3" s="1"/>
  <c r="AR290" i="3" s="1"/>
  <c r="AS290" i="3" s="1"/>
  <c r="AT290" i="3" s="1"/>
  <c r="AU290" i="3" s="1"/>
  <c r="AV290" i="3" s="1"/>
  <c r="AW290" i="3" s="1"/>
  <c r="AX290" i="3" s="1"/>
  <c r="AY290" i="3" s="1"/>
  <c r="AZ290" i="3" s="1"/>
  <c r="BA290" i="3" s="1"/>
  <c r="BB290" i="3" s="1"/>
  <c r="D283" i="3"/>
  <c r="E283" i="3" s="1"/>
  <c r="F283" i="3" s="1"/>
  <c r="G283" i="3" s="1"/>
  <c r="H283" i="3" s="1"/>
  <c r="I283" i="3" s="1"/>
  <c r="J283" i="3" s="1"/>
  <c r="K283" i="3" s="1"/>
  <c r="L283" i="3" s="1"/>
  <c r="M283" i="3" s="1"/>
  <c r="N283" i="3" s="1"/>
  <c r="O283" i="3" s="1"/>
  <c r="P283" i="3" s="1"/>
  <c r="Q283" i="3" s="1"/>
  <c r="R283" i="3" s="1"/>
  <c r="S283" i="3" s="1"/>
  <c r="T283" i="3" s="1"/>
  <c r="U283" i="3" s="1"/>
  <c r="V283" i="3" s="1"/>
  <c r="W283" i="3" s="1"/>
  <c r="X283" i="3" s="1"/>
  <c r="Y283" i="3" s="1"/>
  <c r="Z283" i="3" s="1"/>
  <c r="AA283" i="3" s="1"/>
  <c r="AB283" i="3" s="1"/>
  <c r="AC283" i="3" s="1"/>
  <c r="AD283" i="3" s="1"/>
  <c r="AE283" i="3" s="1"/>
  <c r="AF283" i="3" s="1"/>
  <c r="AG283" i="3" s="1"/>
  <c r="AH283" i="3" s="1"/>
  <c r="AI283" i="3" s="1"/>
  <c r="AJ283" i="3" s="1"/>
  <c r="AK283" i="3" s="1"/>
  <c r="AL283" i="3" s="1"/>
  <c r="AM283" i="3" s="1"/>
  <c r="AN283" i="3" s="1"/>
  <c r="AO283" i="3" s="1"/>
  <c r="AP283" i="3" s="1"/>
  <c r="AQ283" i="3" s="1"/>
  <c r="AR283" i="3" s="1"/>
  <c r="AS283" i="3" s="1"/>
  <c r="AT283" i="3" s="1"/>
  <c r="AU283" i="3" s="1"/>
  <c r="AV283" i="3" s="1"/>
  <c r="AW283" i="3" s="1"/>
  <c r="AX283" i="3" s="1"/>
  <c r="AY283" i="3" s="1"/>
  <c r="AZ283" i="3" s="1"/>
  <c r="BA283" i="3" s="1"/>
  <c r="BB283" i="3" s="1"/>
  <c r="D276" i="3"/>
  <c r="E276" i="3" s="1"/>
  <c r="F276" i="3" s="1"/>
  <c r="G276" i="3" s="1"/>
  <c r="H276" i="3" s="1"/>
  <c r="I276" i="3" s="1"/>
  <c r="J276" i="3" s="1"/>
  <c r="K276" i="3" s="1"/>
  <c r="L276" i="3" s="1"/>
  <c r="M276" i="3" s="1"/>
  <c r="N276" i="3" s="1"/>
  <c r="O276" i="3" s="1"/>
  <c r="P276" i="3" s="1"/>
  <c r="Q276" i="3" s="1"/>
  <c r="R276" i="3" s="1"/>
  <c r="S276" i="3" s="1"/>
  <c r="T276" i="3" s="1"/>
  <c r="U276" i="3" s="1"/>
  <c r="V276" i="3" s="1"/>
  <c r="W276" i="3" s="1"/>
  <c r="X276" i="3" s="1"/>
  <c r="Y276" i="3" s="1"/>
  <c r="Z276" i="3" s="1"/>
  <c r="AA276" i="3" s="1"/>
  <c r="AB276" i="3" s="1"/>
  <c r="AC276" i="3" s="1"/>
  <c r="AD276" i="3" s="1"/>
  <c r="AE276" i="3" s="1"/>
  <c r="AF276" i="3" s="1"/>
  <c r="AG276" i="3" s="1"/>
  <c r="AH276" i="3" s="1"/>
  <c r="AI276" i="3" s="1"/>
  <c r="AJ276" i="3" s="1"/>
  <c r="AK276" i="3" s="1"/>
  <c r="AL276" i="3" s="1"/>
  <c r="AM276" i="3" s="1"/>
  <c r="AN276" i="3" s="1"/>
  <c r="AO276" i="3" s="1"/>
  <c r="AP276" i="3" s="1"/>
  <c r="AQ276" i="3" s="1"/>
  <c r="AR276" i="3" s="1"/>
  <c r="AS276" i="3" s="1"/>
  <c r="AT276" i="3" s="1"/>
  <c r="AU276" i="3" s="1"/>
  <c r="AV276" i="3" s="1"/>
  <c r="AW276" i="3" s="1"/>
  <c r="AX276" i="3" s="1"/>
  <c r="AY276" i="3" s="1"/>
  <c r="AZ276" i="3" s="1"/>
  <c r="BA276" i="3" s="1"/>
  <c r="BB276" i="3" s="1"/>
  <c r="D269" i="3"/>
  <c r="E269" i="3" s="1"/>
  <c r="F269" i="3" s="1"/>
  <c r="G269" i="3" s="1"/>
  <c r="H269" i="3" s="1"/>
  <c r="I269" i="3" s="1"/>
  <c r="J269" i="3" s="1"/>
  <c r="K269" i="3" s="1"/>
  <c r="L269" i="3" s="1"/>
  <c r="M269" i="3" s="1"/>
  <c r="N269" i="3" s="1"/>
  <c r="O269" i="3" s="1"/>
  <c r="P269" i="3" s="1"/>
  <c r="Q269" i="3" s="1"/>
  <c r="R269" i="3" s="1"/>
  <c r="S269" i="3" s="1"/>
  <c r="T269" i="3" s="1"/>
  <c r="U269" i="3" s="1"/>
  <c r="V269" i="3" s="1"/>
  <c r="W269" i="3" s="1"/>
  <c r="X269" i="3" s="1"/>
  <c r="Y269" i="3" s="1"/>
  <c r="Z269" i="3" s="1"/>
  <c r="AA269" i="3" s="1"/>
  <c r="AB269" i="3" s="1"/>
  <c r="AC269" i="3" s="1"/>
  <c r="AD269" i="3" s="1"/>
  <c r="AE269" i="3" s="1"/>
  <c r="AF269" i="3" s="1"/>
  <c r="AG269" i="3" s="1"/>
  <c r="AH269" i="3" s="1"/>
  <c r="AI269" i="3" s="1"/>
  <c r="AJ269" i="3" s="1"/>
  <c r="AK269" i="3" s="1"/>
  <c r="AL269" i="3" s="1"/>
  <c r="AM269" i="3" s="1"/>
  <c r="AN269" i="3" s="1"/>
  <c r="AO269" i="3" s="1"/>
  <c r="AP269" i="3" s="1"/>
  <c r="AQ269" i="3" s="1"/>
  <c r="AR269" i="3" s="1"/>
  <c r="AS269" i="3" s="1"/>
  <c r="AT269" i="3" s="1"/>
  <c r="AU269" i="3" s="1"/>
  <c r="AV269" i="3" s="1"/>
  <c r="AW269" i="3" s="1"/>
  <c r="AX269" i="3" s="1"/>
  <c r="AY269" i="3" s="1"/>
  <c r="AZ269" i="3" s="1"/>
  <c r="BA269" i="3" s="1"/>
  <c r="BB269" i="3" s="1"/>
  <c r="D262" i="3"/>
  <c r="E262" i="3" s="1"/>
  <c r="F262" i="3" s="1"/>
  <c r="G262" i="3" s="1"/>
  <c r="H262" i="3" s="1"/>
  <c r="I262" i="3" s="1"/>
  <c r="J262" i="3" s="1"/>
  <c r="K262" i="3" s="1"/>
  <c r="L262" i="3" s="1"/>
  <c r="M262" i="3" s="1"/>
  <c r="N262" i="3" s="1"/>
  <c r="O262" i="3" s="1"/>
  <c r="P262" i="3" s="1"/>
  <c r="Q262" i="3" s="1"/>
  <c r="R262" i="3" s="1"/>
  <c r="S262" i="3" s="1"/>
  <c r="T262" i="3" s="1"/>
  <c r="U262" i="3" s="1"/>
  <c r="V262" i="3" s="1"/>
  <c r="W262" i="3" s="1"/>
  <c r="X262" i="3" s="1"/>
  <c r="Y262" i="3" s="1"/>
  <c r="Z262" i="3" s="1"/>
  <c r="AA262" i="3" s="1"/>
  <c r="AB262" i="3" s="1"/>
  <c r="AC262" i="3" s="1"/>
  <c r="AD262" i="3" s="1"/>
  <c r="AE262" i="3" s="1"/>
  <c r="AF262" i="3" s="1"/>
  <c r="AG262" i="3" s="1"/>
  <c r="AH262" i="3" s="1"/>
  <c r="AI262" i="3" s="1"/>
  <c r="AJ262" i="3" s="1"/>
  <c r="AK262" i="3" s="1"/>
  <c r="AL262" i="3" s="1"/>
  <c r="AM262" i="3" s="1"/>
  <c r="AN262" i="3" s="1"/>
  <c r="AO262" i="3" s="1"/>
  <c r="AP262" i="3" s="1"/>
  <c r="AQ262" i="3" s="1"/>
  <c r="AR262" i="3" s="1"/>
  <c r="AS262" i="3" s="1"/>
  <c r="AT262" i="3" s="1"/>
  <c r="AU262" i="3" s="1"/>
  <c r="AV262" i="3" s="1"/>
  <c r="AW262" i="3" s="1"/>
  <c r="AX262" i="3" s="1"/>
  <c r="AY262" i="3" s="1"/>
  <c r="AZ262" i="3" s="1"/>
  <c r="BA262" i="3" s="1"/>
  <c r="BB262" i="3" s="1"/>
  <c r="D255" i="3"/>
  <c r="E255" i="3" s="1"/>
  <c r="F255" i="3" s="1"/>
  <c r="G255" i="3" s="1"/>
  <c r="H255" i="3" s="1"/>
  <c r="I255" i="3" s="1"/>
  <c r="J255" i="3" s="1"/>
  <c r="K255" i="3" s="1"/>
  <c r="L255" i="3" s="1"/>
  <c r="M255" i="3" s="1"/>
  <c r="N255" i="3" s="1"/>
  <c r="O255" i="3" s="1"/>
  <c r="P255" i="3" s="1"/>
  <c r="Q255" i="3" s="1"/>
  <c r="R255" i="3" s="1"/>
  <c r="S255" i="3" s="1"/>
  <c r="T255" i="3" s="1"/>
  <c r="U255" i="3" s="1"/>
  <c r="V255" i="3" s="1"/>
  <c r="W255" i="3" s="1"/>
  <c r="X255" i="3" s="1"/>
  <c r="Y255" i="3" s="1"/>
  <c r="Z255" i="3" s="1"/>
  <c r="AA255" i="3" s="1"/>
  <c r="AB255" i="3" s="1"/>
  <c r="AC255" i="3" s="1"/>
  <c r="AD255" i="3" s="1"/>
  <c r="AE255" i="3" s="1"/>
  <c r="AF255" i="3" s="1"/>
  <c r="AG255" i="3" s="1"/>
  <c r="AH255" i="3" s="1"/>
  <c r="AI255" i="3" s="1"/>
  <c r="AJ255" i="3" s="1"/>
  <c r="AK255" i="3" s="1"/>
  <c r="AL255" i="3" s="1"/>
  <c r="AM255" i="3" s="1"/>
  <c r="AN255" i="3" s="1"/>
  <c r="AO255" i="3" s="1"/>
  <c r="AP255" i="3" s="1"/>
  <c r="AQ255" i="3" s="1"/>
  <c r="AR255" i="3" s="1"/>
  <c r="AS255" i="3" s="1"/>
  <c r="AT255" i="3" s="1"/>
  <c r="AU255" i="3" s="1"/>
  <c r="AV255" i="3" s="1"/>
  <c r="AW255" i="3" s="1"/>
  <c r="AX255" i="3" s="1"/>
  <c r="AY255" i="3" s="1"/>
  <c r="AZ255" i="3" s="1"/>
  <c r="BA255" i="3" s="1"/>
  <c r="BB255" i="3" s="1"/>
  <c r="D248" i="3"/>
  <c r="E248" i="3" s="1"/>
  <c r="D241" i="3"/>
  <c r="E241" i="3" s="1"/>
  <c r="F241" i="3" s="1"/>
  <c r="G241" i="3" s="1"/>
  <c r="H241" i="3" s="1"/>
  <c r="B254" i="3"/>
  <c r="B261" i="3" s="1"/>
  <c r="B253" i="3"/>
  <c r="B252" i="3"/>
  <c r="B202" i="2" s="1"/>
  <c r="B251" i="3"/>
  <c r="B250" i="3"/>
  <c r="B200" i="2" s="1"/>
  <c r="B249" i="3"/>
  <c r="B256" i="3" s="1"/>
  <c r="B197" i="3"/>
  <c r="B204" i="3" s="1"/>
  <c r="B196" i="3"/>
  <c r="B203" i="3" s="1"/>
  <c r="B195" i="3"/>
  <c r="B202" i="3" s="1"/>
  <c r="B194" i="3"/>
  <c r="B201" i="3" s="1"/>
  <c r="B193" i="3"/>
  <c r="B115" i="2" s="1"/>
  <c r="B192" i="3"/>
  <c r="B114" i="2" s="1"/>
  <c r="AR114" i="2"/>
  <c r="B155" i="2"/>
  <c r="B148" i="2"/>
  <c r="B141" i="2"/>
  <c r="B134" i="2"/>
  <c r="B127" i="2"/>
  <c r="B120" i="2"/>
  <c r="B113" i="2"/>
  <c r="B112" i="2"/>
  <c r="B111" i="2"/>
  <c r="B110" i="2"/>
  <c r="B109" i="2"/>
  <c r="B107" i="2"/>
  <c r="B106" i="2"/>
  <c r="BD22" i="3"/>
  <c r="BE22" i="3" s="1"/>
  <c r="BD21" i="3"/>
  <c r="BE21" i="3" s="1"/>
  <c r="BD20" i="3"/>
  <c r="BE20" i="3" s="1"/>
  <c r="BD19" i="3"/>
  <c r="BE19" i="3" s="1"/>
  <c r="BD18" i="3"/>
  <c r="BE18" i="3" s="1"/>
  <c r="BD17" i="3"/>
  <c r="BE17" i="3" s="1"/>
  <c r="BD16" i="3"/>
  <c r="BE16" i="3" s="1"/>
  <c r="BD15" i="3"/>
  <c r="BE15" i="3" s="1"/>
  <c r="BD14" i="3"/>
  <c r="BE14" i="3" s="1"/>
  <c r="BD13" i="3"/>
  <c r="BE13" i="3" s="1"/>
  <c r="BD12" i="3"/>
  <c r="BE12" i="3" s="1"/>
  <c r="BD11" i="3"/>
  <c r="BE11" i="3" s="1"/>
  <c r="BD10" i="3"/>
  <c r="AR307" i="3" s="1"/>
  <c r="AW307" i="3" s="1"/>
  <c r="BD9" i="3"/>
  <c r="AD306" i="3" s="1"/>
  <c r="AG306" i="3" s="1"/>
  <c r="P306" i="3" s="1"/>
  <c r="BD8" i="3"/>
  <c r="AN305" i="3" s="1"/>
  <c r="AS305" i="3" s="1"/>
  <c r="BD7" i="3"/>
  <c r="AC304" i="3" s="1"/>
  <c r="AF304" i="3" s="1"/>
  <c r="O304" i="3" s="1"/>
  <c r="BD6" i="3"/>
  <c r="AR303" i="3" s="1"/>
  <c r="AW303" i="3" s="1"/>
  <c r="BD5" i="3"/>
  <c r="AR302" i="3" s="1"/>
  <c r="AW302" i="3" s="1"/>
  <c r="BD4" i="3"/>
  <c r="BD3" i="3"/>
  <c r="C762" i="2"/>
  <c r="C797" i="2" s="1"/>
  <c r="D824" i="2" s="1"/>
  <c r="A321" i="2"/>
  <c r="A456" i="2"/>
  <c r="L32" i="1"/>
  <c r="D34" i="1" s="1"/>
  <c r="L29" i="1"/>
  <c r="L27" i="1"/>
  <c r="L21" i="1"/>
  <c r="L16" i="1"/>
  <c r="L15" i="1"/>
  <c r="L12" i="1"/>
  <c r="G8" i="1"/>
  <c r="F13" i="1"/>
  <c r="G13" i="1" s="1"/>
  <c r="C30" i="1" s="1"/>
  <c r="F12" i="1"/>
  <c r="D3" i="1"/>
  <c r="D2" i="1"/>
  <c r="E2" i="1" s="1"/>
  <c r="B5" i="1"/>
  <c r="B384" i="2"/>
  <c r="B409" i="2" s="1"/>
  <c r="B426" i="2" s="1"/>
  <c r="B375" i="2"/>
  <c r="B408" i="2" s="1"/>
  <c r="B425" i="2" s="1"/>
  <c r="B366" i="2"/>
  <c r="B407" i="2" s="1"/>
  <c r="B424" i="2" s="1"/>
  <c r="B357" i="2"/>
  <c r="B406" i="2" s="1"/>
  <c r="B423" i="2" s="1"/>
  <c r="B348" i="2"/>
  <c r="B405" i="2" s="1"/>
  <c r="B422" i="2" s="1"/>
  <c r="B339" i="2"/>
  <c r="B404" i="2" s="1"/>
  <c r="B421" i="2" s="1"/>
  <c r="B330" i="2"/>
  <c r="B403" i="2" s="1"/>
  <c r="B420" i="2" s="1"/>
  <c r="I5" i="1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B387" i="2"/>
  <c r="BA387" i="2"/>
  <c r="AZ387" i="2"/>
  <c r="AY387" i="2"/>
  <c r="AX387" i="2"/>
  <c r="AW387" i="2"/>
  <c r="AV387" i="2"/>
  <c r="AU387" i="2"/>
  <c r="AT387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B379" i="2"/>
  <c r="BA379" i="2"/>
  <c r="AZ379" i="2"/>
  <c r="AY379" i="2"/>
  <c r="AX379" i="2"/>
  <c r="AW379" i="2"/>
  <c r="AV379" i="2"/>
  <c r="AU379" i="2"/>
  <c r="AT379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B378" i="2"/>
  <c r="BA378" i="2"/>
  <c r="AZ378" i="2"/>
  <c r="AY378" i="2"/>
  <c r="AX378" i="2"/>
  <c r="AW378" i="2"/>
  <c r="AV378" i="2"/>
  <c r="AU378" i="2"/>
  <c r="AT378" i="2"/>
  <c r="AS378" i="2"/>
  <c r="AR378" i="2"/>
  <c r="AQ378" i="2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B370" i="2"/>
  <c r="BA370" i="2"/>
  <c r="AZ370" i="2"/>
  <c r="AY370" i="2"/>
  <c r="AX370" i="2"/>
  <c r="AW370" i="2"/>
  <c r="AV370" i="2"/>
  <c r="AU370" i="2"/>
  <c r="AT370" i="2"/>
  <c r="AS370" i="2"/>
  <c r="AR370" i="2"/>
  <c r="AQ370" i="2"/>
  <c r="AP370" i="2"/>
  <c r="AO370" i="2"/>
  <c r="AN370" i="2"/>
  <c r="AM370" i="2"/>
  <c r="AL370" i="2"/>
  <c r="AK370" i="2"/>
  <c r="AJ370" i="2"/>
  <c r="AI370" i="2"/>
  <c r="AH370" i="2"/>
  <c r="AG370" i="2"/>
  <c r="AF370" i="2"/>
  <c r="AE370" i="2"/>
  <c r="AD370" i="2"/>
  <c r="AC370" i="2"/>
  <c r="AB370" i="2"/>
  <c r="AA370" i="2"/>
  <c r="Z370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B369" i="2"/>
  <c r="BA369" i="2"/>
  <c r="AZ369" i="2"/>
  <c r="AY369" i="2"/>
  <c r="AX369" i="2"/>
  <c r="AW369" i="2"/>
  <c r="AV369" i="2"/>
  <c r="AU369" i="2"/>
  <c r="AT369" i="2"/>
  <c r="AS369" i="2"/>
  <c r="AR369" i="2"/>
  <c r="AQ369" i="2"/>
  <c r="AP369" i="2"/>
  <c r="AO369" i="2"/>
  <c r="AN369" i="2"/>
  <c r="AM369" i="2"/>
  <c r="AL369" i="2"/>
  <c r="AK369" i="2"/>
  <c r="AJ369" i="2"/>
  <c r="AI369" i="2"/>
  <c r="AH369" i="2"/>
  <c r="AG369" i="2"/>
  <c r="AF369" i="2"/>
  <c r="AE369" i="2"/>
  <c r="AD369" i="2"/>
  <c r="AC369" i="2"/>
  <c r="AB369" i="2"/>
  <c r="AA369" i="2"/>
  <c r="Z369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B368" i="2"/>
  <c r="BA368" i="2"/>
  <c r="AZ368" i="2"/>
  <c r="AY368" i="2"/>
  <c r="AX368" i="2"/>
  <c r="AW368" i="2"/>
  <c r="AV368" i="2"/>
  <c r="AU368" i="2"/>
  <c r="AT368" i="2"/>
  <c r="AS368" i="2"/>
  <c r="AR368" i="2"/>
  <c r="AQ368" i="2"/>
  <c r="AP368" i="2"/>
  <c r="AO368" i="2"/>
  <c r="AN368" i="2"/>
  <c r="AM368" i="2"/>
  <c r="AL368" i="2"/>
  <c r="AK368" i="2"/>
  <c r="AJ368" i="2"/>
  <c r="AI368" i="2"/>
  <c r="AH368" i="2"/>
  <c r="AG368" i="2"/>
  <c r="AF368" i="2"/>
  <c r="AE368" i="2"/>
  <c r="AD368" i="2"/>
  <c r="AC368" i="2"/>
  <c r="AB368" i="2"/>
  <c r="AA368" i="2"/>
  <c r="Z368" i="2"/>
  <c r="Y368" i="2"/>
  <c r="X368" i="2"/>
  <c r="W368" i="2"/>
  <c r="V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B367" i="2"/>
  <c r="BA367" i="2"/>
  <c r="AZ367" i="2"/>
  <c r="AY367" i="2"/>
  <c r="AX367" i="2"/>
  <c r="AW367" i="2"/>
  <c r="AV367" i="2"/>
  <c r="AU367" i="2"/>
  <c r="AT367" i="2"/>
  <c r="AS367" i="2"/>
  <c r="AR367" i="2"/>
  <c r="AQ367" i="2"/>
  <c r="AP367" i="2"/>
  <c r="AO367" i="2"/>
  <c r="AN367" i="2"/>
  <c r="AM367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Z367" i="2"/>
  <c r="Y367" i="2"/>
  <c r="X367" i="2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B365" i="2"/>
  <c r="BA365" i="2"/>
  <c r="AZ365" i="2"/>
  <c r="AY365" i="2"/>
  <c r="AX365" i="2"/>
  <c r="AW365" i="2"/>
  <c r="AV365" i="2"/>
  <c r="AU365" i="2"/>
  <c r="AT365" i="2"/>
  <c r="AS365" i="2"/>
  <c r="AR365" i="2"/>
  <c r="AQ365" i="2"/>
  <c r="AP365" i="2"/>
  <c r="AO365" i="2"/>
  <c r="AN365" i="2"/>
  <c r="AM365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B364" i="2"/>
  <c r="BA364" i="2"/>
  <c r="AZ364" i="2"/>
  <c r="AY364" i="2"/>
  <c r="AX364" i="2"/>
  <c r="AW364" i="2"/>
  <c r="AV364" i="2"/>
  <c r="AU364" i="2"/>
  <c r="AT364" i="2"/>
  <c r="AS364" i="2"/>
  <c r="AR364" i="2"/>
  <c r="AQ364" i="2"/>
  <c r="AP364" i="2"/>
  <c r="AO364" i="2"/>
  <c r="AN364" i="2"/>
  <c r="AM364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Z364" i="2"/>
  <c r="Y364" i="2"/>
  <c r="X364" i="2"/>
  <c r="W364" i="2"/>
  <c r="V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B363" i="2"/>
  <c r="BA363" i="2"/>
  <c r="AZ363" i="2"/>
  <c r="AY363" i="2"/>
  <c r="AX363" i="2"/>
  <c r="AW363" i="2"/>
  <c r="AV363" i="2"/>
  <c r="AU363" i="2"/>
  <c r="AT363" i="2"/>
  <c r="AS363" i="2"/>
  <c r="AR363" i="2"/>
  <c r="AQ363" i="2"/>
  <c r="AP363" i="2"/>
  <c r="AO363" i="2"/>
  <c r="AN363" i="2"/>
  <c r="AM363" i="2"/>
  <c r="AL363" i="2"/>
  <c r="AK363" i="2"/>
  <c r="AJ363" i="2"/>
  <c r="AI363" i="2"/>
  <c r="AH363" i="2"/>
  <c r="AG363" i="2"/>
  <c r="AF363" i="2"/>
  <c r="AE363" i="2"/>
  <c r="AD363" i="2"/>
  <c r="AC363" i="2"/>
  <c r="AB363" i="2"/>
  <c r="AA363" i="2"/>
  <c r="Z363" i="2"/>
  <c r="Y363" i="2"/>
  <c r="X363" i="2"/>
  <c r="W363" i="2"/>
  <c r="V363" i="2"/>
  <c r="U363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B362" i="2"/>
  <c r="BA362" i="2"/>
  <c r="AZ362" i="2"/>
  <c r="AY362" i="2"/>
  <c r="AX362" i="2"/>
  <c r="AW362" i="2"/>
  <c r="AV362" i="2"/>
  <c r="AU362" i="2"/>
  <c r="AT362" i="2"/>
  <c r="AS362" i="2"/>
  <c r="AR362" i="2"/>
  <c r="AQ362" i="2"/>
  <c r="AP362" i="2"/>
  <c r="AO362" i="2"/>
  <c r="AN362" i="2"/>
  <c r="AM362" i="2"/>
  <c r="AL362" i="2"/>
  <c r="AK362" i="2"/>
  <c r="AJ362" i="2"/>
  <c r="AI362" i="2"/>
  <c r="AH362" i="2"/>
  <c r="AG362" i="2"/>
  <c r="AF362" i="2"/>
  <c r="AE362" i="2"/>
  <c r="AD362" i="2"/>
  <c r="AC362" i="2"/>
  <c r="AB362" i="2"/>
  <c r="AA362" i="2"/>
  <c r="Z362" i="2"/>
  <c r="Y362" i="2"/>
  <c r="X362" i="2"/>
  <c r="W362" i="2"/>
  <c r="V362" i="2"/>
  <c r="U362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B361" i="2"/>
  <c r="BA361" i="2"/>
  <c r="AZ361" i="2"/>
  <c r="AY361" i="2"/>
  <c r="AX361" i="2"/>
  <c r="AW361" i="2"/>
  <c r="AV361" i="2"/>
  <c r="AU361" i="2"/>
  <c r="AT361" i="2"/>
  <c r="AS361" i="2"/>
  <c r="AR361" i="2"/>
  <c r="AQ361" i="2"/>
  <c r="AP361" i="2"/>
  <c r="AO361" i="2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B360" i="2"/>
  <c r="BA360" i="2"/>
  <c r="AZ360" i="2"/>
  <c r="AY360" i="2"/>
  <c r="AX360" i="2"/>
  <c r="AW360" i="2"/>
  <c r="AV360" i="2"/>
  <c r="AU360" i="2"/>
  <c r="AT360" i="2"/>
  <c r="AS360" i="2"/>
  <c r="AR360" i="2"/>
  <c r="AQ360" i="2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B338" i="2"/>
  <c r="BA338" i="2"/>
  <c r="AZ338" i="2"/>
  <c r="AY338" i="2"/>
  <c r="AX338" i="2"/>
  <c r="AW338" i="2"/>
  <c r="AV338" i="2"/>
  <c r="AU338" i="2"/>
  <c r="AT338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B337" i="2"/>
  <c r="BA337" i="2"/>
  <c r="AZ337" i="2"/>
  <c r="AY337" i="2"/>
  <c r="AX337" i="2"/>
  <c r="AW337" i="2"/>
  <c r="AV337" i="2"/>
  <c r="AU337" i="2"/>
  <c r="AT337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B336" i="2"/>
  <c r="BA336" i="2"/>
  <c r="AZ336" i="2"/>
  <c r="AY336" i="2"/>
  <c r="AX336" i="2"/>
  <c r="AW336" i="2"/>
  <c r="AV336" i="2"/>
  <c r="AU336" i="2"/>
  <c r="AT336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B335" i="2"/>
  <c r="BA335" i="2"/>
  <c r="AZ335" i="2"/>
  <c r="AY335" i="2"/>
  <c r="AX335" i="2"/>
  <c r="AW335" i="2"/>
  <c r="AV335" i="2"/>
  <c r="AU335" i="2"/>
  <c r="AT335" i="2"/>
  <c r="AS335" i="2"/>
  <c r="AR335" i="2"/>
  <c r="AQ335" i="2"/>
  <c r="AP335" i="2"/>
  <c r="AO335" i="2"/>
  <c r="AN335" i="2"/>
  <c r="AM335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B334" i="2"/>
  <c r="BA334" i="2"/>
  <c r="AZ334" i="2"/>
  <c r="AY334" i="2"/>
  <c r="AX334" i="2"/>
  <c r="AW334" i="2"/>
  <c r="AV334" i="2"/>
  <c r="AU334" i="2"/>
  <c r="AT334" i="2"/>
  <c r="AS334" i="2"/>
  <c r="AR334" i="2"/>
  <c r="AQ334" i="2"/>
  <c r="AP334" i="2"/>
  <c r="AO334" i="2"/>
  <c r="AN334" i="2"/>
  <c r="AM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B333" i="2"/>
  <c r="BA333" i="2"/>
  <c r="AZ333" i="2"/>
  <c r="AY333" i="2"/>
  <c r="AX333" i="2"/>
  <c r="AW333" i="2"/>
  <c r="AV333" i="2"/>
  <c r="AU333" i="2"/>
  <c r="AT333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B332" i="2"/>
  <c r="BA332" i="2"/>
  <c r="AZ332" i="2"/>
  <c r="AY332" i="2"/>
  <c r="AX332" i="2"/>
  <c r="AW332" i="2"/>
  <c r="AV332" i="2"/>
  <c r="AU332" i="2"/>
  <c r="AT332" i="2"/>
  <c r="AS332" i="2"/>
  <c r="AR332" i="2"/>
  <c r="AQ332" i="2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B331" i="2"/>
  <c r="BA331" i="2"/>
  <c r="AZ331" i="2"/>
  <c r="AY331" i="2"/>
  <c r="AX331" i="2"/>
  <c r="AW331" i="2"/>
  <c r="AV331" i="2"/>
  <c r="AU331" i="2"/>
  <c r="AT331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BB329" i="2"/>
  <c r="BA329" i="2"/>
  <c r="AZ329" i="2"/>
  <c r="AY329" i="2"/>
  <c r="AX329" i="2"/>
  <c r="AW329" i="2"/>
  <c r="AV329" i="2"/>
  <c r="AU329" i="2"/>
  <c r="AT329" i="2"/>
  <c r="AS329" i="2"/>
  <c r="AR329" i="2"/>
  <c r="AQ329" i="2"/>
  <c r="AP329" i="2"/>
  <c r="AO329" i="2"/>
  <c r="AN329" i="2"/>
  <c r="AM329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BB327" i="2"/>
  <c r="BA327" i="2"/>
  <c r="AZ327" i="2"/>
  <c r="AY327" i="2"/>
  <c r="AX327" i="2"/>
  <c r="AW327" i="2"/>
  <c r="AV327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BB326" i="2"/>
  <c r="BA326" i="2"/>
  <c r="AZ326" i="2"/>
  <c r="AY326" i="2"/>
  <c r="AX326" i="2"/>
  <c r="AW326" i="2"/>
  <c r="AV326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9" i="2"/>
  <c r="C328" i="2"/>
  <c r="C327" i="2"/>
  <c r="C326" i="2"/>
  <c r="C325" i="2"/>
  <c r="C324" i="2"/>
  <c r="C323" i="2"/>
  <c r="C322" i="2"/>
  <c r="B173" i="3"/>
  <c r="B174" i="3" s="1"/>
  <c r="B175" i="3" s="1"/>
  <c r="B176" i="3" s="1"/>
  <c r="B177" i="3" s="1"/>
  <c r="B178" i="3" s="1"/>
  <c r="B179" i="3" s="1"/>
  <c r="B180" i="3" s="1"/>
  <c r="B164" i="3"/>
  <c r="B165" i="3" s="1"/>
  <c r="B166" i="3" s="1"/>
  <c r="B167" i="3" s="1"/>
  <c r="B168" i="3" s="1"/>
  <c r="B169" i="3" s="1"/>
  <c r="B170" i="3" s="1"/>
  <c r="B171" i="3" s="1"/>
  <c r="B155" i="3"/>
  <c r="B156" i="3" s="1"/>
  <c r="B157" i="3" s="1"/>
  <c r="B158" i="3" s="1"/>
  <c r="B159" i="3" s="1"/>
  <c r="B160" i="3" s="1"/>
  <c r="B161" i="3" s="1"/>
  <c r="B162" i="3" s="1"/>
  <c r="B146" i="3"/>
  <c r="B147" i="3" s="1"/>
  <c r="B148" i="3" s="1"/>
  <c r="B149" i="3" s="1"/>
  <c r="B150" i="3" s="1"/>
  <c r="B151" i="3" s="1"/>
  <c r="B152" i="3" s="1"/>
  <c r="B153" i="3" s="1"/>
  <c r="B137" i="3"/>
  <c r="B138" i="3" s="1"/>
  <c r="B139" i="3" s="1"/>
  <c r="B140" i="3" s="1"/>
  <c r="B141" i="3" s="1"/>
  <c r="B142" i="3" s="1"/>
  <c r="B143" i="3" s="1"/>
  <c r="B144" i="3" s="1"/>
  <c r="B128" i="3"/>
  <c r="B129" i="3" s="1"/>
  <c r="B130" i="3" s="1"/>
  <c r="B131" i="3" s="1"/>
  <c r="B132" i="3" s="1"/>
  <c r="B133" i="3" s="1"/>
  <c r="B134" i="3" s="1"/>
  <c r="B135" i="3" s="1"/>
  <c r="B110" i="3"/>
  <c r="B111" i="3" s="1"/>
  <c r="B112" i="3" s="1"/>
  <c r="B113" i="3" s="1"/>
  <c r="B114" i="3" s="1"/>
  <c r="B115" i="3" s="1"/>
  <c r="B116" i="3" s="1"/>
  <c r="B117" i="3" s="1"/>
  <c r="B119" i="3"/>
  <c r="B120" i="3" s="1"/>
  <c r="B121" i="3" s="1"/>
  <c r="B122" i="3" s="1"/>
  <c r="B123" i="3" s="1"/>
  <c r="B124" i="3" s="1"/>
  <c r="B125" i="3" s="1"/>
  <c r="B126" i="3" s="1"/>
  <c r="C117" i="3"/>
  <c r="C116" i="3"/>
  <c r="B328" i="2" s="1"/>
  <c r="B399" i="2" s="1"/>
  <c r="B417" i="2" s="1"/>
  <c r="C115" i="3"/>
  <c r="B327" i="2" s="1"/>
  <c r="B398" i="2" s="1"/>
  <c r="B416" i="2" s="1"/>
  <c r="C114" i="3"/>
  <c r="B326" i="2" s="1"/>
  <c r="B397" i="2" s="1"/>
  <c r="B415" i="2" s="1"/>
  <c r="C113" i="3"/>
  <c r="C112" i="3"/>
  <c r="B324" i="2" s="1"/>
  <c r="B395" i="2" s="1"/>
  <c r="B413" i="2" s="1"/>
  <c r="C111" i="3"/>
  <c r="B323" i="2" s="1"/>
  <c r="B438" i="2" s="1"/>
  <c r="C110" i="3"/>
  <c r="B322" i="2" s="1"/>
  <c r="B437" i="2" s="1"/>
  <c r="B43" i="3"/>
  <c r="B53" i="3" s="1"/>
  <c r="B63" i="3" s="1"/>
  <c r="B73" i="3" s="1"/>
  <c r="B83" i="3" s="1"/>
  <c r="B93" i="3" s="1"/>
  <c r="B103" i="3" s="1"/>
  <c r="B42" i="3"/>
  <c r="B52" i="3" s="1"/>
  <c r="B62" i="3" s="1"/>
  <c r="B72" i="3" s="1"/>
  <c r="B82" i="3" s="1"/>
  <c r="B92" i="3" s="1"/>
  <c r="B102" i="3" s="1"/>
  <c r="B41" i="3"/>
  <c r="B51" i="3" s="1"/>
  <c r="B61" i="3" s="1"/>
  <c r="B71" i="3" s="1"/>
  <c r="B81" i="3" s="1"/>
  <c r="B91" i="3" s="1"/>
  <c r="B101" i="3" s="1"/>
  <c r="B40" i="3"/>
  <c r="B50" i="3" s="1"/>
  <c r="B60" i="3" s="1"/>
  <c r="B70" i="3" s="1"/>
  <c r="B80" i="3" s="1"/>
  <c r="B90" i="3" s="1"/>
  <c r="B100" i="3" s="1"/>
  <c r="B39" i="3"/>
  <c r="B49" i="3" s="1"/>
  <c r="B59" i="3" s="1"/>
  <c r="B69" i="3" s="1"/>
  <c r="B79" i="3" s="1"/>
  <c r="B89" i="3" s="1"/>
  <c r="B99" i="3" s="1"/>
  <c r="B38" i="3"/>
  <c r="B48" i="3" s="1"/>
  <c r="B58" i="3" s="1"/>
  <c r="B68" i="3" s="1"/>
  <c r="B78" i="3" s="1"/>
  <c r="B88" i="3" s="1"/>
  <c r="B98" i="3" s="1"/>
  <c r="B37" i="3"/>
  <c r="B47" i="3" s="1"/>
  <c r="B57" i="3" s="1"/>
  <c r="B67" i="3" s="1"/>
  <c r="B77" i="3" s="1"/>
  <c r="B87" i="3" s="1"/>
  <c r="B97" i="3" s="1"/>
  <c r="B36" i="3"/>
  <c r="B46" i="3" s="1"/>
  <c r="B56" i="3" s="1"/>
  <c r="B66" i="3" s="1"/>
  <c r="B76" i="3" s="1"/>
  <c r="B86" i="3" s="1"/>
  <c r="B96" i="3" s="1"/>
  <c r="B35" i="3"/>
  <c r="B45" i="3" s="1"/>
  <c r="B55" i="3" s="1"/>
  <c r="B65" i="3" s="1"/>
  <c r="B75" i="3" s="1"/>
  <c r="B85" i="3" s="1"/>
  <c r="B95" i="3" s="1"/>
  <c r="B528" i="2"/>
  <c r="B519" i="2"/>
  <c r="B510" i="2"/>
  <c r="B501" i="2"/>
  <c r="B492" i="2"/>
  <c r="B483" i="2"/>
  <c r="B474" i="2"/>
  <c r="B465" i="2"/>
  <c r="B456" i="2"/>
  <c r="C536" i="2"/>
  <c r="C535" i="2"/>
  <c r="C534" i="2"/>
  <c r="C533" i="2"/>
  <c r="C532" i="2"/>
  <c r="C531" i="2"/>
  <c r="C530" i="2"/>
  <c r="C529" i="2"/>
  <c r="C527" i="2"/>
  <c r="C526" i="2"/>
  <c r="C525" i="2"/>
  <c r="C524" i="2"/>
  <c r="C523" i="2"/>
  <c r="C522" i="2"/>
  <c r="C521" i="2"/>
  <c r="C520" i="2"/>
  <c r="C518" i="2"/>
  <c r="C517" i="2"/>
  <c r="C516" i="2"/>
  <c r="C515" i="2"/>
  <c r="C514" i="2"/>
  <c r="C513" i="2"/>
  <c r="C512" i="2"/>
  <c r="C511" i="2"/>
  <c r="C509" i="2"/>
  <c r="C508" i="2"/>
  <c r="C507" i="2"/>
  <c r="C506" i="2"/>
  <c r="C505" i="2"/>
  <c r="C504" i="2"/>
  <c r="C503" i="2"/>
  <c r="C502" i="2"/>
  <c r="C500" i="2"/>
  <c r="C499" i="2"/>
  <c r="C498" i="2"/>
  <c r="C497" i="2"/>
  <c r="C496" i="2"/>
  <c r="C495" i="2"/>
  <c r="C494" i="2"/>
  <c r="C491" i="2"/>
  <c r="C490" i="2"/>
  <c r="C489" i="2"/>
  <c r="C488" i="2"/>
  <c r="C487" i="2"/>
  <c r="C486" i="2"/>
  <c r="C485" i="2"/>
  <c r="C482" i="2"/>
  <c r="C481" i="2"/>
  <c r="C480" i="2"/>
  <c r="C479" i="2"/>
  <c r="C478" i="2"/>
  <c r="C477" i="2"/>
  <c r="C476" i="2"/>
  <c r="C104" i="3"/>
  <c r="C103" i="3"/>
  <c r="B536" i="2" s="1"/>
  <c r="C102" i="3"/>
  <c r="B527" i="2" s="1"/>
  <c r="C101" i="3"/>
  <c r="B518" i="2" s="1"/>
  <c r="C100" i="3"/>
  <c r="B509" i="2" s="1"/>
  <c r="C99" i="3"/>
  <c r="B500" i="2" s="1"/>
  <c r="C98" i="3"/>
  <c r="B491" i="2" s="1"/>
  <c r="C97" i="3"/>
  <c r="B482" i="2" s="1"/>
  <c r="C96" i="3"/>
  <c r="B473" i="2" s="1"/>
  <c r="C95" i="3"/>
  <c r="B464" i="2" s="1"/>
  <c r="C94" i="3"/>
  <c r="C93" i="3"/>
  <c r="B535" i="2" s="1"/>
  <c r="C92" i="3"/>
  <c r="B526" i="2" s="1"/>
  <c r="C91" i="3"/>
  <c r="B517" i="2" s="1"/>
  <c r="C90" i="3"/>
  <c r="B508" i="2" s="1"/>
  <c r="C89" i="3"/>
  <c r="B499" i="2" s="1"/>
  <c r="C88" i="3"/>
  <c r="B490" i="2" s="1"/>
  <c r="C87" i="3"/>
  <c r="B481" i="2" s="1"/>
  <c r="C86" i="3"/>
  <c r="B472" i="2" s="1"/>
  <c r="C85" i="3"/>
  <c r="B463" i="2" s="1"/>
  <c r="C84" i="3"/>
  <c r="C83" i="3"/>
  <c r="B534" i="2" s="1"/>
  <c r="C82" i="3"/>
  <c r="B525" i="2" s="1"/>
  <c r="C81" i="3"/>
  <c r="B516" i="2" s="1"/>
  <c r="C80" i="3"/>
  <c r="B507" i="2" s="1"/>
  <c r="C79" i="3"/>
  <c r="B498" i="2" s="1"/>
  <c r="C78" i="3"/>
  <c r="B489" i="2" s="1"/>
  <c r="C77" i="3"/>
  <c r="B480" i="2" s="1"/>
  <c r="C76" i="3"/>
  <c r="B471" i="2" s="1"/>
  <c r="C75" i="3"/>
  <c r="B462" i="2" s="1"/>
  <c r="C74" i="3"/>
  <c r="C73" i="3"/>
  <c r="B533" i="2" s="1"/>
  <c r="C72" i="3"/>
  <c r="B524" i="2" s="1"/>
  <c r="C71" i="3"/>
  <c r="B515" i="2" s="1"/>
  <c r="C70" i="3"/>
  <c r="B506" i="2" s="1"/>
  <c r="C69" i="3"/>
  <c r="B497" i="2" s="1"/>
  <c r="C68" i="3"/>
  <c r="B488" i="2" s="1"/>
  <c r="C67" i="3"/>
  <c r="B479" i="2" s="1"/>
  <c r="C66" i="3"/>
  <c r="B470" i="2" s="1"/>
  <c r="C65" i="3"/>
  <c r="B461" i="2" s="1"/>
  <c r="C64" i="3"/>
  <c r="C63" i="3"/>
  <c r="B532" i="2" s="1"/>
  <c r="C62" i="3"/>
  <c r="B523" i="2" s="1"/>
  <c r="C61" i="3"/>
  <c r="B514" i="2" s="1"/>
  <c r="C60" i="3"/>
  <c r="B505" i="2" s="1"/>
  <c r="C59" i="3"/>
  <c r="B496" i="2" s="1"/>
  <c r="C58" i="3"/>
  <c r="B487" i="2" s="1"/>
  <c r="C57" i="3"/>
  <c r="B478" i="2" s="1"/>
  <c r="C56" i="3"/>
  <c r="B469" i="2" s="1"/>
  <c r="C55" i="3"/>
  <c r="B460" i="2" s="1"/>
  <c r="C54" i="3"/>
  <c r="C52" i="3"/>
  <c r="B522" i="2" s="1"/>
  <c r="C51" i="3"/>
  <c r="B513" i="2" s="1"/>
  <c r="C50" i="3"/>
  <c r="B504" i="2" s="1"/>
  <c r="C49" i="3"/>
  <c r="B495" i="2" s="1"/>
  <c r="C48" i="3"/>
  <c r="B486" i="2" s="1"/>
  <c r="C47" i="3"/>
  <c r="B477" i="2" s="1"/>
  <c r="C46" i="3"/>
  <c r="B468" i="2" s="1"/>
  <c r="C45" i="3"/>
  <c r="B459" i="2" s="1"/>
  <c r="C53" i="3"/>
  <c r="B531" i="2" s="1"/>
  <c r="C44" i="3"/>
  <c r="C43" i="3"/>
  <c r="B530" i="2" s="1"/>
  <c r="C42" i="3"/>
  <c r="B521" i="2" s="1"/>
  <c r="C41" i="3"/>
  <c r="B512" i="2" s="1"/>
  <c r="C40" i="3"/>
  <c r="B503" i="2" s="1"/>
  <c r="C39" i="3"/>
  <c r="B494" i="2" s="1"/>
  <c r="C38" i="3"/>
  <c r="B485" i="2" s="1"/>
  <c r="C37" i="3"/>
  <c r="B476" i="2" s="1"/>
  <c r="C36" i="3"/>
  <c r="B467" i="2" s="1"/>
  <c r="C35" i="3"/>
  <c r="B458" i="2" s="1"/>
  <c r="C34" i="3"/>
  <c r="C33" i="3"/>
  <c r="B529" i="2" s="1"/>
  <c r="C32" i="3"/>
  <c r="B520" i="2" s="1"/>
  <c r="C31" i="3"/>
  <c r="B511" i="2" s="1"/>
  <c r="C30" i="3"/>
  <c r="B502" i="2" s="1"/>
  <c r="C29" i="3"/>
  <c r="B493" i="2" s="1"/>
  <c r="C28" i="3"/>
  <c r="B484" i="2" s="1"/>
  <c r="C27" i="3"/>
  <c r="B475" i="2" s="1"/>
  <c r="C26" i="3"/>
  <c r="B466" i="2" s="1"/>
  <c r="C25" i="3"/>
  <c r="B457" i="2" s="1"/>
  <c r="A762" i="2"/>
  <c r="A763" i="2" s="1"/>
  <c r="A764" i="2" s="1"/>
  <c r="BD2" i="3"/>
  <c r="F892" i="2"/>
  <c r="E892" i="2"/>
  <c r="B25" i="4"/>
  <c r="B27" i="4"/>
  <c r="C25" i="4"/>
  <c r="B26" i="4"/>
  <c r="C2" i="4"/>
  <c r="B12" i="4"/>
  <c r="B11" i="4"/>
  <c r="B10" i="4"/>
  <c r="B9" i="4"/>
  <c r="B8" i="4"/>
  <c r="B7" i="4"/>
  <c r="B6" i="4"/>
  <c r="B5" i="4"/>
  <c r="B4" i="4"/>
  <c r="B3" i="4"/>
  <c r="B2" i="4"/>
  <c r="E18" i="1"/>
  <c r="D56" i="2"/>
  <c r="D38" i="1"/>
  <c r="D37" i="1"/>
  <c r="D35" i="1"/>
  <c r="D78" i="1"/>
  <c r="E21" i="1" s="1"/>
  <c r="E77" i="1"/>
  <c r="F77" i="1" s="1"/>
  <c r="E76" i="1"/>
  <c r="F76" i="1" s="1"/>
  <c r="D64" i="1"/>
  <c r="E20" i="1" s="1"/>
  <c r="D48" i="1"/>
  <c r="AN300" i="3" l="1"/>
  <c r="AS300" i="3" s="1"/>
  <c r="AQ300" i="3"/>
  <c r="AV300" i="3" s="1"/>
  <c r="AO303" i="3"/>
  <c r="AT303" i="3" s="1"/>
  <c r="L301" i="3"/>
  <c r="AQ301" i="3"/>
  <c r="AV301" i="3" s="1"/>
  <c r="AO301" i="3"/>
  <c r="AT301" i="3" s="1"/>
  <c r="AR301" i="3"/>
  <c r="AW301" i="3" s="1"/>
  <c r="AR300" i="3"/>
  <c r="AW300" i="3" s="1"/>
  <c r="AO306" i="3"/>
  <c r="AT306" i="3" s="1"/>
  <c r="AP300" i="3"/>
  <c r="AU300" i="3" s="1"/>
  <c r="L302" i="3"/>
  <c r="AP302" i="3"/>
  <c r="AU302" i="3" s="1"/>
  <c r="AO302" i="3"/>
  <c r="AT302" i="3" s="1"/>
  <c r="AN302" i="3"/>
  <c r="AS302" i="3" s="1"/>
  <c r="AE302" i="3"/>
  <c r="AH302" i="3" s="1"/>
  <c r="Q302" i="3" s="1"/>
  <c r="AC306" i="3"/>
  <c r="AF306" i="3" s="1"/>
  <c r="O306" i="3" s="1"/>
  <c r="L303" i="3"/>
  <c r="AE303" i="3"/>
  <c r="AH303" i="3" s="1"/>
  <c r="BB507" i="3" s="1"/>
  <c r="AQ303" i="3"/>
  <c r="AV303" i="3" s="1"/>
  <c r="AN303" i="3"/>
  <c r="AS303" i="3" s="1"/>
  <c r="AC303" i="3"/>
  <c r="AF303" i="3" s="1"/>
  <c r="AS487" i="3" s="1"/>
  <c r="AP305" i="3"/>
  <c r="AU305" i="3" s="1"/>
  <c r="AR305" i="3"/>
  <c r="AW305" i="3" s="1"/>
  <c r="L304" i="3"/>
  <c r="AQ304" i="3"/>
  <c r="AV304" i="3" s="1"/>
  <c r="AS488" i="3"/>
  <c r="AG488" i="3"/>
  <c r="U488" i="3"/>
  <c r="I488" i="3"/>
  <c r="AR488" i="3"/>
  <c r="AR304" i="3"/>
  <c r="AW304" i="3" s="1"/>
  <c r="AV488" i="3"/>
  <c r="AH488" i="3"/>
  <c r="T488" i="3"/>
  <c r="G488" i="3"/>
  <c r="AP304" i="3"/>
  <c r="AU304" i="3" s="1"/>
  <c r="AU488" i="3"/>
  <c r="AF488" i="3"/>
  <c r="S488" i="3"/>
  <c r="F488" i="3"/>
  <c r="AO304" i="3"/>
  <c r="AT304" i="3" s="1"/>
  <c r="AT488" i="3"/>
  <c r="AE488" i="3"/>
  <c r="R488" i="3"/>
  <c r="E488" i="3"/>
  <c r="AQ488" i="3"/>
  <c r="AA488" i="3"/>
  <c r="K488" i="3"/>
  <c r="AP488" i="3"/>
  <c r="Z488" i="3"/>
  <c r="J488" i="3"/>
  <c r="AN488" i="3"/>
  <c r="V488" i="3"/>
  <c r="P488" i="3"/>
  <c r="AM488" i="3"/>
  <c r="Q488" i="3"/>
  <c r="AL488" i="3"/>
  <c r="AD488" i="3"/>
  <c r="C488" i="3"/>
  <c r="BB488" i="3"/>
  <c r="Y488" i="3"/>
  <c r="W488" i="3"/>
  <c r="O488" i="3"/>
  <c r="AW488" i="3"/>
  <c r="AE304" i="3"/>
  <c r="AH304" i="3" s="1"/>
  <c r="AJ508" i="3" s="1"/>
  <c r="AK488" i="3"/>
  <c r="L488" i="3"/>
  <c r="H488" i="3"/>
  <c r="AC488" i="3"/>
  <c r="AB488" i="3"/>
  <c r="BA488" i="3"/>
  <c r="AZ488" i="3"/>
  <c r="X488" i="3"/>
  <c r="AX488" i="3"/>
  <c r="N488" i="3"/>
  <c r="AO488" i="3"/>
  <c r="AJ488" i="3"/>
  <c r="AI488" i="3"/>
  <c r="AY488" i="3"/>
  <c r="M488" i="3"/>
  <c r="AD304" i="3"/>
  <c r="AG304" i="3" s="1"/>
  <c r="P304" i="3" s="1"/>
  <c r="D488" i="3"/>
  <c r="AP303" i="3"/>
  <c r="AU303" i="3" s="1"/>
  <c r="AP301" i="3"/>
  <c r="AU301" i="3" s="1"/>
  <c r="M305" i="3"/>
  <c r="AC305" i="3"/>
  <c r="AF305" i="3" s="1"/>
  <c r="O305" i="3" s="1"/>
  <c r="AQ302" i="3"/>
  <c r="AV302" i="3" s="1"/>
  <c r="AC300" i="3"/>
  <c r="AF300" i="3" s="1"/>
  <c r="O484" i="3" s="1"/>
  <c r="AD301" i="3"/>
  <c r="AG301" i="3" s="1"/>
  <c r="P301" i="3" s="1"/>
  <c r="L306" i="3"/>
  <c r="AP306" i="3"/>
  <c r="AU306" i="3" s="1"/>
  <c r="AR500" i="3"/>
  <c r="AF500" i="3"/>
  <c r="T500" i="3"/>
  <c r="H500" i="3"/>
  <c r="AQ500" i="3"/>
  <c r="AD500" i="3"/>
  <c r="Q500" i="3"/>
  <c r="D500" i="3"/>
  <c r="AR306" i="3"/>
  <c r="AW306" i="3" s="1"/>
  <c r="BA500" i="3"/>
  <c r="AM500" i="3"/>
  <c r="Y500" i="3"/>
  <c r="K500" i="3"/>
  <c r="AQ306" i="3"/>
  <c r="AV306" i="3" s="1"/>
  <c r="AZ500" i="3"/>
  <c r="AL500" i="3"/>
  <c r="X500" i="3"/>
  <c r="J500" i="3"/>
  <c r="AX500" i="3"/>
  <c r="AH500" i="3"/>
  <c r="P500" i="3"/>
  <c r="AW500" i="3"/>
  <c r="AG500" i="3"/>
  <c r="O500" i="3"/>
  <c r="AE500" i="3"/>
  <c r="AV500" i="3"/>
  <c r="N500" i="3"/>
  <c r="BB500" i="3"/>
  <c r="AB500" i="3"/>
  <c r="F500" i="3"/>
  <c r="AY500" i="3"/>
  <c r="AA500" i="3"/>
  <c r="E500" i="3"/>
  <c r="AU500" i="3"/>
  <c r="Z500" i="3"/>
  <c r="AC500" i="3"/>
  <c r="W500" i="3"/>
  <c r="V500" i="3"/>
  <c r="M500" i="3"/>
  <c r="AP500" i="3"/>
  <c r="U500" i="3"/>
  <c r="AT500" i="3"/>
  <c r="L500" i="3"/>
  <c r="C500" i="3"/>
  <c r="AS500" i="3"/>
  <c r="I500" i="3"/>
  <c r="G500" i="3"/>
  <c r="AO500" i="3"/>
  <c r="AN500" i="3"/>
  <c r="AJ500" i="3"/>
  <c r="AI500" i="3"/>
  <c r="AK500" i="3"/>
  <c r="S500" i="3"/>
  <c r="R500" i="3"/>
  <c r="AO300" i="3"/>
  <c r="AT300" i="3" s="1"/>
  <c r="AO305" i="3"/>
  <c r="AT305" i="3" s="1"/>
  <c r="AC301" i="3"/>
  <c r="AF301" i="3" s="1"/>
  <c r="AD485" i="3" s="1"/>
  <c r="M307" i="3"/>
  <c r="AP307" i="3"/>
  <c r="AU307" i="3" s="1"/>
  <c r="AE307" i="3"/>
  <c r="AH307" i="3" s="1"/>
  <c r="U511" i="3" s="1"/>
  <c r="AO307" i="3"/>
  <c r="AT307" i="3" s="1"/>
  <c r="AD307" i="3"/>
  <c r="AG307" i="3" s="1"/>
  <c r="P307" i="3" s="1"/>
  <c r="AC307" i="3"/>
  <c r="AF307" i="3" s="1"/>
  <c r="O307" i="3" s="1"/>
  <c r="AE301" i="3"/>
  <c r="AH301" i="3" s="1"/>
  <c r="Q301" i="3" s="1"/>
  <c r="AD303" i="3"/>
  <c r="AG303" i="3" s="1"/>
  <c r="P303" i="3" s="1"/>
  <c r="AE306" i="3"/>
  <c r="AH306" i="3" s="1"/>
  <c r="Q306" i="3" s="1"/>
  <c r="AD305" i="3"/>
  <c r="AG305" i="3" s="1"/>
  <c r="P305" i="3" s="1"/>
  <c r="AN307" i="3"/>
  <c r="AS307" i="3" s="1"/>
  <c r="AE305" i="3"/>
  <c r="AH305" i="3" s="1"/>
  <c r="Z509" i="3" s="1"/>
  <c r="AN301" i="3"/>
  <c r="AS301" i="3" s="1"/>
  <c r="AN304" i="3"/>
  <c r="AS304" i="3" s="1"/>
  <c r="AE300" i="3"/>
  <c r="AH300" i="3" s="1"/>
  <c r="Y504" i="3" s="1"/>
  <c r="AD300" i="3"/>
  <c r="AG300" i="3" s="1"/>
  <c r="AG494" i="3" s="1"/>
  <c r="AD302" i="3"/>
  <c r="AG302" i="3" s="1"/>
  <c r="P302" i="3" s="1"/>
  <c r="AQ305" i="3"/>
  <c r="AV305" i="3" s="1"/>
  <c r="AN306" i="3"/>
  <c r="AS306" i="3" s="1"/>
  <c r="AQ307" i="3"/>
  <c r="AV307" i="3" s="1"/>
  <c r="AC302" i="3"/>
  <c r="AF302" i="3" s="1"/>
  <c r="O302" i="3" s="1"/>
  <c r="B754" i="2"/>
  <c r="B597" i="2"/>
  <c r="B736" i="2"/>
  <c r="B596" i="2"/>
  <c r="B735" i="2"/>
  <c r="B595" i="2"/>
  <c r="B749" i="2"/>
  <c r="B601" i="2"/>
  <c r="B742" i="2"/>
  <c r="B594" i="2"/>
  <c r="B740" i="2"/>
  <c r="B600" i="2"/>
  <c r="B755" i="2"/>
  <c r="B598" i="2"/>
  <c r="B747" i="2"/>
  <c r="B599" i="2"/>
  <c r="P559" i="2"/>
  <c r="C830" i="2"/>
  <c r="M560" i="2"/>
  <c r="C831" i="2"/>
  <c r="S561" i="2"/>
  <c r="C832" i="2"/>
  <c r="AP555" i="2"/>
  <c r="C826" i="2"/>
  <c r="AX556" i="2"/>
  <c r="C827" i="2"/>
  <c r="AT557" i="2"/>
  <c r="C828" i="2"/>
  <c r="AN558" i="2"/>
  <c r="C829" i="2"/>
  <c r="C189" i="2"/>
  <c r="C537" i="2"/>
  <c r="B831" i="2"/>
  <c r="B791" i="2"/>
  <c r="B832" i="2"/>
  <c r="B792" i="2"/>
  <c r="B829" i="2"/>
  <c r="B789" i="2"/>
  <c r="B830" i="2"/>
  <c r="B790" i="2"/>
  <c r="C784" i="2"/>
  <c r="K39" i="2"/>
  <c r="B683" i="2"/>
  <c r="B682" i="2"/>
  <c r="B684" i="2"/>
  <c r="B685" i="2"/>
  <c r="AF571" i="2"/>
  <c r="B687" i="2"/>
  <c r="B686" i="2"/>
  <c r="B688" i="2"/>
  <c r="B689" i="2"/>
  <c r="R570" i="2"/>
  <c r="J577" i="2"/>
  <c r="AL587" i="2"/>
  <c r="AD594" i="2"/>
  <c r="AO588" i="2"/>
  <c r="AO564" i="2"/>
  <c r="BB564" i="2"/>
  <c r="AW559" i="2"/>
  <c r="AN578" i="2"/>
  <c r="AX559" i="2"/>
  <c r="AO578" i="2"/>
  <c r="Y579" i="2"/>
  <c r="I564" i="2"/>
  <c r="AM579" i="2"/>
  <c r="AL564" i="2"/>
  <c r="BC511" i="2"/>
  <c r="AM564" i="2"/>
  <c r="I553" i="2"/>
  <c r="I609" i="2" s="1"/>
  <c r="AE553" i="2"/>
  <c r="AE609" i="2" s="1"/>
  <c r="AE559" i="2"/>
  <c r="I578" i="2"/>
  <c r="M300" i="3"/>
  <c r="L300" i="3"/>
  <c r="AD563" i="2"/>
  <c r="AT563" i="2"/>
  <c r="AP569" i="2"/>
  <c r="AC569" i="2"/>
  <c r="AV593" i="2"/>
  <c r="O593" i="2"/>
  <c r="AA557" i="2"/>
  <c r="AC557" i="2"/>
  <c r="AJ560" i="2"/>
  <c r="AH560" i="2"/>
  <c r="AO560" i="2"/>
  <c r="X560" i="2"/>
  <c r="AB572" i="2"/>
  <c r="AW572" i="2"/>
  <c r="AV572" i="2"/>
  <c r="T572" i="2"/>
  <c r="U572" i="2"/>
  <c r="AT596" i="2"/>
  <c r="AL596" i="2"/>
  <c r="G596" i="2"/>
  <c r="F596" i="2"/>
  <c r="Q552" i="2"/>
  <c r="Q608" i="2" s="1"/>
  <c r="T553" i="2"/>
  <c r="T609" i="2" s="1"/>
  <c r="C564" i="2"/>
  <c r="U553" i="2"/>
  <c r="U609" i="2" s="1"/>
  <c r="BC512" i="2"/>
  <c r="BC514" i="2"/>
  <c r="BC515" i="2"/>
  <c r="BC516" i="2"/>
  <c r="BC517" i="2"/>
  <c r="BC518" i="2"/>
  <c r="BC513" i="2"/>
  <c r="BG104" i="3"/>
  <c r="K549" i="2"/>
  <c r="K605" i="2" s="1"/>
  <c r="M549" i="2"/>
  <c r="M605" i="2" s="1"/>
  <c r="D551" i="2"/>
  <c r="D607" i="2" s="1"/>
  <c r="S558" i="2"/>
  <c r="E551" i="2"/>
  <c r="E607" i="2" s="1"/>
  <c r="AO553" i="2"/>
  <c r="AO609" i="2" s="1"/>
  <c r="U559" i="2"/>
  <c r="AW560" i="2"/>
  <c r="AN564" i="2"/>
  <c r="AQ571" i="2"/>
  <c r="C581" i="2"/>
  <c r="AS587" i="2"/>
  <c r="T596" i="2"/>
  <c r="X577" i="2"/>
  <c r="G551" i="2"/>
  <c r="G607" i="2" s="1"/>
  <c r="C556" i="2"/>
  <c r="AX560" i="2"/>
  <c r="AU571" i="2"/>
  <c r="V596" i="2"/>
  <c r="AT594" i="2"/>
  <c r="AD557" i="2"/>
  <c r="AM587" i="2"/>
  <c r="P551" i="2"/>
  <c r="P607" i="2" s="1"/>
  <c r="C557" i="2"/>
  <c r="AF559" i="2"/>
  <c r="AY560" i="2"/>
  <c r="AP564" i="2"/>
  <c r="J572" i="2"/>
  <c r="AH578" i="2"/>
  <c r="AS588" i="2"/>
  <c r="AJ596" i="2"/>
  <c r="AK571" i="2"/>
  <c r="P552" i="2"/>
  <c r="P608" i="2" s="1"/>
  <c r="C558" i="2"/>
  <c r="AV559" i="2"/>
  <c r="AZ560" i="2"/>
  <c r="AZ564" i="2"/>
  <c r="S572" i="2"/>
  <c r="AK578" i="2"/>
  <c r="AT588" i="2"/>
  <c r="AK596" i="2"/>
  <c r="AF556" i="2"/>
  <c r="P593" i="2"/>
  <c r="Y552" i="2"/>
  <c r="Y608" i="2" s="1"/>
  <c r="BB556" i="2"/>
  <c r="AY559" i="2"/>
  <c r="G563" i="2"/>
  <c r="W569" i="2"/>
  <c r="AJ572" i="2"/>
  <c r="G579" i="2"/>
  <c r="Q593" i="2"/>
  <c r="U600" i="2"/>
  <c r="S552" i="2"/>
  <c r="S608" i="2" s="1"/>
  <c r="BA556" i="2"/>
  <c r="F563" i="2"/>
  <c r="V569" i="2"/>
  <c r="AH552" i="2"/>
  <c r="AH608" i="2" s="1"/>
  <c r="W557" i="2"/>
  <c r="I560" i="2"/>
  <c r="H563" i="2"/>
  <c r="AB569" i="2"/>
  <c r="AK572" i="2"/>
  <c r="I579" i="2"/>
  <c r="T593" i="2"/>
  <c r="V600" i="2"/>
  <c r="U573" i="2"/>
  <c r="AJ557" i="2"/>
  <c r="BB569" i="2"/>
  <c r="AU580" i="2"/>
  <c r="AH551" i="2"/>
  <c r="AH607" i="2" s="1"/>
  <c r="AO552" i="2"/>
  <c r="AO608" i="2" s="1"/>
  <c r="AU557" i="2"/>
  <c r="K563" i="2"/>
  <c r="C573" i="2"/>
  <c r="AY573" i="2"/>
  <c r="AV580" i="2"/>
  <c r="AW593" i="2"/>
  <c r="N580" i="2"/>
  <c r="I563" i="2"/>
  <c r="W573" i="2"/>
  <c r="AI593" i="2"/>
  <c r="AJ551" i="2"/>
  <c r="AJ607" i="2" s="1"/>
  <c r="AU552" i="2"/>
  <c r="AU608" i="2" s="1"/>
  <c r="AG556" i="2"/>
  <c r="I558" i="2"/>
  <c r="T561" i="2"/>
  <c r="L563" i="2"/>
  <c r="C577" i="2"/>
  <c r="AN576" i="2"/>
  <c r="C587" i="2"/>
  <c r="I589" i="2"/>
  <c r="C595" i="2"/>
  <c r="AR580" i="2"/>
  <c r="Q551" i="2"/>
  <c r="Q607" i="2" s="1"/>
  <c r="AK551" i="2"/>
  <c r="AK607" i="2" s="1"/>
  <c r="AZ556" i="2"/>
  <c r="L558" i="2"/>
  <c r="X561" i="2"/>
  <c r="AE563" i="2"/>
  <c r="J570" i="2"/>
  <c r="H577" i="2"/>
  <c r="C591" i="2"/>
  <c r="AP589" i="2"/>
  <c r="AC594" i="2"/>
  <c r="AT580" i="2"/>
  <c r="AI563" i="2"/>
  <c r="AM551" i="2"/>
  <c r="AM607" i="2" s="1"/>
  <c r="T558" i="2"/>
  <c r="AR561" i="2"/>
  <c r="AJ563" i="2"/>
  <c r="Y565" i="2"/>
  <c r="X571" i="2"/>
  <c r="U577" i="2"/>
  <c r="Y587" i="2"/>
  <c r="AU589" i="2"/>
  <c r="V573" i="2"/>
  <c r="AL551" i="2"/>
  <c r="AL607" i="2" s="1"/>
  <c r="Y561" i="2"/>
  <c r="C593" i="2"/>
  <c r="AQ589" i="2"/>
  <c r="AD549" i="2"/>
  <c r="AD605" i="2" s="1"/>
  <c r="AR551" i="2"/>
  <c r="AR607" i="2" s="1"/>
  <c r="W553" i="2"/>
  <c r="W609" i="2" s="1"/>
  <c r="E557" i="2"/>
  <c r="AI558" i="2"/>
  <c r="Y560" i="2"/>
  <c r="AV561" i="2"/>
  <c r="AK563" i="2"/>
  <c r="M569" i="2"/>
  <c r="Y571" i="2"/>
  <c r="AL572" i="2"/>
  <c r="V577" i="2"/>
  <c r="AG579" i="2"/>
  <c r="Z587" i="2"/>
  <c r="D595" i="2"/>
  <c r="AA600" i="2"/>
  <c r="BB550" i="2"/>
  <c r="BB606" i="2" s="1"/>
  <c r="N552" i="2"/>
  <c r="N608" i="2" s="1"/>
  <c r="AA553" i="2"/>
  <c r="AA609" i="2" s="1"/>
  <c r="U557" i="2"/>
  <c r="AM558" i="2"/>
  <c r="AF560" i="2"/>
  <c r="C563" i="2"/>
  <c r="AS563" i="2"/>
  <c r="R569" i="2"/>
  <c r="AE571" i="2"/>
  <c r="AN572" i="2"/>
  <c r="W577" i="2"/>
  <c r="AI579" i="2"/>
  <c r="AA587" i="2"/>
  <c r="N593" i="2"/>
  <c r="AJ595" i="2"/>
  <c r="D601" i="2"/>
  <c r="AL566" i="2"/>
  <c r="F599" i="2"/>
  <c r="AM566" i="2"/>
  <c r="V591" i="2"/>
  <c r="H599" i="2"/>
  <c r="AY599" i="2"/>
  <c r="AR590" i="2"/>
  <c r="AS590" i="2"/>
  <c r="AY547" i="2"/>
  <c r="AY603" i="2" s="1"/>
  <c r="AK547" i="2"/>
  <c r="AK603" i="2" s="1"/>
  <c r="AJ547" i="2"/>
  <c r="AJ603" i="2" s="1"/>
  <c r="BA547" i="2"/>
  <c r="BA603" i="2" s="1"/>
  <c r="AL547" i="2"/>
  <c r="AL603" i="2" s="1"/>
  <c r="AI547" i="2"/>
  <c r="AI603" i="2" s="1"/>
  <c r="AZ547" i="2"/>
  <c r="AZ603" i="2" s="1"/>
  <c r="AG567" i="2"/>
  <c r="O567" i="2"/>
  <c r="M567" i="2"/>
  <c r="L567" i="2"/>
  <c r="AY567" i="2"/>
  <c r="AC567" i="2"/>
  <c r="K567" i="2"/>
  <c r="AB567" i="2"/>
  <c r="AI584" i="2"/>
  <c r="AN584" i="2"/>
  <c r="AH584" i="2"/>
  <c r="S584" i="2"/>
  <c r="R584" i="2"/>
  <c r="Q584" i="2"/>
  <c r="P584" i="2"/>
  <c r="AM584" i="2"/>
  <c r="G591" i="2"/>
  <c r="AP591" i="2"/>
  <c r="X591" i="2"/>
  <c r="F591" i="2"/>
  <c r="AO591" i="2"/>
  <c r="AM591" i="2"/>
  <c r="AL591" i="2"/>
  <c r="D566" i="2"/>
  <c r="C584" i="2"/>
  <c r="AP554" i="2"/>
  <c r="AU554" i="2"/>
  <c r="AT554" i="2"/>
  <c r="BA548" i="2"/>
  <c r="BA604" i="2" s="1"/>
  <c r="M548" i="2"/>
  <c r="M604" i="2" s="1"/>
  <c r="AO575" i="2"/>
  <c r="AX575" i="2"/>
  <c r="AR575" i="2"/>
  <c r="T575" i="2"/>
  <c r="T585" i="2"/>
  <c r="V585" i="2"/>
  <c r="AK566" i="2"/>
  <c r="U591" i="2"/>
  <c r="P547" i="2"/>
  <c r="P603" i="2" s="1"/>
  <c r="AU567" i="2"/>
  <c r="AJ582" i="2"/>
  <c r="U547" i="2"/>
  <c r="U603" i="2" s="1"/>
  <c r="X554" i="2"/>
  <c r="AV567" i="2"/>
  <c r="AK582" i="2"/>
  <c r="V547" i="2"/>
  <c r="V603" i="2" s="1"/>
  <c r="AW567" i="2"/>
  <c r="N548" i="2"/>
  <c r="N604" i="2" s="1"/>
  <c r="AJ585" i="2"/>
  <c r="W601" i="2"/>
  <c r="K550" i="2"/>
  <c r="K606" i="2" s="1"/>
  <c r="W551" i="2"/>
  <c r="W607" i="2" s="1"/>
  <c r="BA551" i="2"/>
  <c r="BA607" i="2" s="1"/>
  <c r="AR552" i="2"/>
  <c r="AR608" i="2" s="1"/>
  <c r="AQ553" i="2"/>
  <c r="AQ609" i="2" s="1"/>
  <c r="AZ555" i="2"/>
  <c r="R557" i="2"/>
  <c r="AR557" i="2"/>
  <c r="G559" i="2"/>
  <c r="U560" i="2"/>
  <c r="BA560" i="2"/>
  <c r="J562" i="2"/>
  <c r="AA563" i="2"/>
  <c r="F564" i="2"/>
  <c r="AQ565" i="2"/>
  <c r="J569" i="2"/>
  <c r="AN569" i="2"/>
  <c r="L571" i="2"/>
  <c r="K572" i="2"/>
  <c r="AX572" i="2"/>
  <c r="AG576" i="2"/>
  <c r="AR577" i="2"/>
  <c r="T579" i="2"/>
  <c r="AF581" i="2"/>
  <c r="R587" i="2"/>
  <c r="BB587" i="2"/>
  <c r="G592" i="2"/>
  <c r="AP593" i="2"/>
  <c r="AC595" i="2"/>
  <c r="AS596" i="2"/>
  <c r="Y601" i="2"/>
  <c r="AH549" i="2"/>
  <c r="AH605" i="2" s="1"/>
  <c r="AV594" i="2"/>
  <c r="E550" i="2"/>
  <c r="E606" i="2" s="1"/>
  <c r="AS551" i="2"/>
  <c r="AS607" i="2" s="1"/>
  <c r="F557" i="2"/>
  <c r="M563" i="2"/>
  <c r="AR568" i="2"/>
  <c r="T570" i="2"/>
  <c r="AV587" i="2"/>
  <c r="T551" i="2"/>
  <c r="T607" i="2" s="1"/>
  <c r="AP552" i="2"/>
  <c r="AP608" i="2" s="1"/>
  <c r="Y555" i="2"/>
  <c r="AP557" i="2"/>
  <c r="O563" i="2"/>
  <c r="AT568" i="2"/>
  <c r="AR570" i="2"/>
  <c r="AB577" i="2"/>
  <c r="AW587" i="2"/>
  <c r="AM593" i="2"/>
  <c r="E595" i="2"/>
  <c r="J550" i="2"/>
  <c r="J606" i="2" s="1"/>
  <c r="AZ551" i="2"/>
  <c r="AZ607" i="2" s="1"/>
  <c r="AP553" i="2"/>
  <c r="AP609" i="2" s="1"/>
  <c r="H557" i="2"/>
  <c r="AO558" i="2"/>
  <c r="Y563" i="2"/>
  <c r="I569" i="2"/>
  <c r="H571" i="2"/>
  <c r="G576" i="2"/>
  <c r="M587" i="2"/>
  <c r="AO593" i="2"/>
  <c r="AE550" i="2"/>
  <c r="AE606" i="2" s="1"/>
  <c r="X551" i="2"/>
  <c r="X607" i="2" s="1"/>
  <c r="L552" i="2"/>
  <c r="L608" i="2" s="1"/>
  <c r="AS552" i="2"/>
  <c r="AS608" i="2" s="1"/>
  <c r="AT553" i="2"/>
  <c r="AT609" i="2" s="1"/>
  <c r="BA555" i="2"/>
  <c r="S557" i="2"/>
  <c r="AS557" i="2"/>
  <c r="S559" i="2"/>
  <c r="V560" i="2"/>
  <c r="BB560" i="2"/>
  <c r="K562" i="2"/>
  <c r="AB563" i="2"/>
  <c r="G564" i="2"/>
  <c r="AT565" i="2"/>
  <c r="K569" i="2"/>
  <c r="AO569" i="2"/>
  <c r="M571" i="2"/>
  <c r="M572" i="2"/>
  <c r="AZ572" i="2"/>
  <c r="AH576" i="2"/>
  <c r="C579" i="2"/>
  <c r="V579" i="2"/>
  <c r="AG581" i="2"/>
  <c r="S587" i="2"/>
  <c r="H588" i="2"/>
  <c r="BB592" i="2"/>
  <c r="AQ593" i="2"/>
  <c r="AG595" i="2"/>
  <c r="T597" i="2"/>
  <c r="AD601" i="2"/>
  <c r="AE549" i="2"/>
  <c r="AE605" i="2" s="1"/>
  <c r="E586" i="2"/>
  <c r="G568" i="2"/>
  <c r="S570" i="2"/>
  <c r="F586" i="2"/>
  <c r="S551" i="2"/>
  <c r="S607" i="2" s="1"/>
  <c r="X555" i="2"/>
  <c r="AK557" i="2"/>
  <c r="AY563" i="2"/>
  <c r="AK569" i="2"/>
  <c r="L586" i="2"/>
  <c r="AL593" i="2"/>
  <c r="F550" i="2"/>
  <c r="F606" i="2" s="1"/>
  <c r="AT551" i="2"/>
  <c r="AT607" i="2" s="1"/>
  <c r="G557" i="2"/>
  <c r="C569" i="2"/>
  <c r="AZ563" i="2"/>
  <c r="AL569" i="2"/>
  <c r="AV571" i="2"/>
  <c r="F576" i="2"/>
  <c r="J587" i="2"/>
  <c r="L601" i="2"/>
  <c r="U551" i="2"/>
  <c r="U607" i="2" s="1"/>
  <c r="AQ552" i="2"/>
  <c r="AQ608" i="2" s="1"/>
  <c r="Z555" i="2"/>
  <c r="AQ557" i="2"/>
  <c r="I562" i="2"/>
  <c r="BB563" i="2"/>
  <c r="AM569" i="2"/>
  <c r="BA587" i="2"/>
  <c r="F592" i="2"/>
  <c r="I595" i="2"/>
  <c r="C551" i="2"/>
  <c r="C607" i="2" s="1"/>
  <c r="BA550" i="2"/>
  <c r="BA606" i="2" s="1"/>
  <c r="M552" i="2"/>
  <c r="M608" i="2" s="1"/>
  <c r="C555" i="2"/>
  <c r="BB555" i="2"/>
  <c r="T557" i="2"/>
  <c r="T559" i="2"/>
  <c r="W560" i="2"/>
  <c r="AM562" i="2"/>
  <c r="H564" i="2"/>
  <c r="BB565" i="2"/>
  <c r="L569" i="2"/>
  <c r="R572" i="2"/>
  <c r="Q573" i="2"/>
  <c r="AJ576" i="2"/>
  <c r="C580" i="2"/>
  <c r="W579" i="2"/>
  <c r="AR581" i="2"/>
  <c r="I588" i="2"/>
  <c r="K593" i="2"/>
  <c r="BB573" i="2"/>
  <c r="AD573" i="2"/>
  <c r="G573" i="2"/>
  <c r="BA573" i="2"/>
  <c r="AA573" i="2"/>
  <c r="AZ573" i="2"/>
  <c r="Z573" i="2"/>
  <c r="AQ573" i="2"/>
  <c r="P573" i="2"/>
  <c r="AP573" i="2"/>
  <c r="J573" i="2"/>
  <c r="AF573" i="2"/>
  <c r="AO573" i="2"/>
  <c r="I573" i="2"/>
  <c r="AN573" i="2"/>
  <c r="H573" i="2"/>
  <c r="AM573" i="2"/>
  <c r="AL573" i="2"/>
  <c r="Y573" i="2"/>
  <c r="AY581" i="2"/>
  <c r="AJ581" i="2"/>
  <c r="L581" i="2"/>
  <c r="AI581" i="2"/>
  <c r="E581" i="2"/>
  <c r="AH581" i="2"/>
  <c r="D581" i="2"/>
  <c r="Y581" i="2"/>
  <c r="AV581" i="2"/>
  <c r="T581" i="2"/>
  <c r="M581" i="2"/>
  <c r="S581" i="2"/>
  <c r="Q581" i="2"/>
  <c r="P581" i="2"/>
  <c r="AW581" i="2"/>
  <c r="O581" i="2"/>
  <c r="AS581" i="2"/>
  <c r="AN597" i="2"/>
  <c r="AU597" i="2"/>
  <c r="L597" i="2"/>
  <c r="AT597" i="2"/>
  <c r="I597" i="2"/>
  <c r="AR597" i="2"/>
  <c r="P597" i="2"/>
  <c r="AY597" i="2"/>
  <c r="M597" i="2"/>
  <c r="AZ597" i="2"/>
  <c r="AH597" i="2"/>
  <c r="AG597" i="2"/>
  <c r="AE597" i="2"/>
  <c r="Y597" i="2"/>
  <c r="BB561" i="2"/>
  <c r="AF561" i="2"/>
  <c r="K561" i="2"/>
  <c r="BA561" i="2"/>
  <c r="AE561" i="2"/>
  <c r="J561" i="2"/>
  <c r="C561" i="2"/>
  <c r="AW561" i="2"/>
  <c r="AA561" i="2"/>
  <c r="F561" i="2"/>
  <c r="AQ561" i="2"/>
  <c r="R561" i="2"/>
  <c r="AP561" i="2"/>
  <c r="Q561" i="2"/>
  <c r="AO561" i="2"/>
  <c r="O561" i="2"/>
  <c r="AM561" i="2"/>
  <c r="N561" i="2"/>
  <c r="AL561" i="2"/>
  <c r="E561" i="2"/>
  <c r="AI561" i="2"/>
  <c r="AG561" i="2"/>
  <c r="Z561" i="2"/>
  <c r="BA565" i="2"/>
  <c r="AC565" i="2"/>
  <c r="K565" i="2"/>
  <c r="AV565" i="2"/>
  <c r="AB565" i="2"/>
  <c r="G565" i="2"/>
  <c r="AU565" i="2"/>
  <c r="AA565" i="2"/>
  <c r="F565" i="2"/>
  <c r="AP565" i="2"/>
  <c r="Q565" i="2"/>
  <c r="AO565" i="2"/>
  <c r="N565" i="2"/>
  <c r="AD565" i="2"/>
  <c r="AN565" i="2"/>
  <c r="M565" i="2"/>
  <c r="AM565" i="2"/>
  <c r="L565" i="2"/>
  <c r="AJ565" i="2"/>
  <c r="D565" i="2"/>
  <c r="AI565" i="2"/>
  <c r="Z565" i="2"/>
  <c r="C565" i="2"/>
  <c r="AE580" i="2"/>
  <c r="Z580" i="2"/>
  <c r="Y580" i="2"/>
  <c r="AM580" i="2"/>
  <c r="P580" i="2"/>
  <c r="AL580" i="2"/>
  <c r="AH580" i="2"/>
  <c r="AF580" i="2"/>
  <c r="S580" i="2"/>
  <c r="R580" i="2"/>
  <c r="AX580" i="2"/>
  <c r="O580" i="2"/>
  <c r="AW589" i="2"/>
  <c r="AB589" i="2"/>
  <c r="S589" i="2"/>
  <c r="AY589" i="2"/>
  <c r="Q589" i="2"/>
  <c r="AI589" i="2"/>
  <c r="AG589" i="2"/>
  <c r="M589" i="2"/>
  <c r="AF589" i="2"/>
  <c r="AC589" i="2"/>
  <c r="P589" i="2"/>
  <c r="O589" i="2"/>
  <c r="AX589" i="2"/>
  <c r="K589" i="2"/>
  <c r="S565" i="2"/>
  <c r="F580" i="2"/>
  <c r="Z566" i="2"/>
  <c r="Y566" i="2"/>
  <c r="W566" i="2"/>
  <c r="AJ566" i="2"/>
  <c r="H566" i="2"/>
  <c r="V566" i="2"/>
  <c r="AS566" i="2"/>
  <c r="U566" i="2"/>
  <c r="S566" i="2"/>
  <c r="BB566" i="2"/>
  <c r="J566" i="2"/>
  <c r="AZ566" i="2"/>
  <c r="I566" i="2"/>
  <c r="AP566" i="2"/>
  <c r="F566" i="2"/>
  <c r="AC582" i="2"/>
  <c r="P582" i="2"/>
  <c r="K582" i="2"/>
  <c r="AD582" i="2"/>
  <c r="J582" i="2"/>
  <c r="H582" i="2"/>
  <c r="G582" i="2"/>
  <c r="E582" i="2"/>
  <c r="AP582" i="2"/>
  <c r="K590" i="2"/>
  <c r="AX590" i="2"/>
  <c r="J590" i="2"/>
  <c r="AV590" i="2"/>
  <c r="AP590" i="2"/>
  <c r="N590" i="2"/>
  <c r="AN590" i="2"/>
  <c r="X590" i="2"/>
  <c r="U590" i="2"/>
  <c r="T590" i="2"/>
  <c r="P590" i="2"/>
  <c r="V565" i="2"/>
  <c r="K580" i="2"/>
  <c r="AN582" i="2"/>
  <c r="AF597" i="2"/>
  <c r="BB547" i="2"/>
  <c r="BB603" i="2" s="1"/>
  <c r="AT547" i="2"/>
  <c r="AT603" i="2" s="1"/>
  <c r="AG547" i="2"/>
  <c r="AG603" i="2" s="1"/>
  <c r="T547" i="2"/>
  <c r="T603" i="2" s="1"/>
  <c r="G547" i="2"/>
  <c r="G603" i="2" s="1"/>
  <c r="AS547" i="2"/>
  <c r="AS603" i="2" s="1"/>
  <c r="AF547" i="2"/>
  <c r="AF603" i="2" s="1"/>
  <c r="S547" i="2"/>
  <c r="S603" i="2" s="1"/>
  <c r="E547" i="2"/>
  <c r="E603" i="2" s="1"/>
  <c r="AR547" i="2"/>
  <c r="AR603" i="2" s="1"/>
  <c r="AE547" i="2"/>
  <c r="AE603" i="2" s="1"/>
  <c r="Q547" i="2"/>
  <c r="Q603" i="2" s="1"/>
  <c r="D547" i="2"/>
  <c r="D603" i="2" s="1"/>
  <c r="AX567" i="2"/>
  <c r="AS567" i="2"/>
  <c r="AF567" i="2"/>
  <c r="S567" i="2"/>
  <c r="F567" i="2"/>
  <c r="AR567" i="2"/>
  <c r="AE567" i="2"/>
  <c r="R567" i="2"/>
  <c r="E567" i="2"/>
  <c r="AQ567" i="2"/>
  <c r="AD567" i="2"/>
  <c r="Q567" i="2"/>
  <c r="D567" i="2"/>
  <c r="AZ584" i="2"/>
  <c r="AL584" i="2"/>
  <c r="X584" i="2"/>
  <c r="J584" i="2"/>
  <c r="AY584" i="2"/>
  <c r="AK584" i="2"/>
  <c r="W584" i="2"/>
  <c r="H584" i="2"/>
  <c r="AX584" i="2"/>
  <c r="AJ584" i="2"/>
  <c r="V584" i="2"/>
  <c r="G584" i="2"/>
  <c r="AU591" i="2"/>
  <c r="AG591" i="2"/>
  <c r="S591" i="2"/>
  <c r="E591" i="2"/>
  <c r="AT591" i="2"/>
  <c r="AF591" i="2"/>
  <c r="R591" i="2"/>
  <c r="AS591" i="2"/>
  <c r="AE591" i="2"/>
  <c r="O591" i="2"/>
  <c r="W547" i="2"/>
  <c r="W603" i="2" s="1"/>
  <c r="AM547" i="2"/>
  <c r="AM603" i="2" s="1"/>
  <c r="P567" i="2"/>
  <c r="AI567" i="2"/>
  <c r="AZ567" i="2"/>
  <c r="T584" i="2"/>
  <c r="AP584" i="2"/>
  <c r="H591" i="2"/>
  <c r="Y591" i="2"/>
  <c r="AR591" i="2"/>
  <c r="O603" i="2"/>
  <c r="X547" i="2"/>
  <c r="X603" i="2" s="1"/>
  <c r="AN547" i="2"/>
  <c r="AN603" i="2" s="1"/>
  <c r="BA567" i="2"/>
  <c r="I547" i="2"/>
  <c r="I603" i="2" s="1"/>
  <c r="Y547" i="2"/>
  <c r="Y603" i="2" s="1"/>
  <c r="AO547" i="2"/>
  <c r="AO603" i="2" s="1"/>
  <c r="U567" i="2"/>
  <c r="AK567" i="2"/>
  <c r="BB567" i="2"/>
  <c r="E584" i="2"/>
  <c r="Z584" i="2"/>
  <c r="AR584" i="2"/>
  <c r="J591" i="2"/>
  <c r="AA591" i="2"/>
  <c r="AW591" i="2"/>
  <c r="J547" i="2"/>
  <c r="J603" i="2" s="1"/>
  <c r="Z547" i="2"/>
  <c r="Z603" i="2" s="1"/>
  <c r="AQ547" i="2"/>
  <c r="AQ603" i="2" s="1"/>
  <c r="V567" i="2"/>
  <c r="AM567" i="2"/>
  <c r="F584" i="2"/>
  <c r="AA584" i="2"/>
  <c r="AT584" i="2"/>
  <c r="K591" i="2"/>
  <c r="AC591" i="2"/>
  <c r="AX591" i="2"/>
  <c r="AO557" i="2"/>
  <c r="Z557" i="2"/>
  <c r="L557" i="2"/>
  <c r="BB557" i="2"/>
  <c r="AM557" i="2"/>
  <c r="Y557" i="2"/>
  <c r="K557" i="2"/>
  <c r="BA557" i="2"/>
  <c r="AL557" i="2"/>
  <c r="X557" i="2"/>
  <c r="J557" i="2"/>
  <c r="AQ551" i="2"/>
  <c r="AQ607" i="2" s="1"/>
  <c r="AB551" i="2"/>
  <c r="AB607" i="2" s="1"/>
  <c r="N551" i="2"/>
  <c r="N607" i="2" s="1"/>
  <c r="AO551" i="2"/>
  <c r="AO607" i="2" s="1"/>
  <c r="AA551" i="2"/>
  <c r="AA607" i="2" s="1"/>
  <c r="M551" i="2"/>
  <c r="M607" i="2" s="1"/>
  <c r="AN551" i="2"/>
  <c r="AN607" i="2" s="1"/>
  <c r="Z551" i="2"/>
  <c r="Z607" i="2" s="1"/>
  <c r="L551" i="2"/>
  <c r="L607" i="2" s="1"/>
  <c r="AW563" i="2"/>
  <c r="AH563" i="2"/>
  <c r="S563" i="2"/>
  <c r="D563" i="2"/>
  <c r="AV563" i="2"/>
  <c r="AG563" i="2"/>
  <c r="R563" i="2"/>
  <c r="AU563" i="2"/>
  <c r="AF563" i="2"/>
  <c r="Q563" i="2"/>
  <c r="AZ569" i="2"/>
  <c r="AI569" i="2"/>
  <c r="Q569" i="2"/>
  <c r="AX569" i="2"/>
  <c r="AG569" i="2"/>
  <c r="O569" i="2"/>
  <c r="AW569" i="2"/>
  <c r="AE569" i="2"/>
  <c r="N569" i="2"/>
  <c r="AR587" i="2"/>
  <c r="W587" i="2"/>
  <c r="E587" i="2"/>
  <c r="AP587" i="2"/>
  <c r="V587" i="2"/>
  <c r="AO587" i="2"/>
  <c r="U587" i="2"/>
  <c r="BB593" i="2"/>
  <c r="AE593" i="2"/>
  <c r="I593" i="2"/>
  <c r="BA593" i="2"/>
  <c r="AD593" i="2"/>
  <c r="E593" i="2"/>
  <c r="AZ593" i="2"/>
  <c r="AA593" i="2"/>
  <c r="D593" i="2"/>
  <c r="K547" i="2"/>
  <c r="K603" i="2" s="1"/>
  <c r="AA547" i="2"/>
  <c r="AA603" i="2" s="1"/>
  <c r="AU547" i="2"/>
  <c r="AU603" i="2" s="1"/>
  <c r="H551" i="2"/>
  <c r="H607" i="2" s="1"/>
  <c r="AC551" i="2"/>
  <c r="AC607" i="2" s="1"/>
  <c r="AU551" i="2"/>
  <c r="AU607" i="2" s="1"/>
  <c r="M557" i="2"/>
  <c r="AE557" i="2"/>
  <c r="AW557" i="2"/>
  <c r="T563" i="2"/>
  <c r="AN563" i="2"/>
  <c r="G567" i="2"/>
  <c r="W567" i="2"/>
  <c r="AN567" i="2"/>
  <c r="X569" i="2"/>
  <c r="AQ569" i="2"/>
  <c r="K584" i="2"/>
  <c r="AC584" i="2"/>
  <c r="AU584" i="2"/>
  <c r="F587" i="2"/>
  <c r="AD587" i="2"/>
  <c r="L591" i="2"/>
  <c r="AH591" i="2"/>
  <c r="AY591" i="2"/>
  <c r="X593" i="2"/>
  <c r="AB558" i="2"/>
  <c r="G558" i="2"/>
  <c r="AQ558" i="2"/>
  <c r="AP558" i="2"/>
  <c r="AE552" i="2"/>
  <c r="AE608" i="2" s="1"/>
  <c r="I552" i="2"/>
  <c r="I608" i="2" s="1"/>
  <c r="AD552" i="2"/>
  <c r="AD608" i="2" s="1"/>
  <c r="H552" i="2"/>
  <c r="H608" i="2" s="1"/>
  <c r="AZ552" i="2"/>
  <c r="AZ608" i="2" s="1"/>
  <c r="AC552" i="2"/>
  <c r="AC608" i="2" s="1"/>
  <c r="D552" i="2"/>
  <c r="D608" i="2" s="1"/>
  <c r="AC571" i="2"/>
  <c r="E571" i="2"/>
  <c r="AA571" i="2"/>
  <c r="AZ571" i="2"/>
  <c r="Z571" i="2"/>
  <c r="AQ577" i="2"/>
  <c r="F577" i="2"/>
  <c r="AJ577" i="2"/>
  <c r="E577" i="2"/>
  <c r="AD577" i="2"/>
  <c r="D577" i="2"/>
  <c r="AB595" i="2"/>
  <c r="W595" i="2"/>
  <c r="M595" i="2"/>
  <c r="K601" i="2"/>
  <c r="AZ601" i="2"/>
  <c r="H601" i="2"/>
  <c r="AW601" i="2"/>
  <c r="F601" i="2"/>
  <c r="AU601" i="2"/>
  <c r="L547" i="2"/>
  <c r="L603" i="2" s="1"/>
  <c r="AB547" i="2"/>
  <c r="AB603" i="2" s="1"/>
  <c r="AV547" i="2"/>
  <c r="AV603" i="2" s="1"/>
  <c r="J551" i="2"/>
  <c r="J607" i="2" s="1"/>
  <c r="AE551" i="2"/>
  <c r="AE607" i="2" s="1"/>
  <c r="AW551" i="2"/>
  <c r="AW607" i="2" s="1"/>
  <c r="Z552" i="2"/>
  <c r="Z608" i="2" s="1"/>
  <c r="J553" i="2"/>
  <c r="J609" i="2" s="1"/>
  <c r="N557" i="2"/>
  <c r="AF557" i="2"/>
  <c r="AX557" i="2"/>
  <c r="D560" i="2"/>
  <c r="AI560" i="2"/>
  <c r="U563" i="2"/>
  <c r="AO563" i="2"/>
  <c r="H567" i="2"/>
  <c r="X567" i="2"/>
  <c r="AO567" i="2"/>
  <c r="Y569" i="2"/>
  <c r="AT569" i="2"/>
  <c r="I571" i="2"/>
  <c r="AR571" i="2"/>
  <c r="V572" i="2"/>
  <c r="AS577" i="2"/>
  <c r="AN579" i="2"/>
  <c r="L584" i="2"/>
  <c r="AD584" i="2"/>
  <c r="AV584" i="2"/>
  <c r="G587" i="2"/>
  <c r="AH587" i="2"/>
  <c r="M591" i="2"/>
  <c r="AI591" i="2"/>
  <c r="BA591" i="2"/>
  <c r="Y593" i="2"/>
  <c r="C596" i="2"/>
  <c r="AO595" i="2"/>
  <c r="AO601" i="2"/>
  <c r="H547" i="2"/>
  <c r="H603" i="2" s="1"/>
  <c r="C567" i="2"/>
  <c r="T567" i="2"/>
  <c r="D584" i="2"/>
  <c r="AQ584" i="2"/>
  <c r="I591" i="2"/>
  <c r="AV591" i="2"/>
  <c r="AN559" i="2"/>
  <c r="D559" i="2"/>
  <c r="AK559" i="2"/>
  <c r="AJ559" i="2"/>
  <c r="AN553" i="2"/>
  <c r="AN609" i="2" s="1"/>
  <c r="H553" i="2"/>
  <c r="H609" i="2" s="1"/>
  <c r="AK553" i="2"/>
  <c r="AK609" i="2" s="1"/>
  <c r="E553" i="2"/>
  <c r="E609" i="2" s="1"/>
  <c r="AI553" i="2"/>
  <c r="AI609" i="2" s="1"/>
  <c r="Y564" i="2"/>
  <c r="X564" i="2"/>
  <c r="U564" i="2"/>
  <c r="Q578" i="2"/>
  <c r="P578" i="2"/>
  <c r="K578" i="2"/>
  <c r="AI588" i="2"/>
  <c r="AG588" i="2"/>
  <c r="V588" i="2"/>
  <c r="M547" i="2"/>
  <c r="M603" i="2" s="1"/>
  <c r="AC547" i="2"/>
  <c r="AC603" i="2" s="1"/>
  <c r="AW547" i="2"/>
  <c r="AW603" i="2" s="1"/>
  <c r="K551" i="2"/>
  <c r="K607" i="2" s="1"/>
  <c r="AF551" i="2"/>
  <c r="AF607" i="2" s="1"/>
  <c r="AX551" i="2"/>
  <c r="AX607" i="2" s="1"/>
  <c r="AB552" i="2"/>
  <c r="AB608" i="2" s="1"/>
  <c r="N553" i="2"/>
  <c r="N609" i="2" s="1"/>
  <c r="O557" i="2"/>
  <c r="AG557" i="2"/>
  <c r="AY557" i="2"/>
  <c r="Q559" i="2"/>
  <c r="E560" i="2"/>
  <c r="V563" i="2"/>
  <c r="AQ563" i="2"/>
  <c r="T564" i="2"/>
  <c r="I567" i="2"/>
  <c r="Y567" i="2"/>
  <c r="AP567" i="2"/>
  <c r="E569" i="2"/>
  <c r="Z569" i="2"/>
  <c r="AV569" i="2"/>
  <c r="J571" i="2"/>
  <c r="AS571" i="2"/>
  <c r="AW577" i="2"/>
  <c r="AQ578" i="2"/>
  <c r="M584" i="2"/>
  <c r="AE584" i="2"/>
  <c r="AW584" i="2"/>
  <c r="H587" i="2"/>
  <c r="AI587" i="2"/>
  <c r="U588" i="2"/>
  <c r="N591" i="2"/>
  <c r="AJ591" i="2"/>
  <c r="BB591" i="2"/>
  <c r="Z593" i="2"/>
  <c r="AV595" i="2"/>
  <c r="AR601" i="2"/>
  <c r="AJ567" i="2"/>
  <c r="Y584" i="2"/>
  <c r="Z591" i="2"/>
  <c r="AM560" i="2"/>
  <c r="R560" i="2"/>
  <c r="AL560" i="2"/>
  <c r="Q560" i="2"/>
  <c r="AK560" i="2"/>
  <c r="N560" i="2"/>
  <c r="C560" i="2"/>
  <c r="AH572" i="2"/>
  <c r="I572" i="2"/>
  <c r="BB572" i="2"/>
  <c r="AG572" i="2"/>
  <c r="E572" i="2"/>
  <c r="BA572" i="2"/>
  <c r="AC572" i="2"/>
  <c r="AS579" i="2"/>
  <c r="N579" i="2"/>
  <c r="AQ579" i="2"/>
  <c r="M579" i="2"/>
  <c r="AP579" i="2"/>
  <c r="J579" i="2"/>
  <c r="AY596" i="2"/>
  <c r="S596" i="2"/>
  <c r="R596" i="2"/>
  <c r="BB596" i="2"/>
  <c r="P596" i="2"/>
  <c r="AU596" i="2"/>
  <c r="N547" i="2"/>
  <c r="N603" i="2" s="1"/>
  <c r="AH547" i="2"/>
  <c r="AH603" i="2" s="1"/>
  <c r="AX547" i="2"/>
  <c r="AX603" i="2" s="1"/>
  <c r="O551" i="2"/>
  <c r="O607" i="2" s="1"/>
  <c r="AG551" i="2"/>
  <c r="AG607" i="2" s="1"/>
  <c r="AY551" i="2"/>
  <c r="AY607" i="2" s="1"/>
  <c r="AF552" i="2"/>
  <c r="AF608" i="2" s="1"/>
  <c r="P553" i="2"/>
  <c r="P609" i="2" s="1"/>
  <c r="Q557" i="2"/>
  <c r="AH557" i="2"/>
  <c r="H558" i="2"/>
  <c r="R559" i="2"/>
  <c r="H560" i="2"/>
  <c r="AN560" i="2"/>
  <c r="E563" i="2"/>
  <c r="W563" i="2"/>
  <c r="AR563" i="2"/>
  <c r="AK564" i="2"/>
  <c r="J567" i="2"/>
  <c r="AA567" i="2"/>
  <c r="AT567" i="2"/>
  <c r="F569" i="2"/>
  <c r="AA569" i="2"/>
  <c r="BA569" i="2"/>
  <c r="K571" i="2"/>
  <c r="AT571" i="2"/>
  <c r="AI572" i="2"/>
  <c r="G577" i="2"/>
  <c r="AY577" i="2"/>
  <c r="AS578" i="2"/>
  <c r="AX579" i="2"/>
  <c r="N584" i="2"/>
  <c r="AF584" i="2"/>
  <c r="BA584" i="2"/>
  <c r="I587" i="2"/>
  <c r="AJ587" i="2"/>
  <c r="AN588" i="2"/>
  <c r="T591" i="2"/>
  <c r="AK591" i="2"/>
  <c r="AG593" i="2"/>
  <c r="BB595" i="2"/>
  <c r="AS601" i="2"/>
  <c r="AI548" i="2"/>
  <c r="AI604" i="2" s="1"/>
  <c r="AA550" i="2"/>
  <c r="AA606" i="2" s="1"/>
  <c r="D556" i="2"/>
  <c r="AP562" i="2"/>
  <c r="L568" i="2"/>
  <c r="AT570" i="2"/>
  <c r="BA586" i="2"/>
  <c r="R3" i="2"/>
  <c r="K41" i="2" s="1"/>
  <c r="N41" i="2" s="1"/>
  <c r="Q41" i="2" s="1"/>
  <c r="R41" i="2" s="1"/>
  <c r="AJ548" i="2"/>
  <c r="AJ604" i="2" s="1"/>
  <c r="AB550" i="2"/>
  <c r="AB606" i="2" s="1"/>
  <c r="X556" i="2"/>
  <c r="AQ562" i="2"/>
  <c r="M568" i="2"/>
  <c r="AU570" i="2"/>
  <c r="BB586" i="2"/>
  <c r="J549" i="2"/>
  <c r="J605" i="2" s="1"/>
  <c r="AC550" i="2"/>
  <c r="AC606" i="2" s="1"/>
  <c r="P554" i="2"/>
  <c r="Y556" i="2"/>
  <c r="AQ568" i="2"/>
  <c r="S575" i="2"/>
  <c r="AV583" i="2"/>
  <c r="AJ583" i="2"/>
  <c r="X583" i="2"/>
  <c r="L583" i="2"/>
  <c r="BA583" i="2"/>
  <c r="AN583" i="2"/>
  <c r="AA583" i="2"/>
  <c r="N583" i="2"/>
  <c r="AO583" i="2"/>
  <c r="Z583" i="2"/>
  <c r="K583" i="2"/>
  <c r="AT583" i="2"/>
  <c r="AE583" i="2"/>
  <c r="P583" i="2"/>
  <c r="AS583" i="2"/>
  <c r="AD583" i="2"/>
  <c r="O583" i="2"/>
  <c r="AL583" i="2"/>
  <c r="T583" i="2"/>
  <c r="AK583" i="2"/>
  <c r="S583" i="2"/>
  <c r="AY583" i="2"/>
  <c r="AG583" i="2"/>
  <c r="M583" i="2"/>
  <c r="AX583" i="2"/>
  <c r="Y583" i="2"/>
  <c r="D583" i="2"/>
  <c r="AW583" i="2"/>
  <c r="W583" i="2"/>
  <c r="AU583" i="2"/>
  <c r="V583" i="2"/>
  <c r="C583" i="2"/>
  <c r="AR583" i="2"/>
  <c r="U583" i="2"/>
  <c r="AQ583" i="2"/>
  <c r="R583" i="2"/>
  <c r="I583" i="2"/>
  <c r="AZ583" i="2"/>
  <c r="G583" i="2"/>
  <c r="AP583" i="2"/>
  <c r="F583" i="2"/>
  <c r="AH583" i="2"/>
  <c r="AF583" i="2"/>
  <c r="AC583" i="2"/>
  <c r="AB583" i="2"/>
  <c r="Q583" i="2"/>
  <c r="BB583" i="2"/>
  <c r="H583" i="2"/>
  <c r="AM583" i="2"/>
  <c r="E583" i="2"/>
  <c r="AI583" i="2"/>
  <c r="AQ598" i="2"/>
  <c r="AE598" i="2"/>
  <c r="AW598" i="2"/>
  <c r="AJ598" i="2"/>
  <c r="W598" i="2"/>
  <c r="K598" i="2"/>
  <c r="AT598" i="2"/>
  <c r="AF598" i="2"/>
  <c r="R598" i="2"/>
  <c r="E598" i="2"/>
  <c r="C598" i="2"/>
  <c r="AR598" i="2"/>
  <c r="AC598" i="2"/>
  <c r="P598" i="2"/>
  <c r="BA598" i="2"/>
  <c r="AK598" i="2"/>
  <c r="T598" i="2"/>
  <c r="D598" i="2"/>
  <c r="AZ598" i="2"/>
  <c r="AI598" i="2"/>
  <c r="S598" i="2"/>
  <c r="AS598" i="2"/>
  <c r="Y598" i="2"/>
  <c r="G598" i="2"/>
  <c r="AP598" i="2"/>
  <c r="X598" i="2"/>
  <c r="F598" i="2"/>
  <c r="AV598" i="2"/>
  <c r="V598" i="2"/>
  <c r="AU598" i="2"/>
  <c r="U598" i="2"/>
  <c r="AM598" i="2"/>
  <c r="N598" i="2"/>
  <c r="BB598" i="2"/>
  <c r="Q598" i="2"/>
  <c r="AY598" i="2"/>
  <c r="O598" i="2"/>
  <c r="AX598" i="2"/>
  <c r="M598" i="2"/>
  <c r="AO598" i="2"/>
  <c r="L598" i="2"/>
  <c r="AN598" i="2"/>
  <c r="J598" i="2"/>
  <c r="AH598" i="2"/>
  <c r="AG598" i="2"/>
  <c r="AA598" i="2"/>
  <c r="Z598" i="2"/>
  <c r="I598" i="2"/>
  <c r="H598" i="2"/>
  <c r="AL598" i="2"/>
  <c r="AD598" i="2"/>
  <c r="AB598" i="2"/>
  <c r="AS546" i="2"/>
  <c r="AS602" i="2" s="1"/>
  <c r="AG546" i="2"/>
  <c r="AG602" i="2" s="1"/>
  <c r="U546" i="2"/>
  <c r="U602" i="2" s="1"/>
  <c r="I546" i="2"/>
  <c r="I602" i="2" s="1"/>
  <c r="AP546" i="2"/>
  <c r="AP602" i="2" s="1"/>
  <c r="AC546" i="2"/>
  <c r="AC602" i="2" s="1"/>
  <c r="P546" i="2"/>
  <c r="P602" i="2" s="1"/>
  <c r="BB546" i="2"/>
  <c r="BB602" i="2" s="1"/>
  <c r="AO546" i="2"/>
  <c r="AO602" i="2" s="1"/>
  <c r="AB546" i="2"/>
  <c r="AB602" i="2" s="1"/>
  <c r="O546" i="2"/>
  <c r="O602" i="2" s="1"/>
  <c r="AT546" i="2"/>
  <c r="AT602" i="2" s="1"/>
  <c r="AD546" i="2"/>
  <c r="AD602" i="2" s="1"/>
  <c r="M546" i="2"/>
  <c r="M602" i="2" s="1"/>
  <c r="AR546" i="2"/>
  <c r="AR602" i="2" s="1"/>
  <c r="AA546" i="2"/>
  <c r="AA602" i="2" s="1"/>
  <c r="L546" i="2"/>
  <c r="L602" i="2" s="1"/>
  <c r="C546" i="2"/>
  <c r="C602" i="2" s="1"/>
  <c r="AQ546" i="2"/>
  <c r="AQ602" i="2" s="1"/>
  <c r="Z546" i="2"/>
  <c r="Z602" i="2" s="1"/>
  <c r="K546" i="2"/>
  <c r="K602" i="2" s="1"/>
  <c r="AM546" i="2"/>
  <c r="AM602" i="2" s="1"/>
  <c r="X546" i="2"/>
  <c r="X602" i="2" s="1"/>
  <c r="H546" i="2"/>
  <c r="H602" i="2" s="1"/>
  <c r="AI546" i="2"/>
  <c r="AI602" i="2" s="1"/>
  <c r="J546" i="2"/>
  <c r="J602" i="2" s="1"/>
  <c r="AZ546" i="2"/>
  <c r="AZ602" i="2" s="1"/>
  <c r="AF546" i="2"/>
  <c r="AF602" i="2" s="1"/>
  <c r="F546" i="2"/>
  <c r="F602" i="2" s="1"/>
  <c r="AY546" i="2"/>
  <c r="AY602" i="2" s="1"/>
  <c r="AE546" i="2"/>
  <c r="AE602" i="2" s="1"/>
  <c r="E546" i="2"/>
  <c r="E602" i="2" s="1"/>
  <c r="AW546" i="2"/>
  <c r="AW602" i="2" s="1"/>
  <c r="W546" i="2"/>
  <c r="W602" i="2" s="1"/>
  <c r="AV546" i="2"/>
  <c r="AV602" i="2" s="1"/>
  <c r="V546" i="2"/>
  <c r="V602" i="2" s="1"/>
  <c r="AU546" i="2"/>
  <c r="AU602" i="2" s="1"/>
  <c r="T546" i="2"/>
  <c r="T602" i="2" s="1"/>
  <c r="AN546" i="2"/>
  <c r="AN602" i="2" s="1"/>
  <c r="S546" i="2"/>
  <c r="S602" i="2" s="1"/>
  <c r="AL546" i="2"/>
  <c r="R546" i="2"/>
  <c r="R602" i="2" s="1"/>
  <c r="AK546" i="2"/>
  <c r="AK602" i="2" s="1"/>
  <c r="Q546" i="2"/>
  <c r="Q602" i="2" s="1"/>
  <c r="BA546" i="2"/>
  <c r="BA602" i="2" s="1"/>
  <c r="AH546" i="2"/>
  <c r="AH602" i="2" s="1"/>
  <c r="G546" i="2"/>
  <c r="G602" i="2" s="1"/>
  <c r="AX546" i="2"/>
  <c r="AX602" i="2" s="1"/>
  <c r="Y546" i="2"/>
  <c r="Y602" i="2" s="1"/>
  <c r="D546" i="2"/>
  <c r="D602" i="2" s="1"/>
  <c r="N546" i="2"/>
  <c r="N602" i="2" s="1"/>
  <c r="J583" i="2"/>
  <c r="AL602" i="2"/>
  <c r="BA609" i="2"/>
  <c r="Y607" i="2"/>
  <c r="AX605" i="2"/>
  <c r="AT608" i="2"/>
  <c r="AR606" i="2"/>
  <c r="AS574" i="2"/>
  <c r="AG574" i="2"/>
  <c r="U574" i="2"/>
  <c r="I574" i="2"/>
  <c r="AT574" i="2"/>
  <c r="AF574" i="2"/>
  <c r="S574" i="2"/>
  <c r="F574" i="2"/>
  <c r="BB574" i="2"/>
  <c r="AN574" i="2"/>
  <c r="Z574" i="2"/>
  <c r="L574" i="2"/>
  <c r="BA574" i="2"/>
  <c r="AM574" i="2"/>
  <c r="Y574" i="2"/>
  <c r="K574" i="2"/>
  <c r="C574" i="2"/>
  <c r="AV574" i="2"/>
  <c r="AD574" i="2"/>
  <c r="N574" i="2"/>
  <c r="AU574" i="2"/>
  <c r="AC574" i="2"/>
  <c r="M574" i="2"/>
  <c r="AR574" i="2"/>
  <c r="X574" i="2"/>
  <c r="D574" i="2"/>
  <c r="AQ574" i="2"/>
  <c r="W574" i="2"/>
  <c r="AP574" i="2"/>
  <c r="V574" i="2"/>
  <c r="AO574" i="2"/>
  <c r="T574" i="2"/>
  <c r="AL574" i="2"/>
  <c r="R574" i="2"/>
  <c r="AB574" i="2"/>
  <c r="Q574" i="2"/>
  <c r="AZ574" i="2"/>
  <c r="P574" i="2"/>
  <c r="AW574" i="2"/>
  <c r="H574" i="2"/>
  <c r="AK574" i="2"/>
  <c r="G574" i="2"/>
  <c r="AJ574" i="2"/>
  <c r="E574" i="2"/>
  <c r="AI574" i="2"/>
  <c r="AH574" i="2"/>
  <c r="AA574" i="2"/>
  <c r="AY574" i="2"/>
  <c r="O574" i="2"/>
  <c r="AX574" i="2"/>
  <c r="J574" i="2"/>
  <c r="AJ546" i="2"/>
  <c r="AJ602" i="2" s="1"/>
  <c r="AE574" i="2"/>
  <c r="I555" i="2"/>
  <c r="J556" i="2"/>
  <c r="AL556" i="2"/>
  <c r="U558" i="2"/>
  <c r="AZ558" i="2"/>
  <c r="X562" i="2"/>
  <c r="AW562" i="2"/>
  <c r="AA568" i="2"/>
  <c r="Z570" i="2"/>
  <c r="Z575" i="2"/>
  <c r="P576" i="2"/>
  <c r="I585" i="2"/>
  <c r="AS585" i="2"/>
  <c r="AC586" i="2"/>
  <c r="Z592" i="2"/>
  <c r="G594" i="2"/>
  <c r="AM599" i="2"/>
  <c r="AF600" i="2"/>
  <c r="AT559" i="2"/>
  <c r="AH559" i="2"/>
  <c r="V559" i="2"/>
  <c r="J559" i="2"/>
  <c r="C559" i="2"/>
  <c r="AR559" i="2"/>
  <c r="BA559" i="2"/>
  <c r="AM559" i="2"/>
  <c r="Z559" i="2"/>
  <c r="M559" i="2"/>
  <c r="AZ559" i="2"/>
  <c r="AL559" i="2"/>
  <c r="Y559" i="2"/>
  <c r="L559" i="2"/>
  <c r="AU559" i="2"/>
  <c r="AD559" i="2"/>
  <c r="O559" i="2"/>
  <c r="AS559" i="2"/>
  <c r="AC559" i="2"/>
  <c r="N559" i="2"/>
  <c r="AQ559" i="2"/>
  <c r="AB559" i="2"/>
  <c r="K559" i="2"/>
  <c r="AP559" i="2"/>
  <c r="AA559" i="2"/>
  <c r="I559" i="2"/>
  <c r="AO559" i="2"/>
  <c r="X559" i="2"/>
  <c r="H559" i="2"/>
  <c r="AV553" i="2"/>
  <c r="AV609" i="2" s="1"/>
  <c r="AJ553" i="2"/>
  <c r="AJ609" i="2" s="1"/>
  <c r="X553" i="2"/>
  <c r="X609" i="2" s="1"/>
  <c r="L553" i="2"/>
  <c r="L609" i="2" s="1"/>
  <c r="AZ553" i="2"/>
  <c r="AZ609" i="2" s="1"/>
  <c r="AM553" i="2"/>
  <c r="AM609" i="2" s="1"/>
  <c r="Z553" i="2"/>
  <c r="Z609" i="2" s="1"/>
  <c r="M553" i="2"/>
  <c r="M609" i="2" s="1"/>
  <c r="C553" i="2"/>
  <c r="C609" i="2" s="1"/>
  <c r="AY553" i="2"/>
  <c r="AY609" i="2" s="1"/>
  <c r="AL553" i="2"/>
  <c r="AL609" i="2" s="1"/>
  <c r="Y553" i="2"/>
  <c r="Y609" i="2" s="1"/>
  <c r="K553" i="2"/>
  <c r="K609" i="2" s="1"/>
  <c r="AX553" i="2"/>
  <c r="AX609" i="2" s="1"/>
  <c r="AH553" i="2"/>
  <c r="AH609" i="2" s="1"/>
  <c r="S553" i="2"/>
  <c r="S609" i="2" s="1"/>
  <c r="D553" i="2"/>
  <c r="D609" i="2" s="1"/>
  <c r="AW553" i="2"/>
  <c r="AW609" i="2" s="1"/>
  <c r="AG553" i="2"/>
  <c r="AG609" i="2" s="1"/>
  <c r="R553" i="2"/>
  <c r="R609" i="2" s="1"/>
  <c r="AU553" i="2"/>
  <c r="AU609" i="2" s="1"/>
  <c r="AF553" i="2"/>
  <c r="AF609" i="2" s="1"/>
  <c r="Q553" i="2"/>
  <c r="Q609" i="2" s="1"/>
  <c r="AS553" i="2"/>
  <c r="AS609" i="2" s="1"/>
  <c r="AD553" i="2"/>
  <c r="AD609" i="2" s="1"/>
  <c r="O553" i="2"/>
  <c r="O609" i="2" s="1"/>
  <c r="AU564" i="2"/>
  <c r="AI564" i="2"/>
  <c r="W564" i="2"/>
  <c r="K564" i="2"/>
  <c r="AQ564" i="2"/>
  <c r="AD564" i="2"/>
  <c r="Q564" i="2"/>
  <c r="D564" i="2"/>
  <c r="AT564" i="2"/>
  <c r="AF564" i="2"/>
  <c r="R564" i="2"/>
  <c r="AS564" i="2"/>
  <c r="AE564" i="2"/>
  <c r="P564" i="2"/>
  <c r="AY564" i="2"/>
  <c r="AH564" i="2"/>
  <c r="O564" i="2"/>
  <c r="AX564" i="2"/>
  <c r="AG564" i="2"/>
  <c r="N564" i="2"/>
  <c r="AW564" i="2"/>
  <c r="AC564" i="2"/>
  <c r="M564" i="2"/>
  <c r="AV564" i="2"/>
  <c r="AB564" i="2"/>
  <c r="L564" i="2"/>
  <c r="AR564" i="2"/>
  <c r="AA564" i="2"/>
  <c r="J564" i="2"/>
  <c r="AY578" i="2"/>
  <c r="AM578" i="2"/>
  <c r="AA578" i="2"/>
  <c r="O578" i="2"/>
  <c r="AT578" i="2"/>
  <c r="AG578" i="2"/>
  <c r="T578" i="2"/>
  <c r="G578" i="2"/>
  <c r="BA578" i="2"/>
  <c r="AL578" i="2"/>
  <c r="X578" i="2"/>
  <c r="J578" i="2"/>
  <c r="C578" i="2"/>
  <c r="AZ578" i="2"/>
  <c r="AJ578" i="2"/>
  <c r="U578" i="2"/>
  <c r="E578" i="2"/>
  <c r="AX578" i="2"/>
  <c r="AI578" i="2"/>
  <c r="S578" i="2"/>
  <c r="D578" i="2"/>
  <c r="AW578" i="2"/>
  <c r="AE578" i="2"/>
  <c r="M578" i="2"/>
  <c r="AV578" i="2"/>
  <c r="AD578" i="2"/>
  <c r="L578" i="2"/>
  <c r="AR578" i="2"/>
  <c r="Z578" i="2"/>
  <c r="H578" i="2"/>
  <c r="AF578" i="2"/>
  <c r="F578" i="2"/>
  <c r="AC578" i="2"/>
  <c r="AB578" i="2"/>
  <c r="BB578" i="2"/>
  <c r="Y578" i="2"/>
  <c r="AU578" i="2"/>
  <c r="W578" i="2"/>
  <c r="AW588" i="2"/>
  <c r="AK588" i="2"/>
  <c r="Y588" i="2"/>
  <c r="M588" i="2"/>
  <c r="AZ588" i="2"/>
  <c r="AM588" i="2"/>
  <c r="Z588" i="2"/>
  <c r="L588" i="2"/>
  <c r="C588" i="2"/>
  <c r="AV588" i="2"/>
  <c r="AH588" i="2"/>
  <c r="T588" i="2"/>
  <c r="F588" i="2"/>
  <c r="AQ588" i="2"/>
  <c r="AB588" i="2"/>
  <c r="K588" i="2"/>
  <c r="AP588" i="2"/>
  <c r="AA588" i="2"/>
  <c r="J588" i="2"/>
  <c r="AL588" i="2"/>
  <c r="S588" i="2"/>
  <c r="AJ588" i="2"/>
  <c r="R588" i="2"/>
  <c r="AY588" i="2"/>
  <c r="AF588" i="2"/>
  <c r="O588" i="2"/>
  <c r="AE588" i="2"/>
  <c r="G588" i="2"/>
  <c r="BB588" i="2"/>
  <c r="AD588" i="2"/>
  <c r="E588" i="2"/>
  <c r="BA588" i="2"/>
  <c r="AC588" i="2"/>
  <c r="D588" i="2"/>
  <c r="AX588" i="2"/>
  <c r="X588" i="2"/>
  <c r="AU588" i="2"/>
  <c r="W588" i="2"/>
  <c r="X548" i="2"/>
  <c r="X604" i="2" s="1"/>
  <c r="AW548" i="2"/>
  <c r="AW604" i="2" s="1"/>
  <c r="U549" i="2"/>
  <c r="U605" i="2" s="1"/>
  <c r="AR549" i="2"/>
  <c r="AR605" i="2" s="1"/>
  <c r="P550" i="2"/>
  <c r="P606" i="2" s="1"/>
  <c r="AO550" i="2"/>
  <c r="AO606" i="2" s="1"/>
  <c r="V553" i="2"/>
  <c r="V609" i="2" s="1"/>
  <c r="AR553" i="2"/>
  <c r="AR609" i="2" s="1"/>
  <c r="J554" i="2"/>
  <c r="AG554" i="2"/>
  <c r="K555" i="2"/>
  <c r="AM555" i="2"/>
  <c r="P556" i="2"/>
  <c r="AM556" i="2"/>
  <c r="V558" i="2"/>
  <c r="BA558" i="2"/>
  <c r="W559" i="2"/>
  <c r="BB559" i="2"/>
  <c r="Y562" i="2"/>
  <c r="V564" i="2"/>
  <c r="BA564" i="2"/>
  <c r="AB568" i="2"/>
  <c r="C576" i="2"/>
  <c r="AB570" i="2"/>
  <c r="AL575" i="2"/>
  <c r="Q576" i="2"/>
  <c r="N578" i="2"/>
  <c r="M585" i="2"/>
  <c r="AT585" i="2"/>
  <c r="AD586" i="2"/>
  <c r="AR588" i="2"/>
  <c r="AH592" i="2"/>
  <c r="O594" i="2"/>
  <c r="AP599" i="2"/>
  <c r="G548" i="2"/>
  <c r="G604" i="2" s="1"/>
  <c r="AG548" i="2"/>
  <c r="AG604" i="2" s="1"/>
  <c r="AB549" i="2"/>
  <c r="AB605" i="2" s="1"/>
  <c r="Y550" i="2"/>
  <c r="Y606" i="2" s="1"/>
  <c r="F553" i="2"/>
  <c r="F609" i="2" s="1"/>
  <c r="AB553" i="2"/>
  <c r="AB609" i="2" s="1"/>
  <c r="BB553" i="2"/>
  <c r="BB609" i="2" s="1"/>
  <c r="N554" i="2"/>
  <c r="U555" i="2"/>
  <c r="T556" i="2"/>
  <c r="E558" i="2"/>
  <c r="E559" i="2"/>
  <c r="AG559" i="2"/>
  <c r="G562" i="2"/>
  <c r="Z564" i="2"/>
  <c r="D568" i="2"/>
  <c r="E570" i="2"/>
  <c r="E575" i="2"/>
  <c r="R578" i="2"/>
  <c r="C592" i="2"/>
  <c r="N588" i="2"/>
  <c r="AW554" i="2"/>
  <c r="AK554" i="2"/>
  <c r="Y554" i="2"/>
  <c r="M554" i="2"/>
  <c r="AS554" i="2"/>
  <c r="AF554" i="2"/>
  <c r="S554" i="2"/>
  <c r="F554" i="2"/>
  <c r="AR554" i="2"/>
  <c r="AE554" i="2"/>
  <c r="R554" i="2"/>
  <c r="E554" i="2"/>
  <c r="BB554" i="2"/>
  <c r="AM554" i="2"/>
  <c r="W554" i="2"/>
  <c r="H554" i="2"/>
  <c r="BA554" i="2"/>
  <c r="AL554" i="2"/>
  <c r="V554" i="2"/>
  <c r="G554" i="2"/>
  <c r="AZ554" i="2"/>
  <c r="AJ554" i="2"/>
  <c r="U554" i="2"/>
  <c r="D554" i="2"/>
  <c r="AY554" i="2"/>
  <c r="AI554" i="2"/>
  <c r="T554" i="2"/>
  <c r="AX554" i="2"/>
  <c r="AH554" i="2"/>
  <c r="Q554" i="2"/>
  <c r="AY548" i="2"/>
  <c r="AY604" i="2" s="1"/>
  <c r="AM548" i="2"/>
  <c r="AM604" i="2" s="1"/>
  <c r="AA548" i="2"/>
  <c r="AA604" i="2" s="1"/>
  <c r="O548" i="2"/>
  <c r="O604" i="2" s="1"/>
  <c r="AS548" i="2"/>
  <c r="AS604" i="2" s="1"/>
  <c r="AF548" i="2"/>
  <c r="AF604" i="2" s="1"/>
  <c r="S548" i="2"/>
  <c r="S604" i="2" s="1"/>
  <c r="F548" i="2"/>
  <c r="F604" i="2" s="1"/>
  <c r="AR548" i="2"/>
  <c r="AR604" i="2" s="1"/>
  <c r="AE548" i="2"/>
  <c r="AE604" i="2" s="1"/>
  <c r="R548" i="2"/>
  <c r="R604" i="2" s="1"/>
  <c r="E548" i="2"/>
  <c r="E604" i="2" s="1"/>
  <c r="AQ548" i="2"/>
  <c r="AQ604" i="2" s="1"/>
  <c r="AB548" i="2"/>
  <c r="AB604" i="2" s="1"/>
  <c r="L548" i="2"/>
  <c r="L604" i="2" s="1"/>
  <c r="C548" i="2"/>
  <c r="C604" i="2" s="1"/>
  <c r="AP548" i="2"/>
  <c r="AP604" i="2" s="1"/>
  <c r="Z548" i="2"/>
  <c r="Z604" i="2" s="1"/>
  <c r="K548" i="2"/>
  <c r="K604" i="2" s="1"/>
  <c r="AO548" i="2"/>
  <c r="AO604" i="2" s="1"/>
  <c r="Y548" i="2"/>
  <c r="Y604" i="2" s="1"/>
  <c r="J548" i="2"/>
  <c r="J604" i="2" s="1"/>
  <c r="BB548" i="2"/>
  <c r="BB604" i="2" s="1"/>
  <c r="AL548" i="2"/>
  <c r="AL604" i="2" s="1"/>
  <c r="W548" i="2"/>
  <c r="W604" i="2" s="1"/>
  <c r="H548" i="2"/>
  <c r="H604" i="2" s="1"/>
  <c r="BB575" i="2"/>
  <c r="AP575" i="2"/>
  <c r="AD575" i="2"/>
  <c r="R575" i="2"/>
  <c r="F575" i="2"/>
  <c r="AU575" i="2"/>
  <c r="AH575" i="2"/>
  <c r="U575" i="2"/>
  <c r="H575" i="2"/>
  <c r="C575" i="2"/>
  <c r="AT575" i="2"/>
  <c r="AF575" i="2"/>
  <c r="Q575" i="2"/>
  <c r="AS575" i="2"/>
  <c r="AE575" i="2"/>
  <c r="P575" i="2"/>
  <c r="AW575" i="2"/>
  <c r="AC575" i="2"/>
  <c r="M575" i="2"/>
  <c r="AV575" i="2"/>
  <c r="AB575" i="2"/>
  <c r="L575" i="2"/>
  <c r="AK575" i="2"/>
  <c r="O575" i="2"/>
  <c r="AJ575" i="2"/>
  <c r="N575" i="2"/>
  <c r="BA575" i="2"/>
  <c r="AI575" i="2"/>
  <c r="K575" i="2"/>
  <c r="AZ575" i="2"/>
  <c r="AG575" i="2"/>
  <c r="J575" i="2"/>
  <c r="AY575" i="2"/>
  <c r="AA575" i="2"/>
  <c r="I575" i="2"/>
  <c r="BB585" i="2"/>
  <c r="AP585" i="2"/>
  <c r="AD585" i="2"/>
  <c r="R585" i="2"/>
  <c r="F585" i="2"/>
  <c r="C585" i="2"/>
  <c r="AQ585" i="2"/>
  <c r="AC585" i="2"/>
  <c r="P585" i="2"/>
  <c r="AZ585" i="2"/>
  <c r="AL585" i="2"/>
  <c r="X585" i="2"/>
  <c r="J585" i="2"/>
  <c r="AV585" i="2"/>
  <c r="AG585" i="2"/>
  <c r="Q585" i="2"/>
  <c r="AU585" i="2"/>
  <c r="AF585" i="2"/>
  <c r="O585" i="2"/>
  <c r="AX585" i="2"/>
  <c r="AE585" i="2"/>
  <c r="L585" i="2"/>
  <c r="AW585" i="2"/>
  <c r="AB585" i="2"/>
  <c r="K585" i="2"/>
  <c r="AR585" i="2"/>
  <c r="Y585" i="2"/>
  <c r="G585" i="2"/>
  <c r="AI585" i="2"/>
  <c r="H585" i="2"/>
  <c r="AH585" i="2"/>
  <c r="E585" i="2"/>
  <c r="AA585" i="2"/>
  <c r="D585" i="2"/>
  <c r="BA585" i="2"/>
  <c r="Z585" i="2"/>
  <c r="AY585" i="2"/>
  <c r="W585" i="2"/>
  <c r="AZ599" i="2"/>
  <c r="AN599" i="2"/>
  <c r="AB599" i="2"/>
  <c r="P599" i="2"/>
  <c r="D599" i="2"/>
  <c r="AX599" i="2"/>
  <c r="AK599" i="2"/>
  <c r="X599" i="2"/>
  <c r="K599" i="2"/>
  <c r="BA599" i="2"/>
  <c r="AL599" i="2"/>
  <c r="W599" i="2"/>
  <c r="I599" i="2"/>
  <c r="AW599" i="2"/>
  <c r="AI599" i="2"/>
  <c r="U599" i="2"/>
  <c r="G599" i="2"/>
  <c r="AJ599" i="2"/>
  <c r="S599" i="2"/>
  <c r="BB599" i="2"/>
  <c r="AH599" i="2"/>
  <c r="R599" i="2"/>
  <c r="AG599" i="2"/>
  <c r="N599" i="2"/>
  <c r="AF599" i="2"/>
  <c r="M599" i="2"/>
  <c r="AS599" i="2"/>
  <c r="V599" i="2"/>
  <c r="AR599" i="2"/>
  <c r="T599" i="2"/>
  <c r="C599" i="2"/>
  <c r="AO599" i="2"/>
  <c r="L599" i="2"/>
  <c r="AE599" i="2"/>
  <c r="AD599" i="2"/>
  <c r="AC599" i="2"/>
  <c r="AA599" i="2"/>
  <c r="Z599" i="2"/>
  <c r="P548" i="2"/>
  <c r="P604" i="2" s="1"/>
  <c r="AK548" i="2"/>
  <c r="AK604" i="2" s="1"/>
  <c r="Z554" i="2"/>
  <c r="AV554" i="2"/>
  <c r="V575" i="2"/>
  <c r="AK585" i="2"/>
  <c r="J599" i="2"/>
  <c r="AT555" i="2"/>
  <c r="AH555" i="2"/>
  <c r="V555" i="2"/>
  <c r="J555" i="2"/>
  <c r="AU555" i="2"/>
  <c r="AG555" i="2"/>
  <c r="T555" i="2"/>
  <c r="G555" i="2"/>
  <c r="AS555" i="2"/>
  <c r="AF555" i="2"/>
  <c r="S555" i="2"/>
  <c r="F555" i="2"/>
  <c r="AY555" i="2"/>
  <c r="AJ555" i="2"/>
  <c r="R555" i="2"/>
  <c r="AX555" i="2"/>
  <c r="AI555" i="2"/>
  <c r="Q555" i="2"/>
  <c r="AW555" i="2"/>
  <c r="AE555" i="2"/>
  <c r="P555" i="2"/>
  <c r="AV555" i="2"/>
  <c r="AD555" i="2"/>
  <c r="O555" i="2"/>
  <c r="AR555" i="2"/>
  <c r="AC555" i="2"/>
  <c r="N555" i="2"/>
  <c r="AV549" i="2"/>
  <c r="AV605" i="2" s="1"/>
  <c r="AJ549" i="2"/>
  <c r="AJ605" i="2" s="1"/>
  <c r="X549" i="2"/>
  <c r="X605" i="2" s="1"/>
  <c r="L549" i="2"/>
  <c r="L605" i="2" s="1"/>
  <c r="AT549" i="2"/>
  <c r="AT605" i="2" s="1"/>
  <c r="AG549" i="2"/>
  <c r="AG605" i="2" s="1"/>
  <c r="T549" i="2"/>
  <c r="T605" i="2" s="1"/>
  <c r="G549" i="2"/>
  <c r="G605" i="2" s="1"/>
  <c r="AS549" i="2"/>
  <c r="AS605" i="2" s="1"/>
  <c r="AF549" i="2"/>
  <c r="AF605" i="2" s="1"/>
  <c r="S549" i="2"/>
  <c r="S605" i="2" s="1"/>
  <c r="F549" i="2"/>
  <c r="F605" i="2" s="1"/>
  <c r="AN549" i="2"/>
  <c r="AN605" i="2" s="1"/>
  <c r="Y549" i="2"/>
  <c r="Y605" i="2" s="1"/>
  <c r="I549" i="2"/>
  <c r="I605" i="2" s="1"/>
  <c r="BB549" i="2"/>
  <c r="BB605" i="2" s="1"/>
  <c r="AM549" i="2"/>
  <c r="AM605" i="2" s="1"/>
  <c r="W549" i="2"/>
  <c r="W605" i="2" s="1"/>
  <c r="H549" i="2"/>
  <c r="H605" i="2" s="1"/>
  <c r="BA549" i="2"/>
  <c r="BA605" i="2" s="1"/>
  <c r="AL549" i="2"/>
  <c r="AL605" i="2" s="1"/>
  <c r="V549" i="2"/>
  <c r="V605" i="2" s="1"/>
  <c r="E549" i="2"/>
  <c r="E605" i="2" s="1"/>
  <c r="AY549" i="2"/>
  <c r="AY605" i="2" s="1"/>
  <c r="AI549" i="2"/>
  <c r="AI605" i="2" s="1"/>
  <c r="R549" i="2"/>
  <c r="R605" i="2" s="1"/>
  <c r="BA562" i="2"/>
  <c r="AO562" i="2"/>
  <c r="AC562" i="2"/>
  <c r="Q562" i="2"/>
  <c r="E562" i="2"/>
  <c r="BB562" i="2"/>
  <c r="AN562" i="2"/>
  <c r="AA562" i="2"/>
  <c r="N562" i="2"/>
  <c r="AV562" i="2"/>
  <c r="AH562" i="2"/>
  <c r="T562" i="2"/>
  <c r="F562" i="2"/>
  <c r="AU562" i="2"/>
  <c r="AG562" i="2"/>
  <c r="S562" i="2"/>
  <c r="D562" i="2"/>
  <c r="AL562" i="2"/>
  <c r="V562" i="2"/>
  <c r="AK562" i="2"/>
  <c r="U562" i="2"/>
  <c r="AZ562" i="2"/>
  <c r="AJ562" i="2"/>
  <c r="R562" i="2"/>
  <c r="AY562" i="2"/>
  <c r="AI562" i="2"/>
  <c r="P562" i="2"/>
  <c r="AX562" i="2"/>
  <c r="AF562" i="2"/>
  <c r="O562" i="2"/>
  <c r="AU568" i="2"/>
  <c r="AI568" i="2"/>
  <c r="W568" i="2"/>
  <c r="K568" i="2"/>
  <c r="AS568" i="2"/>
  <c r="AF568" i="2"/>
  <c r="S568" i="2"/>
  <c r="F568" i="2"/>
  <c r="BA568" i="2"/>
  <c r="AM568" i="2"/>
  <c r="Y568" i="2"/>
  <c r="J568" i="2"/>
  <c r="AO568" i="2"/>
  <c r="Z568" i="2"/>
  <c r="I568" i="2"/>
  <c r="AN568" i="2"/>
  <c r="X568" i="2"/>
  <c r="H568" i="2"/>
  <c r="AL568" i="2"/>
  <c r="T568" i="2"/>
  <c r="AK568" i="2"/>
  <c r="R568" i="2"/>
  <c r="C568" i="2"/>
  <c r="BB568" i="2"/>
  <c r="AJ568" i="2"/>
  <c r="Q568" i="2"/>
  <c r="AZ568" i="2"/>
  <c r="AH568" i="2"/>
  <c r="P568" i="2"/>
  <c r="AY568" i="2"/>
  <c r="AG568" i="2"/>
  <c r="O568" i="2"/>
  <c r="AQ586" i="2"/>
  <c r="AE586" i="2"/>
  <c r="S586" i="2"/>
  <c r="G586" i="2"/>
  <c r="AW586" i="2"/>
  <c r="AJ586" i="2"/>
  <c r="W586" i="2"/>
  <c r="J586" i="2"/>
  <c r="AY586" i="2"/>
  <c r="AK586" i="2"/>
  <c r="V586" i="2"/>
  <c r="H586" i="2"/>
  <c r="AZ586" i="2"/>
  <c r="AI586" i="2"/>
  <c r="T586" i="2"/>
  <c r="D586" i="2"/>
  <c r="AX586" i="2"/>
  <c r="AH586" i="2"/>
  <c r="R586" i="2"/>
  <c r="C586" i="2"/>
  <c r="AT586" i="2"/>
  <c r="AB586" i="2"/>
  <c r="K586" i="2"/>
  <c r="AS586" i="2"/>
  <c r="AA586" i="2"/>
  <c r="I586" i="2"/>
  <c r="AO586" i="2"/>
  <c r="X586" i="2"/>
  <c r="AU586" i="2"/>
  <c r="U586" i="2"/>
  <c r="AR586" i="2"/>
  <c r="Q586" i="2"/>
  <c r="AP586" i="2"/>
  <c r="P586" i="2"/>
  <c r="AN586" i="2"/>
  <c r="O586" i="2"/>
  <c r="AM586" i="2"/>
  <c r="N586" i="2"/>
  <c r="AW592" i="2"/>
  <c r="AK592" i="2"/>
  <c r="Y592" i="2"/>
  <c r="M592" i="2"/>
  <c r="AR592" i="2"/>
  <c r="AE592" i="2"/>
  <c r="R592" i="2"/>
  <c r="E592" i="2"/>
  <c r="AS592" i="2"/>
  <c r="AD592" i="2"/>
  <c r="P592" i="2"/>
  <c r="AQ592" i="2"/>
  <c r="AC592" i="2"/>
  <c r="O592" i="2"/>
  <c r="AU592" i="2"/>
  <c r="AB592" i="2"/>
  <c r="K592" i="2"/>
  <c r="AT592" i="2"/>
  <c r="AA592" i="2"/>
  <c r="J592" i="2"/>
  <c r="AZ592" i="2"/>
  <c r="AG592" i="2"/>
  <c r="I592" i="2"/>
  <c r="AY592" i="2"/>
  <c r="AF592" i="2"/>
  <c r="H592" i="2"/>
  <c r="AP592" i="2"/>
  <c r="W592" i="2"/>
  <c r="D592" i="2"/>
  <c r="BA592" i="2"/>
  <c r="V592" i="2"/>
  <c r="AX592" i="2"/>
  <c r="U592" i="2"/>
  <c r="AV592" i="2"/>
  <c r="T592" i="2"/>
  <c r="AO592" i="2"/>
  <c r="S592" i="2"/>
  <c r="AN592" i="2"/>
  <c r="Q592" i="2"/>
  <c r="Q548" i="2"/>
  <c r="Q604" i="2" s="1"/>
  <c r="AN548" i="2"/>
  <c r="AN604" i="2" s="1"/>
  <c r="N549" i="2"/>
  <c r="N605" i="2" s="1"/>
  <c r="AK549" i="2"/>
  <c r="AK605" i="2" s="1"/>
  <c r="AA554" i="2"/>
  <c r="D555" i="2"/>
  <c r="AA555" i="2"/>
  <c r="L562" i="2"/>
  <c r="AR562" i="2"/>
  <c r="N568" i="2"/>
  <c r="AV568" i="2"/>
  <c r="W575" i="2"/>
  <c r="AM585" i="2"/>
  <c r="M586" i="2"/>
  <c r="L592" i="2"/>
  <c r="O599" i="2"/>
  <c r="AQ556" i="2"/>
  <c r="AE556" i="2"/>
  <c r="S556" i="2"/>
  <c r="G556" i="2"/>
  <c r="AV556" i="2"/>
  <c r="AI556" i="2"/>
  <c r="V556" i="2"/>
  <c r="I556" i="2"/>
  <c r="AU556" i="2"/>
  <c r="AH556" i="2"/>
  <c r="U556" i="2"/>
  <c r="H556" i="2"/>
  <c r="AT556" i="2"/>
  <c r="AD556" i="2"/>
  <c r="O556" i="2"/>
  <c r="AS556" i="2"/>
  <c r="AC556" i="2"/>
  <c r="N556" i="2"/>
  <c r="AR556" i="2"/>
  <c r="AB556" i="2"/>
  <c r="M556" i="2"/>
  <c r="AP556" i="2"/>
  <c r="AA556" i="2"/>
  <c r="L556" i="2"/>
  <c r="AO556" i="2"/>
  <c r="Z556" i="2"/>
  <c r="K556" i="2"/>
  <c r="AS550" i="2"/>
  <c r="AS606" i="2" s="1"/>
  <c r="AG550" i="2"/>
  <c r="AG606" i="2" s="1"/>
  <c r="U550" i="2"/>
  <c r="U606" i="2" s="1"/>
  <c r="I550" i="2"/>
  <c r="I606" i="2" s="1"/>
  <c r="AV550" i="2"/>
  <c r="AV606" i="2" s="1"/>
  <c r="AI550" i="2"/>
  <c r="AI606" i="2" s="1"/>
  <c r="V550" i="2"/>
  <c r="V606" i="2" s="1"/>
  <c r="H550" i="2"/>
  <c r="H606" i="2" s="1"/>
  <c r="AU550" i="2"/>
  <c r="AU606" i="2" s="1"/>
  <c r="AH550" i="2"/>
  <c r="AH606" i="2" s="1"/>
  <c r="T550" i="2"/>
  <c r="T606" i="2" s="1"/>
  <c r="G550" i="2"/>
  <c r="G606" i="2" s="1"/>
  <c r="AZ550" i="2"/>
  <c r="AZ606" i="2" s="1"/>
  <c r="AK550" i="2"/>
  <c r="AK606" i="2" s="1"/>
  <c r="S550" i="2"/>
  <c r="S606" i="2" s="1"/>
  <c r="D550" i="2"/>
  <c r="D606" i="2" s="1"/>
  <c r="AY550" i="2"/>
  <c r="AY606" i="2" s="1"/>
  <c r="AJ550" i="2"/>
  <c r="AJ606" i="2" s="1"/>
  <c r="R550" i="2"/>
  <c r="R606" i="2" s="1"/>
  <c r="AX550" i="2"/>
  <c r="AX606" i="2" s="1"/>
  <c r="AF550" i="2"/>
  <c r="AF606" i="2" s="1"/>
  <c r="Q550" i="2"/>
  <c r="Q606" i="2" s="1"/>
  <c r="AT550" i="2"/>
  <c r="AT606" i="2" s="1"/>
  <c r="AD550" i="2"/>
  <c r="AD606" i="2" s="1"/>
  <c r="O550" i="2"/>
  <c r="O606" i="2" s="1"/>
  <c r="AS570" i="2"/>
  <c r="AG570" i="2"/>
  <c r="U570" i="2"/>
  <c r="I570" i="2"/>
  <c r="BA570" i="2"/>
  <c r="AN570" i="2"/>
  <c r="AA570" i="2"/>
  <c r="N570" i="2"/>
  <c r="AQ570" i="2"/>
  <c r="AC570" i="2"/>
  <c r="O570" i="2"/>
  <c r="AM570" i="2"/>
  <c r="X570" i="2"/>
  <c r="H570" i="2"/>
  <c r="BB570" i="2"/>
  <c r="AL570" i="2"/>
  <c r="W570" i="2"/>
  <c r="G570" i="2"/>
  <c r="AZ570" i="2"/>
  <c r="AI570" i="2"/>
  <c r="Q570" i="2"/>
  <c r="AY570" i="2"/>
  <c r="AH570" i="2"/>
  <c r="P570" i="2"/>
  <c r="C570" i="2"/>
  <c r="AX570" i="2"/>
  <c r="AF570" i="2"/>
  <c r="M570" i="2"/>
  <c r="AW570" i="2"/>
  <c r="AE570" i="2"/>
  <c r="L570" i="2"/>
  <c r="AV570" i="2"/>
  <c r="AD570" i="2"/>
  <c r="K570" i="2"/>
  <c r="BA576" i="2"/>
  <c r="AY576" i="2"/>
  <c r="AM576" i="2"/>
  <c r="AA576" i="2"/>
  <c r="O576" i="2"/>
  <c r="AV576" i="2"/>
  <c r="AI576" i="2"/>
  <c r="V576" i="2"/>
  <c r="I576" i="2"/>
  <c r="BB576" i="2"/>
  <c r="AL576" i="2"/>
  <c r="X576" i="2"/>
  <c r="J576" i="2"/>
  <c r="AZ576" i="2"/>
  <c r="AK576" i="2"/>
  <c r="W576" i="2"/>
  <c r="H576" i="2"/>
  <c r="AU576" i="2"/>
  <c r="AE576" i="2"/>
  <c r="N576" i="2"/>
  <c r="AT576" i="2"/>
  <c r="AD576" i="2"/>
  <c r="M576" i="2"/>
  <c r="AS576" i="2"/>
  <c r="Z576" i="2"/>
  <c r="E576" i="2"/>
  <c r="AR576" i="2"/>
  <c r="Y576" i="2"/>
  <c r="D576" i="2"/>
  <c r="AQ576" i="2"/>
  <c r="U576" i="2"/>
  <c r="AP576" i="2"/>
  <c r="T576" i="2"/>
  <c r="AO576" i="2"/>
  <c r="S576" i="2"/>
  <c r="AU594" i="2"/>
  <c r="AI594" i="2"/>
  <c r="W594" i="2"/>
  <c r="K594" i="2"/>
  <c r="AZ594" i="2"/>
  <c r="AM594" i="2"/>
  <c r="Z594" i="2"/>
  <c r="M594" i="2"/>
  <c r="AX594" i="2"/>
  <c r="AK594" i="2"/>
  <c r="AY594" i="2"/>
  <c r="AH594" i="2"/>
  <c r="T594" i="2"/>
  <c r="F594" i="2"/>
  <c r="AW594" i="2"/>
  <c r="AG594" i="2"/>
  <c r="S594" i="2"/>
  <c r="E594" i="2"/>
  <c r="AO594" i="2"/>
  <c r="V594" i="2"/>
  <c r="D594" i="2"/>
  <c r="AN594" i="2"/>
  <c r="U594" i="2"/>
  <c r="AS594" i="2"/>
  <c r="Y594" i="2"/>
  <c r="AR594" i="2"/>
  <c r="X594" i="2"/>
  <c r="AL594" i="2"/>
  <c r="P594" i="2"/>
  <c r="C594" i="2"/>
  <c r="AQ594" i="2"/>
  <c r="N594" i="2"/>
  <c r="AP594" i="2"/>
  <c r="L594" i="2"/>
  <c r="AJ594" i="2"/>
  <c r="J594" i="2"/>
  <c r="AF594" i="2"/>
  <c r="I594" i="2"/>
  <c r="AE594" i="2"/>
  <c r="H594" i="2"/>
  <c r="AW600" i="2"/>
  <c r="AK600" i="2"/>
  <c r="Y600" i="2"/>
  <c r="M600" i="2"/>
  <c r="AZ600" i="2"/>
  <c r="AM600" i="2"/>
  <c r="Z600" i="2"/>
  <c r="L600" i="2"/>
  <c r="AR600" i="2"/>
  <c r="AD600" i="2"/>
  <c r="P600" i="2"/>
  <c r="AP600" i="2"/>
  <c r="AB600" i="2"/>
  <c r="N600" i="2"/>
  <c r="BB600" i="2"/>
  <c r="AJ600" i="2"/>
  <c r="T600" i="2"/>
  <c r="D600" i="2"/>
  <c r="BA600" i="2"/>
  <c r="AI600" i="2"/>
  <c r="S600" i="2"/>
  <c r="AT600" i="2"/>
  <c r="X600" i="2"/>
  <c r="F600" i="2"/>
  <c r="AS600" i="2"/>
  <c r="W600" i="2"/>
  <c r="E600" i="2"/>
  <c r="AQ600" i="2"/>
  <c r="R600" i="2"/>
  <c r="C600" i="2"/>
  <c r="AO600" i="2"/>
  <c r="Q600" i="2"/>
  <c r="AH600" i="2"/>
  <c r="J600" i="2"/>
  <c r="AX600" i="2"/>
  <c r="O600" i="2"/>
  <c r="AV600" i="2"/>
  <c r="K600" i="2"/>
  <c r="AU600" i="2"/>
  <c r="I600" i="2"/>
  <c r="AN600" i="2"/>
  <c r="H600" i="2"/>
  <c r="AL600" i="2"/>
  <c r="G600" i="2"/>
  <c r="C549" i="2"/>
  <c r="C605" i="2" s="1"/>
  <c r="T548" i="2"/>
  <c r="T604" i="2" s="1"/>
  <c r="AT548" i="2"/>
  <c r="AT604" i="2" s="1"/>
  <c r="O549" i="2"/>
  <c r="O605" i="2" s="1"/>
  <c r="AO549" i="2"/>
  <c r="AO605" i="2" s="1"/>
  <c r="L550" i="2"/>
  <c r="L606" i="2" s="1"/>
  <c r="AL550" i="2"/>
  <c r="AL606" i="2" s="1"/>
  <c r="AB554" i="2"/>
  <c r="E555" i="2"/>
  <c r="AB555" i="2"/>
  <c r="E556" i="2"/>
  <c r="AJ556" i="2"/>
  <c r="C562" i="2"/>
  <c r="M562" i="2"/>
  <c r="AS562" i="2"/>
  <c r="U568" i="2"/>
  <c r="AW568" i="2"/>
  <c r="V570" i="2"/>
  <c r="X575" i="2"/>
  <c r="K576" i="2"/>
  <c r="AW576" i="2"/>
  <c r="AN585" i="2"/>
  <c r="Y586" i="2"/>
  <c r="N592" i="2"/>
  <c r="BA594" i="2"/>
  <c r="Q599" i="2"/>
  <c r="AC600" i="2"/>
  <c r="C550" i="2"/>
  <c r="C606" i="2" s="1"/>
  <c r="U548" i="2"/>
  <c r="U604" i="2" s="1"/>
  <c r="AU548" i="2"/>
  <c r="AU604" i="2" s="1"/>
  <c r="P549" i="2"/>
  <c r="P605" i="2" s="1"/>
  <c r="AP549" i="2"/>
  <c r="AP605" i="2" s="1"/>
  <c r="M550" i="2"/>
  <c r="M606" i="2" s="1"/>
  <c r="AM550" i="2"/>
  <c r="AM606" i="2" s="1"/>
  <c r="AC554" i="2"/>
  <c r="H555" i="2"/>
  <c r="AK555" i="2"/>
  <c r="F556" i="2"/>
  <c r="AK556" i="2"/>
  <c r="W562" i="2"/>
  <c r="AT562" i="2"/>
  <c r="V568" i="2"/>
  <c r="AX568" i="2"/>
  <c r="Y570" i="2"/>
  <c r="Y575" i="2"/>
  <c r="L576" i="2"/>
  <c r="AX576" i="2"/>
  <c r="AO585" i="2"/>
  <c r="Z586" i="2"/>
  <c r="X592" i="2"/>
  <c r="BB594" i="2"/>
  <c r="Y599" i="2"/>
  <c r="AE600" i="2"/>
  <c r="AW558" i="2"/>
  <c r="AK558" i="2"/>
  <c r="Y558" i="2"/>
  <c r="M558" i="2"/>
  <c r="AY558" i="2"/>
  <c r="AL558" i="2"/>
  <c r="X558" i="2"/>
  <c r="K558" i="2"/>
  <c r="AX558" i="2"/>
  <c r="AJ558" i="2"/>
  <c r="W558" i="2"/>
  <c r="J558" i="2"/>
  <c r="AV558" i="2"/>
  <c r="AG558" i="2"/>
  <c r="R558" i="2"/>
  <c r="AU558" i="2"/>
  <c r="AF558" i="2"/>
  <c r="Q558" i="2"/>
  <c r="AT558" i="2"/>
  <c r="AE558" i="2"/>
  <c r="P558" i="2"/>
  <c r="AS558" i="2"/>
  <c r="AD558" i="2"/>
  <c r="O558" i="2"/>
  <c r="AR558" i="2"/>
  <c r="AC558" i="2"/>
  <c r="N558" i="2"/>
  <c r="V548" i="2"/>
  <c r="V604" i="2" s="1"/>
  <c r="AV548" i="2"/>
  <c r="AV604" i="2" s="1"/>
  <c r="Q549" i="2"/>
  <c r="Q605" i="2" s="1"/>
  <c r="AQ549" i="2"/>
  <c r="AQ605" i="2" s="1"/>
  <c r="N550" i="2"/>
  <c r="N606" i="2" s="1"/>
  <c r="AN550" i="2"/>
  <c r="AN606" i="2" s="1"/>
  <c r="I554" i="2"/>
  <c r="AD554" i="2"/>
  <c r="AL555" i="2"/>
  <c r="AC548" i="2"/>
  <c r="AC604" i="2" s="1"/>
  <c r="AX548" i="2"/>
  <c r="AX604" i="2" s="1"/>
  <c r="Z549" i="2"/>
  <c r="Z605" i="2" s="1"/>
  <c r="AU549" i="2"/>
  <c r="AU605" i="2" s="1"/>
  <c r="W550" i="2"/>
  <c r="W606" i="2" s="1"/>
  <c r="AP550" i="2"/>
  <c r="AP606" i="2" s="1"/>
  <c r="K554" i="2"/>
  <c r="AN554" i="2"/>
  <c r="L555" i="2"/>
  <c r="AN555" i="2"/>
  <c r="Q556" i="2"/>
  <c r="AN556" i="2"/>
  <c r="Z558" i="2"/>
  <c r="BB558" i="2"/>
  <c r="Z562" i="2"/>
  <c r="AC568" i="2"/>
  <c r="AJ570" i="2"/>
  <c r="AM575" i="2"/>
  <c r="R576" i="2"/>
  <c r="N585" i="2"/>
  <c r="AF586" i="2"/>
  <c r="AI592" i="2"/>
  <c r="Q594" i="2"/>
  <c r="AQ599" i="2"/>
  <c r="AY600" i="2"/>
  <c r="D548" i="2"/>
  <c r="D604" i="2" s="1"/>
  <c r="AD548" i="2"/>
  <c r="AD604" i="2" s="1"/>
  <c r="AZ548" i="2"/>
  <c r="AZ604" i="2" s="1"/>
  <c r="AA549" i="2"/>
  <c r="AA605" i="2" s="1"/>
  <c r="AW549" i="2"/>
  <c r="AW605" i="2" s="1"/>
  <c r="X550" i="2"/>
  <c r="X606" i="2" s="1"/>
  <c r="AQ550" i="2"/>
  <c r="AQ606" i="2" s="1"/>
  <c r="L554" i="2"/>
  <c r="AO554" i="2"/>
  <c r="M555" i="2"/>
  <c r="AO555" i="2"/>
  <c r="R556" i="2"/>
  <c r="AW556" i="2"/>
  <c r="D558" i="2"/>
  <c r="AA558" i="2"/>
  <c r="AB562" i="2"/>
  <c r="AD568" i="2"/>
  <c r="D570" i="2"/>
  <c r="AK570" i="2"/>
  <c r="D575" i="2"/>
  <c r="AN575" i="2"/>
  <c r="AB576" i="2"/>
  <c r="S585" i="2"/>
  <c r="AG586" i="2"/>
  <c r="AJ592" i="2"/>
  <c r="R594" i="2"/>
  <c r="AT599" i="2"/>
  <c r="BA566" i="2"/>
  <c r="AO566" i="2"/>
  <c r="AC566" i="2"/>
  <c r="Q566" i="2"/>
  <c r="E566" i="2"/>
  <c r="AT566" i="2"/>
  <c r="AG566" i="2"/>
  <c r="T566" i="2"/>
  <c r="G566" i="2"/>
  <c r="AR566" i="2"/>
  <c r="AD566" i="2"/>
  <c r="O566" i="2"/>
  <c r="AQ566" i="2"/>
  <c r="AB566" i="2"/>
  <c r="N566" i="2"/>
  <c r="AY566" i="2"/>
  <c r="AI566" i="2"/>
  <c r="R566" i="2"/>
  <c r="AX566" i="2"/>
  <c r="AH566" i="2"/>
  <c r="P566" i="2"/>
  <c r="AW566" i="2"/>
  <c r="AF566" i="2"/>
  <c r="M566" i="2"/>
  <c r="AV566" i="2"/>
  <c r="AE566" i="2"/>
  <c r="L566" i="2"/>
  <c r="C566" i="2"/>
  <c r="AU566" i="2"/>
  <c r="AA566" i="2"/>
  <c r="K566" i="2"/>
  <c r="AY582" i="2"/>
  <c r="AM582" i="2"/>
  <c r="AA582" i="2"/>
  <c r="O582" i="2"/>
  <c r="AZ582" i="2"/>
  <c r="AL582" i="2"/>
  <c r="Y582" i="2"/>
  <c r="L582" i="2"/>
  <c r="AV582" i="2"/>
  <c r="AH582" i="2"/>
  <c r="T582" i="2"/>
  <c r="F582" i="2"/>
  <c r="AX582" i="2"/>
  <c r="AI582" i="2"/>
  <c r="S582" i="2"/>
  <c r="D582" i="2"/>
  <c r="AW582" i="2"/>
  <c r="AG582" i="2"/>
  <c r="R582" i="2"/>
  <c r="BB582" i="2"/>
  <c r="AF582" i="2"/>
  <c r="N582" i="2"/>
  <c r="BA582" i="2"/>
  <c r="AE582" i="2"/>
  <c r="M582" i="2"/>
  <c r="AS582" i="2"/>
  <c r="AB582" i="2"/>
  <c r="I582" i="2"/>
  <c r="Z582" i="2"/>
  <c r="AU582" i="2"/>
  <c r="X582" i="2"/>
  <c r="AT582" i="2"/>
  <c r="W582" i="2"/>
  <c r="AR582" i="2"/>
  <c r="V582" i="2"/>
  <c r="C582" i="2"/>
  <c r="AQ582" i="2"/>
  <c r="U582" i="2"/>
  <c r="AQ590" i="2"/>
  <c r="AE590" i="2"/>
  <c r="S590" i="2"/>
  <c r="G590" i="2"/>
  <c r="BB590" i="2"/>
  <c r="AO590" i="2"/>
  <c r="AB590" i="2"/>
  <c r="O590" i="2"/>
  <c r="AU590" i="2"/>
  <c r="AG590" i="2"/>
  <c r="R590" i="2"/>
  <c r="D590" i="2"/>
  <c r="AT590" i="2"/>
  <c r="AF590" i="2"/>
  <c r="Q590" i="2"/>
  <c r="AM590" i="2"/>
  <c r="W590" i="2"/>
  <c r="F590" i="2"/>
  <c r="AL590" i="2"/>
  <c r="V590" i="2"/>
  <c r="E590" i="2"/>
  <c r="BA590" i="2"/>
  <c r="AI590" i="2"/>
  <c r="M590" i="2"/>
  <c r="AZ590" i="2"/>
  <c r="AH590" i="2"/>
  <c r="L590" i="2"/>
  <c r="AW590" i="2"/>
  <c r="AA590" i="2"/>
  <c r="I590" i="2"/>
  <c r="AJ590" i="2"/>
  <c r="H590" i="2"/>
  <c r="C590" i="2"/>
  <c r="AD590" i="2"/>
  <c r="AC590" i="2"/>
  <c r="Z590" i="2"/>
  <c r="AY590" i="2"/>
  <c r="Y590" i="2"/>
  <c r="I548" i="2"/>
  <c r="I604" i="2" s="1"/>
  <c r="AH548" i="2"/>
  <c r="AH604" i="2" s="1"/>
  <c r="D549" i="2"/>
  <c r="D605" i="2" s="1"/>
  <c r="AC549" i="2"/>
  <c r="AC605" i="2" s="1"/>
  <c r="AZ549" i="2"/>
  <c r="AZ605" i="2" s="1"/>
  <c r="Z550" i="2"/>
  <c r="Z606" i="2" s="1"/>
  <c r="AW550" i="2"/>
  <c r="AW606" i="2" s="1"/>
  <c r="G553" i="2"/>
  <c r="G609" i="2" s="1"/>
  <c r="AC553" i="2"/>
  <c r="AC609" i="2" s="1"/>
  <c r="C554" i="2"/>
  <c r="O554" i="2"/>
  <c r="AQ554" i="2"/>
  <c r="W555" i="2"/>
  <c r="AQ555" i="2"/>
  <c r="W556" i="2"/>
  <c r="AY556" i="2"/>
  <c r="F558" i="2"/>
  <c r="AH558" i="2"/>
  <c r="F559" i="2"/>
  <c r="AI559" i="2"/>
  <c r="H562" i="2"/>
  <c r="AE562" i="2"/>
  <c r="E564" i="2"/>
  <c r="AJ564" i="2"/>
  <c r="X566" i="2"/>
  <c r="E568" i="2"/>
  <c r="AP568" i="2"/>
  <c r="F570" i="2"/>
  <c r="AP570" i="2"/>
  <c r="G575" i="2"/>
  <c r="AQ575" i="2"/>
  <c r="AF576" i="2"/>
  <c r="V578" i="2"/>
  <c r="Q582" i="2"/>
  <c r="U585" i="2"/>
  <c r="AV586" i="2"/>
  <c r="P588" i="2"/>
  <c r="AK590" i="2"/>
  <c r="AM592" i="2"/>
  <c r="AB594" i="2"/>
  <c r="E599" i="2"/>
  <c r="AV599" i="2"/>
  <c r="AY552" i="2"/>
  <c r="AY608" i="2" s="1"/>
  <c r="AM552" i="2"/>
  <c r="AM608" i="2" s="1"/>
  <c r="AA552" i="2"/>
  <c r="AA608" i="2" s="1"/>
  <c r="O552" i="2"/>
  <c r="O608" i="2" s="1"/>
  <c r="AX552" i="2"/>
  <c r="AX608" i="2" s="1"/>
  <c r="AK552" i="2"/>
  <c r="AK608" i="2" s="1"/>
  <c r="X552" i="2"/>
  <c r="X608" i="2" s="1"/>
  <c r="K552" i="2"/>
  <c r="K608" i="2" s="1"/>
  <c r="AW552" i="2"/>
  <c r="AW608" i="2" s="1"/>
  <c r="AJ552" i="2"/>
  <c r="AJ608" i="2" s="1"/>
  <c r="W552" i="2"/>
  <c r="W608" i="2" s="1"/>
  <c r="J552" i="2"/>
  <c r="J608" i="2" s="1"/>
  <c r="C552" i="2"/>
  <c r="C608" i="2" s="1"/>
  <c r="BB571" i="2"/>
  <c r="AP571" i="2"/>
  <c r="AD571" i="2"/>
  <c r="R571" i="2"/>
  <c r="F571" i="2"/>
  <c r="C571" i="2"/>
  <c r="AO571" i="2"/>
  <c r="AB571" i="2"/>
  <c r="O571" i="2"/>
  <c r="AW571" i="2"/>
  <c r="AI571" i="2"/>
  <c r="U571" i="2"/>
  <c r="G571" i="2"/>
  <c r="AY571" i="2"/>
  <c r="AJ571" i="2"/>
  <c r="T571" i="2"/>
  <c r="D571" i="2"/>
  <c r="AX571" i="2"/>
  <c r="AH571" i="2"/>
  <c r="S571" i="2"/>
  <c r="AX577" i="2"/>
  <c r="AL577" i="2"/>
  <c r="Z577" i="2"/>
  <c r="N577" i="2"/>
  <c r="BA577" i="2"/>
  <c r="AN577" i="2"/>
  <c r="AA577" i="2"/>
  <c r="M577" i="2"/>
  <c r="AO577" i="2"/>
  <c r="Y577" i="2"/>
  <c r="K577" i="2"/>
  <c r="AV577" i="2"/>
  <c r="AG577" i="2"/>
  <c r="R577" i="2"/>
  <c r="AU577" i="2"/>
  <c r="AF577" i="2"/>
  <c r="Q577" i="2"/>
  <c r="BB577" i="2"/>
  <c r="AI577" i="2"/>
  <c r="P577" i="2"/>
  <c r="AZ577" i="2"/>
  <c r="AH577" i="2"/>
  <c r="O577" i="2"/>
  <c r="AT577" i="2"/>
  <c r="AR595" i="2"/>
  <c r="AF595" i="2"/>
  <c r="T595" i="2"/>
  <c r="H595" i="2"/>
  <c r="BA595" i="2"/>
  <c r="AN595" i="2"/>
  <c r="AA595" i="2"/>
  <c r="N595" i="2"/>
  <c r="AY595" i="2"/>
  <c r="AL595" i="2"/>
  <c r="Y595" i="2"/>
  <c r="L595" i="2"/>
  <c r="AU595" i="2"/>
  <c r="AE595" i="2"/>
  <c r="P595" i="2"/>
  <c r="AT595" i="2"/>
  <c r="AD595" i="2"/>
  <c r="O595" i="2"/>
  <c r="AS595" i="2"/>
  <c r="Z595" i="2"/>
  <c r="G595" i="2"/>
  <c r="AQ595" i="2"/>
  <c r="X595" i="2"/>
  <c r="F595" i="2"/>
  <c r="AM595" i="2"/>
  <c r="R595" i="2"/>
  <c r="AK595" i="2"/>
  <c r="Q595" i="2"/>
  <c r="AH595" i="2"/>
  <c r="J595" i="2"/>
  <c r="AT601" i="2"/>
  <c r="AH601" i="2"/>
  <c r="V601" i="2"/>
  <c r="J601" i="2"/>
  <c r="BA601" i="2"/>
  <c r="AN601" i="2"/>
  <c r="AA601" i="2"/>
  <c r="N601" i="2"/>
  <c r="AX601" i="2"/>
  <c r="AJ601" i="2"/>
  <c r="U601" i="2"/>
  <c r="G601" i="2"/>
  <c r="AV601" i="2"/>
  <c r="AG601" i="2"/>
  <c r="S601" i="2"/>
  <c r="E601" i="2"/>
  <c r="AL601" i="2"/>
  <c r="T601" i="2"/>
  <c r="BB601" i="2"/>
  <c r="AK601" i="2"/>
  <c r="R601" i="2"/>
  <c r="AI601" i="2"/>
  <c r="O601" i="2"/>
  <c r="AF601" i="2"/>
  <c r="M601" i="2"/>
  <c r="C601" i="2"/>
  <c r="AQ601" i="2"/>
  <c r="Q601" i="2"/>
  <c r="AP601" i="2"/>
  <c r="P601" i="2"/>
  <c r="AE601" i="2"/>
  <c r="I601" i="2"/>
  <c r="R552" i="2"/>
  <c r="R608" i="2" s="1"/>
  <c r="AG552" i="2"/>
  <c r="AG608" i="2" s="1"/>
  <c r="AV552" i="2"/>
  <c r="AV608" i="2" s="1"/>
  <c r="N571" i="2"/>
  <c r="AG571" i="2"/>
  <c r="BA571" i="2"/>
  <c r="I577" i="2"/>
  <c r="AE577" i="2"/>
  <c r="T589" i="2"/>
  <c r="K595" i="2"/>
  <c r="AP595" i="2"/>
  <c r="U596" i="2"/>
  <c r="X601" i="2"/>
  <c r="AY601" i="2"/>
  <c r="AQ560" i="2"/>
  <c r="AE560" i="2"/>
  <c r="S560" i="2"/>
  <c r="G560" i="2"/>
  <c r="AT560" i="2"/>
  <c r="AG560" i="2"/>
  <c r="T560" i="2"/>
  <c r="F560" i="2"/>
  <c r="AS560" i="2"/>
  <c r="AD560" i="2"/>
  <c r="P560" i="2"/>
  <c r="AR560" i="2"/>
  <c r="AC560" i="2"/>
  <c r="O560" i="2"/>
  <c r="AY572" i="2"/>
  <c r="AM572" i="2"/>
  <c r="AA572" i="2"/>
  <c r="O572" i="2"/>
  <c r="AQ572" i="2"/>
  <c r="AD572" i="2"/>
  <c r="Q572" i="2"/>
  <c r="D572" i="2"/>
  <c r="AO572" i="2"/>
  <c r="Z572" i="2"/>
  <c r="L572" i="2"/>
  <c r="AU572" i="2"/>
  <c r="AF572" i="2"/>
  <c r="P572" i="2"/>
  <c r="AT572" i="2"/>
  <c r="AE572" i="2"/>
  <c r="N572" i="2"/>
  <c r="AV579" i="2"/>
  <c r="AJ579" i="2"/>
  <c r="X579" i="2"/>
  <c r="L579" i="2"/>
  <c r="AU579" i="2"/>
  <c r="AH579" i="2"/>
  <c r="U579" i="2"/>
  <c r="H579" i="2"/>
  <c r="AR579" i="2"/>
  <c r="AD579" i="2"/>
  <c r="P579" i="2"/>
  <c r="AW579" i="2"/>
  <c r="AF579" i="2"/>
  <c r="Q579" i="2"/>
  <c r="AT579" i="2"/>
  <c r="AE579" i="2"/>
  <c r="O579" i="2"/>
  <c r="AL579" i="2"/>
  <c r="S579" i="2"/>
  <c r="BB579" i="2"/>
  <c r="AK579" i="2"/>
  <c r="R579" i="2"/>
  <c r="AY579" i="2"/>
  <c r="AC579" i="2"/>
  <c r="K579" i="2"/>
  <c r="BA596" i="2"/>
  <c r="AO596" i="2"/>
  <c r="AC596" i="2"/>
  <c r="Q596" i="2"/>
  <c r="E596" i="2"/>
  <c r="AP596" i="2"/>
  <c r="AB596" i="2"/>
  <c r="O596" i="2"/>
  <c r="AZ596" i="2"/>
  <c r="AM596" i="2"/>
  <c r="Z596" i="2"/>
  <c r="M596" i="2"/>
  <c r="AR596" i="2"/>
  <c r="AA596" i="2"/>
  <c r="K596" i="2"/>
  <c r="AQ596" i="2"/>
  <c r="Y596" i="2"/>
  <c r="J596" i="2"/>
  <c r="AX596" i="2"/>
  <c r="AG596" i="2"/>
  <c r="N596" i="2"/>
  <c r="AW596" i="2"/>
  <c r="AF596" i="2"/>
  <c r="L596" i="2"/>
  <c r="AI596" i="2"/>
  <c r="I596" i="2"/>
  <c r="AH596" i="2"/>
  <c r="H596" i="2"/>
  <c r="AV596" i="2"/>
  <c r="X596" i="2"/>
  <c r="D596" i="2"/>
  <c r="E552" i="2"/>
  <c r="E608" i="2" s="1"/>
  <c r="T552" i="2"/>
  <c r="T608" i="2" s="1"/>
  <c r="AI552" i="2"/>
  <c r="AI608" i="2" s="1"/>
  <c r="BA552" i="2"/>
  <c r="BA608" i="2" s="1"/>
  <c r="J560" i="2"/>
  <c r="Z560" i="2"/>
  <c r="AP560" i="2"/>
  <c r="Q571" i="2"/>
  <c r="AL571" i="2"/>
  <c r="F572" i="2"/>
  <c r="W572" i="2"/>
  <c r="AP572" i="2"/>
  <c r="L577" i="2"/>
  <c r="AK577" i="2"/>
  <c r="D579" i="2"/>
  <c r="Z579" i="2"/>
  <c r="AZ579" i="2"/>
  <c r="S595" i="2"/>
  <c r="AW595" i="2"/>
  <c r="W596" i="2"/>
  <c r="Z601" i="2"/>
  <c r="AZ561" i="2"/>
  <c r="AN561" i="2"/>
  <c r="AB561" i="2"/>
  <c r="P561" i="2"/>
  <c r="D561" i="2"/>
  <c r="AU561" i="2"/>
  <c r="AH561" i="2"/>
  <c r="U561" i="2"/>
  <c r="H561" i="2"/>
  <c r="AY561" i="2"/>
  <c r="AK561" i="2"/>
  <c r="W561" i="2"/>
  <c r="I561" i="2"/>
  <c r="AX561" i="2"/>
  <c r="AJ561" i="2"/>
  <c r="V561" i="2"/>
  <c r="G561" i="2"/>
  <c r="AR565" i="2"/>
  <c r="AF565" i="2"/>
  <c r="T565" i="2"/>
  <c r="H565" i="2"/>
  <c r="AS565" i="2"/>
  <c r="AE565" i="2"/>
  <c r="R565" i="2"/>
  <c r="E565" i="2"/>
  <c r="AZ565" i="2"/>
  <c r="AL565" i="2"/>
  <c r="X565" i="2"/>
  <c r="J565" i="2"/>
  <c r="AY565" i="2"/>
  <c r="AK565" i="2"/>
  <c r="W565" i="2"/>
  <c r="I565" i="2"/>
  <c r="AS580" i="2"/>
  <c r="AG580" i="2"/>
  <c r="U580" i="2"/>
  <c r="I580" i="2"/>
  <c r="AW580" i="2"/>
  <c r="AJ580" i="2"/>
  <c r="W580" i="2"/>
  <c r="J580" i="2"/>
  <c r="AY580" i="2"/>
  <c r="AK580" i="2"/>
  <c r="V580" i="2"/>
  <c r="G580" i="2"/>
  <c r="AQ580" i="2"/>
  <c r="AB580" i="2"/>
  <c r="M580" i="2"/>
  <c r="AP580" i="2"/>
  <c r="AA580" i="2"/>
  <c r="L580" i="2"/>
  <c r="AO580" i="2"/>
  <c r="X580" i="2"/>
  <c r="D580" i="2"/>
  <c r="AN580" i="2"/>
  <c r="T580" i="2"/>
  <c r="BB580" i="2"/>
  <c r="AI580" i="2"/>
  <c r="Q580" i="2"/>
  <c r="AT589" i="2"/>
  <c r="AH589" i="2"/>
  <c r="V589" i="2"/>
  <c r="J589" i="2"/>
  <c r="BA589" i="2"/>
  <c r="AN589" i="2"/>
  <c r="AA589" i="2"/>
  <c r="N589" i="2"/>
  <c r="AO589" i="2"/>
  <c r="Z589" i="2"/>
  <c r="L589" i="2"/>
  <c r="BB589" i="2"/>
  <c r="AM589" i="2"/>
  <c r="AL589" i="2"/>
  <c r="W589" i="2"/>
  <c r="G589" i="2"/>
  <c r="AK589" i="2"/>
  <c r="U589" i="2"/>
  <c r="F589" i="2"/>
  <c r="AS589" i="2"/>
  <c r="Y589" i="2"/>
  <c r="E589" i="2"/>
  <c r="AR589" i="2"/>
  <c r="X589" i="2"/>
  <c r="D589" i="2"/>
  <c r="AJ589" i="2"/>
  <c r="R589" i="2"/>
  <c r="F552" i="2"/>
  <c r="F608" i="2" s="1"/>
  <c r="U552" i="2"/>
  <c r="U608" i="2" s="1"/>
  <c r="AL552" i="2"/>
  <c r="AL608" i="2" s="1"/>
  <c r="BB552" i="2"/>
  <c r="BB608" i="2" s="1"/>
  <c r="K560" i="2"/>
  <c r="AA560" i="2"/>
  <c r="AU560" i="2"/>
  <c r="L561" i="2"/>
  <c r="AC561" i="2"/>
  <c r="AS561" i="2"/>
  <c r="O565" i="2"/>
  <c r="AG565" i="2"/>
  <c r="AW565" i="2"/>
  <c r="V571" i="2"/>
  <c r="AM571" i="2"/>
  <c r="G572" i="2"/>
  <c r="X572" i="2"/>
  <c r="AR572" i="2"/>
  <c r="N573" i="2"/>
  <c r="AI573" i="2"/>
  <c r="S577" i="2"/>
  <c r="AM577" i="2"/>
  <c r="E579" i="2"/>
  <c r="AA579" i="2"/>
  <c r="BA579" i="2"/>
  <c r="AC580" i="2"/>
  <c r="AZ580" i="2"/>
  <c r="Z581" i="2"/>
  <c r="C589" i="2"/>
  <c r="AD589" i="2"/>
  <c r="AZ589" i="2"/>
  <c r="U595" i="2"/>
  <c r="AX595" i="2"/>
  <c r="AD596" i="2"/>
  <c r="J597" i="2"/>
  <c r="AB601" i="2"/>
  <c r="AV573" i="2"/>
  <c r="AJ573" i="2"/>
  <c r="X573" i="2"/>
  <c r="L573" i="2"/>
  <c r="AR573" i="2"/>
  <c r="AE573" i="2"/>
  <c r="R573" i="2"/>
  <c r="E573" i="2"/>
  <c r="AW573" i="2"/>
  <c r="AH573" i="2"/>
  <c r="T573" i="2"/>
  <c r="F573" i="2"/>
  <c r="AU573" i="2"/>
  <c r="AG573" i="2"/>
  <c r="S573" i="2"/>
  <c r="D573" i="2"/>
  <c r="AT573" i="2"/>
  <c r="AC573" i="2"/>
  <c r="M573" i="2"/>
  <c r="AS573" i="2"/>
  <c r="AB573" i="2"/>
  <c r="K573" i="2"/>
  <c r="BB581" i="2"/>
  <c r="AP581" i="2"/>
  <c r="AD581" i="2"/>
  <c r="R581" i="2"/>
  <c r="F581" i="2"/>
  <c r="AX581" i="2"/>
  <c r="AK581" i="2"/>
  <c r="X581" i="2"/>
  <c r="K581" i="2"/>
  <c r="AQ581" i="2"/>
  <c r="AB581" i="2"/>
  <c r="N581" i="2"/>
  <c r="AM581" i="2"/>
  <c r="W581" i="2"/>
  <c r="H581" i="2"/>
  <c r="BA581" i="2"/>
  <c r="AL581" i="2"/>
  <c r="V581" i="2"/>
  <c r="G581" i="2"/>
  <c r="AU581" i="2"/>
  <c r="AC581" i="2"/>
  <c r="J581" i="2"/>
  <c r="AT581" i="2"/>
  <c r="AA581" i="2"/>
  <c r="I581" i="2"/>
  <c r="AO581" i="2"/>
  <c r="U581" i="2"/>
  <c r="AX597" i="2"/>
  <c r="AL597" i="2"/>
  <c r="Z597" i="2"/>
  <c r="N597" i="2"/>
  <c r="C597" i="2"/>
  <c r="AQ597" i="2"/>
  <c r="AD597" i="2"/>
  <c r="Q597" i="2"/>
  <c r="D597" i="2"/>
  <c r="BB597" i="2"/>
  <c r="AO597" i="2"/>
  <c r="AB597" i="2"/>
  <c r="O597" i="2"/>
  <c r="AM597" i="2"/>
  <c r="W597" i="2"/>
  <c r="H597" i="2"/>
  <c r="BA597" i="2"/>
  <c r="AK597" i="2"/>
  <c r="V597" i="2"/>
  <c r="G597" i="2"/>
  <c r="AJ597" i="2"/>
  <c r="S597" i="2"/>
  <c r="AI597" i="2"/>
  <c r="R597" i="2"/>
  <c r="AW597" i="2"/>
  <c r="AC597" i="2"/>
  <c r="F597" i="2"/>
  <c r="AV597" i="2"/>
  <c r="AA597" i="2"/>
  <c r="E597" i="2"/>
  <c r="AS597" i="2"/>
  <c r="U597" i="2"/>
  <c r="G552" i="2"/>
  <c r="G608" i="2" s="1"/>
  <c r="V552" i="2"/>
  <c r="V608" i="2" s="1"/>
  <c r="AN552" i="2"/>
  <c r="AN608" i="2" s="1"/>
  <c r="L560" i="2"/>
  <c r="AB560" i="2"/>
  <c r="AV560" i="2"/>
  <c r="M561" i="2"/>
  <c r="AD561" i="2"/>
  <c r="AT561" i="2"/>
  <c r="P565" i="2"/>
  <c r="AH565" i="2"/>
  <c r="AX565" i="2"/>
  <c r="C572" i="2"/>
  <c r="W571" i="2"/>
  <c r="AN571" i="2"/>
  <c r="H572" i="2"/>
  <c r="Y572" i="2"/>
  <c r="AS572" i="2"/>
  <c r="O573" i="2"/>
  <c r="AK573" i="2"/>
  <c r="T577" i="2"/>
  <c r="AP577" i="2"/>
  <c r="F579" i="2"/>
  <c r="AB579" i="2"/>
  <c r="E580" i="2"/>
  <c r="AD580" i="2"/>
  <c r="BA580" i="2"/>
  <c r="AE581" i="2"/>
  <c r="AZ581" i="2"/>
  <c r="H589" i="2"/>
  <c r="AE589" i="2"/>
  <c r="V595" i="2"/>
  <c r="AZ595" i="2"/>
  <c r="AE596" i="2"/>
  <c r="K597" i="2"/>
  <c r="AP597" i="2"/>
  <c r="AC601" i="2"/>
  <c r="AZ557" i="2"/>
  <c r="AN557" i="2"/>
  <c r="AB557" i="2"/>
  <c r="P557" i="2"/>
  <c r="D557" i="2"/>
  <c r="BB551" i="2"/>
  <c r="BB607" i="2" s="1"/>
  <c r="AP551" i="2"/>
  <c r="AP607" i="2" s="1"/>
  <c r="AD551" i="2"/>
  <c r="AD607" i="2" s="1"/>
  <c r="R551" i="2"/>
  <c r="R607" i="2" s="1"/>
  <c r="F551" i="2"/>
  <c r="F607" i="2" s="1"/>
  <c r="AX563" i="2"/>
  <c r="AL563" i="2"/>
  <c r="Z563" i="2"/>
  <c r="N563" i="2"/>
  <c r="AP563" i="2"/>
  <c r="AC563" i="2"/>
  <c r="P563" i="2"/>
  <c r="AR569" i="2"/>
  <c r="AF569" i="2"/>
  <c r="T569" i="2"/>
  <c r="H569" i="2"/>
  <c r="AU569" i="2"/>
  <c r="AH569" i="2"/>
  <c r="U569" i="2"/>
  <c r="G569" i="2"/>
  <c r="AS569" i="2"/>
  <c r="AD569" i="2"/>
  <c r="P569" i="2"/>
  <c r="AZ587" i="2"/>
  <c r="AN587" i="2"/>
  <c r="AB587" i="2"/>
  <c r="P587" i="2"/>
  <c r="D587" i="2"/>
  <c r="AX587" i="2"/>
  <c r="AK587" i="2"/>
  <c r="X587" i="2"/>
  <c r="K587" i="2"/>
  <c r="AQ587" i="2"/>
  <c r="AC587" i="2"/>
  <c r="N587" i="2"/>
  <c r="AU587" i="2"/>
  <c r="AF587" i="2"/>
  <c r="Q587" i="2"/>
  <c r="AT587" i="2"/>
  <c r="AE587" i="2"/>
  <c r="O587" i="2"/>
  <c r="AT593" i="2"/>
  <c r="AH593" i="2"/>
  <c r="V593" i="2"/>
  <c r="J593" i="2"/>
  <c r="AS593" i="2"/>
  <c r="AF593" i="2"/>
  <c r="S593" i="2"/>
  <c r="F593" i="2"/>
  <c r="AY593" i="2"/>
  <c r="AK593" i="2"/>
  <c r="W593" i="2"/>
  <c r="H593" i="2"/>
  <c r="AX593" i="2"/>
  <c r="AJ593" i="2"/>
  <c r="U593" i="2"/>
  <c r="G593" i="2"/>
  <c r="AU593" i="2"/>
  <c r="AC593" i="2"/>
  <c r="M593" i="2"/>
  <c r="AR593" i="2"/>
  <c r="AB593" i="2"/>
  <c r="L593" i="2"/>
  <c r="I551" i="2"/>
  <c r="I607" i="2" s="1"/>
  <c r="V551" i="2"/>
  <c r="V607" i="2" s="1"/>
  <c r="AI551" i="2"/>
  <c r="AI607" i="2" s="1"/>
  <c r="AV551" i="2"/>
  <c r="AV607" i="2" s="1"/>
  <c r="I557" i="2"/>
  <c r="V557" i="2"/>
  <c r="AI557" i="2"/>
  <c r="AV557" i="2"/>
  <c r="J563" i="2"/>
  <c r="X563" i="2"/>
  <c r="AM563" i="2"/>
  <c r="BA563" i="2"/>
  <c r="D569" i="2"/>
  <c r="S569" i="2"/>
  <c r="AJ569" i="2"/>
  <c r="AY569" i="2"/>
  <c r="L587" i="2"/>
  <c r="AG587" i="2"/>
  <c r="AY587" i="2"/>
  <c r="R593" i="2"/>
  <c r="AN593" i="2"/>
  <c r="AS584" i="2"/>
  <c r="AG584" i="2"/>
  <c r="U584" i="2"/>
  <c r="I584" i="2"/>
  <c r="AZ591" i="2"/>
  <c r="AN591" i="2"/>
  <c r="AB591" i="2"/>
  <c r="P591" i="2"/>
  <c r="D591" i="2"/>
  <c r="C547" i="2"/>
  <c r="C603" i="2" s="1"/>
  <c r="F547" i="2"/>
  <c r="F603" i="2" s="1"/>
  <c r="R547" i="2"/>
  <c r="R603" i="2" s="1"/>
  <c r="AD547" i="2"/>
  <c r="AD603" i="2" s="1"/>
  <c r="AP547" i="2"/>
  <c r="AP603" i="2" s="1"/>
  <c r="N567" i="2"/>
  <c r="Z567" i="2"/>
  <c r="AL567" i="2"/>
  <c r="O584" i="2"/>
  <c r="AB584" i="2"/>
  <c r="AO584" i="2"/>
  <c r="BB584" i="2"/>
  <c r="Q591" i="2"/>
  <c r="AD591" i="2"/>
  <c r="AQ591" i="2"/>
  <c r="K12" i="2"/>
  <c r="L305" i="3"/>
  <c r="L307" i="3"/>
  <c r="C8" i="1"/>
  <c r="B6" i="1" s="1"/>
  <c r="C4" i="2"/>
  <c r="C5" i="2" s="1"/>
  <c r="B271" i="2"/>
  <c r="B272" i="2"/>
  <c r="B273" i="2"/>
  <c r="B275" i="2"/>
  <c r="B276" i="2"/>
  <c r="B277" i="2"/>
  <c r="B258" i="2"/>
  <c r="B261" i="2"/>
  <c r="B262" i="2"/>
  <c r="B263" i="2"/>
  <c r="B257" i="2"/>
  <c r="B259" i="2"/>
  <c r="B250" i="2"/>
  <c r="B254" i="2"/>
  <c r="B255" i="2"/>
  <c r="B249" i="2"/>
  <c r="B251" i="2"/>
  <c r="B253" i="2"/>
  <c r="B173" i="2"/>
  <c r="B174" i="2"/>
  <c r="B176" i="2"/>
  <c r="B177" i="2"/>
  <c r="B178" i="2"/>
  <c r="B172" i="2"/>
  <c r="B168" i="2"/>
  <c r="B169" i="2"/>
  <c r="B170" i="2"/>
  <c r="B164" i="2"/>
  <c r="B165" i="2"/>
  <c r="B166" i="2"/>
  <c r="B744" i="2"/>
  <c r="B757" i="2"/>
  <c r="B748" i="2"/>
  <c r="B751" i="2"/>
  <c r="B752" i="2"/>
  <c r="B753" i="2"/>
  <c r="B734" i="2"/>
  <c r="B739" i="2"/>
  <c r="B756" i="2"/>
  <c r="B741" i="2"/>
  <c r="B758" i="2"/>
  <c r="B743" i="2"/>
  <c r="B737" i="2"/>
  <c r="B745" i="2"/>
  <c r="B738" i="2"/>
  <c r="B746" i="2"/>
  <c r="B538" i="2"/>
  <c r="B691" i="2" s="1"/>
  <c r="B619" i="2"/>
  <c r="B609" i="2"/>
  <c r="B625" i="2"/>
  <c r="B698" i="2"/>
  <c r="B618" i="2"/>
  <c r="B608" i="2"/>
  <c r="B624" i="2"/>
  <c r="B607" i="2"/>
  <c r="B623" i="2"/>
  <c r="B718" i="2"/>
  <c r="B622" i="2"/>
  <c r="B621" i="2"/>
  <c r="B700" i="2"/>
  <c r="B620" i="2"/>
  <c r="B725" i="2"/>
  <c r="B726" i="2"/>
  <c r="B727" i="2"/>
  <c r="B728" i="2"/>
  <c r="B729" i="2"/>
  <c r="B730" i="2"/>
  <c r="B731" i="2"/>
  <c r="B732" i="2"/>
  <c r="B713" i="2"/>
  <c r="M301" i="3"/>
  <c r="M302" i="3"/>
  <c r="M303" i="3"/>
  <c r="M304" i="3"/>
  <c r="M306" i="3"/>
  <c r="BE48" i="3"/>
  <c r="BE49" i="3" s="1"/>
  <c r="BE50" i="3" s="1"/>
  <c r="BE51" i="3" s="1"/>
  <c r="BE52" i="3" s="1"/>
  <c r="BE53" i="3" s="1"/>
  <c r="BE32" i="3"/>
  <c r="B661" i="2"/>
  <c r="B445" i="2"/>
  <c r="B626" i="2"/>
  <c r="B446" i="2"/>
  <c r="B638" i="2"/>
  <c r="B447" i="2"/>
  <c r="B639" i="2"/>
  <c r="B650" i="2"/>
  <c r="B449" i="2"/>
  <c r="B653" i="2"/>
  <c r="B450" i="2"/>
  <c r="B666" i="2"/>
  <c r="B451" i="2"/>
  <c r="B678" i="2"/>
  <c r="B679" i="2"/>
  <c r="B658" i="2"/>
  <c r="B630" i="2"/>
  <c r="B631" i="2"/>
  <c r="B651" i="2"/>
  <c r="B671" i="2"/>
  <c r="B659" i="2"/>
  <c r="B670" i="2"/>
  <c r="B632" i="2"/>
  <c r="B652" i="2"/>
  <c r="B672" i="2"/>
  <c r="B660" i="2"/>
  <c r="B633" i="2"/>
  <c r="B634" i="2"/>
  <c r="B654" i="2"/>
  <c r="B674" i="2"/>
  <c r="B662" i="2"/>
  <c r="B635" i="2"/>
  <c r="B655" i="2"/>
  <c r="B675" i="2"/>
  <c r="B663" i="2"/>
  <c r="B636" i="2"/>
  <c r="B656" i="2"/>
  <c r="B676" i="2"/>
  <c r="B664" i="2"/>
  <c r="B673" i="2"/>
  <c r="B637" i="2"/>
  <c r="B657" i="2"/>
  <c r="B677" i="2"/>
  <c r="B665" i="2"/>
  <c r="B667" i="2"/>
  <c r="B628" i="2"/>
  <c r="B640" i="2"/>
  <c r="B668" i="2"/>
  <c r="B680" i="2"/>
  <c r="B627" i="2"/>
  <c r="B629" i="2"/>
  <c r="B641" i="2"/>
  <c r="B669" i="2"/>
  <c r="B681" i="2"/>
  <c r="B429" i="2"/>
  <c r="B430" i="2"/>
  <c r="B431" i="2"/>
  <c r="B435" i="2"/>
  <c r="B439" i="2"/>
  <c r="B441" i="2"/>
  <c r="B442" i="2"/>
  <c r="B443" i="2"/>
  <c r="B604" i="2"/>
  <c r="B433" i="2"/>
  <c r="B602" i="2"/>
  <c r="B603" i="2"/>
  <c r="B605" i="2"/>
  <c r="B434" i="2"/>
  <c r="B606" i="2"/>
  <c r="B393" i="2"/>
  <c r="B411" i="2" s="1"/>
  <c r="B394" i="2"/>
  <c r="B412" i="2" s="1"/>
  <c r="B717" i="2"/>
  <c r="B714" i="2"/>
  <c r="B703" i="2"/>
  <c r="B719" i="2"/>
  <c r="B715" i="2"/>
  <c r="B721" i="2"/>
  <c r="B204" i="2"/>
  <c r="B716" i="2"/>
  <c r="B712" i="2"/>
  <c r="B720" i="2"/>
  <c r="B260" i="3"/>
  <c r="B210" i="2" s="1"/>
  <c r="B203" i="2"/>
  <c r="AV397" i="2"/>
  <c r="AU403" i="2"/>
  <c r="C404" i="2"/>
  <c r="AA407" i="2"/>
  <c r="AF405" i="2"/>
  <c r="AS408" i="2"/>
  <c r="Q403" i="2"/>
  <c r="K403" i="2"/>
  <c r="AI403" i="2"/>
  <c r="AM404" i="2"/>
  <c r="AQ408" i="2"/>
  <c r="X407" i="2"/>
  <c r="T404" i="2"/>
  <c r="B119" i="2"/>
  <c r="Q404" i="2"/>
  <c r="U395" i="2"/>
  <c r="BB404" i="2"/>
  <c r="AK394" i="2"/>
  <c r="O403" i="2"/>
  <c r="P403" i="2"/>
  <c r="AR407" i="2"/>
  <c r="AG405" i="2"/>
  <c r="AS395" i="2"/>
  <c r="C405" i="2"/>
  <c r="R396" i="2"/>
  <c r="D408" i="2"/>
  <c r="AW406" i="2"/>
  <c r="AM403" i="2"/>
  <c r="AA409" i="2"/>
  <c r="D403" i="2"/>
  <c r="AN403" i="2"/>
  <c r="AZ403" i="2"/>
  <c r="T403" i="2"/>
  <c r="AZ396" i="2"/>
  <c r="AF404" i="2"/>
  <c r="D404" i="2"/>
  <c r="AN404" i="2"/>
  <c r="X404" i="2"/>
  <c r="X405" i="2"/>
  <c r="D405" i="2"/>
  <c r="AV406" i="2"/>
  <c r="H407" i="2"/>
  <c r="T408" i="2"/>
  <c r="P409" i="2"/>
  <c r="BA403" i="2"/>
  <c r="AG403" i="2"/>
  <c r="E396" i="2"/>
  <c r="Q396" i="2"/>
  <c r="BA396" i="2"/>
  <c r="AS398" i="2"/>
  <c r="Y400" i="2"/>
  <c r="AO404" i="2"/>
  <c r="BA404" i="2"/>
  <c r="Y404" i="2"/>
  <c r="AK404" i="2"/>
  <c r="M405" i="2"/>
  <c r="AW405" i="2"/>
  <c r="AC406" i="2"/>
  <c r="AG406" i="2"/>
  <c r="AS407" i="2"/>
  <c r="U408" i="2"/>
  <c r="E408" i="2"/>
  <c r="BA408" i="2"/>
  <c r="AS409" i="2"/>
  <c r="O406" i="2"/>
  <c r="D396" i="2"/>
  <c r="P404" i="2"/>
  <c r="AZ404" i="2"/>
  <c r="AJ405" i="2"/>
  <c r="X408" i="2"/>
  <c r="AZ408" i="2"/>
  <c r="L409" i="2"/>
  <c r="AV409" i="2"/>
  <c r="C403" i="2"/>
  <c r="AY403" i="2"/>
  <c r="O404" i="2"/>
  <c r="C406" i="2"/>
  <c r="AA406" i="2"/>
  <c r="G407" i="2"/>
  <c r="AE407" i="2"/>
  <c r="K408" i="2"/>
  <c r="S408" i="2"/>
  <c r="C396" i="2"/>
  <c r="AF402" i="2"/>
  <c r="E395" i="2"/>
  <c r="Q395" i="2"/>
  <c r="AC395" i="2"/>
  <c r="AO395" i="2"/>
  <c r="BA395" i="2"/>
  <c r="N396" i="2"/>
  <c r="Z396" i="2"/>
  <c r="AL396" i="2"/>
  <c r="AX396" i="2"/>
  <c r="K397" i="2"/>
  <c r="W397" i="2"/>
  <c r="AI397" i="2"/>
  <c r="AU397" i="2"/>
  <c r="H398" i="2"/>
  <c r="T398" i="2"/>
  <c r="AF398" i="2"/>
  <c r="AR398" i="2"/>
  <c r="E399" i="2"/>
  <c r="Q399" i="2"/>
  <c r="AC399" i="2"/>
  <c r="AO399" i="2"/>
  <c r="BA399" i="2"/>
  <c r="N400" i="2"/>
  <c r="Z400" i="2"/>
  <c r="AL400" i="2"/>
  <c r="AX400" i="2"/>
  <c r="J403" i="2"/>
  <c r="AT403" i="2"/>
  <c r="F394" i="2"/>
  <c r="R394" i="2"/>
  <c r="AD394" i="2"/>
  <c r="AP394" i="2"/>
  <c r="BB394" i="2"/>
  <c r="N395" i="2"/>
  <c r="Z395" i="2"/>
  <c r="AL395" i="2"/>
  <c r="AX395" i="2"/>
  <c r="J396" i="2"/>
  <c r="V396" i="2"/>
  <c r="AH396" i="2"/>
  <c r="AT396" i="2"/>
  <c r="F397" i="2"/>
  <c r="R397" i="2"/>
  <c r="AD397" i="2"/>
  <c r="K399" i="2"/>
  <c r="W399" i="2"/>
  <c r="AI399" i="2"/>
  <c r="AU399" i="2"/>
  <c r="AV394" i="2"/>
  <c r="AD402" i="2"/>
  <c r="BB402" i="2"/>
  <c r="O398" i="2"/>
  <c r="AA398" i="2"/>
  <c r="AM398" i="2"/>
  <c r="AY398" i="2"/>
  <c r="S393" i="2"/>
  <c r="AE393" i="2"/>
  <c r="AE402" i="2"/>
  <c r="AH402" i="2"/>
  <c r="AT402" i="2"/>
  <c r="G397" i="2"/>
  <c r="S397" i="2"/>
  <c r="AE397" i="2"/>
  <c r="AQ397" i="2"/>
  <c r="D398" i="2"/>
  <c r="P398" i="2"/>
  <c r="AB398" i="2"/>
  <c r="AN398" i="2"/>
  <c r="AZ398" i="2"/>
  <c r="M399" i="2"/>
  <c r="Y399" i="2"/>
  <c r="AK399" i="2"/>
  <c r="AW399" i="2"/>
  <c r="R403" i="2"/>
  <c r="AD403" i="2"/>
  <c r="BB403" i="2"/>
  <c r="AD396" i="2"/>
  <c r="AH398" i="2"/>
  <c r="N405" i="2"/>
  <c r="AD406" i="2"/>
  <c r="AT407" i="2"/>
  <c r="AD407" i="2"/>
  <c r="Z409" i="2"/>
  <c r="C402" i="2"/>
  <c r="AE403" i="2"/>
  <c r="W407" i="2"/>
  <c r="C393" i="2"/>
  <c r="K396" i="2"/>
  <c r="W396" i="2"/>
  <c r="AI396" i="2"/>
  <c r="AU396" i="2"/>
  <c r="K400" i="2"/>
  <c r="W400" i="2"/>
  <c r="AI400" i="2"/>
  <c r="AU400" i="2"/>
  <c r="G403" i="2"/>
  <c r="S403" i="2"/>
  <c r="AQ403" i="2"/>
  <c r="AA403" i="2"/>
  <c r="K404" i="2"/>
  <c r="W404" i="2"/>
  <c r="AI404" i="2"/>
  <c r="AU404" i="2"/>
  <c r="O405" i="2"/>
  <c r="AA405" i="2"/>
  <c r="AM405" i="2"/>
  <c r="AY405" i="2"/>
  <c r="G406" i="2"/>
  <c r="S406" i="2"/>
  <c r="AE406" i="2"/>
  <c r="AQ406" i="2"/>
  <c r="AY406" i="2"/>
  <c r="K406" i="2"/>
  <c r="AU406" i="2"/>
  <c r="K407" i="2"/>
  <c r="AI407" i="2"/>
  <c r="AU407" i="2"/>
  <c r="AQ407" i="2"/>
  <c r="C408" i="2"/>
  <c r="O408" i="2"/>
  <c r="AM408" i="2"/>
  <c r="AY408" i="2"/>
  <c r="W408" i="2"/>
  <c r="AI408" i="2"/>
  <c r="G409" i="2"/>
  <c r="S409" i="2"/>
  <c r="AE409" i="2"/>
  <c r="AQ409" i="2"/>
  <c r="W409" i="2"/>
  <c r="I393" i="2"/>
  <c r="I402" i="2"/>
  <c r="AG393" i="2"/>
  <c r="AG402" i="2"/>
  <c r="AS393" i="2"/>
  <c r="R402" i="2"/>
  <c r="O395" i="2"/>
  <c r="AA395" i="2"/>
  <c r="AM395" i="2"/>
  <c r="AY395" i="2"/>
  <c r="L396" i="2"/>
  <c r="X396" i="2"/>
  <c r="AJ396" i="2"/>
  <c r="AV396" i="2"/>
  <c r="I397" i="2"/>
  <c r="U397" i="2"/>
  <c r="AG397" i="2"/>
  <c r="AS397" i="2"/>
  <c r="O399" i="2"/>
  <c r="AA399" i="2"/>
  <c r="AM399" i="2"/>
  <c r="AY399" i="2"/>
  <c r="AJ400" i="2"/>
  <c r="AV400" i="2"/>
  <c r="H403" i="2"/>
  <c r="AF403" i="2"/>
  <c r="AR403" i="2"/>
  <c r="L404" i="2"/>
  <c r="AJ404" i="2"/>
  <c r="AV404" i="2"/>
  <c r="P405" i="2"/>
  <c r="AB405" i="2"/>
  <c r="AN405" i="2"/>
  <c r="AZ405" i="2"/>
  <c r="AR409" i="2"/>
  <c r="AA408" i="2"/>
  <c r="AK400" i="2"/>
  <c r="H406" i="2"/>
  <c r="T406" i="2"/>
  <c r="AF406" i="2"/>
  <c r="AR406" i="2"/>
  <c r="L407" i="2"/>
  <c r="AJ407" i="2"/>
  <c r="AV407" i="2"/>
  <c r="P408" i="2"/>
  <c r="AB408" i="2"/>
  <c r="AN408" i="2"/>
  <c r="H409" i="2"/>
  <c r="T409" i="2"/>
  <c r="AF409" i="2"/>
  <c r="C395" i="2"/>
  <c r="J402" i="2"/>
  <c r="AT393" i="2"/>
  <c r="G394" i="2"/>
  <c r="S394" i="2"/>
  <c r="AE394" i="2"/>
  <c r="AQ394" i="2"/>
  <c r="M396" i="2"/>
  <c r="Y396" i="2"/>
  <c r="AK396" i="2"/>
  <c r="AW396" i="2"/>
  <c r="G398" i="2"/>
  <c r="S398" i="2"/>
  <c r="AE398" i="2"/>
  <c r="AQ398" i="2"/>
  <c r="M400" i="2"/>
  <c r="AW400" i="2"/>
  <c r="I403" i="2"/>
  <c r="U403" i="2"/>
  <c r="AS403" i="2"/>
  <c r="M404" i="2"/>
  <c r="AW404" i="2"/>
  <c r="E404" i="2"/>
  <c r="E405" i="2"/>
  <c r="Q405" i="2"/>
  <c r="AC405" i="2"/>
  <c r="AO405" i="2"/>
  <c r="BA405" i="2"/>
  <c r="AW394" i="2"/>
  <c r="AG398" i="2"/>
  <c r="I406" i="2"/>
  <c r="U406" i="2"/>
  <c r="AS406" i="2"/>
  <c r="Y406" i="2"/>
  <c r="M407" i="2"/>
  <c r="Y407" i="2"/>
  <c r="AK407" i="2"/>
  <c r="AW407" i="2"/>
  <c r="Q408" i="2"/>
  <c r="AC408" i="2"/>
  <c r="AO408" i="2"/>
  <c r="I409" i="2"/>
  <c r="U409" i="2"/>
  <c r="AG409" i="2"/>
  <c r="E409" i="2"/>
  <c r="AP397" i="2"/>
  <c r="BB397" i="2"/>
  <c r="N404" i="2"/>
  <c r="Z404" i="2"/>
  <c r="AL404" i="2"/>
  <c r="AX404" i="2"/>
  <c r="R404" i="2"/>
  <c r="F405" i="2"/>
  <c r="R405" i="2"/>
  <c r="AD405" i="2"/>
  <c r="AP405" i="2"/>
  <c r="BB405" i="2"/>
  <c r="N394" i="2"/>
  <c r="AX394" i="2"/>
  <c r="J395" i="2"/>
  <c r="F396" i="2"/>
  <c r="BB396" i="2"/>
  <c r="AX397" i="2"/>
  <c r="J406" i="2"/>
  <c r="V406" i="2"/>
  <c r="AH406" i="2"/>
  <c r="AT406" i="2"/>
  <c r="Z406" i="2"/>
  <c r="N407" i="2"/>
  <c r="Z407" i="2"/>
  <c r="AL407" i="2"/>
  <c r="AX407" i="2"/>
  <c r="V407" i="2"/>
  <c r="R407" i="2"/>
  <c r="F408" i="2"/>
  <c r="R408" i="2"/>
  <c r="AD408" i="2"/>
  <c r="AP408" i="2"/>
  <c r="BB408" i="2"/>
  <c r="J409" i="2"/>
  <c r="V409" i="2"/>
  <c r="AH409" i="2"/>
  <c r="AT409" i="2"/>
  <c r="X402" i="2"/>
  <c r="AJ402" i="2"/>
  <c r="AJ397" i="2"/>
  <c r="W403" i="2"/>
  <c r="AA404" i="2"/>
  <c r="AY404" i="2"/>
  <c r="AM407" i="2"/>
  <c r="G408" i="2"/>
  <c r="Y397" i="2"/>
  <c r="AK397" i="2"/>
  <c r="AB404" i="2"/>
  <c r="T405" i="2"/>
  <c r="L406" i="2"/>
  <c r="AJ406" i="2"/>
  <c r="H395" i="2"/>
  <c r="AR395" i="2"/>
  <c r="AC404" i="2"/>
  <c r="AS405" i="2"/>
  <c r="M406" i="2"/>
  <c r="I408" i="2"/>
  <c r="AK409" i="2"/>
  <c r="AI393" i="2"/>
  <c r="AI402" i="2"/>
  <c r="F399" i="2"/>
  <c r="R399" i="2"/>
  <c r="AP399" i="2"/>
  <c r="Z402" i="2"/>
  <c r="AL402" i="2"/>
  <c r="N397" i="2"/>
  <c r="Z397" i="2"/>
  <c r="AU393" i="2"/>
  <c r="AU402" i="2"/>
  <c r="F404" i="2"/>
  <c r="AD404" i="2"/>
  <c r="AP404" i="2"/>
  <c r="AP407" i="2"/>
  <c r="AX405" i="2"/>
  <c r="K393" i="2"/>
  <c r="K402" i="2"/>
  <c r="AH393" i="2"/>
  <c r="AH403" i="2"/>
  <c r="N402" i="2"/>
  <c r="Z394" i="2"/>
  <c r="AL394" i="2"/>
  <c r="AX402" i="2"/>
  <c r="W393" i="2"/>
  <c r="W402" i="2"/>
  <c r="V393" i="2"/>
  <c r="V403" i="2"/>
  <c r="AT395" i="2"/>
  <c r="E393" i="2"/>
  <c r="E402" i="2"/>
  <c r="Q393" i="2"/>
  <c r="Q402" i="2"/>
  <c r="AC393" i="2"/>
  <c r="AC402" i="2"/>
  <c r="AO393" i="2"/>
  <c r="AO402" i="2"/>
  <c r="BA393" i="2"/>
  <c r="BA402" i="2"/>
  <c r="N398" i="2"/>
  <c r="Z398" i="2"/>
  <c r="AL398" i="2"/>
  <c r="AX398" i="2"/>
  <c r="H400" i="2"/>
  <c r="T400" i="2"/>
  <c r="AF400" i="2"/>
  <c r="AR400" i="2"/>
  <c r="AB403" i="2"/>
  <c r="H404" i="2"/>
  <c r="AR404" i="2"/>
  <c r="L405" i="2"/>
  <c r="AV405" i="2"/>
  <c r="AR405" i="2"/>
  <c r="D406" i="2"/>
  <c r="P406" i="2"/>
  <c r="AB406" i="2"/>
  <c r="AN406" i="2"/>
  <c r="AZ406" i="2"/>
  <c r="T407" i="2"/>
  <c r="AF407" i="2"/>
  <c r="L408" i="2"/>
  <c r="AJ408" i="2"/>
  <c r="AV408" i="2"/>
  <c r="H408" i="2"/>
  <c r="D409" i="2"/>
  <c r="AB409" i="2"/>
  <c r="AN409" i="2"/>
  <c r="AZ409" i="2"/>
  <c r="AJ409" i="2"/>
  <c r="F393" i="2"/>
  <c r="F402" i="2"/>
  <c r="R393" i="2"/>
  <c r="AD393" i="2"/>
  <c r="AP393" i="2"/>
  <c r="AP402" i="2"/>
  <c r="BB393" i="2"/>
  <c r="L399" i="2"/>
  <c r="X399" i="2"/>
  <c r="AJ399" i="2"/>
  <c r="AV399" i="2"/>
  <c r="I400" i="2"/>
  <c r="U400" i="2"/>
  <c r="AG400" i="2"/>
  <c r="AS400" i="2"/>
  <c r="E403" i="2"/>
  <c r="AC403" i="2"/>
  <c r="AO403" i="2"/>
  <c r="I404" i="2"/>
  <c r="U404" i="2"/>
  <c r="AG404" i="2"/>
  <c r="AS404" i="2"/>
  <c r="Y405" i="2"/>
  <c r="AK405" i="2"/>
  <c r="E406" i="2"/>
  <c r="Q406" i="2"/>
  <c r="AO406" i="2"/>
  <c r="BA406" i="2"/>
  <c r="I407" i="2"/>
  <c r="U407" i="2"/>
  <c r="AG407" i="2"/>
  <c r="M408" i="2"/>
  <c r="AS402" i="2"/>
  <c r="G393" i="2"/>
  <c r="G402" i="2"/>
  <c r="AQ393" i="2"/>
  <c r="AQ402" i="2"/>
  <c r="J400" i="2"/>
  <c r="V400" i="2"/>
  <c r="AT400" i="2"/>
  <c r="F403" i="2"/>
  <c r="AP403" i="2"/>
  <c r="J404" i="2"/>
  <c r="AH404" i="2"/>
  <c r="AT404" i="2"/>
  <c r="Z405" i="2"/>
  <c r="AL405" i="2"/>
  <c r="F406" i="2"/>
  <c r="R406" i="2"/>
  <c r="AP406" i="2"/>
  <c r="BB406" i="2"/>
  <c r="N406" i="2"/>
  <c r="J407" i="2"/>
  <c r="AH407" i="2"/>
  <c r="N408" i="2"/>
  <c r="Z408" i="2"/>
  <c r="AL408" i="2"/>
  <c r="AX408" i="2"/>
  <c r="F409" i="2"/>
  <c r="R409" i="2"/>
  <c r="AD409" i="2"/>
  <c r="AP409" i="2"/>
  <c r="BB409" i="2"/>
  <c r="L402" i="2"/>
  <c r="H393" i="2"/>
  <c r="H402" i="2"/>
  <c r="T393" i="2"/>
  <c r="T402" i="2"/>
  <c r="AF393" i="2"/>
  <c r="AR393" i="2"/>
  <c r="AR402" i="2"/>
  <c r="H397" i="2"/>
  <c r="T397" i="2"/>
  <c r="AF397" i="2"/>
  <c r="AR397" i="2"/>
  <c r="E398" i="2"/>
  <c r="Q398" i="2"/>
  <c r="AC398" i="2"/>
  <c r="AO398" i="2"/>
  <c r="BA398" i="2"/>
  <c r="N399" i="2"/>
  <c r="Z399" i="2"/>
  <c r="AL399" i="2"/>
  <c r="AX399" i="2"/>
  <c r="AH400" i="2"/>
  <c r="U393" i="2"/>
  <c r="U402" i="2"/>
  <c r="F398" i="2"/>
  <c r="R398" i="2"/>
  <c r="AD398" i="2"/>
  <c r="AP398" i="2"/>
  <c r="BB398" i="2"/>
  <c r="AV402" i="2"/>
  <c r="V404" i="2"/>
  <c r="J393" i="2"/>
  <c r="V402" i="2"/>
  <c r="J397" i="2"/>
  <c r="V397" i="2"/>
  <c r="AH397" i="2"/>
  <c r="AT397" i="2"/>
  <c r="AB399" i="2"/>
  <c r="AN399" i="2"/>
  <c r="S402" i="2"/>
  <c r="C397" i="2"/>
  <c r="I394" i="2"/>
  <c r="U394" i="2"/>
  <c r="AG394" i="2"/>
  <c r="AS394" i="2"/>
  <c r="O396" i="2"/>
  <c r="AA396" i="2"/>
  <c r="AM396" i="2"/>
  <c r="AY396" i="2"/>
  <c r="L397" i="2"/>
  <c r="X397" i="2"/>
  <c r="I398" i="2"/>
  <c r="U398" i="2"/>
  <c r="O400" i="2"/>
  <c r="AA400" i="2"/>
  <c r="AM400" i="2"/>
  <c r="AY400" i="2"/>
  <c r="G405" i="2"/>
  <c r="S405" i="2"/>
  <c r="AE405" i="2"/>
  <c r="AQ405" i="2"/>
  <c r="C394" i="2"/>
  <c r="O394" i="2"/>
  <c r="AA394" i="2"/>
  <c r="AM394" i="2"/>
  <c r="AY394" i="2"/>
  <c r="K395" i="2"/>
  <c r="W395" i="2"/>
  <c r="AI395" i="2"/>
  <c r="AU395" i="2"/>
  <c r="G396" i="2"/>
  <c r="S396" i="2"/>
  <c r="AE396" i="2"/>
  <c r="AQ396" i="2"/>
  <c r="O397" i="2"/>
  <c r="AA397" i="2"/>
  <c r="AM397" i="2"/>
  <c r="AY397" i="2"/>
  <c r="C400" i="2"/>
  <c r="W406" i="2"/>
  <c r="AI406" i="2"/>
  <c r="C407" i="2"/>
  <c r="O407" i="2"/>
  <c r="AY407" i="2"/>
  <c r="AE408" i="2"/>
  <c r="K409" i="2"/>
  <c r="AI409" i="2"/>
  <c r="AU409" i="2"/>
  <c r="C398" i="2"/>
  <c r="M393" i="2"/>
  <c r="M402" i="2"/>
  <c r="Y393" i="2"/>
  <c r="Y402" i="2"/>
  <c r="AK393" i="2"/>
  <c r="AK402" i="2"/>
  <c r="AW393" i="2"/>
  <c r="AW402" i="2"/>
  <c r="J394" i="2"/>
  <c r="V394" i="2"/>
  <c r="AH394" i="2"/>
  <c r="AT394" i="2"/>
  <c r="G395" i="2"/>
  <c r="S395" i="2"/>
  <c r="AE395" i="2"/>
  <c r="AQ395" i="2"/>
  <c r="P396" i="2"/>
  <c r="AB396" i="2"/>
  <c r="AN396" i="2"/>
  <c r="M397" i="2"/>
  <c r="AW397" i="2"/>
  <c r="J398" i="2"/>
  <c r="V398" i="2"/>
  <c r="AT398" i="2"/>
  <c r="G399" i="2"/>
  <c r="S399" i="2"/>
  <c r="AE399" i="2"/>
  <c r="AQ399" i="2"/>
  <c r="D400" i="2"/>
  <c r="P400" i="2"/>
  <c r="AB400" i="2"/>
  <c r="AN400" i="2"/>
  <c r="AZ400" i="2"/>
  <c r="L403" i="2"/>
  <c r="X403" i="2"/>
  <c r="AJ403" i="2"/>
  <c r="AV403" i="2"/>
  <c r="X394" i="2"/>
  <c r="AJ394" i="2"/>
  <c r="T395" i="2"/>
  <c r="AF395" i="2"/>
  <c r="D399" i="2"/>
  <c r="P399" i="2"/>
  <c r="AZ399" i="2"/>
  <c r="L400" i="2"/>
  <c r="X400" i="2"/>
  <c r="H405" i="2"/>
  <c r="D394" i="2"/>
  <c r="P394" i="2"/>
  <c r="AB394" i="2"/>
  <c r="AN394" i="2"/>
  <c r="AZ394" i="2"/>
  <c r="L395" i="2"/>
  <c r="X395" i="2"/>
  <c r="AJ395" i="2"/>
  <c r="AV395" i="2"/>
  <c r="H396" i="2"/>
  <c r="T396" i="2"/>
  <c r="AF396" i="2"/>
  <c r="AR396" i="2"/>
  <c r="D397" i="2"/>
  <c r="P397" i="2"/>
  <c r="AB397" i="2"/>
  <c r="AN397" i="2"/>
  <c r="AZ397" i="2"/>
  <c r="X406" i="2"/>
  <c r="D407" i="2"/>
  <c r="P407" i="2"/>
  <c r="AB407" i="2"/>
  <c r="AN407" i="2"/>
  <c r="AZ407" i="2"/>
  <c r="AF408" i="2"/>
  <c r="AR408" i="2"/>
  <c r="X409" i="2"/>
  <c r="C399" i="2"/>
  <c r="N393" i="2"/>
  <c r="Z393" i="2"/>
  <c r="AL393" i="2"/>
  <c r="AX393" i="2"/>
  <c r="K394" i="2"/>
  <c r="W394" i="2"/>
  <c r="AI394" i="2"/>
  <c r="AU394" i="2"/>
  <c r="AC396" i="2"/>
  <c r="AO396" i="2"/>
  <c r="AL397" i="2"/>
  <c r="K398" i="2"/>
  <c r="W398" i="2"/>
  <c r="AI398" i="2"/>
  <c r="AU398" i="2"/>
  <c r="E400" i="2"/>
  <c r="Q400" i="2"/>
  <c r="AC400" i="2"/>
  <c r="AO400" i="2"/>
  <c r="M403" i="2"/>
  <c r="AK403" i="2"/>
  <c r="AW403" i="2"/>
  <c r="I405" i="2"/>
  <c r="U405" i="2"/>
  <c r="E394" i="2"/>
  <c r="Q394" i="2"/>
  <c r="AC394" i="2"/>
  <c r="AO394" i="2"/>
  <c r="BA394" i="2"/>
  <c r="M395" i="2"/>
  <c r="Y395" i="2"/>
  <c r="AK395" i="2"/>
  <c r="AW395" i="2"/>
  <c r="I396" i="2"/>
  <c r="U396" i="2"/>
  <c r="AG396" i="2"/>
  <c r="AS396" i="2"/>
  <c r="E397" i="2"/>
  <c r="Q397" i="2"/>
  <c r="AC397" i="2"/>
  <c r="AO397" i="2"/>
  <c r="BA397" i="2"/>
  <c r="AK406" i="2"/>
  <c r="E407" i="2"/>
  <c r="Q407" i="2"/>
  <c r="AC407" i="2"/>
  <c r="AO407" i="2"/>
  <c r="BA407" i="2"/>
  <c r="AG408" i="2"/>
  <c r="M409" i="2"/>
  <c r="Y409" i="2"/>
  <c r="AW409" i="2"/>
  <c r="Y403" i="2"/>
  <c r="O402" i="2"/>
  <c r="AA402" i="2"/>
  <c r="AM402" i="2"/>
  <c r="AY402" i="2"/>
  <c r="L394" i="2"/>
  <c r="I395" i="2"/>
  <c r="AG395" i="2"/>
  <c r="AP396" i="2"/>
  <c r="I399" i="2"/>
  <c r="U399" i="2"/>
  <c r="AG399" i="2"/>
  <c r="AS399" i="2"/>
  <c r="N403" i="2"/>
  <c r="Z403" i="2"/>
  <c r="AL403" i="2"/>
  <c r="AX403" i="2"/>
  <c r="J405" i="2"/>
  <c r="V405" i="2"/>
  <c r="AH405" i="2"/>
  <c r="AT405" i="2"/>
  <c r="AL406" i="2"/>
  <c r="AX406" i="2"/>
  <c r="F407" i="2"/>
  <c r="BB407" i="2"/>
  <c r="J408" i="2"/>
  <c r="V408" i="2"/>
  <c r="AH408" i="2"/>
  <c r="AT408" i="2"/>
  <c r="N409" i="2"/>
  <c r="AL409" i="2"/>
  <c r="AX409" i="2"/>
  <c r="BA400" i="2"/>
  <c r="D393" i="2"/>
  <c r="D402" i="2"/>
  <c r="P393" i="2"/>
  <c r="P402" i="2"/>
  <c r="AB393" i="2"/>
  <c r="AB402" i="2"/>
  <c r="AN393" i="2"/>
  <c r="AN402" i="2"/>
  <c r="AZ393" i="2"/>
  <c r="AZ402" i="2"/>
  <c r="M394" i="2"/>
  <c r="Y394" i="2"/>
  <c r="V395" i="2"/>
  <c r="AH395" i="2"/>
  <c r="M398" i="2"/>
  <c r="Y398" i="2"/>
  <c r="AK398" i="2"/>
  <c r="AW398" i="2"/>
  <c r="J399" i="2"/>
  <c r="V399" i="2"/>
  <c r="AH399" i="2"/>
  <c r="AT399" i="2"/>
  <c r="G400" i="2"/>
  <c r="S400" i="2"/>
  <c r="AE400" i="2"/>
  <c r="AQ400" i="2"/>
  <c r="G404" i="2"/>
  <c r="S404" i="2"/>
  <c r="AE404" i="2"/>
  <c r="AQ404" i="2"/>
  <c r="K405" i="2"/>
  <c r="W405" i="2"/>
  <c r="AI405" i="2"/>
  <c r="AU405" i="2"/>
  <c r="AM406" i="2"/>
  <c r="S407" i="2"/>
  <c r="AU408" i="2"/>
  <c r="C409" i="2"/>
  <c r="O409" i="2"/>
  <c r="AM409" i="2"/>
  <c r="AY409" i="2"/>
  <c r="Y408" i="2"/>
  <c r="AK408" i="2"/>
  <c r="AW408" i="2"/>
  <c r="Q409" i="2"/>
  <c r="AC409" i="2"/>
  <c r="AO409" i="2"/>
  <c r="BA409" i="2"/>
  <c r="D395" i="2"/>
  <c r="AB395" i="2"/>
  <c r="AZ395" i="2"/>
  <c r="H394" i="2"/>
  <c r="T394" i="2"/>
  <c r="AF394" i="2"/>
  <c r="AR394" i="2"/>
  <c r="P395" i="2"/>
  <c r="AN395" i="2"/>
  <c r="L393" i="2"/>
  <c r="X393" i="2"/>
  <c r="AJ393" i="2"/>
  <c r="AV393" i="2"/>
  <c r="F395" i="2"/>
  <c r="R395" i="2"/>
  <c r="AD395" i="2"/>
  <c r="AP395" i="2"/>
  <c r="BB395" i="2"/>
  <c r="AD399" i="2"/>
  <c r="BB399" i="2"/>
  <c r="H399" i="2"/>
  <c r="T399" i="2"/>
  <c r="AF399" i="2"/>
  <c r="AR399" i="2"/>
  <c r="O393" i="2"/>
  <c r="AA393" i="2"/>
  <c r="AM393" i="2"/>
  <c r="AY393" i="2"/>
  <c r="L398" i="2"/>
  <c r="X398" i="2"/>
  <c r="AJ398" i="2"/>
  <c r="AV398" i="2"/>
  <c r="F400" i="2"/>
  <c r="R400" i="2"/>
  <c r="AD400" i="2"/>
  <c r="AP400" i="2"/>
  <c r="BB400" i="2"/>
  <c r="B537" i="2"/>
  <c r="B690" i="2" s="1"/>
  <c r="B540" i="2"/>
  <c r="B693" i="2" s="1"/>
  <c r="B541" i="2"/>
  <c r="B694" i="2" s="1"/>
  <c r="B542" i="2"/>
  <c r="B695" i="2" s="1"/>
  <c r="B543" i="2"/>
  <c r="B696" i="2" s="1"/>
  <c r="B539" i="2"/>
  <c r="B692" i="2" s="1"/>
  <c r="B544" i="2"/>
  <c r="B697" i="2" s="1"/>
  <c r="B201" i="2"/>
  <c r="B258" i="3"/>
  <c r="B208" i="2" s="1"/>
  <c r="B116" i="2"/>
  <c r="B268" i="3"/>
  <c r="B218" i="2" s="1"/>
  <c r="B211" i="2"/>
  <c r="B701" i="2"/>
  <c r="BB537" i="2"/>
  <c r="B702" i="2"/>
  <c r="B704" i="2"/>
  <c r="B705" i="2"/>
  <c r="B709" i="2"/>
  <c r="B257" i="3"/>
  <c r="B207" i="2" s="1"/>
  <c r="B199" i="2"/>
  <c r="B710" i="2"/>
  <c r="B259" i="3"/>
  <c r="B209" i="2" s="1"/>
  <c r="B711" i="2"/>
  <c r="F2" i="1"/>
  <c r="B708" i="2"/>
  <c r="B699" i="2"/>
  <c r="B707" i="2"/>
  <c r="B706" i="2"/>
  <c r="B117" i="2"/>
  <c r="B118" i="2"/>
  <c r="AC2" i="3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BC2" i="3" s="1"/>
  <c r="B592" i="2"/>
  <c r="B593" i="2"/>
  <c r="B586" i="2"/>
  <c r="B587" i="2"/>
  <c r="B590" i="2"/>
  <c r="B588" i="2"/>
  <c r="B589" i="2"/>
  <c r="B591" i="2"/>
  <c r="B570" i="2"/>
  <c r="B571" i="2"/>
  <c r="B572" i="2"/>
  <c r="B577" i="2"/>
  <c r="B573" i="2"/>
  <c r="B574" i="2"/>
  <c r="B565" i="2"/>
  <c r="B564" i="2"/>
  <c r="B566" i="2"/>
  <c r="B579" i="2"/>
  <c r="B569" i="2"/>
  <c r="B580" i="2"/>
  <c r="B578" i="2"/>
  <c r="B575" i="2"/>
  <c r="B576" i="2"/>
  <c r="B583" i="2"/>
  <c r="B568" i="2"/>
  <c r="B581" i="2"/>
  <c r="B582" i="2"/>
  <c r="B584" i="2"/>
  <c r="B567" i="2"/>
  <c r="B563" i="2"/>
  <c r="B585" i="2"/>
  <c r="B552" i="2"/>
  <c r="B562" i="2"/>
  <c r="B548" i="2"/>
  <c r="B551" i="2"/>
  <c r="B554" i="2"/>
  <c r="B556" i="2"/>
  <c r="B550" i="2"/>
  <c r="B558" i="2"/>
  <c r="B555" i="2"/>
  <c r="B559" i="2"/>
  <c r="AS538" i="2"/>
  <c r="AJ541" i="2"/>
  <c r="AA544" i="2"/>
  <c r="B560" i="2"/>
  <c r="B549" i="2"/>
  <c r="B553" i="2"/>
  <c r="AP539" i="2"/>
  <c r="AM540" i="2"/>
  <c r="AD543" i="2"/>
  <c r="B561" i="2"/>
  <c r="B557" i="2"/>
  <c r="F539" i="2"/>
  <c r="AY540" i="2"/>
  <c r="AV541" i="2"/>
  <c r="J538" i="2"/>
  <c r="B546" i="2"/>
  <c r="AM544" i="2"/>
  <c r="Q537" i="2"/>
  <c r="AO537" i="2"/>
  <c r="B547" i="2"/>
  <c r="AN537" i="2"/>
  <c r="AE539" i="2"/>
  <c r="AB540" i="2"/>
  <c r="AW541" i="2"/>
  <c r="AN544" i="2"/>
  <c r="AT538" i="2"/>
  <c r="G539" i="2"/>
  <c r="AZ540" i="2"/>
  <c r="V542" i="2"/>
  <c r="S543" i="2"/>
  <c r="AQ543" i="2"/>
  <c r="H539" i="2"/>
  <c r="E540" i="2"/>
  <c r="AO540" i="2"/>
  <c r="AX541" i="2"/>
  <c r="AO544" i="2"/>
  <c r="AQ539" i="2"/>
  <c r="AN540" i="2"/>
  <c r="AK541" i="2"/>
  <c r="AH542" i="2"/>
  <c r="AE543" i="2"/>
  <c r="AB544" i="2"/>
  <c r="AU538" i="2"/>
  <c r="AC540" i="2"/>
  <c r="BA540" i="2"/>
  <c r="AL541" i="2"/>
  <c r="AU542" i="2"/>
  <c r="T543" i="2"/>
  <c r="AF543" i="2"/>
  <c r="AC544" i="2"/>
  <c r="L539" i="2"/>
  <c r="U540" i="2"/>
  <c r="AD541" i="2"/>
  <c r="AY542" i="2"/>
  <c r="U544" i="2"/>
  <c r="T539" i="2"/>
  <c r="AR539" i="2"/>
  <c r="Q540" i="2"/>
  <c r="N541" i="2"/>
  <c r="W542" i="2"/>
  <c r="AI542" i="2"/>
  <c r="H543" i="2"/>
  <c r="AR543" i="2"/>
  <c r="E544" i="2"/>
  <c r="BA544" i="2"/>
  <c r="F537" i="2"/>
  <c r="AM538" i="2"/>
  <c r="O542" i="2"/>
  <c r="W538" i="2"/>
  <c r="G537" i="2"/>
  <c r="P538" i="2"/>
  <c r="M539" i="2"/>
  <c r="V540" i="2"/>
  <c r="AE541" i="2"/>
  <c r="AN542" i="2"/>
  <c r="J544" i="2"/>
  <c r="W537" i="2"/>
  <c r="AY537" i="2"/>
  <c r="I539" i="2"/>
  <c r="R540" i="2"/>
  <c r="L542" i="2"/>
  <c r="AD544" i="2"/>
  <c r="AD537" i="2"/>
  <c r="AA538" i="2"/>
  <c r="X539" i="2"/>
  <c r="AV539" i="2"/>
  <c r="AG540" i="2"/>
  <c r="F541" i="2"/>
  <c r="AP541" i="2"/>
  <c r="AA542" i="2"/>
  <c r="X543" i="2"/>
  <c r="AV543" i="2"/>
  <c r="AG544" i="2"/>
  <c r="S537" i="2"/>
  <c r="AQ537" i="2"/>
  <c r="AB538" i="2"/>
  <c r="AZ538" i="2"/>
  <c r="Y539" i="2"/>
  <c r="AW539" i="2"/>
  <c r="AH540" i="2"/>
  <c r="G541" i="2"/>
  <c r="AQ541" i="2"/>
  <c r="P542" i="2"/>
  <c r="AZ542" i="2"/>
  <c r="Y543" i="2"/>
  <c r="AW543" i="2"/>
  <c r="AH544" i="2"/>
  <c r="K537" i="2"/>
  <c r="AI537" i="2"/>
  <c r="C544" i="2"/>
  <c r="O537" i="2"/>
  <c r="AM537" i="2"/>
  <c r="L538" i="2"/>
  <c r="X538" i="2"/>
  <c r="AV538" i="2"/>
  <c r="AG539" i="2"/>
  <c r="F540" i="2"/>
  <c r="AD540" i="2"/>
  <c r="BB540" i="2"/>
  <c r="AA541" i="2"/>
  <c r="AY541" i="2"/>
  <c r="AJ542" i="2"/>
  <c r="I543" i="2"/>
  <c r="AG543" i="2"/>
  <c r="F544" i="2"/>
  <c r="BB544" i="2"/>
  <c r="T537" i="2"/>
  <c r="AR537" i="2"/>
  <c r="Q538" i="2"/>
  <c r="AO538" i="2"/>
  <c r="N539" i="2"/>
  <c r="AL539" i="2"/>
  <c r="K540" i="2"/>
  <c r="AI540" i="2"/>
  <c r="H541" i="2"/>
  <c r="AF541" i="2"/>
  <c r="E542" i="2"/>
  <c r="AC542" i="2"/>
  <c r="BA542" i="2"/>
  <c r="Z543" i="2"/>
  <c r="AX543" i="2"/>
  <c r="W544" i="2"/>
  <c r="AU544" i="2"/>
  <c r="BB539" i="2"/>
  <c r="AS542" i="2"/>
  <c r="I537" i="2"/>
  <c r="AS537" i="2"/>
  <c r="R538" i="2"/>
  <c r="AD538" i="2"/>
  <c r="BB538" i="2"/>
  <c r="AA539" i="2"/>
  <c r="AM539" i="2"/>
  <c r="L540" i="2"/>
  <c r="AJ540" i="2"/>
  <c r="I541" i="2"/>
  <c r="AG541" i="2"/>
  <c r="F542" i="2"/>
  <c r="AD542" i="2"/>
  <c r="AH538" i="2"/>
  <c r="Y541" i="2"/>
  <c r="P544" i="2"/>
  <c r="R537" i="2"/>
  <c r="AP537" i="2"/>
  <c r="O538" i="2"/>
  <c r="AY538" i="2"/>
  <c r="AJ539" i="2"/>
  <c r="I540" i="2"/>
  <c r="AS540" i="2"/>
  <c r="R541" i="2"/>
  <c r="BB541" i="2"/>
  <c r="AM542" i="2"/>
  <c r="L543" i="2"/>
  <c r="AJ543" i="2"/>
  <c r="I544" i="2"/>
  <c r="AS544" i="2"/>
  <c r="C543" i="2"/>
  <c r="K538" i="2"/>
  <c r="AF539" i="2"/>
  <c r="K542" i="2"/>
  <c r="AE537" i="2"/>
  <c r="D538" i="2"/>
  <c r="AN538" i="2"/>
  <c r="AK539" i="2"/>
  <c r="J540" i="2"/>
  <c r="AT540" i="2"/>
  <c r="S541" i="2"/>
  <c r="D542" i="2"/>
  <c r="AB542" i="2"/>
  <c r="M543" i="2"/>
  <c r="AK543" i="2"/>
  <c r="V544" i="2"/>
  <c r="AT544" i="2"/>
  <c r="AU537" i="2"/>
  <c r="AA537" i="2"/>
  <c r="AJ538" i="2"/>
  <c r="U539" i="2"/>
  <c r="AS539" i="2"/>
  <c r="AP540" i="2"/>
  <c r="O541" i="2"/>
  <c r="AM541" i="2"/>
  <c r="X542" i="2"/>
  <c r="AV542" i="2"/>
  <c r="U543" i="2"/>
  <c r="AS543" i="2"/>
  <c r="AP544" i="2"/>
  <c r="H537" i="2"/>
  <c r="AF537" i="2"/>
  <c r="E538" i="2"/>
  <c r="AC538" i="2"/>
  <c r="BA538" i="2"/>
  <c r="Z539" i="2"/>
  <c r="AX539" i="2"/>
  <c r="W540" i="2"/>
  <c r="AU540" i="2"/>
  <c r="T541" i="2"/>
  <c r="AR541" i="2"/>
  <c r="Q542" i="2"/>
  <c r="AO542" i="2"/>
  <c r="N543" i="2"/>
  <c r="AL543" i="2"/>
  <c r="K544" i="2"/>
  <c r="AI544" i="2"/>
  <c r="I538" i="2"/>
  <c r="AG542" i="2"/>
  <c r="AP543" i="2"/>
  <c r="AB537" i="2"/>
  <c r="C538" i="2"/>
  <c r="U537" i="2"/>
  <c r="AG537" i="2"/>
  <c r="F538" i="2"/>
  <c r="AP538" i="2"/>
  <c r="O539" i="2"/>
  <c r="AY539" i="2"/>
  <c r="X540" i="2"/>
  <c r="AV540" i="2"/>
  <c r="U541" i="2"/>
  <c r="AS541" i="2"/>
  <c r="AP542" i="2"/>
  <c r="D540" i="2"/>
  <c r="AT542" i="2"/>
  <c r="AC537" i="2"/>
  <c r="C540" i="2"/>
  <c r="R544" i="2"/>
  <c r="C539" i="2"/>
  <c r="AI538" i="2"/>
  <c r="Z541" i="2"/>
  <c r="Q544" i="2"/>
  <c r="P537" i="2"/>
  <c r="AR538" i="2"/>
  <c r="BA539" i="2"/>
  <c r="W541" i="2"/>
  <c r="AF542" i="2"/>
  <c r="Z544" i="2"/>
  <c r="D543" i="2"/>
  <c r="AX540" i="2"/>
  <c r="L537" i="2"/>
  <c r="X537" i="2"/>
  <c r="AJ537" i="2"/>
  <c r="AV537" i="2"/>
  <c r="M537" i="2"/>
  <c r="Y537" i="2"/>
  <c r="AK537" i="2"/>
  <c r="AW537" i="2"/>
  <c r="O543" i="2"/>
  <c r="AY543" i="2"/>
  <c r="X544" i="2"/>
  <c r="AV544" i="2"/>
  <c r="J537" i="2"/>
  <c r="AH537" i="2"/>
  <c r="AT537" i="2"/>
  <c r="S538" i="2"/>
  <c r="AQ538" i="2"/>
  <c r="P539" i="2"/>
  <c r="AN539" i="2"/>
  <c r="M540" i="2"/>
  <c r="AK540" i="2"/>
  <c r="J541" i="2"/>
  <c r="AH541" i="2"/>
  <c r="G542" i="2"/>
  <c r="AE542" i="2"/>
  <c r="AB543" i="2"/>
  <c r="AZ543" i="2"/>
  <c r="Y544" i="2"/>
  <c r="AK544" i="2"/>
  <c r="T538" i="2"/>
  <c r="E539" i="2"/>
  <c r="AO539" i="2"/>
  <c r="Z540" i="2"/>
  <c r="K541" i="2"/>
  <c r="AU541" i="2"/>
  <c r="T542" i="2"/>
  <c r="E543" i="2"/>
  <c r="Q543" i="2"/>
  <c r="AO543" i="2"/>
  <c r="BA543" i="2"/>
  <c r="AX544" i="2"/>
  <c r="Z537" i="2"/>
  <c r="AX537" i="2"/>
  <c r="D537" i="2"/>
  <c r="M538" i="2"/>
  <c r="AK538" i="2"/>
  <c r="J539" i="2"/>
  <c r="AH539" i="2"/>
  <c r="G540" i="2"/>
  <c r="AE540" i="2"/>
  <c r="D541" i="2"/>
  <c r="AB541" i="2"/>
  <c r="AZ541" i="2"/>
  <c r="Y542" i="2"/>
  <c r="AW542" i="2"/>
  <c r="V543" i="2"/>
  <c r="G544" i="2"/>
  <c r="AE544" i="2"/>
  <c r="C541" i="2"/>
  <c r="U538" i="2"/>
  <c r="AG538" i="2"/>
  <c r="R539" i="2"/>
  <c r="AD539" i="2"/>
  <c r="O540" i="2"/>
  <c r="AA540" i="2"/>
  <c r="L541" i="2"/>
  <c r="X541" i="2"/>
  <c r="I542" i="2"/>
  <c r="U542" i="2"/>
  <c r="F543" i="2"/>
  <c r="R543" i="2"/>
  <c r="BB543" i="2"/>
  <c r="O544" i="2"/>
  <c r="AY544" i="2"/>
  <c r="R542" i="2"/>
  <c r="BB542" i="2"/>
  <c r="AA543" i="2"/>
  <c r="AM543" i="2"/>
  <c r="L544" i="2"/>
  <c r="AJ544" i="2"/>
  <c r="V537" i="2"/>
  <c r="G538" i="2"/>
  <c r="AE538" i="2"/>
  <c r="D539" i="2"/>
  <c r="AB539" i="2"/>
  <c r="AZ539" i="2"/>
  <c r="Y540" i="2"/>
  <c r="AW540" i="2"/>
  <c r="V541" i="2"/>
  <c r="AT541" i="2"/>
  <c r="S542" i="2"/>
  <c r="AQ542" i="2"/>
  <c r="P543" i="2"/>
  <c r="AN543" i="2"/>
  <c r="M544" i="2"/>
  <c r="AW544" i="2"/>
  <c r="H538" i="2"/>
  <c r="AF538" i="2"/>
  <c r="Q539" i="2"/>
  <c r="AC539" i="2"/>
  <c r="N540" i="2"/>
  <c r="AL540" i="2"/>
  <c r="AI541" i="2"/>
  <c r="H542" i="2"/>
  <c r="AR542" i="2"/>
  <c r="AC543" i="2"/>
  <c r="N544" i="2"/>
  <c r="AL544" i="2"/>
  <c r="N537" i="2"/>
  <c r="AL537" i="2"/>
  <c r="AZ537" i="2"/>
  <c r="Y538" i="2"/>
  <c r="AW538" i="2"/>
  <c r="V539" i="2"/>
  <c r="AT539" i="2"/>
  <c r="S540" i="2"/>
  <c r="AQ540" i="2"/>
  <c r="P541" i="2"/>
  <c r="AN541" i="2"/>
  <c r="M542" i="2"/>
  <c r="AK542" i="2"/>
  <c r="J543" i="2"/>
  <c r="AH543" i="2"/>
  <c r="AT543" i="2"/>
  <c r="S544" i="2"/>
  <c r="AQ544" i="2"/>
  <c r="E537" i="2"/>
  <c r="BA537" i="2"/>
  <c r="C542" i="2"/>
  <c r="V538" i="2"/>
  <c r="S539" i="2"/>
  <c r="P540" i="2"/>
  <c r="M541" i="2"/>
  <c r="J542" i="2"/>
  <c r="G543" i="2"/>
  <c r="D544" i="2"/>
  <c r="AZ544" i="2"/>
  <c r="N538" i="2"/>
  <c r="Z538" i="2"/>
  <c r="AL538" i="2"/>
  <c r="AX538" i="2"/>
  <c r="K539" i="2"/>
  <c r="W539" i="2"/>
  <c r="AI539" i="2"/>
  <c r="AU539" i="2"/>
  <c r="H540" i="2"/>
  <c r="T540" i="2"/>
  <c r="AF540" i="2"/>
  <c r="AR540" i="2"/>
  <c r="E541" i="2"/>
  <c r="Q541" i="2"/>
  <c r="AC541" i="2"/>
  <c r="AO541" i="2"/>
  <c r="BA541" i="2"/>
  <c r="N542" i="2"/>
  <c r="Z542" i="2"/>
  <c r="AL542" i="2"/>
  <c r="AX542" i="2"/>
  <c r="K543" i="2"/>
  <c r="W543" i="2"/>
  <c r="AI543" i="2"/>
  <c r="AU543" i="2"/>
  <c r="H544" i="2"/>
  <c r="T544" i="2"/>
  <c r="AF544" i="2"/>
  <c r="AR544" i="2"/>
  <c r="A205" i="2"/>
  <c r="A192" i="2"/>
  <c r="A199" i="2" s="1"/>
  <c r="A200" i="2" s="1"/>
  <c r="A201" i="2" s="1"/>
  <c r="A202" i="2" s="1"/>
  <c r="A203" i="2" s="1"/>
  <c r="A204" i="2" s="1"/>
  <c r="A113" i="2"/>
  <c r="A120" i="2" s="1"/>
  <c r="A108" i="2"/>
  <c r="A109" i="2" s="1"/>
  <c r="A110" i="2" s="1"/>
  <c r="A111" i="2" s="1"/>
  <c r="A112" i="2" s="1"/>
  <c r="B206" i="2"/>
  <c r="B263" i="3"/>
  <c r="F248" i="3"/>
  <c r="I241" i="3"/>
  <c r="H19" i="1"/>
  <c r="B325" i="2"/>
  <c r="C122" i="3"/>
  <c r="C131" i="3" s="1"/>
  <c r="C140" i="3" s="1"/>
  <c r="B329" i="2"/>
  <c r="C126" i="3"/>
  <c r="L35" i="1"/>
  <c r="L13" i="1" s="1"/>
  <c r="L14" i="1" s="1"/>
  <c r="C119" i="3"/>
  <c r="C128" i="3" s="1"/>
  <c r="B340" i="2" s="1"/>
  <c r="B123" i="2"/>
  <c r="B208" i="3"/>
  <c r="B124" i="2"/>
  <c r="B209" i="3"/>
  <c r="B125" i="2"/>
  <c r="B210" i="3"/>
  <c r="B126" i="2"/>
  <c r="B211" i="3"/>
  <c r="C120" i="3"/>
  <c r="C121" i="3"/>
  <c r="C123" i="3"/>
  <c r="B199" i="3"/>
  <c r="C124" i="3"/>
  <c r="B200" i="3"/>
  <c r="C125" i="3"/>
  <c r="BD23" i="3"/>
  <c r="BC509" i="2"/>
  <c r="BC332" i="2"/>
  <c r="BC352" i="2"/>
  <c r="BC365" i="2"/>
  <c r="BC379" i="2"/>
  <c r="BC382" i="2"/>
  <c r="BC386" i="2"/>
  <c r="BC389" i="2"/>
  <c r="BC392" i="2"/>
  <c r="BC376" i="2"/>
  <c r="A798" i="2"/>
  <c r="A825" i="2" s="1"/>
  <c r="BC463" i="2"/>
  <c r="BC353" i="2"/>
  <c r="BC372" i="2"/>
  <c r="BC360" i="2"/>
  <c r="BC363" i="2"/>
  <c r="BC370" i="2"/>
  <c r="BC373" i="2"/>
  <c r="BC377" i="2"/>
  <c r="BC380" i="2"/>
  <c r="BC383" i="2"/>
  <c r="BC354" i="2"/>
  <c r="BC362" i="2"/>
  <c r="BC368" i="2"/>
  <c r="BC350" i="2"/>
  <c r="BC356" i="2"/>
  <c r="E56" i="2"/>
  <c r="E25" i="4" s="1"/>
  <c r="D762" i="2"/>
  <c r="A765" i="2"/>
  <c r="A799" i="2"/>
  <c r="A826" i="2" s="1"/>
  <c r="BC349" i="2"/>
  <c r="BC355" i="2"/>
  <c r="BC359" i="2"/>
  <c r="BC367" i="2"/>
  <c r="BC369" i="2"/>
  <c r="BC324" i="2"/>
  <c r="BC387" i="2"/>
  <c r="BC390" i="2"/>
  <c r="BC343" i="2"/>
  <c r="BC351" i="2"/>
  <c r="BC358" i="2"/>
  <c r="BC361" i="2"/>
  <c r="BC364" i="2"/>
  <c r="BC371" i="2"/>
  <c r="BC374" i="2"/>
  <c r="BC378" i="2"/>
  <c r="BC381" i="2"/>
  <c r="BC385" i="2"/>
  <c r="BC388" i="2"/>
  <c r="BC391" i="2"/>
  <c r="BC520" i="2"/>
  <c r="BC523" i="2"/>
  <c r="BC524" i="2"/>
  <c r="BC527" i="2"/>
  <c r="BC467" i="2"/>
  <c r="BC471" i="2"/>
  <c r="BC477" i="2"/>
  <c r="BC481" i="2"/>
  <c r="BC494" i="2"/>
  <c r="BC487" i="2"/>
  <c r="BC491" i="2"/>
  <c r="BC457" i="2"/>
  <c r="BC461" i="2"/>
  <c r="BC484" i="2"/>
  <c r="BC522" i="2"/>
  <c r="BC521" i="2"/>
  <c r="BC525" i="2"/>
  <c r="BC335" i="2"/>
  <c r="BC338" i="2"/>
  <c r="BC341" i="2"/>
  <c r="BC342" i="2"/>
  <c r="BC344" i="2"/>
  <c r="BC345" i="2"/>
  <c r="BC346" i="2"/>
  <c r="BC347" i="2"/>
  <c r="BC476" i="2"/>
  <c r="BC502" i="2"/>
  <c r="BC506" i="2"/>
  <c r="BC508" i="2"/>
  <c r="BC486" i="2"/>
  <c r="BC490" i="2"/>
  <c r="BC331" i="2"/>
  <c r="BC333" i="2"/>
  <c r="BC336" i="2"/>
  <c r="BC337" i="2"/>
  <c r="BC340" i="2"/>
  <c r="BC479" i="2"/>
  <c r="BC482" i="2"/>
  <c r="BC529" i="2"/>
  <c r="BC531" i="2"/>
  <c r="BC532" i="2"/>
  <c r="BC533" i="2"/>
  <c r="BC535" i="2"/>
  <c r="BC536" i="2"/>
  <c r="BC495" i="2"/>
  <c r="BC499" i="2"/>
  <c r="BC478" i="2"/>
  <c r="BC504" i="2"/>
  <c r="BC459" i="2"/>
  <c r="BC480" i="2"/>
  <c r="BC503" i="2"/>
  <c r="BC507" i="2"/>
  <c r="BC466" i="2"/>
  <c r="BC470" i="2"/>
  <c r="BC493" i="2"/>
  <c r="BC496" i="2"/>
  <c r="BC497" i="2"/>
  <c r="BC500" i="2"/>
  <c r="BC458" i="2"/>
  <c r="BC462" i="2"/>
  <c r="BC530" i="2"/>
  <c r="BC322" i="2"/>
  <c r="BC325" i="2"/>
  <c r="BC326" i="2"/>
  <c r="BC327" i="2"/>
  <c r="BC328" i="2"/>
  <c r="BC329" i="2"/>
  <c r="BC334" i="2"/>
  <c r="BC323" i="2"/>
  <c r="BC534" i="2"/>
  <c r="BC526" i="2"/>
  <c r="BC505" i="2"/>
  <c r="BC498" i="2"/>
  <c r="BC485" i="2"/>
  <c r="BC488" i="2"/>
  <c r="BC489" i="2"/>
  <c r="BC475" i="2"/>
  <c r="BC468" i="2"/>
  <c r="BC469" i="2"/>
  <c r="BC472" i="2"/>
  <c r="BC473" i="2"/>
  <c r="BC460" i="2"/>
  <c r="BC464" i="2"/>
  <c r="B825" i="2"/>
  <c r="B798" i="2"/>
  <c r="B836" i="2"/>
  <c r="B809" i="2"/>
  <c r="B826" i="2"/>
  <c r="B799" i="2"/>
  <c r="B810" i="2"/>
  <c r="B827" i="2"/>
  <c r="B800" i="2"/>
  <c r="B838" i="2"/>
  <c r="B811" i="2"/>
  <c r="B828" i="2"/>
  <c r="B801" i="2"/>
  <c r="B839" i="2"/>
  <c r="B812" i="2"/>
  <c r="B840" i="2"/>
  <c r="B813" i="2"/>
  <c r="B802" i="2"/>
  <c r="B814" i="2"/>
  <c r="B803" i="2"/>
  <c r="B815" i="2"/>
  <c r="B804" i="2"/>
  <c r="B816" i="2"/>
  <c r="B805" i="2"/>
  <c r="B817" i="2"/>
  <c r="B806" i="2"/>
  <c r="B807" i="2"/>
  <c r="B808" i="2"/>
  <c r="D25" i="4"/>
  <c r="H13" i="1"/>
  <c r="V505" i="3" l="1"/>
  <c r="AS489" i="3"/>
  <c r="U506" i="3"/>
  <c r="AP487" i="3"/>
  <c r="F498" i="3"/>
  <c r="E505" i="3"/>
  <c r="AH511" i="3"/>
  <c r="AG510" i="3"/>
  <c r="Y495" i="3"/>
  <c r="Q491" i="3"/>
  <c r="BA490" i="3"/>
  <c r="AM510" i="3"/>
  <c r="Q490" i="3"/>
  <c r="AJ497" i="3"/>
  <c r="P491" i="3"/>
  <c r="AX491" i="3"/>
  <c r="L507" i="3"/>
  <c r="S491" i="3"/>
  <c r="R507" i="3"/>
  <c r="AD491" i="3"/>
  <c r="AB490" i="3"/>
  <c r="AN490" i="3"/>
  <c r="W507" i="3"/>
  <c r="D507" i="3"/>
  <c r="AF491" i="3"/>
  <c r="N491" i="3"/>
  <c r="AP491" i="3"/>
  <c r="AY491" i="3"/>
  <c r="L506" i="3"/>
  <c r="AV505" i="3"/>
  <c r="AC498" i="3"/>
  <c r="Z505" i="3"/>
  <c r="AG507" i="3"/>
  <c r="V491" i="3"/>
  <c r="U507" i="3"/>
  <c r="BB506" i="3"/>
  <c r="AS491" i="3"/>
  <c r="I491" i="3"/>
  <c r="AT510" i="3"/>
  <c r="AG497" i="3"/>
  <c r="O505" i="3"/>
  <c r="AU485" i="3"/>
  <c r="P510" i="3"/>
  <c r="AM491" i="3"/>
  <c r="W497" i="3"/>
  <c r="AE491" i="3"/>
  <c r="J499" i="3"/>
  <c r="Q506" i="3"/>
  <c r="G505" i="3"/>
  <c r="G485" i="3"/>
  <c r="AX485" i="3"/>
  <c r="AL505" i="3"/>
  <c r="C491" i="3"/>
  <c r="Q509" i="3"/>
  <c r="AQ485" i="3"/>
  <c r="AK491" i="3"/>
  <c r="BB491" i="3"/>
  <c r="AG511" i="3"/>
  <c r="V489" i="3"/>
  <c r="J498" i="3"/>
  <c r="AH506" i="3"/>
  <c r="AI485" i="3"/>
  <c r="W505" i="3"/>
  <c r="AQ491" i="3"/>
  <c r="AO511" i="3"/>
  <c r="T490" i="3"/>
  <c r="AE490" i="3"/>
  <c r="AF497" i="3"/>
  <c r="T506" i="3"/>
  <c r="AI495" i="3"/>
  <c r="AR485" i="3"/>
  <c r="AT495" i="3"/>
  <c r="AB485" i="3"/>
  <c r="AA499" i="3"/>
  <c r="AV498" i="3"/>
  <c r="AP498" i="3"/>
  <c r="O510" i="3"/>
  <c r="AT498" i="3"/>
  <c r="Z498" i="3"/>
  <c r="AN497" i="3"/>
  <c r="C486" i="3"/>
  <c r="AR491" i="3"/>
  <c r="F491" i="3"/>
  <c r="AW490" i="3"/>
  <c r="T510" i="3"/>
  <c r="AT490" i="3"/>
  <c r="V498" i="3"/>
  <c r="AW497" i="3"/>
  <c r="AT506" i="3"/>
  <c r="J505" i="3"/>
  <c r="J495" i="3"/>
  <c r="AQ511" i="3"/>
  <c r="W510" i="3"/>
  <c r="C489" i="3"/>
  <c r="AY489" i="3"/>
  <c r="F497" i="3"/>
  <c r="AQ497" i="3"/>
  <c r="AW506" i="3"/>
  <c r="X486" i="3"/>
  <c r="R486" i="3"/>
  <c r="AO506" i="3"/>
  <c r="E510" i="3"/>
  <c r="J489" i="3"/>
  <c r="AL498" i="3"/>
  <c r="C497" i="3"/>
  <c r="BB486" i="3"/>
  <c r="AY486" i="3"/>
  <c r="AP506" i="3"/>
  <c r="N506" i="3"/>
  <c r="AJ505" i="3"/>
  <c r="P505" i="3"/>
  <c r="AX505" i="3"/>
  <c r="AH491" i="3"/>
  <c r="W491" i="3"/>
  <c r="Y510" i="3"/>
  <c r="AL510" i="3"/>
  <c r="U489" i="3"/>
  <c r="BB489" i="3"/>
  <c r="T498" i="3"/>
  <c r="E487" i="3"/>
  <c r="O497" i="3"/>
  <c r="AH486" i="3"/>
  <c r="E506" i="3"/>
  <c r="AS486" i="3"/>
  <c r="W506" i="3"/>
  <c r="D505" i="3"/>
  <c r="Q505" i="3"/>
  <c r="I505" i="3"/>
  <c r="U491" i="3"/>
  <c r="AO491" i="3"/>
  <c r="AN499" i="3"/>
  <c r="D489" i="3"/>
  <c r="U498" i="3"/>
  <c r="AS498" i="3"/>
  <c r="AU498" i="3"/>
  <c r="AG498" i="3"/>
  <c r="AB497" i="3"/>
  <c r="AA497" i="3"/>
  <c r="P506" i="3"/>
  <c r="AL486" i="3"/>
  <c r="AQ506" i="3"/>
  <c r="AI506" i="3"/>
  <c r="AX495" i="3"/>
  <c r="BA505" i="3"/>
  <c r="AA505" i="3"/>
  <c r="AW499" i="3"/>
  <c r="AW486" i="3"/>
  <c r="Z506" i="3"/>
  <c r="AY497" i="3"/>
  <c r="AV486" i="3"/>
  <c r="AO510" i="3"/>
  <c r="AR499" i="3"/>
  <c r="AX486" i="3"/>
  <c r="N484" i="3"/>
  <c r="AS510" i="3"/>
  <c r="O489" i="3"/>
  <c r="N489" i="3"/>
  <c r="E499" i="3"/>
  <c r="AN498" i="3"/>
  <c r="AX487" i="3"/>
  <c r="AU497" i="3"/>
  <c r="D506" i="3"/>
  <c r="AL506" i="3"/>
  <c r="AT486" i="3"/>
  <c r="AW505" i="3"/>
  <c r="F505" i="3"/>
  <c r="D486" i="3"/>
  <c r="AC510" i="3"/>
  <c r="AP510" i="3"/>
  <c r="Q489" i="3"/>
  <c r="AO497" i="3"/>
  <c r="AC489" i="3"/>
  <c r="AE497" i="3"/>
  <c r="R506" i="3"/>
  <c r="T486" i="3"/>
  <c r="BB505" i="3"/>
  <c r="N510" i="3"/>
  <c r="AE510" i="3"/>
  <c r="Z489" i="3"/>
  <c r="AI489" i="3"/>
  <c r="P499" i="3"/>
  <c r="AQ498" i="3"/>
  <c r="R498" i="3"/>
  <c r="AK497" i="3"/>
  <c r="AG487" i="3"/>
  <c r="M506" i="3"/>
  <c r="AD486" i="3"/>
  <c r="I486" i="3"/>
  <c r="J506" i="3"/>
  <c r="K505" i="3"/>
  <c r="T505" i="3"/>
  <c r="H484" i="3"/>
  <c r="K510" i="3"/>
  <c r="U499" i="3"/>
  <c r="P497" i="3"/>
  <c r="AZ506" i="3"/>
  <c r="G486" i="3"/>
  <c r="O491" i="3"/>
  <c r="AZ491" i="3"/>
  <c r="BA510" i="3"/>
  <c r="H499" i="3"/>
  <c r="AW489" i="3"/>
  <c r="AI508" i="3"/>
  <c r="AX507" i="3"/>
  <c r="L497" i="3"/>
  <c r="AT487" i="3"/>
  <c r="AX506" i="3"/>
  <c r="O506" i="3"/>
  <c r="Y486" i="3"/>
  <c r="Y506" i="3"/>
  <c r="AJ495" i="3"/>
  <c r="G495" i="3"/>
  <c r="AH505" i="3"/>
  <c r="T501" i="3"/>
  <c r="G501" i="3"/>
  <c r="AQ501" i="3"/>
  <c r="O501" i="3"/>
  <c r="AF501" i="3"/>
  <c r="AF496" i="3"/>
  <c r="AE496" i="3"/>
  <c r="S496" i="3"/>
  <c r="T496" i="3"/>
  <c r="BB501" i="3"/>
  <c r="U501" i="3"/>
  <c r="O511" i="3"/>
  <c r="N501" i="3"/>
  <c r="AD501" i="3"/>
  <c r="AS501" i="3"/>
  <c r="S511" i="3"/>
  <c r="AV490" i="3"/>
  <c r="O490" i="3"/>
  <c r="M490" i="3"/>
  <c r="AZ490" i="3"/>
  <c r="AK509" i="3"/>
  <c r="AT489" i="3"/>
  <c r="G489" i="3"/>
  <c r="AK499" i="3"/>
  <c r="X489" i="3"/>
  <c r="AO489" i="3"/>
  <c r="X498" i="3"/>
  <c r="AJ498" i="3"/>
  <c r="M498" i="3"/>
  <c r="AX498" i="3"/>
  <c r="AR496" i="3"/>
  <c r="AJ496" i="3"/>
  <c r="AG496" i="3"/>
  <c r="K495" i="3"/>
  <c r="AL495" i="3"/>
  <c r="AN495" i="3"/>
  <c r="AE504" i="3"/>
  <c r="Y501" i="3"/>
  <c r="AH501" i="3"/>
  <c r="AR501" i="3"/>
  <c r="AE511" i="3"/>
  <c r="AG490" i="3"/>
  <c r="I490" i="3"/>
  <c r="S490" i="3"/>
  <c r="AD490" i="3"/>
  <c r="Y490" i="3"/>
  <c r="AR489" i="3"/>
  <c r="AL499" i="3"/>
  <c r="T499" i="3"/>
  <c r="H489" i="3"/>
  <c r="AL489" i="3"/>
  <c r="BA489" i="3"/>
  <c r="H498" i="3"/>
  <c r="AE498" i="3"/>
  <c r="D487" i="3"/>
  <c r="T487" i="3"/>
  <c r="AT496" i="3"/>
  <c r="AB495" i="3"/>
  <c r="AY504" i="3"/>
  <c r="AA501" i="3"/>
  <c r="D501" i="3"/>
  <c r="Q501" i="3"/>
  <c r="AI490" i="3"/>
  <c r="F490" i="3"/>
  <c r="L490" i="3"/>
  <c r="AY490" i="3"/>
  <c r="J496" i="3"/>
  <c r="BB496" i="3"/>
  <c r="V495" i="3"/>
  <c r="N495" i="3"/>
  <c r="AO495" i="3"/>
  <c r="AE495" i="3"/>
  <c r="I495" i="3"/>
  <c r="X484" i="3"/>
  <c r="D511" i="3"/>
  <c r="AV501" i="3"/>
  <c r="I501" i="3"/>
  <c r="G491" i="3"/>
  <c r="AA491" i="3"/>
  <c r="P501" i="3"/>
  <c r="AC501" i="3"/>
  <c r="W490" i="3"/>
  <c r="AA490" i="3"/>
  <c r="R510" i="3"/>
  <c r="X490" i="3"/>
  <c r="AU489" i="3"/>
  <c r="Q499" i="3"/>
  <c r="W509" i="3"/>
  <c r="H509" i="3"/>
  <c r="P489" i="3"/>
  <c r="AC499" i="3"/>
  <c r="W498" i="3"/>
  <c r="AK498" i="3"/>
  <c r="Q498" i="3"/>
  <c r="C508" i="3"/>
  <c r="J497" i="3"/>
  <c r="H487" i="3"/>
  <c r="R487" i="3"/>
  <c r="Q497" i="3"/>
  <c r="AM497" i="3"/>
  <c r="AY506" i="3"/>
  <c r="AG506" i="3"/>
  <c r="AI486" i="3"/>
  <c r="AV506" i="3"/>
  <c r="AP486" i="3"/>
  <c r="V506" i="3"/>
  <c r="AG486" i="3"/>
  <c r="AM506" i="3"/>
  <c r="C506" i="3"/>
  <c r="M485" i="3"/>
  <c r="AY495" i="3"/>
  <c r="AK495" i="3"/>
  <c r="AB505" i="3"/>
  <c r="H495" i="3"/>
  <c r="AR495" i="3"/>
  <c r="U495" i="3"/>
  <c r="T494" i="3"/>
  <c r="V504" i="3"/>
  <c r="AT491" i="3"/>
  <c r="AG491" i="3"/>
  <c r="AJ501" i="3"/>
  <c r="AN491" i="3"/>
  <c r="M511" i="3"/>
  <c r="AT501" i="3"/>
  <c r="AF511" i="3"/>
  <c r="K490" i="3"/>
  <c r="C490" i="3"/>
  <c r="R490" i="3"/>
  <c r="J510" i="3"/>
  <c r="AX490" i="3"/>
  <c r="R489" i="3"/>
  <c r="AM489" i="3"/>
  <c r="AQ489" i="3"/>
  <c r="L489" i="3"/>
  <c r="AO509" i="3"/>
  <c r="AN489" i="3"/>
  <c r="AX509" i="3"/>
  <c r="AH498" i="3"/>
  <c r="AW498" i="3"/>
  <c r="C498" i="3"/>
  <c r="AP497" i="3"/>
  <c r="V487" i="3"/>
  <c r="AL497" i="3"/>
  <c r="AR487" i="3"/>
  <c r="AX497" i="3"/>
  <c r="BA497" i="3"/>
  <c r="AV496" i="3"/>
  <c r="V486" i="3"/>
  <c r="AW496" i="3"/>
  <c r="N496" i="3"/>
  <c r="AC496" i="3"/>
  <c r="AX496" i="3"/>
  <c r="D496" i="3"/>
  <c r="BA486" i="3"/>
  <c r="AA506" i="3"/>
  <c r="AK505" i="3"/>
  <c r="AA495" i="3"/>
  <c r="AS505" i="3"/>
  <c r="AY505" i="3"/>
  <c r="AM495" i="3"/>
  <c r="S505" i="3"/>
  <c r="AM505" i="3"/>
  <c r="P504" i="3"/>
  <c r="Y484" i="3"/>
  <c r="E501" i="3"/>
  <c r="AP490" i="3"/>
  <c r="P496" i="3"/>
  <c r="AS496" i="3"/>
  <c r="AL496" i="3"/>
  <c r="F496" i="3"/>
  <c r="AU495" i="3"/>
  <c r="Q495" i="3"/>
  <c r="AM501" i="3"/>
  <c r="AO490" i="3"/>
  <c r="BB490" i="3"/>
  <c r="AP499" i="3"/>
  <c r="AE487" i="3"/>
  <c r="AV495" i="3"/>
  <c r="AG495" i="3"/>
  <c r="R491" i="3"/>
  <c r="AN501" i="3"/>
  <c r="AB491" i="3"/>
  <c r="E491" i="3"/>
  <c r="M501" i="3"/>
  <c r="K491" i="3"/>
  <c r="W511" i="3"/>
  <c r="AR511" i="3"/>
  <c r="U490" i="3"/>
  <c r="AU490" i="3"/>
  <c r="H490" i="3"/>
  <c r="D510" i="3"/>
  <c r="AJ490" i="3"/>
  <c r="AA510" i="3"/>
  <c r="AB499" i="3"/>
  <c r="C499" i="3"/>
  <c r="Z499" i="3"/>
  <c r="AE489" i="3"/>
  <c r="I489" i="3"/>
  <c r="AZ489" i="3"/>
  <c r="I498" i="3"/>
  <c r="O498" i="3"/>
  <c r="BA487" i="3"/>
  <c r="AD487" i="3"/>
  <c r="N497" i="3"/>
  <c r="AV497" i="3"/>
  <c r="H507" i="3"/>
  <c r="AB496" i="3"/>
  <c r="AN496" i="3"/>
  <c r="BA496" i="3"/>
  <c r="F486" i="3"/>
  <c r="V496" i="3"/>
  <c r="H496" i="3"/>
  <c r="AN506" i="3"/>
  <c r="V485" i="3"/>
  <c r="AM485" i="3"/>
  <c r="AI505" i="3"/>
  <c r="AR505" i="3"/>
  <c r="D485" i="3"/>
  <c r="BB495" i="3"/>
  <c r="AG505" i="3"/>
  <c r="AZ505" i="3"/>
  <c r="AK484" i="3"/>
  <c r="S501" i="3"/>
  <c r="AQ496" i="3"/>
  <c r="L496" i="3"/>
  <c r="AU496" i="3"/>
  <c r="AS490" i="3"/>
  <c r="AL501" i="3"/>
  <c r="AE501" i="3"/>
  <c r="AW509" i="3"/>
  <c r="AB489" i="3"/>
  <c r="W496" i="3"/>
  <c r="AM504" i="3"/>
  <c r="J491" i="3"/>
  <c r="D491" i="3"/>
  <c r="BA491" i="3"/>
  <c r="AC491" i="3"/>
  <c r="AG501" i="3"/>
  <c r="Y491" i="3"/>
  <c r="L491" i="3"/>
  <c r="I511" i="3"/>
  <c r="Q510" i="3"/>
  <c r="AQ490" i="3"/>
  <c r="AH510" i="3"/>
  <c r="I510" i="3"/>
  <c r="AQ510" i="3"/>
  <c r="AY510" i="3"/>
  <c r="S489" i="3"/>
  <c r="X499" i="3"/>
  <c r="M509" i="3"/>
  <c r="AV489" i="3"/>
  <c r="W489" i="3"/>
  <c r="D499" i="3"/>
  <c r="AY498" i="3"/>
  <c r="D498" i="3"/>
  <c r="P498" i="3"/>
  <c r="AB498" i="3"/>
  <c r="AU487" i="3"/>
  <c r="R497" i="3"/>
  <c r="AZ487" i="3"/>
  <c r="AD497" i="3"/>
  <c r="AT507" i="3"/>
  <c r="T507" i="3"/>
  <c r="AJ506" i="3"/>
  <c r="AF506" i="3"/>
  <c r="AD506" i="3"/>
  <c r="S506" i="3"/>
  <c r="S486" i="3"/>
  <c r="AK496" i="3"/>
  <c r="U496" i="3"/>
  <c r="BA506" i="3"/>
  <c r="R505" i="3"/>
  <c r="L495" i="3"/>
  <c r="D495" i="3"/>
  <c r="O495" i="3"/>
  <c r="Q485" i="3"/>
  <c r="H505" i="3"/>
  <c r="AU505" i="3"/>
  <c r="R504" i="3"/>
  <c r="AW484" i="3"/>
  <c r="W501" i="3"/>
  <c r="M496" i="3"/>
  <c r="G496" i="3"/>
  <c r="L501" i="3"/>
  <c r="C501" i="3"/>
  <c r="AX501" i="3"/>
  <c r="AM490" i="3"/>
  <c r="AL490" i="3"/>
  <c r="T511" i="3"/>
  <c r="AK490" i="3"/>
  <c r="F489" i="3"/>
  <c r="X509" i="3"/>
  <c r="J508" i="3"/>
  <c r="K496" i="3"/>
  <c r="X495" i="3"/>
  <c r="AS504" i="3"/>
  <c r="K501" i="3"/>
  <c r="J501" i="3"/>
  <c r="H501" i="3"/>
  <c r="AU491" i="3"/>
  <c r="AW501" i="3"/>
  <c r="AL491" i="3"/>
  <c r="X491" i="3"/>
  <c r="D490" i="3"/>
  <c r="E490" i="3"/>
  <c r="Z510" i="3"/>
  <c r="P490" i="3"/>
  <c r="T489" i="3"/>
  <c r="K509" i="3"/>
  <c r="AG489" i="3"/>
  <c r="I499" i="3"/>
  <c r="AK489" i="3"/>
  <c r="E489" i="3"/>
  <c r="AI498" i="3"/>
  <c r="AF498" i="3"/>
  <c r="Y498" i="3"/>
  <c r="N498" i="3"/>
  <c r="Y497" i="3"/>
  <c r="BB497" i="3"/>
  <c r="M497" i="3"/>
  <c r="M487" i="3"/>
  <c r="AF507" i="3"/>
  <c r="AZ486" i="3"/>
  <c r="W486" i="3"/>
  <c r="AA496" i="3"/>
  <c r="AK486" i="3"/>
  <c r="AQ486" i="3"/>
  <c r="AF486" i="3"/>
  <c r="AZ496" i="3"/>
  <c r="AH496" i="3"/>
  <c r="K506" i="3"/>
  <c r="U505" i="3"/>
  <c r="AW495" i="3"/>
  <c r="Z495" i="3"/>
  <c r="AQ495" i="3"/>
  <c r="C495" i="3"/>
  <c r="AF495" i="3"/>
  <c r="N505" i="3"/>
  <c r="AN484" i="3"/>
  <c r="P300" i="3"/>
  <c r="L494" i="3"/>
  <c r="AB494" i="3"/>
  <c r="C494" i="3"/>
  <c r="Y494" i="3"/>
  <c r="AX494" i="3"/>
  <c r="S494" i="3"/>
  <c r="O494" i="3"/>
  <c r="AI494" i="3"/>
  <c r="AC494" i="3"/>
  <c r="BB494" i="3"/>
  <c r="AR494" i="3"/>
  <c r="AO494" i="3"/>
  <c r="G494" i="3"/>
  <c r="BA494" i="3"/>
  <c r="W494" i="3"/>
  <c r="Z494" i="3"/>
  <c r="AY494" i="3"/>
  <c r="AK494" i="3"/>
  <c r="U494" i="3"/>
  <c r="M494" i="3"/>
  <c r="AT494" i="3"/>
  <c r="F494" i="3"/>
  <c r="AQ494" i="3"/>
  <c r="AD494" i="3"/>
  <c r="AN494" i="3"/>
  <c r="AL494" i="3"/>
  <c r="V494" i="3"/>
  <c r="Q494" i="3"/>
  <c r="AT508" i="3"/>
  <c r="I508" i="3"/>
  <c r="AW504" i="3"/>
  <c r="AA494" i="3"/>
  <c r="AP494" i="3"/>
  <c r="O301" i="3"/>
  <c r="F485" i="3"/>
  <c r="H485" i="3"/>
  <c r="AA485" i="3"/>
  <c r="AG485" i="3"/>
  <c r="AP485" i="3"/>
  <c r="AH485" i="3"/>
  <c r="U485" i="3"/>
  <c r="Z485" i="3"/>
  <c r="AV485" i="3"/>
  <c r="W485" i="3"/>
  <c r="I485" i="3"/>
  <c r="J485" i="3"/>
  <c r="T485" i="3"/>
  <c r="BA485" i="3"/>
  <c r="AN485" i="3"/>
  <c r="AW485" i="3"/>
  <c r="O485" i="3"/>
  <c r="AS485" i="3"/>
  <c r="C485" i="3"/>
  <c r="X485" i="3"/>
  <c r="BB485" i="3"/>
  <c r="AE494" i="3"/>
  <c r="W504" i="3"/>
  <c r="Q307" i="3"/>
  <c r="G511" i="3"/>
  <c r="P511" i="3"/>
  <c r="H511" i="3"/>
  <c r="X511" i="3"/>
  <c r="AT511" i="3"/>
  <c r="AS511" i="3"/>
  <c r="AA511" i="3"/>
  <c r="BB511" i="3"/>
  <c r="AX511" i="3"/>
  <c r="C511" i="3"/>
  <c r="AK511" i="3"/>
  <c r="AD511" i="3"/>
  <c r="V511" i="3"/>
  <c r="K511" i="3"/>
  <c r="AM511" i="3"/>
  <c r="R511" i="3"/>
  <c r="AY511" i="3"/>
  <c r="AP511" i="3"/>
  <c r="AL511" i="3"/>
  <c r="AW511" i="3"/>
  <c r="AU511" i="3"/>
  <c r="F511" i="3"/>
  <c r="Z511" i="3"/>
  <c r="AI511" i="3"/>
  <c r="E511" i="3"/>
  <c r="N511" i="3"/>
  <c r="BA511" i="3"/>
  <c r="AB511" i="3"/>
  <c r="E509" i="3"/>
  <c r="O487" i="3"/>
  <c r="AY487" i="3"/>
  <c r="F487" i="3"/>
  <c r="AF485" i="3"/>
  <c r="C504" i="3"/>
  <c r="P494" i="3"/>
  <c r="AS494" i="3"/>
  <c r="AM509" i="3"/>
  <c r="AN508" i="3"/>
  <c r="AD508" i="3"/>
  <c r="AV507" i="3"/>
  <c r="AK507" i="3"/>
  <c r="AL485" i="3"/>
  <c r="AT485" i="3"/>
  <c r="AB484" i="3"/>
  <c r="N494" i="3"/>
  <c r="AM494" i="3"/>
  <c r="AJ494" i="3"/>
  <c r="AZ511" i="3"/>
  <c r="S509" i="3"/>
  <c r="AN509" i="3"/>
  <c r="U509" i="3"/>
  <c r="F509" i="3"/>
  <c r="AE509" i="3"/>
  <c r="AQ508" i="3"/>
  <c r="AZ507" i="3"/>
  <c r="S507" i="3"/>
  <c r="AM487" i="3"/>
  <c r="AF487" i="3"/>
  <c r="C507" i="3"/>
  <c r="AZ485" i="3"/>
  <c r="N485" i="3"/>
  <c r="K485" i="3"/>
  <c r="E485" i="3"/>
  <c r="AX484" i="3"/>
  <c r="AW494" i="3"/>
  <c r="AJ504" i="3"/>
  <c r="AQ484" i="3"/>
  <c r="AV494" i="3"/>
  <c r="O508" i="3"/>
  <c r="X508" i="3"/>
  <c r="K494" i="3"/>
  <c r="Q300" i="3"/>
  <c r="BA504" i="3"/>
  <c r="AZ504" i="3"/>
  <c r="AL504" i="3"/>
  <c r="AD504" i="3"/>
  <c r="Z504" i="3"/>
  <c r="M504" i="3"/>
  <c r="BB504" i="3"/>
  <c r="AU504" i="3"/>
  <c r="E504" i="3"/>
  <c r="AG504" i="3"/>
  <c r="AT504" i="3"/>
  <c r="AV504" i="3"/>
  <c r="J504" i="3"/>
  <c r="U504" i="3"/>
  <c r="AK504" i="3"/>
  <c r="AN504" i="3"/>
  <c r="AI504" i="3"/>
  <c r="S504" i="3"/>
  <c r="AO504" i="3"/>
  <c r="AP504" i="3"/>
  <c r="AF504" i="3"/>
  <c r="L504" i="3"/>
  <c r="O504" i="3"/>
  <c r="Q504" i="3"/>
  <c r="AC504" i="3"/>
  <c r="AQ504" i="3"/>
  <c r="AA504" i="3"/>
  <c r="I504" i="3"/>
  <c r="T504" i="3"/>
  <c r="AB504" i="3"/>
  <c r="N504" i="3"/>
  <c r="AX504" i="3"/>
  <c r="AL508" i="3"/>
  <c r="E494" i="3"/>
  <c r="R494" i="3"/>
  <c r="G504" i="3"/>
  <c r="L511" i="3"/>
  <c r="J511" i="3"/>
  <c r="AI487" i="3"/>
  <c r="C487" i="3"/>
  <c r="N507" i="3"/>
  <c r="AK485" i="3"/>
  <c r="AO485" i="3"/>
  <c r="AY484" i="3"/>
  <c r="X494" i="3"/>
  <c r="AN511" i="3"/>
  <c r="AF494" i="3"/>
  <c r="Y511" i="3"/>
  <c r="Q511" i="3"/>
  <c r="G509" i="3"/>
  <c r="AF509" i="3"/>
  <c r="Y509" i="3"/>
  <c r="P487" i="3"/>
  <c r="AY507" i="3"/>
  <c r="AH507" i="3"/>
  <c r="P507" i="3"/>
  <c r="Q507" i="3"/>
  <c r="AC485" i="3"/>
  <c r="R485" i="3"/>
  <c r="I494" i="3"/>
  <c r="AH504" i="3"/>
  <c r="J494" i="3"/>
  <c r="AR504" i="3"/>
  <c r="K504" i="3"/>
  <c r="Q304" i="3"/>
  <c r="P508" i="3"/>
  <c r="M508" i="3"/>
  <c r="AU508" i="3"/>
  <c r="N508" i="3"/>
  <c r="AS508" i="3"/>
  <c r="K508" i="3"/>
  <c r="BA508" i="3"/>
  <c r="AP508" i="3"/>
  <c r="BB508" i="3"/>
  <c r="R508" i="3"/>
  <c r="AE508" i="3"/>
  <c r="Z508" i="3"/>
  <c r="AX508" i="3"/>
  <c r="AB508" i="3"/>
  <c r="H508" i="3"/>
  <c r="D508" i="3"/>
  <c r="E508" i="3"/>
  <c r="AW508" i="3"/>
  <c r="AO508" i="3"/>
  <c r="AR508" i="3"/>
  <c r="Y508" i="3"/>
  <c r="AF508" i="3"/>
  <c r="AC508" i="3"/>
  <c r="G508" i="3"/>
  <c r="F508" i="3"/>
  <c r="Q508" i="3"/>
  <c r="AA508" i="3"/>
  <c r="AV508" i="3"/>
  <c r="S508" i="3"/>
  <c r="U508" i="3"/>
  <c r="O300" i="3"/>
  <c r="M484" i="3"/>
  <c r="AD484" i="3"/>
  <c r="P484" i="3"/>
  <c r="AI484" i="3"/>
  <c r="V484" i="3"/>
  <c r="AF484" i="3"/>
  <c r="R484" i="3"/>
  <c r="AC484" i="3"/>
  <c r="AH484" i="3"/>
  <c r="S484" i="3"/>
  <c r="E484" i="3"/>
  <c r="AM484" i="3"/>
  <c r="AJ484" i="3"/>
  <c r="AT484" i="3"/>
  <c r="F484" i="3"/>
  <c r="T484" i="3"/>
  <c r="L484" i="3"/>
  <c r="BB484" i="3"/>
  <c r="AO484" i="3"/>
  <c r="BA484" i="3"/>
  <c r="AG484" i="3"/>
  <c r="AR484" i="3"/>
  <c r="Q484" i="3"/>
  <c r="G484" i="3"/>
  <c r="U484" i="3"/>
  <c r="AS484" i="3"/>
  <c r="AE484" i="3"/>
  <c r="D484" i="3"/>
  <c r="C484" i="3"/>
  <c r="AV484" i="3"/>
  <c r="T508" i="3"/>
  <c r="W508" i="3"/>
  <c r="AZ508" i="3"/>
  <c r="AU494" i="3"/>
  <c r="J484" i="3"/>
  <c r="AU484" i="3"/>
  <c r="I484" i="3"/>
  <c r="AK508" i="3"/>
  <c r="AJ485" i="3"/>
  <c r="W484" i="3"/>
  <c r="K484" i="3"/>
  <c r="Z484" i="3"/>
  <c r="Q305" i="3"/>
  <c r="N509" i="3"/>
  <c r="AS509" i="3"/>
  <c r="AQ509" i="3"/>
  <c r="AT509" i="3"/>
  <c r="I509" i="3"/>
  <c r="AV509" i="3"/>
  <c r="AJ509" i="3"/>
  <c r="AH509" i="3"/>
  <c r="AU509" i="3"/>
  <c r="AD509" i="3"/>
  <c r="AC509" i="3"/>
  <c r="AA509" i="3"/>
  <c r="AG509" i="3"/>
  <c r="L509" i="3"/>
  <c r="C509" i="3"/>
  <c r="AB509" i="3"/>
  <c r="AR509" i="3"/>
  <c r="AI509" i="3"/>
  <c r="P509" i="3"/>
  <c r="O509" i="3"/>
  <c r="J509" i="3"/>
  <c r="AY509" i="3"/>
  <c r="BB509" i="3"/>
  <c r="D509" i="3"/>
  <c r="BA509" i="3"/>
  <c r="T509" i="3"/>
  <c r="V509" i="3"/>
  <c r="AM508" i="3"/>
  <c r="L508" i="3"/>
  <c r="AY508" i="3"/>
  <c r="O303" i="3"/>
  <c r="G487" i="3"/>
  <c r="Z487" i="3"/>
  <c r="AV487" i="3"/>
  <c r="X487" i="3"/>
  <c r="Y487" i="3"/>
  <c r="J487" i="3"/>
  <c r="I487" i="3"/>
  <c r="AB487" i="3"/>
  <c r="AL487" i="3"/>
  <c r="AN487" i="3"/>
  <c r="AW487" i="3"/>
  <c r="AQ487" i="3"/>
  <c r="AK487" i="3"/>
  <c r="L487" i="3"/>
  <c r="BB487" i="3"/>
  <c r="N487" i="3"/>
  <c r="W487" i="3"/>
  <c r="AA487" i="3"/>
  <c r="U487" i="3"/>
  <c r="AJ487" i="3"/>
  <c r="AH487" i="3"/>
  <c r="AC487" i="3"/>
  <c r="Q303" i="3"/>
  <c r="AO507" i="3"/>
  <c r="AN507" i="3"/>
  <c r="AC507" i="3"/>
  <c r="AQ507" i="3"/>
  <c r="AM507" i="3"/>
  <c r="BA507" i="3"/>
  <c r="AR507" i="3"/>
  <c r="F507" i="3"/>
  <c r="AB507" i="3"/>
  <c r="AP507" i="3"/>
  <c r="X507" i="3"/>
  <c r="AD507" i="3"/>
  <c r="V507" i="3"/>
  <c r="E507" i="3"/>
  <c r="K507" i="3"/>
  <c r="AA507" i="3"/>
  <c r="J507" i="3"/>
  <c r="O507" i="3"/>
  <c r="Y507" i="3"/>
  <c r="G507" i="3"/>
  <c r="AJ507" i="3"/>
  <c r="AI507" i="3"/>
  <c r="AW507" i="3"/>
  <c r="I507" i="3"/>
  <c r="M507" i="3"/>
  <c r="Z507" i="3"/>
  <c r="AS507" i="3"/>
  <c r="AU507" i="3"/>
  <c r="L485" i="3"/>
  <c r="Y485" i="3"/>
  <c r="S485" i="3"/>
  <c r="AZ484" i="3"/>
  <c r="AH494" i="3"/>
  <c r="AL484" i="3"/>
  <c r="AP484" i="3"/>
  <c r="AG508" i="3"/>
  <c r="H494" i="3"/>
  <c r="AV511" i="3"/>
  <c r="AJ511" i="3"/>
  <c r="R509" i="3"/>
  <c r="S487" i="3"/>
  <c r="H504" i="3"/>
  <c r="AC511" i="3"/>
  <c r="AZ509" i="3"/>
  <c r="AP509" i="3"/>
  <c r="AL509" i="3"/>
  <c r="V508" i="3"/>
  <c r="AH508" i="3"/>
  <c r="AO487" i="3"/>
  <c r="Q487" i="3"/>
  <c r="K487" i="3"/>
  <c r="AL507" i="3"/>
  <c r="AE507" i="3"/>
  <c r="P485" i="3"/>
  <c r="AY485" i="3"/>
  <c r="AE485" i="3"/>
  <c r="AA484" i="3"/>
  <c r="AZ494" i="3"/>
  <c r="D504" i="3"/>
  <c r="F504" i="3"/>
  <c r="D494" i="3"/>
  <c r="X504" i="3"/>
  <c r="AJ499" i="3"/>
  <c r="O499" i="3"/>
  <c r="S499" i="3"/>
  <c r="X510" i="3"/>
  <c r="AI510" i="3"/>
  <c r="AH499" i="3"/>
  <c r="AG499" i="3"/>
  <c r="AJ486" i="3"/>
  <c r="AV510" i="3"/>
  <c r="G510" i="3"/>
  <c r="AZ499" i="3"/>
  <c r="V499" i="3"/>
  <c r="AJ489" i="3"/>
  <c r="AY499" i="3"/>
  <c r="W499" i="3"/>
  <c r="Z497" i="3"/>
  <c r="AZ497" i="3"/>
  <c r="K486" i="3"/>
  <c r="E486" i="3"/>
  <c r="Z501" i="3"/>
  <c r="T491" i="3"/>
  <c r="AK501" i="3"/>
  <c r="AW491" i="3"/>
  <c r="R501" i="3"/>
  <c r="AJ491" i="3"/>
  <c r="AO501" i="3"/>
  <c r="AZ510" i="3"/>
  <c r="BB510" i="3"/>
  <c r="AD510" i="3"/>
  <c r="AW510" i="3"/>
  <c r="C510" i="3"/>
  <c r="N490" i="3"/>
  <c r="L510" i="3"/>
  <c r="U510" i="3"/>
  <c r="H510" i="3"/>
  <c r="F510" i="3"/>
  <c r="Y489" i="3"/>
  <c r="F499" i="3"/>
  <c r="Y499" i="3"/>
  <c r="AA489" i="3"/>
  <c r="AS499" i="3"/>
  <c r="AX489" i="3"/>
  <c r="AE499" i="3"/>
  <c r="AI499" i="3"/>
  <c r="G498" i="3"/>
  <c r="AR498" i="3"/>
  <c r="S498" i="3"/>
  <c r="AO498" i="3"/>
  <c r="AS497" i="3"/>
  <c r="T497" i="3"/>
  <c r="D497" i="3"/>
  <c r="H497" i="3"/>
  <c r="I497" i="3"/>
  <c r="AA486" i="3"/>
  <c r="AN486" i="3"/>
  <c r="X496" i="3"/>
  <c r="AK506" i="3"/>
  <c r="C496" i="3"/>
  <c r="AM496" i="3"/>
  <c r="O496" i="3"/>
  <c r="AS506" i="3"/>
  <c r="Q496" i="3"/>
  <c r="AY496" i="3"/>
  <c r="H506" i="3"/>
  <c r="Q486" i="3"/>
  <c r="R496" i="3"/>
  <c r="AU506" i="3"/>
  <c r="AH495" i="3"/>
  <c r="AN505" i="3"/>
  <c r="AZ495" i="3"/>
  <c r="AT505" i="3"/>
  <c r="T495" i="3"/>
  <c r="AO505" i="3"/>
  <c r="X505" i="3"/>
  <c r="AQ505" i="3"/>
  <c r="AS495" i="3"/>
  <c r="R499" i="3"/>
  <c r="G499" i="3"/>
  <c r="AF499" i="3"/>
  <c r="K499" i="3"/>
  <c r="AU510" i="3"/>
  <c r="AM499" i="3"/>
  <c r="AP489" i="3"/>
  <c r="AQ499" i="3"/>
  <c r="N499" i="3"/>
  <c r="AT499" i="3"/>
  <c r="G497" i="3"/>
  <c r="AT497" i="3"/>
  <c r="AI491" i="3"/>
  <c r="AB501" i="3"/>
  <c r="V501" i="3"/>
  <c r="X501" i="3"/>
  <c r="H491" i="3"/>
  <c r="AI501" i="3"/>
  <c r="M491" i="3"/>
  <c r="AV491" i="3"/>
  <c r="BA501" i="3"/>
  <c r="V490" i="3"/>
  <c r="J490" i="3"/>
  <c r="Z490" i="3"/>
  <c r="G490" i="3"/>
  <c r="AC490" i="3"/>
  <c r="AB510" i="3"/>
  <c r="AJ510" i="3"/>
  <c r="V510" i="3"/>
  <c r="S510" i="3"/>
  <c r="AO499" i="3"/>
  <c r="BA499" i="3"/>
  <c r="K489" i="3"/>
  <c r="M489" i="3"/>
  <c r="M499" i="3"/>
  <c r="AX499" i="3"/>
  <c r="AU499" i="3"/>
  <c r="BA498" i="3"/>
  <c r="AD498" i="3"/>
  <c r="AM498" i="3"/>
  <c r="L498" i="3"/>
  <c r="BB498" i="3"/>
  <c r="S497" i="3"/>
  <c r="X497" i="3"/>
  <c r="U497" i="3"/>
  <c r="V497" i="3"/>
  <c r="E496" i="3"/>
  <c r="Y496" i="3"/>
  <c r="M486" i="3"/>
  <c r="I506" i="3"/>
  <c r="Z496" i="3"/>
  <c r="AC506" i="3"/>
  <c r="AO496" i="3"/>
  <c r="J486" i="3"/>
  <c r="AI496" i="3"/>
  <c r="G506" i="3"/>
  <c r="AB506" i="3"/>
  <c r="AC486" i="3"/>
  <c r="AD496" i="3"/>
  <c r="AD495" i="3"/>
  <c r="C505" i="3"/>
  <c r="AC495" i="3"/>
  <c r="M505" i="3"/>
  <c r="AP495" i="3"/>
  <c r="W495" i="3"/>
  <c r="AP505" i="3"/>
  <c r="E495" i="3"/>
  <c r="F495" i="3"/>
  <c r="L505" i="3"/>
  <c r="H486" i="3"/>
  <c r="L486" i="3"/>
  <c r="U486" i="3"/>
  <c r="AE486" i="3"/>
  <c r="M510" i="3"/>
  <c r="AV499" i="3"/>
  <c r="O486" i="3"/>
  <c r="AM486" i="3"/>
  <c r="AR486" i="3"/>
  <c r="AZ501" i="3"/>
  <c r="AP501" i="3"/>
  <c r="AU501" i="3"/>
  <c r="AY501" i="3"/>
  <c r="Z491" i="3"/>
  <c r="F501" i="3"/>
  <c r="AH490" i="3"/>
  <c r="AN510" i="3"/>
  <c r="AF490" i="3"/>
  <c r="AR490" i="3"/>
  <c r="AR510" i="3"/>
  <c r="AX510" i="3"/>
  <c r="AK510" i="3"/>
  <c r="AF510" i="3"/>
  <c r="L499" i="3"/>
  <c r="AD489" i="3"/>
  <c r="AH489" i="3"/>
  <c r="BB499" i="3"/>
  <c r="AF489" i="3"/>
  <c r="AD499" i="3"/>
  <c r="AZ498" i="3"/>
  <c r="E498" i="3"/>
  <c r="K498" i="3"/>
  <c r="AA498" i="3"/>
  <c r="E497" i="3"/>
  <c r="AC497" i="3"/>
  <c r="K497" i="3"/>
  <c r="AR497" i="3"/>
  <c r="AH497" i="3"/>
  <c r="AI497" i="3"/>
  <c r="AB486" i="3"/>
  <c r="AU486" i="3"/>
  <c r="I496" i="3"/>
  <c r="N486" i="3"/>
  <c r="P486" i="3"/>
  <c r="AE506" i="3"/>
  <c r="Z486" i="3"/>
  <c r="F506" i="3"/>
  <c r="X506" i="3"/>
  <c r="AR506" i="3"/>
  <c r="AO486" i="3"/>
  <c r="AP496" i="3"/>
  <c r="AE505" i="3"/>
  <c r="AF505" i="3"/>
  <c r="P495" i="3"/>
  <c r="AD505" i="3"/>
  <c r="M495" i="3"/>
  <c r="AC505" i="3"/>
  <c r="BA495" i="3"/>
  <c r="R495" i="3"/>
  <c r="S495" i="3"/>
  <c r="Y505" i="3"/>
  <c r="D189" i="2"/>
  <c r="D190" i="2" s="1"/>
  <c r="D797" i="2"/>
  <c r="E824" i="2" s="1"/>
  <c r="D784" i="2"/>
  <c r="L37" i="1"/>
  <c r="M107" i="3"/>
  <c r="F15" i="1" s="1"/>
  <c r="E17" i="1"/>
  <c r="M106" i="3"/>
  <c r="F14" i="1" s="1"/>
  <c r="C137" i="3"/>
  <c r="C146" i="3" s="1"/>
  <c r="C155" i="3" s="1"/>
  <c r="F3" i="1"/>
  <c r="B264" i="2"/>
  <c r="B278" i="2"/>
  <c r="B260" i="2"/>
  <c r="B274" i="2"/>
  <c r="B175" i="2"/>
  <c r="B252" i="2"/>
  <c r="B179" i="2"/>
  <c r="B256" i="2"/>
  <c r="B448" i="2"/>
  <c r="B167" i="2"/>
  <c r="B452" i="2"/>
  <c r="B171" i="2"/>
  <c r="B267" i="3"/>
  <c r="B217" i="2" s="1"/>
  <c r="B265" i="3"/>
  <c r="B272" i="3" s="1"/>
  <c r="BE33" i="3"/>
  <c r="B444" i="2"/>
  <c r="B436" i="2"/>
  <c r="B432" i="2"/>
  <c r="B440" i="2"/>
  <c r="B400" i="2"/>
  <c r="B418" i="2" s="1"/>
  <c r="B396" i="2"/>
  <c r="B414" i="2" s="1"/>
  <c r="B275" i="3"/>
  <c r="B282" i="3" s="1"/>
  <c r="B266" i="3"/>
  <c r="B273" i="3" s="1"/>
  <c r="BC403" i="2"/>
  <c r="BC398" i="2"/>
  <c r="BC406" i="2"/>
  <c r="BC402" i="2"/>
  <c r="BC397" i="2"/>
  <c r="BC408" i="2"/>
  <c r="BC405" i="2"/>
  <c r="BC394" i="2"/>
  <c r="BC396" i="2"/>
  <c r="BC409" i="2"/>
  <c r="BC407" i="2"/>
  <c r="BC404" i="2"/>
  <c r="BC399" i="2"/>
  <c r="BC400" i="2"/>
  <c r="BC395" i="2"/>
  <c r="BC393" i="2"/>
  <c r="B331" i="2"/>
  <c r="B264" i="3"/>
  <c r="B271" i="3" s="1"/>
  <c r="BC539" i="2"/>
  <c r="BC537" i="2"/>
  <c r="BC543" i="2"/>
  <c r="BC541" i="2"/>
  <c r="BC544" i="2"/>
  <c r="BC538" i="2"/>
  <c r="BC542" i="2"/>
  <c r="BC540" i="2"/>
  <c r="A193" i="2"/>
  <c r="A194" i="2" s="1"/>
  <c r="A195" i="2" s="1"/>
  <c r="A196" i="2" s="1"/>
  <c r="A197" i="2" s="1"/>
  <c r="A212" i="2"/>
  <c r="A206" i="2"/>
  <c r="A207" i="2" s="1"/>
  <c r="A208" i="2" s="1"/>
  <c r="A209" i="2" s="1"/>
  <c r="A210" i="2" s="1"/>
  <c r="A211" i="2" s="1"/>
  <c r="A114" i="2"/>
  <c r="A115" i="2" s="1"/>
  <c r="A116" i="2" s="1"/>
  <c r="A117" i="2" s="1"/>
  <c r="A118" i="2" s="1"/>
  <c r="A119" i="2" s="1"/>
  <c r="A127" i="2"/>
  <c r="B270" i="3"/>
  <c r="B213" i="2"/>
  <c r="G248" i="3"/>
  <c r="J241" i="3"/>
  <c r="B343" i="2"/>
  <c r="B334" i="2"/>
  <c r="C190" i="2"/>
  <c r="C135" i="3"/>
  <c r="B338" i="2"/>
  <c r="B130" i="2"/>
  <c r="B215" i="3"/>
  <c r="C129" i="3"/>
  <c r="B332" i="2"/>
  <c r="B121" i="2"/>
  <c r="B206" i="3"/>
  <c r="B336" i="2"/>
  <c r="C133" i="3"/>
  <c r="C149" i="3"/>
  <c r="B352" i="2"/>
  <c r="B131" i="2"/>
  <c r="B216" i="3"/>
  <c r="C130" i="3"/>
  <c r="B333" i="2"/>
  <c r="B218" i="3"/>
  <c r="B133" i="2"/>
  <c r="B207" i="3"/>
  <c r="B122" i="2"/>
  <c r="B337" i="2"/>
  <c r="C134" i="3"/>
  <c r="B335" i="2"/>
  <c r="C132" i="3"/>
  <c r="B217" i="3"/>
  <c r="B132" i="2"/>
  <c r="A766" i="2"/>
  <c r="A800" i="2"/>
  <c r="A827" i="2" s="1"/>
  <c r="F56" i="2"/>
  <c r="E762" i="2"/>
  <c r="K492" i="3" l="1"/>
  <c r="R323" i="3" s="1"/>
  <c r="AW492" i="3"/>
  <c r="BD323" i="3" s="1"/>
  <c r="D492" i="3"/>
  <c r="K323" i="3" s="1"/>
  <c r="AI492" i="3"/>
  <c r="AP323" i="3" s="1"/>
  <c r="Y492" i="3"/>
  <c r="AF323" i="3" s="1"/>
  <c r="R492" i="3"/>
  <c r="Y323" i="3" s="1"/>
  <c r="AQ492" i="3"/>
  <c r="AX323" i="3" s="1"/>
  <c r="N492" i="3"/>
  <c r="U323" i="3" s="1"/>
  <c r="X492" i="3"/>
  <c r="AE323" i="3" s="1"/>
  <c r="Y512" i="3"/>
  <c r="AF325" i="3" s="1"/>
  <c r="T492" i="3"/>
  <c r="AA323" i="3" s="1"/>
  <c r="AS512" i="3"/>
  <c r="AZ325" i="3" s="1"/>
  <c r="AO492" i="3"/>
  <c r="AV323" i="3" s="1"/>
  <c r="AN492" i="3"/>
  <c r="AU323" i="3" s="1"/>
  <c r="P512" i="3"/>
  <c r="W325" i="3" s="1"/>
  <c r="S502" i="3"/>
  <c r="Z324" i="3" s="1"/>
  <c r="T502" i="3"/>
  <c r="AA324" i="3" s="1"/>
  <c r="F492" i="3"/>
  <c r="M323" i="3" s="1"/>
  <c r="O492" i="3"/>
  <c r="V323" i="3" s="1"/>
  <c r="V512" i="3"/>
  <c r="AC325" i="3" s="1"/>
  <c r="AX492" i="3"/>
  <c r="BE323" i="3" s="1"/>
  <c r="C502" i="3"/>
  <c r="J324" i="3" s="1"/>
  <c r="BB492" i="3"/>
  <c r="BI323" i="3" s="1"/>
  <c r="AK492" i="3"/>
  <c r="AR323" i="3" s="1"/>
  <c r="AE492" i="3"/>
  <c r="AL323" i="3" s="1"/>
  <c r="AW502" i="3"/>
  <c r="BD324" i="3" s="1"/>
  <c r="I492" i="3"/>
  <c r="P323" i="3" s="1"/>
  <c r="J502" i="3"/>
  <c r="Q324" i="3" s="1"/>
  <c r="AQ512" i="3"/>
  <c r="AX325" i="3" s="1"/>
  <c r="U512" i="3"/>
  <c r="AB325" i="3" s="1"/>
  <c r="AZ512" i="3"/>
  <c r="BG325" i="3" s="1"/>
  <c r="AL502" i="3"/>
  <c r="AS324" i="3" s="1"/>
  <c r="AB502" i="3"/>
  <c r="AI324" i="3" s="1"/>
  <c r="I502" i="3"/>
  <c r="P324" i="3" s="1"/>
  <c r="G512" i="3"/>
  <c r="N325" i="3" s="1"/>
  <c r="AV512" i="3"/>
  <c r="BC325" i="3" s="1"/>
  <c r="AF492" i="3"/>
  <c r="AM323" i="3" s="1"/>
  <c r="AY512" i="3"/>
  <c r="BF325" i="3" s="1"/>
  <c r="AN502" i="3"/>
  <c r="AU324" i="3" s="1"/>
  <c r="AG502" i="3"/>
  <c r="AN324" i="3" s="1"/>
  <c r="AF502" i="3"/>
  <c r="AM324" i="3" s="1"/>
  <c r="R502" i="3"/>
  <c r="Y324" i="3" s="1"/>
  <c r="AM512" i="3"/>
  <c r="AT325" i="3" s="1"/>
  <c r="R512" i="3"/>
  <c r="Y325" i="3" s="1"/>
  <c r="AK502" i="3"/>
  <c r="AR324" i="3" s="1"/>
  <c r="AU492" i="3"/>
  <c r="BB323" i="3" s="1"/>
  <c r="AG512" i="3"/>
  <c r="AN325" i="3" s="1"/>
  <c r="AV492" i="3"/>
  <c r="BC323" i="3" s="1"/>
  <c r="AJ512" i="3"/>
  <c r="AQ325" i="3" s="1"/>
  <c r="AH512" i="3"/>
  <c r="AO325" i="3" s="1"/>
  <c r="H492" i="3"/>
  <c r="O323" i="3" s="1"/>
  <c r="AE512" i="3"/>
  <c r="AL325" i="3" s="1"/>
  <c r="BA512" i="3"/>
  <c r="BH325" i="3" s="1"/>
  <c r="L492" i="3"/>
  <c r="S323" i="3" s="1"/>
  <c r="Y502" i="3"/>
  <c r="AF324" i="3" s="1"/>
  <c r="E502" i="3"/>
  <c r="L324" i="3" s="1"/>
  <c r="AT512" i="3"/>
  <c r="BA325" i="3" s="1"/>
  <c r="W502" i="3"/>
  <c r="AD324" i="3" s="1"/>
  <c r="BA502" i="3"/>
  <c r="BH324" i="3" s="1"/>
  <c r="H502" i="3"/>
  <c r="O324" i="3" s="1"/>
  <c r="AS492" i="3"/>
  <c r="AZ323" i="3" s="1"/>
  <c r="AY492" i="3"/>
  <c r="BF323" i="3" s="1"/>
  <c r="L502" i="3"/>
  <c r="S324" i="3" s="1"/>
  <c r="M492" i="3"/>
  <c r="T323" i="3" s="1"/>
  <c r="AP512" i="3"/>
  <c r="AW325" i="3" s="1"/>
  <c r="AP492" i="3"/>
  <c r="AW323" i="3" s="1"/>
  <c r="AM492" i="3"/>
  <c r="AT323" i="3" s="1"/>
  <c r="N512" i="3"/>
  <c r="U325" i="3" s="1"/>
  <c r="AR502" i="3"/>
  <c r="AY324" i="3" s="1"/>
  <c r="AZ502" i="3"/>
  <c r="BG324" i="3" s="1"/>
  <c r="AL492" i="3"/>
  <c r="AS323" i="3" s="1"/>
  <c r="J492" i="3"/>
  <c r="Q323" i="3" s="1"/>
  <c r="Q492" i="3"/>
  <c r="X323" i="3" s="1"/>
  <c r="E492" i="3"/>
  <c r="L323" i="3" s="1"/>
  <c r="AB512" i="3"/>
  <c r="AI325" i="3" s="1"/>
  <c r="S512" i="3"/>
  <c r="Z325" i="3" s="1"/>
  <c r="M512" i="3"/>
  <c r="T325" i="3" s="1"/>
  <c r="AJ502" i="3"/>
  <c r="AQ324" i="3" s="1"/>
  <c r="P502" i="3"/>
  <c r="W324" i="3" s="1"/>
  <c r="W512" i="3"/>
  <c r="AD325" i="3" s="1"/>
  <c r="AP502" i="3"/>
  <c r="AW324" i="3" s="1"/>
  <c r="F502" i="3"/>
  <c r="M324" i="3" s="1"/>
  <c r="BB502" i="3"/>
  <c r="BI324" i="3" s="1"/>
  <c r="Z492" i="3"/>
  <c r="AG323" i="3" s="1"/>
  <c r="AY502" i="3"/>
  <c r="BF324" i="3" s="1"/>
  <c r="C492" i="3"/>
  <c r="J323" i="3" s="1"/>
  <c r="Q502" i="3"/>
  <c r="X324" i="3" s="1"/>
  <c r="K502" i="3"/>
  <c r="R324" i="3" s="1"/>
  <c r="X512" i="3"/>
  <c r="AE325" i="3" s="1"/>
  <c r="X502" i="3"/>
  <c r="AE324" i="3" s="1"/>
  <c r="L512" i="3"/>
  <c r="S325" i="3" s="1"/>
  <c r="D502" i="3"/>
  <c r="K324" i="3" s="1"/>
  <c r="AT492" i="3"/>
  <c r="BA323" i="3" s="1"/>
  <c r="E512" i="3"/>
  <c r="L325" i="3" s="1"/>
  <c r="F512" i="3"/>
  <c r="M325" i="3" s="1"/>
  <c r="U492" i="3"/>
  <c r="AB323" i="3" s="1"/>
  <c r="AD502" i="3"/>
  <c r="AK324" i="3" s="1"/>
  <c r="BB512" i="3"/>
  <c r="BI325" i="3" s="1"/>
  <c r="AS502" i="3"/>
  <c r="AZ324" i="3" s="1"/>
  <c r="AA492" i="3"/>
  <c r="AH323" i="3" s="1"/>
  <c r="AH502" i="3"/>
  <c r="AO324" i="3" s="1"/>
  <c r="AU502" i="3"/>
  <c r="BB324" i="3" s="1"/>
  <c r="AR492" i="3"/>
  <c r="AY323" i="3" s="1"/>
  <c r="S492" i="3"/>
  <c r="Z323" i="3" s="1"/>
  <c r="K512" i="3"/>
  <c r="R325" i="3" s="1"/>
  <c r="T512" i="3"/>
  <c r="AA325" i="3" s="1"/>
  <c r="AI512" i="3"/>
  <c r="AP325" i="3" s="1"/>
  <c r="Z512" i="3"/>
  <c r="AG325" i="3" s="1"/>
  <c r="AM502" i="3"/>
  <c r="AT324" i="3" s="1"/>
  <c r="C512" i="3"/>
  <c r="J325" i="3" s="1"/>
  <c r="AE502" i="3"/>
  <c r="AL324" i="3" s="1"/>
  <c r="AA502" i="3"/>
  <c r="AH324" i="3" s="1"/>
  <c r="AT502" i="3"/>
  <c r="BA324" i="3" s="1"/>
  <c r="AC502" i="3"/>
  <c r="AJ324" i="3" s="1"/>
  <c r="H512" i="3"/>
  <c r="O325" i="3" s="1"/>
  <c r="J512" i="3"/>
  <c r="Q325" i="3" s="1"/>
  <c r="AX502" i="3"/>
  <c r="BE324" i="3" s="1"/>
  <c r="V492" i="3"/>
  <c r="AC323" i="3" s="1"/>
  <c r="Q512" i="3"/>
  <c r="X325" i="3" s="1"/>
  <c r="Z502" i="3"/>
  <c r="AG324" i="3" s="1"/>
  <c r="W492" i="3"/>
  <c r="AD323" i="3" s="1"/>
  <c r="O512" i="3"/>
  <c r="V325" i="3" s="1"/>
  <c r="V502" i="3"/>
  <c r="AC324" i="3" s="1"/>
  <c r="P492" i="3"/>
  <c r="W323" i="3" s="1"/>
  <c r="AD492" i="3"/>
  <c r="AK323" i="3" s="1"/>
  <c r="AF512" i="3"/>
  <c r="AM325" i="3" s="1"/>
  <c r="G502" i="3"/>
  <c r="N324" i="3" s="1"/>
  <c r="AJ492" i="3"/>
  <c r="AQ323" i="3" s="1"/>
  <c r="AX512" i="3"/>
  <c r="BE325" i="3" s="1"/>
  <c r="AU512" i="3"/>
  <c r="BB325" i="3" s="1"/>
  <c r="AO502" i="3"/>
  <c r="AV324" i="3" s="1"/>
  <c r="D512" i="3"/>
  <c r="K325" i="3" s="1"/>
  <c r="G492" i="3"/>
  <c r="N323" i="3" s="1"/>
  <c r="AO512" i="3"/>
  <c r="AV325" i="3" s="1"/>
  <c r="AQ502" i="3"/>
  <c r="AX324" i="3" s="1"/>
  <c r="AZ492" i="3"/>
  <c r="BG323" i="3" s="1"/>
  <c r="AG492" i="3"/>
  <c r="AN323" i="3" s="1"/>
  <c r="AH492" i="3"/>
  <c r="AO323" i="3" s="1"/>
  <c r="AR512" i="3"/>
  <c r="AY325" i="3" s="1"/>
  <c r="I512" i="3"/>
  <c r="P325" i="3" s="1"/>
  <c r="AN512" i="3"/>
  <c r="AU325" i="3" s="1"/>
  <c r="AD512" i="3"/>
  <c r="AK325" i="3" s="1"/>
  <c r="N502" i="3"/>
  <c r="U324" i="3" s="1"/>
  <c r="AW512" i="3"/>
  <c r="BD325" i="3" s="1"/>
  <c r="M502" i="3"/>
  <c r="T324" i="3" s="1"/>
  <c r="AI502" i="3"/>
  <c r="AP324" i="3" s="1"/>
  <c r="AC512" i="3"/>
  <c r="AJ325" i="3" s="1"/>
  <c r="BA492" i="3"/>
  <c r="BH323" i="3" s="1"/>
  <c r="AC492" i="3"/>
  <c r="AJ323" i="3" s="1"/>
  <c r="AA512" i="3"/>
  <c r="AH325" i="3" s="1"/>
  <c r="AK512" i="3"/>
  <c r="AR325" i="3" s="1"/>
  <c r="AL512" i="3"/>
  <c r="AS325" i="3" s="1"/>
  <c r="AV502" i="3"/>
  <c r="BC324" i="3" s="1"/>
  <c r="AB492" i="3"/>
  <c r="AI323" i="3" s="1"/>
  <c r="U502" i="3"/>
  <c r="AB324" i="3" s="1"/>
  <c r="O502" i="3"/>
  <c r="V324" i="3" s="1"/>
  <c r="B349" i="2"/>
  <c r="E189" i="2"/>
  <c r="F189" i="2" s="1"/>
  <c r="E797" i="2"/>
  <c r="F824" i="2" s="1"/>
  <c r="E784" i="2"/>
  <c r="B215" i="2"/>
  <c r="C188" i="2"/>
  <c r="D188" i="2" s="1"/>
  <c r="C187" i="2"/>
  <c r="D187" i="2" s="1"/>
  <c r="C186" i="2"/>
  <c r="D186" i="2" s="1"/>
  <c r="C59" i="2"/>
  <c r="BC59" i="2" s="1"/>
  <c r="B274" i="3"/>
  <c r="B281" i="3" s="1"/>
  <c r="B216" i="2"/>
  <c r="B225" i="2"/>
  <c r="B214" i="2"/>
  <c r="A121" i="2"/>
  <c r="A122" i="2" s="1"/>
  <c r="A123" i="2" s="1"/>
  <c r="A124" i="2" s="1"/>
  <c r="A125" i="2" s="1"/>
  <c r="A126" i="2" s="1"/>
  <c r="D126" i="2" s="1"/>
  <c r="D211" i="2"/>
  <c r="D208" i="2"/>
  <c r="D204" i="2"/>
  <c r="D201" i="2"/>
  <c r="D197" i="2"/>
  <c r="D194" i="2"/>
  <c r="D210" i="2"/>
  <c r="D207" i="2"/>
  <c r="D203" i="2"/>
  <c r="D200" i="2"/>
  <c r="D196" i="2"/>
  <c r="D193" i="2"/>
  <c r="D209" i="2"/>
  <c r="D206" i="2"/>
  <c r="D202" i="2"/>
  <c r="D199" i="2"/>
  <c r="D195" i="2"/>
  <c r="D192" i="2"/>
  <c r="C211" i="2"/>
  <c r="C208" i="2"/>
  <c r="C204" i="2"/>
  <c r="C201" i="2"/>
  <c r="C197" i="2"/>
  <c r="C194" i="2"/>
  <c r="C210" i="2"/>
  <c r="C207" i="2"/>
  <c r="C203" i="2"/>
  <c r="C200" i="2"/>
  <c r="C196" i="2"/>
  <c r="C193" i="2"/>
  <c r="C209" i="2"/>
  <c r="C206" i="2"/>
  <c r="C202" i="2"/>
  <c r="C199" i="2"/>
  <c r="C195" i="2"/>
  <c r="C192" i="2"/>
  <c r="A213" i="2"/>
  <c r="A214" i="2" s="1"/>
  <c r="A219" i="2"/>
  <c r="D119" i="2"/>
  <c r="D116" i="2"/>
  <c r="D111" i="2"/>
  <c r="D108" i="2"/>
  <c r="D118" i="2"/>
  <c r="D115" i="2"/>
  <c r="D107" i="2"/>
  <c r="D112" i="2"/>
  <c r="D110" i="2"/>
  <c r="D114" i="2"/>
  <c r="D117" i="2"/>
  <c r="D109" i="2"/>
  <c r="C114" i="2"/>
  <c r="C118" i="2"/>
  <c r="C107" i="2"/>
  <c r="C112" i="2"/>
  <c r="C119" i="2"/>
  <c r="C110" i="2"/>
  <c r="C109" i="2"/>
  <c r="C108" i="2"/>
  <c r="C115" i="2"/>
  <c r="C111" i="2"/>
  <c r="C117" i="2"/>
  <c r="C116" i="2"/>
  <c r="A134" i="2"/>
  <c r="B220" i="2"/>
  <c r="B277" i="3"/>
  <c r="B221" i="2"/>
  <c r="B278" i="3"/>
  <c r="B222" i="2"/>
  <c r="B279" i="3"/>
  <c r="B280" i="3"/>
  <c r="B223" i="2"/>
  <c r="B232" i="2"/>
  <c r="B289" i="3"/>
  <c r="H248" i="3"/>
  <c r="K241" i="3"/>
  <c r="C766" i="2"/>
  <c r="C510" i="2"/>
  <c r="C384" i="2"/>
  <c r="C501" i="2"/>
  <c r="C366" i="2"/>
  <c r="C339" i="2"/>
  <c r="C474" i="2"/>
  <c r="C330" i="2"/>
  <c r="C321" i="2"/>
  <c r="C483" i="2"/>
  <c r="C492" i="2"/>
  <c r="C765" i="2"/>
  <c r="C456" i="2"/>
  <c r="C465" i="2"/>
  <c r="C764" i="2"/>
  <c r="C519" i="2"/>
  <c r="C763" i="2"/>
  <c r="C357" i="2"/>
  <c r="C144" i="3"/>
  <c r="B347" i="2"/>
  <c r="C375" i="2"/>
  <c r="C348" i="2"/>
  <c r="C528" i="2"/>
  <c r="B223" i="3"/>
  <c r="B138" i="2"/>
  <c r="B222" i="3"/>
  <c r="B137" i="2"/>
  <c r="C158" i="3"/>
  <c r="B361" i="2"/>
  <c r="C164" i="3"/>
  <c r="B367" i="2"/>
  <c r="C142" i="3"/>
  <c r="B345" i="2"/>
  <c r="B129" i="2"/>
  <c r="B214" i="3"/>
  <c r="B128" i="2"/>
  <c r="B213" i="3"/>
  <c r="C138" i="3"/>
  <c r="B341" i="2"/>
  <c r="C143" i="3"/>
  <c r="B346" i="2"/>
  <c r="C141" i="3"/>
  <c r="B344" i="2"/>
  <c r="B225" i="3"/>
  <c r="B140" i="2"/>
  <c r="B224" i="3"/>
  <c r="B139" i="2"/>
  <c r="C139" i="3"/>
  <c r="B342" i="2"/>
  <c r="G56" i="2"/>
  <c r="F762" i="2"/>
  <c r="F25" i="4"/>
  <c r="A767" i="2"/>
  <c r="D767" i="2" s="1"/>
  <c r="A801" i="2"/>
  <c r="D766" i="2"/>
  <c r="D765" i="2"/>
  <c r="D764" i="2"/>
  <c r="D763" i="2"/>
  <c r="D330" i="2"/>
  <c r="D474" i="2"/>
  <c r="D528" i="2"/>
  <c r="D339" i="2"/>
  <c r="D366" i="2"/>
  <c r="D348" i="2"/>
  <c r="D375" i="2"/>
  <c r="D357" i="2"/>
  <c r="D321" i="2"/>
  <c r="D384" i="2"/>
  <c r="D519" i="2"/>
  <c r="D492" i="2"/>
  <c r="D465" i="2"/>
  <c r="D483" i="2"/>
  <c r="D456" i="2"/>
  <c r="D510" i="2"/>
  <c r="D501" i="2"/>
  <c r="E190" i="2" l="1"/>
  <c r="E203" i="2" s="1"/>
  <c r="B224" i="2"/>
  <c r="D401" i="2"/>
  <c r="D410" i="2"/>
  <c r="C410" i="2"/>
  <c r="C401" i="2"/>
  <c r="F797" i="2"/>
  <c r="G824" i="2" s="1"/>
  <c r="F784" i="2"/>
  <c r="C725" i="2"/>
  <c r="D701" i="2"/>
  <c r="D728" i="2"/>
  <c r="D702" i="2"/>
  <c r="D729" i="2"/>
  <c r="D698" i="2"/>
  <c r="D725" i="2"/>
  <c r="D700" i="2"/>
  <c r="D727" i="2"/>
  <c r="D699" i="2"/>
  <c r="D726" i="2"/>
  <c r="C700" i="2"/>
  <c r="C727" i="2"/>
  <c r="C699" i="2"/>
  <c r="C726" i="2"/>
  <c r="C701" i="2"/>
  <c r="C728" i="2"/>
  <c r="C698" i="2"/>
  <c r="D674" i="2"/>
  <c r="D682" i="2"/>
  <c r="D626" i="2"/>
  <c r="D634" i="2"/>
  <c r="D642" i="2" s="1"/>
  <c r="D650" i="2"/>
  <c r="C429" i="2"/>
  <c r="C430" i="2"/>
  <c r="C431" i="2"/>
  <c r="C432" i="2"/>
  <c r="D433" i="2"/>
  <c r="D431" i="2"/>
  <c r="D429" i="2"/>
  <c r="D430" i="2"/>
  <c r="D432" i="2"/>
  <c r="C124" i="2"/>
  <c r="C122" i="2"/>
  <c r="C123" i="2"/>
  <c r="C121" i="2"/>
  <c r="D123" i="2"/>
  <c r="C126" i="2"/>
  <c r="C125" i="2"/>
  <c r="D125" i="2"/>
  <c r="C213" i="2"/>
  <c r="D121" i="2"/>
  <c r="D122" i="2"/>
  <c r="A128" i="2"/>
  <c r="C128" i="2" s="1"/>
  <c r="D124" i="2"/>
  <c r="D191" i="2"/>
  <c r="D205" i="2"/>
  <c r="C214" i="2"/>
  <c r="A215" i="2"/>
  <c r="D214" i="2"/>
  <c r="A220" i="2"/>
  <c r="A221" i="2" s="1"/>
  <c r="A226" i="2"/>
  <c r="D213" i="2"/>
  <c r="C205" i="2"/>
  <c r="D198" i="2"/>
  <c r="C191" i="2"/>
  <c r="C198" i="2"/>
  <c r="C106" i="2"/>
  <c r="D106" i="2"/>
  <c r="A141" i="2"/>
  <c r="C113" i="2"/>
  <c r="D113" i="2"/>
  <c r="B231" i="2"/>
  <c r="B288" i="3"/>
  <c r="B230" i="2"/>
  <c r="B287" i="3"/>
  <c r="B227" i="2"/>
  <c r="B284" i="3"/>
  <c r="B296" i="3"/>
  <c r="B246" i="2" s="1"/>
  <c r="B239" i="2"/>
  <c r="B229" i="2"/>
  <c r="B286" i="3"/>
  <c r="B285" i="3"/>
  <c r="B228" i="2"/>
  <c r="I248" i="3"/>
  <c r="L241" i="3"/>
  <c r="C75" i="2"/>
  <c r="C545" i="2" s="1"/>
  <c r="D59" i="2"/>
  <c r="E59" i="2" s="1"/>
  <c r="B356" i="2"/>
  <c r="C153" i="3"/>
  <c r="B135" i="2"/>
  <c r="B220" i="3"/>
  <c r="B231" i="3"/>
  <c r="B146" i="2"/>
  <c r="B232" i="3"/>
  <c r="B147" i="2"/>
  <c r="C151" i="3"/>
  <c r="B354" i="2"/>
  <c r="C152" i="3"/>
  <c r="B355" i="2"/>
  <c r="C167" i="3"/>
  <c r="B370" i="2"/>
  <c r="B230" i="3"/>
  <c r="B145" i="2"/>
  <c r="B136" i="2"/>
  <c r="B221" i="3"/>
  <c r="C150" i="3"/>
  <c r="B353" i="2"/>
  <c r="B376" i="2"/>
  <c r="C173" i="3"/>
  <c r="B385" i="2" s="1"/>
  <c r="B351" i="2"/>
  <c r="C148" i="3"/>
  <c r="B350" i="2"/>
  <c r="C147" i="3"/>
  <c r="B229" i="3"/>
  <c r="B144" i="2"/>
  <c r="A828" i="2"/>
  <c r="A768" i="2"/>
  <c r="A802" i="2"/>
  <c r="C767" i="2"/>
  <c r="H56" i="2"/>
  <c r="G762" i="2"/>
  <c r="G25" i="4"/>
  <c r="G189" i="2"/>
  <c r="D68" i="2"/>
  <c r="D75" i="2"/>
  <c r="D545" i="2" s="1"/>
  <c r="F190" i="2"/>
  <c r="E483" i="2" l="1"/>
  <c r="E115" i="2"/>
  <c r="E207" i="2"/>
  <c r="E192" i="2"/>
  <c r="E121" i="2"/>
  <c r="E194" i="2"/>
  <c r="E107" i="2"/>
  <c r="E122" i="2"/>
  <c r="E202" i="2"/>
  <c r="E197" i="2"/>
  <c r="E108" i="2"/>
  <c r="E210" i="2"/>
  <c r="E492" i="2"/>
  <c r="E474" i="2"/>
  <c r="E199" i="2"/>
  <c r="E321" i="2"/>
  <c r="E763" i="2"/>
  <c r="E429" i="2" s="1"/>
  <c r="E126" i="2"/>
  <c r="E125" i="2"/>
  <c r="E206" i="2"/>
  <c r="E201" i="2"/>
  <c r="E114" i="2"/>
  <c r="E116" i="2"/>
  <c r="E330" i="2"/>
  <c r="E124" i="2"/>
  <c r="E339" i="2"/>
  <c r="E123" i="2"/>
  <c r="E119" i="2"/>
  <c r="E209" i="2"/>
  <c r="E204" i="2"/>
  <c r="E195" i="2"/>
  <c r="E214" i="2"/>
  <c r="E519" i="2"/>
  <c r="E768" i="2"/>
  <c r="E730" i="2" s="1"/>
  <c r="E111" i="2"/>
  <c r="E187" i="2"/>
  <c r="F187" i="2" s="1"/>
  <c r="E764" i="2"/>
  <c r="E675" i="2" s="1"/>
  <c r="E186" i="2"/>
  <c r="F186" i="2" s="1"/>
  <c r="E384" i="2"/>
  <c r="E767" i="2"/>
  <c r="E433" i="2" s="1"/>
  <c r="E117" i="2"/>
  <c r="E213" i="2"/>
  <c r="E208" i="2"/>
  <c r="E110" i="2"/>
  <c r="E193" i="2"/>
  <c r="E211" i="2"/>
  <c r="E357" i="2"/>
  <c r="F59" i="2"/>
  <c r="G59" i="2" s="1"/>
  <c r="E510" i="2"/>
  <c r="E375" i="2"/>
  <c r="E118" i="2"/>
  <c r="E200" i="2"/>
  <c r="E465" i="2"/>
  <c r="E528" i="2"/>
  <c r="E188" i="2"/>
  <c r="F188" i="2" s="1"/>
  <c r="E366" i="2"/>
  <c r="E765" i="2"/>
  <c r="E431" i="2" s="1"/>
  <c r="E501" i="2"/>
  <c r="E766" i="2"/>
  <c r="E432" i="2" s="1"/>
  <c r="E112" i="2"/>
  <c r="E196" i="2"/>
  <c r="E456" i="2"/>
  <c r="E348" i="2"/>
  <c r="E109" i="2"/>
  <c r="D658" i="2"/>
  <c r="D279" i="2"/>
  <c r="G797" i="2"/>
  <c r="H824" i="2" s="1"/>
  <c r="G784" i="2"/>
  <c r="E702" i="2"/>
  <c r="E729" i="2"/>
  <c r="C702" i="2"/>
  <c r="C729" i="2"/>
  <c r="C433" i="2"/>
  <c r="D128" i="2"/>
  <c r="C120" i="2"/>
  <c r="D120" i="2"/>
  <c r="E128" i="2"/>
  <c r="A129" i="2"/>
  <c r="A130" i="2" s="1"/>
  <c r="F130" i="2" s="1"/>
  <c r="A135" i="2"/>
  <c r="E135" i="2" s="1"/>
  <c r="C221" i="2"/>
  <c r="D221" i="2"/>
  <c r="A222" i="2"/>
  <c r="F222" i="2" s="1"/>
  <c r="E221" i="2"/>
  <c r="A227" i="2"/>
  <c r="F227" i="2" s="1"/>
  <c r="A233" i="2"/>
  <c r="E220" i="2"/>
  <c r="D220" i="2"/>
  <c r="C220" i="2"/>
  <c r="F215" i="2"/>
  <c r="F211" i="2"/>
  <c r="F208" i="2"/>
  <c r="F204" i="2"/>
  <c r="F201" i="2"/>
  <c r="F197" i="2"/>
  <c r="F194" i="2"/>
  <c r="F221" i="2"/>
  <c r="F214" i="2"/>
  <c r="F210" i="2"/>
  <c r="F207" i="2"/>
  <c r="F203" i="2"/>
  <c r="F200" i="2"/>
  <c r="F196" i="2"/>
  <c r="F193" i="2"/>
  <c r="F220" i="2"/>
  <c r="F213" i="2"/>
  <c r="F209" i="2"/>
  <c r="F206" i="2"/>
  <c r="F202" i="2"/>
  <c r="F199" i="2"/>
  <c r="F195" i="2"/>
  <c r="F192" i="2"/>
  <c r="A216" i="2"/>
  <c r="D215" i="2"/>
  <c r="C215" i="2"/>
  <c r="E215" i="2"/>
  <c r="A148" i="2"/>
  <c r="F125" i="2"/>
  <c r="F122" i="2"/>
  <c r="F118" i="2"/>
  <c r="F115" i="2"/>
  <c r="F110" i="2"/>
  <c r="F107" i="2"/>
  <c r="F128" i="2"/>
  <c r="F124" i="2"/>
  <c r="F119" i="2"/>
  <c r="F117" i="2"/>
  <c r="F123" i="2"/>
  <c r="F114" i="2"/>
  <c r="F126" i="2"/>
  <c r="F121" i="2"/>
  <c r="F112" i="2"/>
  <c r="F111" i="2"/>
  <c r="F116" i="2"/>
  <c r="F109" i="2"/>
  <c r="F108" i="2"/>
  <c r="B292" i="3"/>
  <c r="B242" i="2" s="1"/>
  <c r="B235" i="2"/>
  <c r="B234" i="2"/>
  <c r="B291" i="3"/>
  <c r="B241" i="2" s="1"/>
  <c r="B295" i="3"/>
  <c r="B245" i="2" s="1"/>
  <c r="B238" i="2"/>
  <c r="B293" i="3"/>
  <c r="B243" i="2" s="1"/>
  <c r="B236" i="2"/>
  <c r="B294" i="3"/>
  <c r="B244" i="2" s="1"/>
  <c r="B237" i="2"/>
  <c r="J248" i="3"/>
  <c r="M241" i="3"/>
  <c r="B365" i="2"/>
  <c r="C162" i="3"/>
  <c r="B238" i="3"/>
  <c r="B160" i="2" s="1"/>
  <c r="B153" i="2"/>
  <c r="C156" i="3"/>
  <c r="B359" i="2"/>
  <c r="B379" i="2"/>
  <c r="C176" i="3"/>
  <c r="B388" i="2" s="1"/>
  <c r="B364" i="2"/>
  <c r="C161" i="3"/>
  <c r="B363" i="2"/>
  <c r="C160" i="3"/>
  <c r="B143" i="2"/>
  <c r="B228" i="3"/>
  <c r="B151" i="2"/>
  <c r="B236" i="3"/>
  <c r="B158" i="2" s="1"/>
  <c r="B142" i="2"/>
  <c r="B227" i="3"/>
  <c r="B149" i="2" s="1"/>
  <c r="B237" i="3"/>
  <c r="B159" i="2" s="1"/>
  <c r="B152" i="2"/>
  <c r="C157" i="3"/>
  <c r="B360" i="2"/>
  <c r="B362" i="2"/>
  <c r="C159" i="3"/>
  <c r="B239" i="3"/>
  <c r="B161" i="2" s="1"/>
  <c r="B154" i="2"/>
  <c r="A829" i="2"/>
  <c r="I56" i="2"/>
  <c r="H762" i="2"/>
  <c r="H25" i="4"/>
  <c r="A769" i="2"/>
  <c r="F769" i="2" s="1"/>
  <c r="A803" i="2"/>
  <c r="C768" i="2"/>
  <c r="D768" i="2"/>
  <c r="F768" i="2"/>
  <c r="F765" i="2"/>
  <c r="F767" i="2"/>
  <c r="F764" i="2"/>
  <c r="F763" i="2"/>
  <c r="F766" i="2"/>
  <c r="H189" i="2"/>
  <c r="F330" i="2"/>
  <c r="F528" i="2"/>
  <c r="F474" i="2"/>
  <c r="F357" i="2"/>
  <c r="F384" i="2"/>
  <c r="F348" i="2"/>
  <c r="F375" i="2"/>
  <c r="F366" i="2"/>
  <c r="F321" i="2"/>
  <c r="F339" i="2"/>
  <c r="F519" i="2"/>
  <c r="F492" i="2"/>
  <c r="F465" i="2"/>
  <c r="F510" i="2"/>
  <c r="F501" i="2"/>
  <c r="F483" i="2"/>
  <c r="F456" i="2"/>
  <c r="G190" i="2"/>
  <c r="E198" i="2" l="1"/>
  <c r="E120" i="2"/>
  <c r="E725" i="2"/>
  <c r="E113" i="2"/>
  <c r="E75" i="2"/>
  <c r="E545" i="2" s="1"/>
  <c r="E698" i="2"/>
  <c r="E703" i="2"/>
  <c r="E700" i="2"/>
  <c r="E434" i="2"/>
  <c r="E728" i="2"/>
  <c r="E106" i="2"/>
  <c r="E727" i="2"/>
  <c r="E651" i="2"/>
  <c r="E659" i="2" s="1"/>
  <c r="E635" i="2"/>
  <c r="E643" i="2" s="1"/>
  <c r="E191" i="2"/>
  <c r="E68" i="2"/>
  <c r="E701" i="2"/>
  <c r="E401" i="2"/>
  <c r="E683" i="2"/>
  <c r="E205" i="2"/>
  <c r="E430" i="2"/>
  <c r="E726" i="2"/>
  <c r="E410" i="2"/>
  <c r="E627" i="2"/>
  <c r="E699" i="2"/>
  <c r="F410" i="2"/>
  <c r="F401" i="2"/>
  <c r="H797" i="2"/>
  <c r="I824" i="2" s="1"/>
  <c r="H784" i="2"/>
  <c r="F703" i="2"/>
  <c r="F730" i="2"/>
  <c r="D703" i="2"/>
  <c r="D730" i="2"/>
  <c r="F704" i="2"/>
  <c r="F731" i="2"/>
  <c r="F701" i="2"/>
  <c r="F728" i="2"/>
  <c r="F698" i="2"/>
  <c r="F725" i="2"/>
  <c r="F699" i="2"/>
  <c r="F726" i="2"/>
  <c r="F702" i="2"/>
  <c r="F729" i="2"/>
  <c r="F700" i="2"/>
  <c r="F727" i="2"/>
  <c r="C703" i="2"/>
  <c r="C730" i="2"/>
  <c r="F676" i="2"/>
  <c r="F684" i="2"/>
  <c r="F652" i="2"/>
  <c r="F628" i="2"/>
  <c r="F636" i="2"/>
  <c r="F644" i="2" s="1"/>
  <c r="F631" i="2"/>
  <c r="F655" i="2"/>
  <c r="F679" i="2"/>
  <c r="F687" i="2"/>
  <c r="F639" i="2"/>
  <c r="F647" i="2" s="1"/>
  <c r="C687" i="2"/>
  <c r="C679" i="2"/>
  <c r="C655" i="2"/>
  <c r="C631" i="2"/>
  <c r="C639" i="2"/>
  <c r="C647" i="2" s="1"/>
  <c r="F682" i="2"/>
  <c r="F674" i="2"/>
  <c r="F626" i="2"/>
  <c r="F650" i="2"/>
  <c r="F634" i="2"/>
  <c r="F642" i="2" s="1"/>
  <c r="C434" i="2"/>
  <c r="D434" i="2"/>
  <c r="F432" i="2"/>
  <c r="F435" i="2"/>
  <c r="F429" i="2"/>
  <c r="F430" i="2"/>
  <c r="F433" i="2"/>
  <c r="F431" i="2"/>
  <c r="F434" i="2"/>
  <c r="A228" i="2"/>
  <c r="A229" i="2" s="1"/>
  <c r="E229" i="2" s="1"/>
  <c r="F135" i="2"/>
  <c r="F129" i="2"/>
  <c r="A142" i="2"/>
  <c r="A143" i="2" s="1"/>
  <c r="F143" i="2" s="1"/>
  <c r="C129" i="2"/>
  <c r="D135" i="2"/>
  <c r="C135" i="2"/>
  <c r="A136" i="2"/>
  <c r="G136" i="2" s="1"/>
  <c r="E129" i="2"/>
  <c r="D129" i="2"/>
  <c r="F198" i="2"/>
  <c r="F205" i="2"/>
  <c r="F191" i="2"/>
  <c r="A217" i="2"/>
  <c r="G217" i="2" s="1"/>
  <c r="D216" i="2"/>
  <c r="C216" i="2"/>
  <c r="E216" i="2"/>
  <c r="F216" i="2"/>
  <c r="C222" i="2"/>
  <c r="D222" i="2"/>
  <c r="E222" i="2"/>
  <c r="A223" i="2"/>
  <c r="A240" i="2"/>
  <c r="A234" i="2"/>
  <c r="G234" i="2" s="1"/>
  <c r="G227" i="2"/>
  <c r="G221" i="2"/>
  <c r="G214" i="2"/>
  <c r="G210" i="2"/>
  <c r="G207" i="2"/>
  <c r="G203" i="2"/>
  <c r="G200" i="2"/>
  <c r="G196" i="2"/>
  <c r="G193" i="2"/>
  <c r="G220" i="2"/>
  <c r="G216" i="2"/>
  <c r="G213" i="2"/>
  <c r="G209" i="2"/>
  <c r="G206" i="2"/>
  <c r="G202" i="2"/>
  <c r="G199" i="2"/>
  <c r="G195" i="2"/>
  <c r="G192" i="2"/>
  <c r="G222" i="2"/>
  <c r="G215" i="2"/>
  <c r="G211" i="2"/>
  <c r="G208" i="2"/>
  <c r="G204" i="2"/>
  <c r="G201" i="2"/>
  <c r="G197" i="2"/>
  <c r="G194" i="2"/>
  <c r="D227" i="2"/>
  <c r="C227" i="2"/>
  <c r="E227" i="2"/>
  <c r="E130" i="2"/>
  <c r="D130" i="2"/>
  <c r="C130" i="2"/>
  <c r="A131" i="2"/>
  <c r="G131" i="2" s="1"/>
  <c r="F106" i="2"/>
  <c r="G130" i="2"/>
  <c r="G128" i="2"/>
  <c r="G124" i="2"/>
  <c r="G121" i="2"/>
  <c r="G123" i="2"/>
  <c r="G110" i="2"/>
  <c r="G129" i="2"/>
  <c r="G119" i="2"/>
  <c r="G117" i="2"/>
  <c r="G122" i="2"/>
  <c r="G126" i="2"/>
  <c r="G108" i="2"/>
  <c r="G114" i="2"/>
  <c r="G112" i="2"/>
  <c r="G111" i="2"/>
  <c r="G135" i="2"/>
  <c r="G118" i="2"/>
  <c r="G107" i="2"/>
  <c r="G116" i="2"/>
  <c r="G115" i="2"/>
  <c r="G109" i="2"/>
  <c r="G125" i="2"/>
  <c r="F120" i="2"/>
  <c r="F113" i="2"/>
  <c r="A155" i="2"/>
  <c r="K248" i="3"/>
  <c r="N241" i="3"/>
  <c r="C171" i="3"/>
  <c r="B374" i="2"/>
  <c r="C169" i="3"/>
  <c r="B372" i="2"/>
  <c r="C170" i="3"/>
  <c r="B373" i="2"/>
  <c r="C168" i="3"/>
  <c r="B371" i="2"/>
  <c r="C166" i="3"/>
  <c r="B369" i="2"/>
  <c r="B235" i="3"/>
  <c r="B157" i="2" s="1"/>
  <c r="B150" i="2"/>
  <c r="B234" i="3"/>
  <c r="B156" i="2" s="1"/>
  <c r="C165" i="3"/>
  <c r="B368" i="2"/>
  <c r="J56" i="2"/>
  <c r="I762" i="2"/>
  <c r="I25" i="4"/>
  <c r="A830" i="2"/>
  <c r="A770" i="2"/>
  <c r="G770" i="2" s="1"/>
  <c r="A804" i="2"/>
  <c r="C769" i="2"/>
  <c r="D769" i="2"/>
  <c r="E769" i="2"/>
  <c r="H59" i="2"/>
  <c r="G767" i="2"/>
  <c r="G764" i="2"/>
  <c r="G769" i="2"/>
  <c r="G766" i="2"/>
  <c r="G768" i="2"/>
  <c r="G763" i="2"/>
  <c r="G765" i="2"/>
  <c r="I189" i="2"/>
  <c r="G330" i="2"/>
  <c r="G474" i="2"/>
  <c r="G528" i="2"/>
  <c r="F68" i="2"/>
  <c r="G348" i="2"/>
  <c r="G375" i="2"/>
  <c r="G321" i="2"/>
  <c r="G357" i="2"/>
  <c r="G384" i="2"/>
  <c r="G366" i="2"/>
  <c r="G339" i="2"/>
  <c r="F75" i="2"/>
  <c r="G510" i="2"/>
  <c r="G483" i="2"/>
  <c r="G456" i="2"/>
  <c r="G492" i="2"/>
  <c r="G501" i="2"/>
  <c r="G465" i="2"/>
  <c r="G519" i="2"/>
  <c r="G186" i="2"/>
  <c r="G188" i="2"/>
  <c r="G187" i="2"/>
  <c r="H190" i="2"/>
  <c r="E280" i="2" l="1"/>
  <c r="F658" i="2"/>
  <c r="F279" i="2"/>
  <c r="F663" i="2"/>
  <c r="F284" i="2"/>
  <c r="F660" i="2"/>
  <c r="F281" i="2"/>
  <c r="C663" i="2"/>
  <c r="C284" i="2"/>
  <c r="G401" i="2"/>
  <c r="G410" i="2"/>
  <c r="I797" i="2"/>
  <c r="J824" i="2" s="1"/>
  <c r="I784" i="2"/>
  <c r="G700" i="2"/>
  <c r="G727" i="2"/>
  <c r="G703" i="2"/>
  <c r="G730" i="2"/>
  <c r="G701" i="2"/>
  <c r="G728" i="2"/>
  <c r="G704" i="2"/>
  <c r="G731" i="2"/>
  <c r="G699" i="2"/>
  <c r="G726" i="2"/>
  <c r="G702" i="2"/>
  <c r="G729" i="2"/>
  <c r="E704" i="2"/>
  <c r="E731" i="2"/>
  <c r="G705" i="2"/>
  <c r="G732" i="2"/>
  <c r="G698" i="2"/>
  <c r="G725" i="2"/>
  <c r="D704" i="2"/>
  <c r="D731" i="2"/>
  <c r="C704" i="2"/>
  <c r="C731" i="2"/>
  <c r="G688" i="2"/>
  <c r="G656" i="2"/>
  <c r="G640" i="2"/>
  <c r="G648" i="2" s="1"/>
  <c r="G680" i="2"/>
  <c r="G632" i="2"/>
  <c r="G639" i="2"/>
  <c r="G647" i="2" s="1"/>
  <c r="G655" i="2"/>
  <c r="G679" i="2"/>
  <c r="G687" i="2"/>
  <c r="G631" i="2"/>
  <c r="G681" i="2"/>
  <c r="G689" i="2"/>
  <c r="G633" i="2"/>
  <c r="G641" i="2"/>
  <c r="G649" i="2" s="1"/>
  <c r="G657" i="2"/>
  <c r="C680" i="2"/>
  <c r="C688" i="2"/>
  <c r="C656" i="2"/>
  <c r="C632" i="2"/>
  <c r="C640" i="2"/>
  <c r="C648" i="2" s="1"/>
  <c r="C435" i="2"/>
  <c r="G431" i="2"/>
  <c r="G429" i="2"/>
  <c r="G433" i="2"/>
  <c r="D435" i="2"/>
  <c r="G436" i="2"/>
  <c r="E435" i="2"/>
  <c r="G434" i="2"/>
  <c r="G432" i="2"/>
  <c r="G435" i="2"/>
  <c r="G430" i="2"/>
  <c r="G228" i="2"/>
  <c r="G229" i="2"/>
  <c r="F228" i="2"/>
  <c r="C77" i="2"/>
  <c r="F545" i="2"/>
  <c r="C228" i="2"/>
  <c r="E228" i="2"/>
  <c r="F229" i="2"/>
  <c r="C229" i="2"/>
  <c r="F136" i="2"/>
  <c r="E136" i="2"/>
  <c r="D228" i="2"/>
  <c r="D229" i="2"/>
  <c r="A230" i="2"/>
  <c r="G230" i="2" s="1"/>
  <c r="G142" i="2"/>
  <c r="A144" i="2"/>
  <c r="A145" i="2" s="1"/>
  <c r="H145" i="2" s="1"/>
  <c r="D143" i="2"/>
  <c r="A149" i="2"/>
  <c r="A150" i="2" s="1"/>
  <c r="C143" i="2"/>
  <c r="E142" i="2"/>
  <c r="G143" i="2"/>
  <c r="D142" i="2"/>
  <c r="C142" i="2"/>
  <c r="F142" i="2"/>
  <c r="E143" i="2"/>
  <c r="A137" i="2"/>
  <c r="G137" i="2" s="1"/>
  <c r="C136" i="2"/>
  <c r="D136" i="2"/>
  <c r="G198" i="2"/>
  <c r="A235" i="2"/>
  <c r="H228" i="2"/>
  <c r="H234" i="2"/>
  <c r="H227" i="2"/>
  <c r="H229" i="2"/>
  <c r="H221" i="2"/>
  <c r="H217" i="2"/>
  <c r="H214" i="2"/>
  <c r="H210" i="2"/>
  <c r="H207" i="2"/>
  <c r="H203" i="2"/>
  <c r="H200" i="2"/>
  <c r="H196" i="2"/>
  <c r="H193" i="2"/>
  <c r="H223" i="2"/>
  <c r="H220" i="2"/>
  <c r="H216" i="2"/>
  <c r="H213" i="2"/>
  <c r="H209" i="2"/>
  <c r="H206" i="2"/>
  <c r="H202" i="2"/>
  <c r="H199" i="2"/>
  <c r="H195" i="2"/>
  <c r="H192" i="2"/>
  <c r="H222" i="2"/>
  <c r="H215" i="2"/>
  <c r="H211" i="2"/>
  <c r="H208" i="2"/>
  <c r="H204" i="2"/>
  <c r="H201" i="2"/>
  <c r="H197" i="2"/>
  <c r="H194" i="2"/>
  <c r="D223" i="2"/>
  <c r="C223" i="2"/>
  <c r="A224" i="2"/>
  <c r="H224" i="2" s="1"/>
  <c r="E223" i="2"/>
  <c r="F223" i="2"/>
  <c r="D234" i="2"/>
  <c r="C234" i="2"/>
  <c r="E234" i="2"/>
  <c r="F234" i="2"/>
  <c r="A218" i="2"/>
  <c r="H218" i="2" s="1"/>
  <c r="C217" i="2"/>
  <c r="D217" i="2"/>
  <c r="E217" i="2"/>
  <c r="F217" i="2"/>
  <c r="G205" i="2"/>
  <c r="G223" i="2"/>
  <c r="G191" i="2"/>
  <c r="A241" i="2"/>
  <c r="E131" i="2"/>
  <c r="F131" i="2"/>
  <c r="A132" i="2"/>
  <c r="H132" i="2" s="1"/>
  <c r="C131" i="2"/>
  <c r="D131" i="2"/>
  <c r="G113" i="2"/>
  <c r="G120" i="2"/>
  <c r="H142" i="2"/>
  <c r="H143" i="2"/>
  <c r="H118" i="2"/>
  <c r="H115" i="2"/>
  <c r="H110" i="2"/>
  <c r="H107" i="2"/>
  <c r="H128" i="2"/>
  <c r="H124" i="2"/>
  <c r="H121" i="2"/>
  <c r="H136" i="2"/>
  <c r="H117" i="2"/>
  <c r="H112" i="2"/>
  <c r="H130" i="2"/>
  <c r="H129" i="2"/>
  <c r="H119" i="2"/>
  <c r="H122" i="2"/>
  <c r="H131" i="2"/>
  <c r="H126" i="2"/>
  <c r="H108" i="2"/>
  <c r="H123" i="2"/>
  <c r="H111" i="2"/>
  <c r="H116" i="2"/>
  <c r="H109" i="2"/>
  <c r="H125" i="2"/>
  <c r="H114" i="2"/>
  <c r="H135" i="2"/>
  <c r="G106" i="2"/>
  <c r="L248" i="3"/>
  <c r="O241" i="3"/>
  <c r="C180" i="3"/>
  <c r="B392" i="2" s="1"/>
  <c r="B383" i="2"/>
  <c r="B378" i="2"/>
  <c r="C175" i="3"/>
  <c r="B387" i="2" s="1"/>
  <c r="B377" i="2"/>
  <c r="C174" i="3"/>
  <c r="B386" i="2" s="1"/>
  <c r="C177" i="3"/>
  <c r="B389" i="2" s="1"/>
  <c r="B380" i="2"/>
  <c r="C179" i="3"/>
  <c r="B391" i="2" s="1"/>
  <c r="B382" i="2"/>
  <c r="C178" i="3"/>
  <c r="B390" i="2" s="1"/>
  <c r="B381" i="2"/>
  <c r="A831" i="2"/>
  <c r="A771" i="2"/>
  <c r="H771" i="2" s="1"/>
  <c r="A805" i="2"/>
  <c r="C770" i="2"/>
  <c r="D770" i="2"/>
  <c r="E770" i="2"/>
  <c r="F770" i="2"/>
  <c r="K56" i="2"/>
  <c r="J762" i="2"/>
  <c r="J25" i="4"/>
  <c r="I59" i="2"/>
  <c r="H768" i="2"/>
  <c r="H765" i="2"/>
  <c r="H770" i="2"/>
  <c r="H767" i="2"/>
  <c r="H764" i="2"/>
  <c r="H769" i="2"/>
  <c r="H766" i="2"/>
  <c r="H763" i="2"/>
  <c r="J189" i="2"/>
  <c r="H330" i="2"/>
  <c r="H528" i="2"/>
  <c r="H474" i="2"/>
  <c r="G68" i="2"/>
  <c r="H348" i="2"/>
  <c r="H375" i="2"/>
  <c r="H357" i="2"/>
  <c r="H384" i="2"/>
  <c r="H321" i="2"/>
  <c r="H366" i="2"/>
  <c r="H339" i="2"/>
  <c r="G75" i="2"/>
  <c r="G545" i="2" s="1"/>
  <c r="H510" i="2"/>
  <c r="H483" i="2"/>
  <c r="H456" i="2"/>
  <c r="H501" i="2"/>
  <c r="H492" i="2"/>
  <c r="H465" i="2"/>
  <c r="H519" i="2"/>
  <c r="H186" i="2"/>
  <c r="H188" i="2"/>
  <c r="H187" i="2"/>
  <c r="I190" i="2"/>
  <c r="G664" i="2" l="1"/>
  <c r="G285" i="2"/>
  <c r="G663" i="2"/>
  <c r="G284" i="2"/>
  <c r="C664" i="2"/>
  <c r="C285" i="2"/>
  <c r="G665" i="2"/>
  <c r="G286" i="2"/>
  <c r="H410" i="2"/>
  <c r="H401" i="2"/>
  <c r="J797" i="2"/>
  <c r="K824" i="2" s="1"/>
  <c r="J784" i="2"/>
  <c r="H698" i="2"/>
  <c r="H725" i="2"/>
  <c r="E705" i="2"/>
  <c r="E732" i="2"/>
  <c r="H704" i="2"/>
  <c r="H731" i="2"/>
  <c r="D705" i="2"/>
  <c r="D732" i="2"/>
  <c r="H699" i="2"/>
  <c r="H726" i="2"/>
  <c r="F705" i="2"/>
  <c r="F732" i="2"/>
  <c r="H703" i="2"/>
  <c r="H730" i="2"/>
  <c r="H701" i="2"/>
  <c r="H728" i="2"/>
  <c r="H702" i="2"/>
  <c r="H729" i="2"/>
  <c r="H705" i="2"/>
  <c r="H732" i="2"/>
  <c r="H700" i="2"/>
  <c r="H727" i="2"/>
  <c r="C705" i="2"/>
  <c r="C732" i="2"/>
  <c r="E681" i="2"/>
  <c r="E689" i="2"/>
  <c r="E657" i="2"/>
  <c r="E641" i="2"/>
  <c r="E649" i="2" s="1"/>
  <c r="E633" i="2"/>
  <c r="H680" i="2"/>
  <c r="H688" i="2"/>
  <c r="H632" i="2"/>
  <c r="H656" i="2"/>
  <c r="H640" i="2"/>
  <c r="H648" i="2" s="1"/>
  <c r="C657" i="2"/>
  <c r="C633" i="2"/>
  <c r="C681" i="2"/>
  <c r="C641" i="2"/>
  <c r="C649" i="2" s="1"/>
  <c r="C689" i="2"/>
  <c r="D689" i="2"/>
  <c r="D681" i="2"/>
  <c r="D657" i="2"/>
  <c r="D641" i="2"/>
  <c r="D649" i="2" s="1"/>
  <c r="D633" i="2"/>
  <c r="H682" i="2"/>
  <c r="H674" i="2"/>
  <c r="H634" i="2"/>
  <c r="H642" i="2" s="1"/>
  <c r="H626" i="2"/>
  <c r="H650" i="2"/>
  <c r="H689" i="2"/>
  <c r="H681" i="2"/>
  <c r="H657" i="2"/>
  <c r="H641" i="2"/>
  <c r="H649" i="2" s="1"/>
  <c r="H633" i="2"/>
  <c r="C436" i="2"/>
  <c r="H433" i="2"/>
  <c r="H436" i="2"/>
  <c r="H432" i="2"/>
  <c r="E436" i="2"/>
  <c r="D436" i="2"/>
  <c r="H435" i="2"/>
  <c r="H430" i="2"/>
  <c r="H431" i="2"/>
  <c r="H434" i="2"/>
  <c r="H429" i="2"/>
  <c r="F436" i="2"/>
  <c r="A231" i="2"/>
  <c r="H231" i="2" s="1"/>
  <c r="D230" i="2"/>
  <c r="H230" i="2"/>
  <c r="C230" i="2"/>
  <c r="F230" i="2"/>
  <c r="E230" i="2"/>
  <c r="G144" i="2"/>
  <c r="F144" i="2"/>
  <c r="C144" i="2"/>
  <c r="D144" i="2"/>
  <c r="E144" i="2"/>
  <c r="H144" i="2"/>
  <c r="H149" i="2"/>
  <c r="F149" i="2"/>
  <c r="E149" i="2"/>
  <c r="D149" i="2"/>
  <c r="C149" i="2"/>
  <c r="A156" i="2"/>
  <c r="H156" i="2" s="1"/>
  <c r="G149" i="2"/>
  <c r="F137" i="2"/>
  <c r="H137" i="2"/>
  <c r="E137" i="2"/>
  <c r="D137" i="2"/>
  <c r="C137" i="2"/>
  <c r="A138" i="2"/>
  <c r="H138" i="2" s="1"/>
  <c r="H198" i="2"/>
  <c r="I235" i="2"/>
  <c r="I228" i="2"/>
  <c r="I241" i="2"/>
  <c r="I234" i="2"/>
  <c r="I230" i="2"/>
  <c r="I227" i="2"/>
  <c r="I229" i="2"/>
  <c r="I224" i="2"/>
  <c r="I221" i="2"/>
  <c r="I217" i="2"/>
  <c r="I214" i="2"/>
  <c r="I210" i="2"/>
  <c r="I207" i="2"/>
  <c r="I203" i="2"/>
  <c r="I200" i="2"/>
  <c r="I196" i="2"/>
  <c r="I193" i="2"/>
  <c r="I223" i="2"/>
  <c r="I220" i="2"/>
  <c r="I216" i="2"/>
  <c r="I213" i="2"/>
  <c r="I209" i="2"/>
  <c r="I206" i="2"/>
  <c r="I202" i="2"/>
  <c r="I199" i="2"/>
  <c r="I195" i="2"/>
  <c r="I192" i="2"/>
  <c r="I222" i="2"/>
  <c r="I218" i="2"/>
  <c r="I215" i="2"/>
  <c r="I211" i="2"/>
  <c r="I208" i="2"/>
  <c r="I204" i="2"/>
  <c r="I201" i="2"/>
  <c r="I197" i="2"/>
  <c r="I194" i="2"/>
  <c r="C235" i="2"/>
  <c r="D235" i="2"/>
  <c r="E235" i="2"/>
  <c r="F235" i="2"/>
  <c r="G235" i="2"/>
  <c r="A236" i="2"/>
  <c r="H205" i="2"/>
  <c r="D241" i="2"/>
  <c r="C241" i="2"/>
  <c r="E241" i="2"/>
  <c r="F241" i="2"/>
  <c r="G241" i="2"/>
  <c r="H212" i="2"/>
  <c r="A242" i="2"/>
  <c r="I242" i="2" s="1"/>
  <c r="D218" i="2"/>
  <c r="C218" i="2"/>
  <c r="C212" i="2" s="1"/>
  <c r="E218" i="2"/>
  <c r="E212" i="2" s="1"/>
  <c r="F218" i="2"/>
  <c r="F212" i="2" s="1"/>
  <c r="G218" i="2"/>
  <c r="A225" i="2"/>
  <c r="D224" i="2"/>
  <c r="C224" i="2"/>
  <c r="E224" i="2"/>
  <c r="F224" i="2"/>
  <c r="G224" i="2"/>
  <c r="H191" i="2"/>
  <c r="H235" i="2"/>
  <c r="H241" i="2"/>
  <c r="F132" i="2"/>
  <c r="A133" i="2"/>
  <c r="I133" i="2" s="1"/>
  <c r="C132" i="2"/>
  <c r="E132" i="2"/>
  <c r="D132" i="2"/>
  <c r="G132" i="2"/>
  <c r="H106" i="2"/>
  <c r="C150" i="2"/>
  <c r="D150" i="2"/>
  <c r="E150" i="2"/>
  <c r="F150" i="2"/>
  <c r="G150" i="2"/>
  <c r="A151" i="2"/>
  <c r="I150" i="2"/>
  <c r="I143" i="2"/>
  <c r="I149" i="2"/>
  <c r="I145" i="2"/>
  <c r="I142" i="2"/>
  <c r="I137" i="2"/>
  <c r="I118" i="2"/>
  <c r="I132" i="2"/>
  <c r="I128" i="2"/>
  <c r="I124" i="2"/>
  <c r="I121" i="2"/>
  <c r="I136" i="2"/>
  <c r="I131" i="2"/>
  <c r="I126" i="2"/>
  <c r="I123" i="2"/>
  <c r="I112" i="2"/>
  <c r="I107" i="2"/>
  <c r="I122" i="2"/>
  <c r="I117" i="2"/>
  <c r="I108" i="2"/>
  <c r="I116" i="2"/>
  <c r="I111" i="2"/>
  <c r="I144" i="2"/>
  <c r="I119" i="2"/>
  <c r="I129" i="2"/>
  <c r="I114" i="2"/>
  <c r="I115" i="2"/>
  <c r="I109" i="2"/>
  <c r="I125" i="2"/>
  <c r="I110" i="2"/>
  <c r="I135" i="2"/>
  <c r="I130" i="2"/>
  <c r="H150" i="2"/>
  <c r="H120" i="2"/>
  <c r="A146" i="2"/>
  <c r="D145" i="2"/>
  <c r="C145" i="2"/>
  <c r="E145" i="2"/>
  <c r="F145" i="2"/>
  <c r="G145" i="2"/>
  <c r="H113" i="2"/>
  <c r="M248" i="3"/>
  <c r="P241" i="3"/>
  <c r="A772" i="2"/>
  <c r="I772" i="2" s="1"/>
  <c r="A806" i="2"/>
  <c r="I806" i="2" s="1"/>
  <c r="C771" i="2"/>
  <c r="D771" i="2"/>
  <c r="E771" i="2"/>
  <c r="F771" i="2"/>
  <c r="G771" i="2"/>
  <c r="A832" i="2"/>
  <c r="L56" i="2"/>
  <c r="K762" i="2"/>
  <c r="K25" i="4"/>
  <c r="J59" i="2"/>
  <c r="I771" i="2"/>
  <c r="I768" i="2"/>
  <c r="I765" i="2"/>
  <c r="I770" i="2"/>
  <c r="I767" i="2"/>
  <c r="I764" i="2"/>
  <c r="I769" i="2"/>
  <c r="I766" i="2"/>
  <c r="I763" i="2"/>
  <c r="K189" i="2"/>
  <c r="I330" i="2"/>
  <c r="I528" i="2"/>
  <c r="I474" i="2"/>
  <c r="H68" i="2"/>
  <c r="I321" i="2"/>
  <c r="I357" i="2"/>
  <c r="I384" i="2"/>
  <c r="I366" i="2"/>
  <c r="I339" i="2"/>
  <c r="I348" i="2"/>
  <c r="I375" i="2"/>
  <c r="H75" i="2"/>
  <c r="H545" i="2" s="1"/>
  <c r="I510" i="2"/>
  <c r="I483" i="2"/>
  <c r="I456" i="2"/>
  <c r="I501" i="2"/>
  <c r="I492" i="2"/>
  <c r="I465" i="2"/>
  <c r="I519" i="2"/>
  <c r="I186" i="2"/>
  <c r="I188" i="2"/>
  <c r="I187" i="2"/>
  <c r="J190" i="2"/>
  <c r="D665" i="2" l="1"/>
  <c r="D286" i="2"/>
  <c r="C665" i="2"/>
  <c r="C286" i="2"/>
  <c r="H664" i="2"/>
  <c r="H285" i="2"/>
  <c r="H665" i="2"/>
  <c r="H286" i="2"/>
  <c r="E665" i="2"/>
  <c r="E286" i="2"/>
  <c r="H658" i="2"/>
  <c r="H279" i="2"/>
  <c r="I401" i="2"/>
  <c r="I410" i="2"/>
  <c r="K797" i="2"/>
  <c r="L824" i="2" s="1"/>
  <c r="K784" i="2"/>
  <c r="I698" i="2"/>
  <c r="I725" i="2"/>
  <c r="I701" i="2"/>
  <c r="I728" i="2"/>
  <c r="I703" i="2"/>
  <c r="I730" i="2"/>
  <c r="I704" i="2"/>
  <c r="I731" i="2"/>
  <c r="I699" i="2"/>
  <c r="I726" i="2"/>
  <c r="I702" i="2"/>
  <c r="I729" i="2"/>
  <c r="I705" i="2"/>
  <c r="I732" i="2"/>
  <c r="I700" i="2"/>
  <c r="I727" i="2"/>
  <c r="I674" i="2"/>
  <c r="I682" i="2"/>
  <c r="I650" i="2"/>
  <c r="I634" i="2"/>
  <c r="I642" i="2" s="1"/>
  <c r="I626" i="2"/>
  <c r="I683" i="2"/>
  <c r="I651" i="2"/>
  <c r="I675" i="2"/>
  <c r="I627" i="2"/>
  <c r="I635" i="2"/>
  <c r="I643" i="2" s="1"/>
  <c r="I689" i="2"/>
  <c r="I681" i="2"/>
  <c r="I633" i="2"/>
  <c r="I657" i="2"/>
  <c r="I641" i="2"/>
  <c r="I649" i="2" s="1"/>
  <c r="I429" i="2"/>
  <c r="I435" i="2"/>
  <c r="I432" i="2"/>
  <c r="I431" i="2"/>
  <c r="I433" i="2"/>
  <c r="I430" i="2"/>
  <c r="I436" i="2"/>
  <c r="I434" i="2"/>
  <c r="A232" i="2"/>
  <c r="D232" i="2" s="1"/>
  <c r="D231" i="2"/>
  <c r="I231" i="2"/>
  <c r="G231" i="2"/>
  <c r="E231" i="2"/>
  <c r="F231" i="2"/>
  <c r="C231" i="2"/>
  <c r="C156" i="2"/>
  <c r="D156" i="2"/>
  <c r="E138" i="2"/>
  <c r="A157" i="2"/>
  <c r="H157" i="2" s="1"/>
  <c r="I156" i="2"/>
  <c r="G156" i="2"/>
  <c r="F156" i="2"/>
  <c r="E156" i="2"/>
  <c r="D138" i="2"/>
  <c r="A139" i="2"/>
  <c r="I139" i="2" s="1"/>
  <c r="I138" i="2"/>
  <c r="C138" i="2"/>
  <c r="G138" i="2"/>
  <c r="F138" i="2"/>
  <c r="I191" i="2"/>
  <c r="I198" i="2"/>
  <c r="D242" i="2"/>
  <c r="C242" i="2"/>
  <c r="E242" i="2"/>
  <c r="F242" i="2"/>
  <c r="G242" i="2"/>
  <c r="H242" i="2"/>
  <c r="A243" i="2"/>
  <c r="D225" i="2"/>
  <c r="D219" i="2" s="1"/>
  <c r="C225" i="2"/>
  <c r="E225" i="2"/>
  <c r="E219" i="2" s="1"/>
  <c r="F225" i="2"/>
  <c r="F219" i="2" s="1"/>
  <c r="G225" i="2"/>
  <c r="G219" i="2" s="1"/>
  <c r="H225" i="2"/>
  <c r="D212" i="2"/>
  <c r="G212" i="2"/>
  <c r="I212" i="2"/>
  <c r="I225" i="2"/>
  <c r="I219" i="2" s="1"/>
  <c r="I205" i="2"/>
  <c r="J242" i="2"/>
  <c r="J235" i="2"/>
  <c r="J231" i="2"/>
  <c r="J228" i="2"/>
  <c r="J241" i="2"/>
  <c r="J234" i="2"/>
  <c r="J230" i="2"/>
  <c r="J227" i="2"/>
  <c r="J236" i="2"/>
  <c r="J229" i="2"/>
  <c r="J225" i="2"/>
  <c r="J224" i="2"/>
  <c r="J221" i="2"/>
  <c r="J217" i="2"/>
  <c r="J214" i="2"/>
  <c r="J210" i="2"/>
  <c r="J207" i="2"/>
  <c r="J203" i="2"/>
  <c r="J200" i="2"/>
  <c r="J196" i="2"/>
  <c r="J193" i="2"/>
  <c r="J223" i="2"/>
  <c r="J220" i="2"/>
  <c r="J216" i="2"/>
  <c r="J213" i="2"/>
  <c r="J209" i="2"/>
  <c r="J206" i="2"/>
  <c r="J202" i="2"/>
  <c r="J199" i="2"/>
  <c r="J195" i="2"/>
  <c r="J192" i="2"/>
  <c r="J222" i="2"/>
  <c r="J218" i="2"/>
  <c r="J215" i="2"/>
  <c r="J211" i="2"/>
  <c r="J208" i="2"/>
  <c r="J204" i="2"/>
  <c r="J201" i="2"/>
  <c r="J197" i="2"/>
  <c r="J194" i="2"/>
  <c r="D236" i="2"/>
  <c r="C236" i="2"/>
  <c r="E236" i="2"/>
  <c r="F236" i="2"/>
  <c r="A237" i="2"/>
  <c r="J237" i="2" s="1"/>
  <c r="G236" i="2"/>
  <c r="H236" i="2"/>
  <c r="I236" i="2"/>
  <c r="H133" i="2"/>
  <c r="F133" i="2"/>
  <c r="G133" i="2"/>
  <c r="G127" i="2" s="1"/>
  <c r="D133" i="2"/>
  <c r="E133" i="2"/>
  <c r="C133" i="2"/>
  <c r="I106" i="2"/>
  <c r="A147" i="2"/>
  <c r="C146" i="2"/>
  <c r="D146" i="2"/>
  <c r="E146" i="2"/>
  <c r="F146" i="2"/>
  <c r="G146" i="2"/>
  <c r="H146" i="2"/>
  <c r="A152" i="2"/>
  <c r="D151" i="2"/>
  <c r="C151" i="2"/>
  <c r="E151" i="2"/>
  <c r="F151" i="2"/>
  <c r="G151" i="2"/>
  <c r="H151" i="2"/>
  <c r="I113" i="2"/>
  <c r="J150" i="2"/>
  <c r="J146" i="2"/>
  <c r="J143" i="2"/>
  <c r="J156" i="2"/>
  <c r="J149" i="2"/>
  <c r="J145" i="2"/>
  <c r="J142" i="2"/>
  <c r="J137" i="2"/>
  <c r="J133" i="2"/>
  <c r="J151" i="2"/>
  <c r="J132" i="2"/>
  <c r="J128" i="2"/>
  <c r="J124" i="2"/>
  <c r="J121" i="2"/>
  <c r="J138" i="2"/>
  <c r="J136" i="2"/>
  <c r="J117" i="2"/>
  <c r="J112" i="2"/>
  <c r="J109" i="2"/>
  <c r="J131" i="2"/>
  <c r="J126" i="2"/>
  <c r="J123" i="2"/>
  <c r="J114" i="2"/>
  <c r="J108" i="2"/>
  <c r="J116" i="2"/>
  <c r="J111" i="2"/>
  <c r="J135" i="2"/>
  <c r="J115" i="2"/>
  <c r="J119" i="2"/>
  <c r="J125" i="2"/>
  <c r="J122" i="2"/>
  <c r="J110" i="2"/>
  <c r="J130" i="2"/>
  <c r="J144" i="2"/>
  <c r="J129" i="2"/>
  <c r="J118" i="2"/>
  <c r="J107" i="2"/>
  <c r="I151" i="2"/>
  <c r="I146" i="2"/>
  <c r="I120" i="2"/>
  <c r="I127" i="2"/>
  <c r="N248" i="3"/>
  <c r="Q241" i="3"/>
  <c r="J806" i="2"/>
  <c r="A833" i="2"/>
  <c r="BD833" i="2" s="1"/>
  <c r="C806" i="2"/>
  <c r="D806" i="2"/>
  <c r="E806" i="2"/>
  <c r="F806" i="2"/>
  <c r="G806" i="2"/>
  <c r="H806" i="2"/>
  <c r="M56" i="2"/>
  <c r="L762" i="2"/>
  <c r="L25" i="4"/>
  <c r="A773" i="2"/>
  <c r="A807" i="2"/>
  <c r="J807" i="2" s="1"/>
  <c r="C772" i="2"/>
  <c r="D772" i="2"/>
  <c r="E772" i="2"/>
  <c r="F772" i="2"/>
  <c r="G772" i="2"/>
  <c r="H772" i="2"/>
  <c r="K59" i="2"/>
  <c r="J770" i="2"/>
  <c r="J767" i="2"/>
  <c r="J764" i="2"/>
  <c r="J772" i="2"/>
  <c r="J769" i="2"/>
  <c r="J766" i="2"/>
  <c r="J765" i="2"/>
  <c r="J771" i="2"/>
  <c r="J763" i="2"/>
  <c r="J768" i="2"/>
  <c r="L189" i="2"/>
  <c r="J330" i="2"/>
  <c r="J474" i="2"/>
  <c r="J528" i="2"/>
  <c r="I68" i="2"/>
  <c r="J339" i="2"/>
  <c r="J366" i="2"/>
  <c r="J357" i="2"/>
  <c r="J384" i="2"/>
  <c r="J321" i="2"/>
  <c r="J348" i="2"/>
  <c r="J375" i="2"/>
  <c r="I75" i="2"/>
  <c r="I545" i="2" s="1"/>
  <c r="J510" i="2"/>
  <c r="J483" i="2"/>
  <c r="J456" i="2"/>
  <c r="J519" i="2"/>
  <c r="J492" i="2"/>
  <c r="J501" i="2"/>
  <c r="J465" i="2"/>
  <c r="J186" i="2"/>
  <c r="J188" i="2"/>
  <c r="J187" i="2"/>
  <c r="K190" i="2"/>
  <c r="I658" i="2" l="1"/>
  <c r="I279" i="2"/>
  <c r="I665" i="2"/>
  <c r="I286" i="2"/>
  <c r="I659" i="2"/>
  <c r="I280" i="2"/>
  <c r="J401" i="2"/>
  <c r="J410" i="2"/>
  <c r="L797" i="2"/>
  <c r="M824" i="2" s="1"/>
  <c r="L784" i="2"/>
  <c r="J700" i="2"/>
  <c r="J727" i="2"/>
  <c r="J705" i="2"/>
  <c r="J732" i="2"/>
  <c r="J703" i="2"/>
  <c r="J730" i="2"/>
  <c r="J701" i="2"/>
  <c r="J728" i="2"/>
  <c r="J704" i="2"/>
  <c r="J731" i="2"/>
  <c r="J699" i="2"/>
  <c r="J726" i="2"/>
  <c r="J698" i="2"/>
  <c r="J725" i="2"/>
  <c r="J702" i="2"/>
  <c r="J729" i="2"/>
  <c r="J676" i="2"/>
  <c r="J684" i="2"/>
  <c r="J652" i="2"/>
  <c r="J628" i="2"/>
  <c r="J636" i="2"/>
  <c r="J644" i="2" s="1"/>
  <c r="J674" i="2"/>
  <c r="J682" i="2"/>
  <c r="J634" i="2"/>
  <c r="J642" i="2" s="1"/>
  <c r="J650" i="2"/>
  <c r="J626" i="2"/>
  <c r="J434" i="2"/>
  <c r="J431" i="2"/>
  <c r="J436" i="2"/>
  <c r="J435" i="2"/>
  <c r="J429" i="2"/>
  <c r="J432" i="2"/>
  <c r="J430" i="2"/>
  <c r="J433" i="2"/>
  <c r="E127" i="2"/>
  <c r="D127" i="2"/>
  <c r="F127" i="2"/>
  <c r="H127" i="2"/>
  <c r="C127" i="2"/>
  <c r="J232" i="2"/>
  <c r="J226" i="2" s="1"/>
  <c r="E232" i="2"/>
  <c r="E226" i="2" s="1"/>
  <c r="C232" i="2"/>
  <c r="C226" i="2" s="1"/>
  <c r="I232" i="2"/>
  <c r="I226" i="2" s="1"/>
  <c r="H232" i="2"/>
  <c r="H226" i="2" s="1"/>
  <c r="G232" i="2"/>
  <c r="G226" i="2" s="1"/>
  <c r="F232" i="2"/>
  <c r="F226" i="2" s="1"/>
  <c r="D226" i="2"/>
  <c r="J157" i="2"/>
  <c r="G157" i="2"/>
  <c r="J139" i="2"/>
  <c r="C157" i="2"/>
  <c r="E157" i="2"/>
  <c r="H139" i="2"/>
  <c r="F157" i="2"/>
  <c r="D157" i="2"/>
  <c r="A158" i="2"/>
  <c r="E158" i="2" s="1"/>
  <c r="G139" i="2"/>
  <c r="F139" i="2"/>
  <c r="E139" i="2"/>
  <c r="C139" i="2"/>
  <c r="D139" i="2"/>
  <c r="A140" i="2"/>
  <c r="J140" i="2" s="1"/>
  <c r="I157" i="2"/>
  <c r="J198" i="2"/>
  <c r="J205" i="2"/>
  <c r="A244" i="2"/>
  <c r="C243" i="2"/>
  <c r="D243" i="2"/>
  <c r="E243" i="2"/>
  <c r="F243" i="2"/>
  <c r="G243" i="2"/>
  <c r="H243" i="2"/>
  <c r="I243" i="2"/>
  <c r="J219" i="2"/>
  <c r="C219" i="2"/>
  <c r="J191" i="2"/>
  <c r="J243" i="2"/>
  <c r="A238" i="2"/>
  <c r="C237" i="2"/>
  <c r="D237" i="2"/>
  <c r="E237" i="2"/>
  <c r="F237" i="2"/>
  <c r="G237" i="2"/>
  <c r="H237" i="2"/>
  <c r="I237" i="2"/>
  <c r="H219" i="2"/>
  <c r="K241" i="2"/>
  <c r="K237" i="2"/>
  <c r="K234" i="2"/>
  <c r="K230" i="2"/>
  <c r="K227" i="2"/>
  <c r="K243" i="2"/>
  <c r="K236" i="2"/>
  <c r="K232" i="2"/>
  <c r="K229" i="2"/>
  <c r="K225" i="2"/>
  <c r="K242" i="2"/>
  <c r="K235" i="2"/>
  <c r="K231" i="2"/>
  <c r="K228" i="2"/>
  <c r="K223" i="2"/>
  <c r="K220" i="2"/>
  <c r="K216" i="2"/>
  <c r="K213" i="2"/>
  <c r="K209" i="2"/>
  <c r="K206" i="2"/>
  <c r="K202" i="2"/>
  <c r="K199" i="2"/>
  <c r="K195" i="2"/>
  <c r="K192" i="2"/>
  <c r="K222" i="2"/>
  <c r="K218" i="2"/>
  <c r="K215" i="2"/>
  <c r="K211" i="2"/>
  <c r="K208" i="2"/>
  <c r="K204" i="2"/>
  <c r="K201" i="2"/>
  <c r="K197" i="2"/>
  <c r="K194" i="2"/>
  <c r="K224" i="2"/>
  <c r="K221" i="2"/>
  <c r="K217" i="2"/>
  <c r="K214" i="2"/>
  <c r="K210" i="2"/>
  <c r="K207" i="2"/>
  <c r="K203" i="2"/>
  <c r="K200" i="2"/>
  <c r="K196" i="2"/>
  <c r="K193" i="2"/>
  <c r="J212" i="2"/>
  <c r="J127" i="2"/>
  <c r="J106" i="2"/>
  <c r="A153" i="2"/>
  <c r="K153" i="2" s="1"/>
  <c r="D152" i="2"/>
  <c r="C152" i="2"/>
  <c r="E152" i="2"/>
  <c r="F152" i="2"/>
  <c r="G152" i="2"/>
  <c r="H152" i="2"/>
  <c r="I152" i="2"/>
  <c r="D147" i="2"/>
  <c r="D141" i="2" s="1"/>
  <c r="C147" i="2"/>
  <c r="C141" i="2" s="1"/>
  <c r="E147" i="2"/>
  <c r="E141" i="2" s="1"/>
  <c r="F147" i="2"/>
  <c r="F141" i="2" s="1"/>
  <c r="G147" i="2"/>
  <c r="G141" i="2" s="1"/>
  <c r="H147" i="2"/>
  <c r="H141" i="2" s="1"/>
  <c r="I147" i="2"/>
  <c r="I141" i="2" s="1"/>
  <c r="J147" i="2"/>
  <c r="J141" i="2" s="1"/>
  <c r="J120" i="2"/>
  <c r="J113" i="2"/>
  <c r="J152" i="2"/>
  <c r="K151" i="2"/>
  <c r="K147" i="2"/>
  <c r="K152" i="2"/>
  <c r="K145" i="2"/>
  <c r="K143" i="2"/>
  <c r="K139" i="2"/>
  <c r="K136" i="2"/>
  <c r="K132" i="2"/>
  <c r="K157" i="2"/>
  <c r="K150" i="2"/>
  <c r="K156" i="2"/>
  <c r="K138" i="2"/>
  <c r="K146" i="2"/>
  <c r="K142" i="2"/>
  <c r="K131" i="2"/>
  <c r="K126" i="2"/>
  <c r="K123" i="2"/>
  <c r="K137" i="2"/>
  <c r="K149" i="2"/>
  <c r="K130" i="2"/>
  <c r="K129" i="2"/>
  <c r="K119" i="2"/>
  <c r="K118" i="2"/>
  <c r="K110" i="2"/>
  <c r="K133" i="2"/>
  <c r="K128" i="2"/>
  <c r="K116" i="2"/>
  <c r="K111" i="2"/>
  <c r="K135" i="2"/>
  <c r="K144" i="2"/>
  <c r="K125" i="2"/>
  <c r="K115" i="2"/>
  <c r="K112" i="2"/>
  <c r="K122" i="2"/>
  <c r="K109" i="2"/>
  <c r="K124" i="2"/>
  <c r="K121" i="2"/>
  <c r="K114" i="2"/>
  <c r="K117" i="2"/>
  <c r="K108" i="2"/>
  <c r="K107" i="2"/>
  <c r="O248" i="3"/>
  <c r="R241" i="3"/>
  <c r="L833" i="2"/>
  <c r="K806" i="2"/>
  <c r="K807" i="2"/>
  <c r="D833" i="2"/>
  <c r="E833" i="2"/>
  <c r="F833" i="2"/>
  <c r="G833" i="2"/>
  <c r="H833" i="2"/>
  <c r="I833" i="2"/>
  <c r="J833" i="2"/>
  <c r="K833" i="2"/>
  <c r="A834" i="2"/>
  <c r="BD834" i="2" s="1"/>
  <c r="C807" i="2"/>
  <c r="D807" i="2"/>
  <c r="E807" i="2"/>
  <c r="F807" i="2"/>
  <c r="G807" i="2"/>
  <c r="H807" i="2"/>
  <c r="I807" i="2"/>
  <c r="A774" i="2"/>
  <c r="K774" i="2" s="1"/>
  <c r="A808" i="2"/>
  <c r="K808" i="2" s="1"/>
  <c r="C773" i="2"/>
  <c r="D773" i="2"/>
  <c r="E773" i="2"/>
  <c r="F773" i="2"/>
  <c r="G773" i="2"/>
  <c r="H773" i="2"/>
  <c r="I773" i="2"/>
  <c r="J773" i="2"/>
  <c r="N56" i="2"/>
  <c r="M762" i="2"/>
  <c r="M25" i="4"/>
  <c r="L59" i="2"/>
  <c r="K772" i="2"/>
  <c r="K769" i="2"/>
  <c r="K766" i="2"/>
  <c r="K771" i="2"/>
  <c r="K768" i="2"/>
  <c r="K765" i="2"/>
  <c r="K773" i="2"/>
  <c r="K770" i="2"/>
  <c r="K767" i="2"/>
  <c r="K763" i="2"/>
  <c r="K764" i="2"/>
  <c r="M189" i="2"/>
  <c r="K330" i="2"/>
  <c r="K474" i="2"/>
  <c r="K528" i="2"/>
  <c r="J68" i="2"/>
  <c r="K357" i="2"/>
  <c r="K384" i="2"/>
  <c r="K321" i="2"/>
  <c r="K339" i="2"/>
  <c r="K366" i="2"/>
  <c r="K348" i="2"/>
  <c r="K375" i="2"/>
  <c r="J75" i="2"/>
  <c r="K501" i="2"/>
  <c r="K510" i="2"/>
  <c r="K519" i="2"/>
  <c r="K456" i="2"/>
  <c r="K492" i="2"/>
  <c r="K483" i="2"/>
  <c r="K465" i="2"/>
  <c r="K188" i="2"/>
  <c r="K186" i="2"/>
  <c r="K187" i="2"/>
  <c r="L190" i="2"/>
  <c r="J658" i="2" l="1"/>
  <c r="J279" i="2"/>
  <c r="J660" i="2"/>
  <c r="J281" i="2"/>
  <c r="K401" i="2"/>
  <c r="K410" i="2"/>
  <c r="M797" i="2"/>
  <c r="N824" i="2" s="1"/>
  <c r="M784" i="2"/>
  <c r="K699" i="2"/>
  <c r="K726" i="2"/>
  <c r="K698" i="2"/>
  <c r="K725" i="2"/>
  <c r="K704" i="2"/>
  <c r="K731" i="2"/>
  <c r="K702" i="2"/>
  <c r="K729" i="2"/>
  <c r="K705" i="2"/>
  <c r="K732" i="2"/>
  <c r="K700" i="2"/>
  <c r="K727" i="2"/>
  <c r="K703" i="2"/>
  <c r="K730" i="2"/>
  <c r="K701" i="2"/>
  <c r="K728" i="2"/>
  <c r="K689" i="2"/>
  <c r="K681" i="2"/>
  <c r="K641" i="2"/>
  <c r="K649" i="2" s="1"/>
  <c r="K633" i="2"/>
  <c r="K657" i="2"/>
  <c r="K680" i="2"/>
  <c r="K640" i="2"/>
  <c r="K648" i="2" s="1"/>
  <c r="K632" i="2"/>
  <c r="K688" i="2"/>
  <c r="K656" i="2"/>
  <c r="K434" i="2"/>
  <c r="K435" i="2"/>
  <c r="K433" i="2"/>
  <c r="K432" i="2"/>
  <c r="K430" i="2"/>
  <c r="K429" i="2"/>
  <c r="K436" i="2"/>
  <c r="K431" i="2"/>
  <c r="G77" i="2"/>
  <c r="J545" i="2"/>
  <c r="J134" i="2"/>
  <c r="F158" i="2"/>
  <c r="H158" i="2"/>
  <c r="J158" i="2"/>
  <c r="K158" i="2"/>
  <c r="A159" i="2"/>
  <c r="F159" i="2" s="1"/>
  <c r="G158" i="2"/>
  <c r="D158" i="2"/>
  <c r="F140" i="2"/>
  <c r="E140" i="2"/>
  <c r="E134" i="2" s="1"/>
  <c r="C140" i="2"/>
  <c r="I158" i="2"/>
  <c r="D140" i="2"/>
  <c r="D134" i="2" s="1"/>
  <c r="K140" i="2"/>
  <c r="K134" i="2" s="1"/>
  <c r="C158" i="2"/>
  <c r="H140" i="2"/>
  <c r="I140" i="2"/>
  <c r="G140" i="2"/>
  <c r="G134" i="2" s="1"/>
  <c r="K191" i="2"/>
  <c r="K212" i="2"/>
  <c r="K205" i="2"/>
  <c r="A239" i="2"/>
  <c r="C238" i="2"/>
  <c r="D238" i="2"/>
  <c r="E238" i="2"/>
  <c r="F238" i="2"/>
  <c r="G238" i="2"/>
  <c r="H238" i="2"/>
  <c r="I238" i="2"/>
  <c r="J238" i="2"/>
  <c r="K198" i="2"/>
  <c r="A245" i="2"/>
  <c r="L245" i="2" s="1"/>
  <c r="D244" i="2"/>
  <c r="C244" i="2"/>
  <c r="E244" i="2"/>
  <c r="F244" i="2"/>
  <c r="G244" i="2"/>
  <c r="H244" i="2"/>
  <c r="I244" i="2"/>
  <c r="J244" i="2"/>
  <c r="L244" i="2"/>
  <c r="L241" i="2"/>
  <c r="L237" i="2"/>
  <c r="L234" i="2"/>
  <c r="L230" i="2"/>
  <c r="L227" i="2"/>
  <c r="L243" i="2"/>
  <c r="L236" i="2"/>
  <c r="L232" i="2"/>
  <c r="L229" i="2"/>
  <c r="L225" i="2"/>
  <c r="L242" i="2"/>
  <c r="L238" i="2"/>
  <c r="L235" i="2"/>
  <c r="L231" i="2"/>
  <c r="L228" i="2"/>
  <c r="L223" i="2"/>
  <c r="L220" i="2"/>
  <c r="L216" i="2"/>
  <c r="L213" i="2"/>
  <c r="L209" i="2"/>
  <c r="L206" i="2"/>
  <c r="L202" i="2"/>
  <c r="L199" i="2"/>
  <c r="L195" i="2"/>
  <c r="L192" i="2"/>
  <c r="L222" i="2"/>
  <c r="L218" i="2"/>
  <c r="L215" i="2"/>
  <c r="L211" i="2"/>
  <c r="L208" i="2"/>
  <c r="L204" i="2"/>
  <c r="L201" i="2"/>
  <c r="L197" i="2"/>
  <c r="L194" i="2"/>
  <c r="L224" i="2"/>
  <c r="L221" i="2"/>
  <c r="L217" i="2"/>
  <c r="L214" i="2"/>
  <c r="L210" i="2"/>
  <c r="L207" i="2"/>
  <c r="L203" i="2"/>
  <c r="L200" i="2"/>
  <c r="L196" i="2"/>
  <c r="L193" i="2"/>
  <c r="K226" i="2"/>
  <c r="K219" i="2"/>
  <c r="K244" i="2"/>
  <c r="K238" i="2"/>
  <c r="K106" i="2"/>
  <c r="A154" i="2"/>
  <c r="D153" i="2"/>
  <c r="C153" i="2"/>
  <c r="E153" i="2"/>
  <c r="F153" i="2"/>
  <c r="G153" i="2"/>
  <c r="H153" i="2"/>
  <c r="I153" i="2"/>
  <c r="J153" i="2"/>
  <c r="K141" i="2"/>
  <c r="L158" i="2"/>
  <c r="L151" i="2"/>
  <c r="L147" i="2"/>
  <c r="L144" i="2"/>
  <c r="L140" i="2"/>
  <c r="L152" i="2"/>
  <c r="L145" i="2"/>
  <c r="L143" i="2"/>
  <c r="L139" i="2"/>
  <c r="L157" i="2"/>
  <c r="L150" i="2"/>
  <c r="L156" i="2"/>
  <c r="L138" i="2"/>
  <c r="L146" i="2"/>
  <c r="L117" i="2"/>
  <c r="L112" i="2"/>
  <c r="L109" i="2"/>
  <c r="L142" i="2"/>
  <c r="L136" i="2"/>
  <c r="L131" i="2"/>
  <c r="L126" i="2"/>
  <c r="L123" i="2"/>
  <c r="L114" i="2"/>
  <c r="L153" i="2"/>
  <c r="L137" i="2"/>
  <c r="L135" i="2"/>
  <c r="L119" i="2"/>
  <c r="L116" i="2"/>
  <c r="L122" i="2"/>
  <c r="L128" i="2"/>
  <c r="L111" i="2"/>
  <c r="L125" i="2"/>
  <c r="L115" i="2"/>
  <c r="L110" i="2"/>
  <c r="L130" i="2"/>
  <c r="L108" i="2"/>
  <c r="L149" i="2"/>
  <c r="L107" i="2"/>
  <c r="L132" i="2"/>
  <c r="L129" i="2"/>
  <c r="L118" i="2"/>
  <c r="L133" i="2"/>
  <c r="L124" i="2"/>
  <c r="L121" i="2"/>
  <c r="K113" i="2"/>
  <c r="K120" i="2"/>
  <c r="K127" i="2"/>
  <c r="P248" i="3"/>
  <c r="S241" i="3"/>
  <c r="O56" i="2"/>
  <c r="N762" i="2"/>
  <c r="N25" i="4"/>
  <c r="D834" i="2"/>
  <c r="E834" i="2"/>
  <c r="F834" i="2"/>
  <c r="G834" i="2"/>
  <c r="H834" i="2"/>
  <c r="I834" i="2"/>
  <c r="J834" i="2"/>
  <c r="K834" i="2"/>
  <c r="A835" i="2"/>
  <c r="BD835" i="2" s="1"/>
  <c r="C808" i="2"/>
  <c r="D808" i="2"/>
  <c r="E808" i="2"/>
  <c r="F808" i="2"/>
  <c r="G808" i="2"/>
  <c r="H808" i="2"/>
  <c r="I808" i="2"/>
  <c r="J808" i="2"/>
  <c r="A775" i="2"/>
  <c r="A809" i="2"/>
  <c r="L809" i="2" s="1"/>
  <c r="C774" i="2"/>
  <c r="D774" i="2"/>
  <c r="E774" i="2"/>
  <c r="F774" i="2"/>
  <c r="G774" i="2"/>
  <c r="H774" i="2"/>
  <c r="I774" i="2"/>
  <c r="J774" i="2"/>
  <c r="M834" i="2"/>
  <c r="L808" i="2"/>
  <c r="L807" i="2"/>
  <c r="L806" i="2"/>
  <c r="M833" i="2"/>
  <c r="L834" i="2"/>
  <c r="M59" i="2"/>
  <c r="L773" i="2"/>
  <c r="L770" i="2"/>
  <c r="L767" i="2"/>
  <c r="L764" i="2"/>
  <c r="L772" i="2"/>
  <c r="L769" i="2"/>
  <c r="L766" i="2"/>
  <c r="L774" i="2"/>
  <c r="L771" i="2"/>
  <c r="L768" i="2"/>
  <c r="L765" i="2"/>
  <c r="L763" i="2"/>
  <c r="G70" i="2"/>
  <c r="N189" i="2"/>
  <c r="L330" i="2"/>
  <c r="L474" i="2"/>
  <c r="L528" i="2"/>
  <c r="K68" i="2"/>
  <c r="L357" i="2"/>
  <c r="L384" i="2"/>
  <c r="L339" i="2"/>
  <c r="L321" i="2"/>
  <c r="L366" i="2"/>
  <c r="L348" i="2"/>
  <c r="L375" i="2"/>
  <c r="K75" i="2"/>
  <c r="K545" i="2" s="1"/>
  <c r="L501" i="2"/>
  <c r="L510" i="2"/>
  <c r="L519" i="2"/>
  <c r="L456" i="2"/>
  <c r="L492" i="2"/>
  <c r="L483" i="2"/>
  <c r="L465" i="2"/>
  <c r="L188" i="2"/>
  <c r="L187" i="2"/>
  <c r="L186" i="2"/>
  <c r="M190" i="2"/>
  <c r="K664" i="2" l="1"/>
  <c r="K285" i="2"/>
  <c r="K665" i="2"/>
  <c r="K286" i="2"/>
  <c r="L401" i="2"/>
  <c r="L410" i="2"/>
  <c r="N797" i="2"/>
  <c r="O824" i="2" s="1"/>
  <c r="N784" i="2"/>
  <c r="L699" i="2"/>
  <c r="L726" i="2"/>
  <c r="L702" i="2"/>
  <c r="L729" i="2"/>
  <c r="L705" i="2"/>
  <c r="L732" i="2"/>
  <c r="L698" i="2"/>
  <c r="L725" i="2"/>
  <c r="L700" i="2"/>
  <c r="L727" i="2"/>
  <c r="L703" i="2"/>
  <c r="L730" i="2"/>
  <c r="L701" i="2"/>
  <c r="L728" i="2"/>
  <c r="L704" i="2"/>
  <c r="L731" i="2"/>
  <c r="L688" i="2"/>
  <c r="L632" i="2"/>
  <c r="L680" i="2"/>
  <c r="L640" i="2"/>
  <c r="L648" i="2" s="1"/>
  <c r="L656" i="2"/>
  <c r="L681" i="2"/>
  <c r="L641" i="2"/>
  <c r="L649" i="2" s="1"/>
  <c r="L689" i="2"/>
  <c r="L633" i="2"/>
  <c r="L657" i="2"/>
  <c r="L682" i="2"/>
  <c r="L650" i="2"/>
  <c r="L626" i="2"/>
  <c r="L634" i="2"/>
  <c r="L642" i="2" s="1"/>
  <c r="L674" i="2"/>
  <c r="L435" i="2"/>
  <c r="L432" i="2"/>
  <c r="L430" i="2"/>
  <c r="L436" i="2"/>
  <c r="L433" i="2"/>
  <c r="L429" i="2"/>
  <c r="L431" i="2"/>
  <c r="L434" i="2"/>
  <c r="H134" i="2"/>
  <c r="I134" i="2"/>
  <c r="C134" i="2"/>
  <c r="F134" i="2"/>
  <c r="H159" i="2"/>
  <c r="G159" i="2"/>
  <c r="J159" i="2"/>
  <c r="K159" i="2"/>
  <c r="L159" i="2"/>
  <c r="C159" i="2"/>
  <c r="A160" i="2"/>
  <c r="K160" i="2" s="1"/>
  <c r="E159" i="2"/>
  <c r="I159" i="2"/>
  <c r="D159" i="2"/>
  <c r="L212" i="2"/>
  <c r="L198" i="2"/>
  <c r="D239" i="2"/>
  <c r="C239" i="2"/>
  <c r="E239" i="2"/>
  <c r="F239" i="2"/>
  <c r="G239" i="2"/>
  <c r="H239" i="2"/>
  <c r="H233" i="2" s="1"/>
  <c r="I239" i="2"/>
  <c r="J239" i="2"/>
  <c r="K239" i="2"/>
  <c r="L205" i="2"/>
  <c r="M244" i="2"/>
  <c r="M241" i="2"/>
  <c r="M237" i="2"/>
  <c r="M234" i="2"/>
  <c r="M230" i="2"/>
  <c r="M227" i="2"/>
  <c r="M243" i="2"/>
  <c r="M239" i="2"/>
  <c r="M236" i="2"/>
  <c r="M232" i="2"/>
  <c r="M229" i="2"/>
  <c r="M225" i="2"/>
  <c r="M245" i="2"/>
  <c r="M242" i="2"/>
  <c r="M238" i="2"/>
  <c r="M235" i="2"/>
  <c r="M231" i="2"/>
  <c r="M228" i="2"/>
  <c r="M223" i="2"/>
  <c r="M220" i="2"/>
  <c r="M216" i="2"/>
  <c r="M213" i="2"/>
  <c r="M209" i="2"/>
  <c r="M206" i="2"/>
  <c r="M202" i="2"/>
  <c r="M199" i="2"/>
  <c r="M195" i="2"/>
  <c r="M192" i="2"/>
  <c r="M222" i="2"/>
  <c r="M218" i="2"/>
  <c r="M215" i="2"/>
  <c r="M211" i="2"/>
  <c r="M208" i="2"/>
  <c r="M204" i="2"/>
  <c r="M201" i="2"/>
  <c r="M197" i="2"/>
  <c r="M194" i="2"/>
  <c r="M224" i="2"/>
  <c r="M221" i="2"/>
  <c r="M217" i="2"/>
  <c r="M214" i="2"/>
  <c r="M210" i="2"/>
  <c r="M207" i="2"/>
  <c r="M203" i="2"/>
  <c r="M200" i="2"/>
  <c r="M196" i="2"/>
  <c r="M193" i="2"/>
  <c r="L219" i="2"/>
  <c r="L191" i="2"/>
  <c r="L239" i="2"/>
  <c r="L233" i="2" s="1"/>
  <c r="L226" i="2"/>
  <c r="A246" i="2"/>
  <c r="C245" i="2"/>
  <c r="D245" i="2"/>
  <c r="E245" i="2"/>
  <c r="F245" i="2"/>
  <c r="G245" i="2"/>
  <c r="H245" i="2"/>
  <c r="I245" i="2"/>
  <c r="J245" i="2"/>
  <c r="K245" i="2"/>
  <c r="L106" i="2"/>
  <c r="L141" i="2"/>
  <c r="L134" i="2"/>
  <c r="M159" i="2"/>
  <c r="M156" i="2"/>
  <c r="M152" i="2"/>
  <c r="M149" i="2"/>
  <c r="M145" i="2"/>
  <c r="M142" i="2"/>
  <c r="M158" i="2"/>
  <c r="M154" i="2"/>
  <c r="M151" i="2"/>
  <c r="M147" i="2"/>
  <c r="M144" i="2"/>
  <c r="M140" i="2"/>
  <c r="M143" i="2"/>
  <c r="M139" i="2"/>
  <c r="M136" i="2"/>
  <c r="M132" i="2"/>
  <c r="M157" i="2"/>
  <c r="M150" i="2"/>
  <c r="M138" i="2"/>
  <c r="M146" i="2"/>
  <c r="M131" i="2"/>
  <c r="M126" i="2"/>
  <c r="M123" i="2"/>
  <c r="M114" i="2"/>
  <c r="M153" i="2"/>
  <c r="M137" i="2"/>
  <c r="M135" i="2"/>
  <c r="M130" i="2"/>
  <c r="M129" i="2"/>
  <c r="M125" i="2"/>
  <c r="M122" i="2"/>
  <c r="M108" i="2"/>
  <c r="M116" i="2"/>
  <c r="M115" i="2"/>
  <c r="M109" i="2"/>
  <c r="M112" i="2"/>
  <c r="M111" i="2"/>
  <c r="M110" i="2"/>
  <c r="M119" i="2"/>
  <c r="M128" i="2"/>
  <c r="M117" i="2"/>
  <c r="M107" i="2"/>
  <c r="M118" i="2"/>
  <c r="M133" i="2"/>
  <c r="M124" i="2"/>
  <c r="M121" i="2"/>
  <c r="D154" i="2"/>
  <c r="C154" i="2"/>
  <c r="E154" i="2"/>
  <c r="F154" i="2"/>
  <c r="G154" i="2"/>
  <c r="H154" i="2"/>
  <c r="I154" i="2"/>
  <c r="I148" i="2" s="1"/>
  <c r="J154" i="2"/>
  <c r="J148" i="2" s="1"/>
  <c r="K154" i="2"/>
  <c r="L127" i="2"/>
  <c r="L120" i="2"/>
  <c r="L154" i="2"/>
  <c r="L148" i="2" s="1"/>
  <c r="L113" i="2"/>
  <c r="Q248" i="3"/>
  <c r="T241" i="3"/>
  <c r="M835" i="2"/>
  <c r="A776" i="2"/>
  <c r="A810" i="2"/>
  <c r="M810" i="2" s="1"/>
  <c r="C775" i="2"/>
  <c r="D775" i="2"/>
  <c r="E775" i="2"/>
  <c r="F775" i="2"/>
  <c r="G775" i="2"/>
  <c r="H775" i="2"/>
  <c r="I775" i="2"/>
  <c r="J775" i="2"/>
  <c r="K775" i="2"/>
  <c r="A836" i="2"/>
  <c r="BD836" i="2" s="1"/>
  <c r="C809" i="2"/>
  <c r="D809" i="2"/>
  <c r="E809" i="2"/>
  <c r="F809" i="2"/>
  <c r="G809" i="2"/>
  <c r="H809" i="2"/>
  <c r="I809" i="2"/>
  <c r="J809" i="2"/>
  <c r="K809" i="2"/>
  <c r="D835" i="2"/>
  <c r="E835" i="2"/>
  <c r="F835" i="2"/>
  <c r="G835" i="2"/>
  <c r="H835" i="2"/>
  <c r="I835" i="2"/>
  <c r="J835" i="2"/>
  <c r="K835" i="2"/>
  <c r="L835" i="2"/>
  <c r="P56" i="2"/>
  <c r="O762" i="2"/>
  <c r="O25" i="4"/>
  <c r="N835" i="2"/>
  <c r="N834" i="2"/>
  <c r="M808" i="2"/>
  <c r="M807" i="2"/>
  <c r="M806" i="2"/>
  <c r="M809" i="2"/>
  <c r="N833" i="2"/>
  <c r="L775" i="2"/>
  <c r="N59" i="2"/>
  <c r="M773" i="2"/>
  <c r="M770" i="2"/>
  <c r="M767" i="2"/>
  <c r="M764" i="2"/>
  <c r="M775" i="2"/>
  <c r="M772" i="2"/>
  <c r="M769" i="2"/>
  <c r="M766" i="2"/>
  <c r="M774" i="2"/>
  <c r="M771" i="2"/>
  <c r="M768" i="2"/>
  <c r="M765" i="2"/>
  <c r="M763" i="2"/>
  <c r="O189" i="2"/>
  <c r="M330" i="2"/>
  <c r="M528" i="2"/>
  <c r="M474" i="2"/>
  <c r="L68" i="2"/>
  <c r="M321" i="2"/>
  <c r="M339" i="2"/>
  <c r="M366" i="2"/>
  <c r="M348" i="2"/>
  <c r="M357" i="2"/>
  <c r="M375" i="2"/>
  <c r="M384" i="2"/>
  <c r="L75" i="2"/>
  <c r="L545" i="2" s="1"/>
  <c r="M501" i="2"/>
  <c r="M510" i="2"/>
  <c r="M519" i="2"/>
  <c r="M492" i="2"/>
  <c r="M483" i="2"/>
  <c r="M465" i="2"/>
  <c r="M456" i="2"/>
  <c r="M188" i="2"/>
  <c r="M187" i="2"/>
  <c r="M186" i="2"/>
  <c r="N190" i="2"/>
  <c r="L658" i="2" l="1"/>
  <c r="L279" i="2"/>
  <c r="L665" i="2"/>
  <c r="L286" i="2"/>
  <c r="L664" i="2"/>
  <c r="L285" i="2"/>
  <c r="M401" i="2"/>
  <c r="M410" i="2"/>
  <c r="O797" i="2"/>
  <c r="P824" i="2" s="1"/>
  <c r="O784" i="2"/>
  <c r="M699" i="2"/>
  <c r="M726" i="2"/>
  <c r="M702" i="2"/>
  <c r="M729" i="2"/>
  <c r="M705" i="2"/>
  <c r="M732" i="2"/>
  <c r="M700" i="2"/>
  <c r="M727" i="2"/>
  <c r="M703" i="2"/>
  <c r="M730" i="2"/>
  <c r="M701" i="2"/>
  <c r="M728" i="2"/>
  <c r="M704" i="2"/>
  <c r="M731" i="2"/>
  <c r="M698" i="2"/>
  <c r="M725" i="2"/>
  <c r="M675" i="2"/>
  <c r="M683" i="2"/>
  <c r="M651" i="2"/>
  <c r="M627" i="2"/>
  <c r="M635" i="2"/>
  <c r="M643" i="2" s="1"/>
  <c r="M681" i="2"/>
  <c r="M689" i="2"/>
  <c r="M641" i="2"/>
  <c r="M649" i="2" s="1"/>
  <c r="M633" i="2"/>
  <c r="M657" i="2"/>
  <c r="M682" i="2"/>
  <c r="M650" i="2"/>
  <c r="M626" i="2"/>
  <c r="M634" i="2"/>
  <c r="M642" i="2" s="1"/>
  <c r="M674" i="2"/>
  <c r="M436" i="2"/>
  <c r="M429" i="2"/>
  <c r="M431" i="2"/>
  <c r="M433" i="2"/>
  <c r="M434" i="2"/>
  <c r="M432" i="2"/>
  <c r="M435" i="2"/>
  <c r="M430" i="2"/>
  <c r="E160" i="2"/>
  <c r="F160" i="2"/>
  <c r="I160" i="2"/>
  <c r="M160" i="2"/>
  <c r="J160" i="2"/>
  <c r="A161" i="2"/>
  <c r="I161" i="2" s="1"/>
  <c r="D160" i="2"/>
  <c r="G160" i="2"/>
  <c r="C160" i="2"/>
  <c r="H160" i="2"/>
  <c r="L160" i="2"/>
  <c r="M191" i="2"/>
  <c r="M212" i="2"/>
  <c r="M233" i="2"/>
  <c r="M205" i="2"/>
  <c r="M198" i="2"/>
  <c r="K233" i="2"/>
  <c r="F233" i="2"/>
  <c r="N244" i="2"/>
  <c r="N241" i="2"/>
  <c r="N237" i="2"/>
  <c r="N234" i="2"/>
  <c r="N230" i="2"/>
  <c r="N227" i="2"/>
  <c r="N246" i="2"/>
  <c r="N243" i="2"/>
  <c r="N239" i="2"/>
  <c r="N236" i="2"/>
  <c r="N232" i="2"/>
  <c r="N229" i="2"/>
  <c r="N225" i="2"/>
  <c r="N245" i="2"/>
  <c r="N242" i="2"/>
  <c r="N238" i="2"/>
  <c r="N235" i="2"/>
  <c r="N231" i="2"/>
  <c r="N228" i="2"/>
  <c r="N223" i="2"/>
  <c r="N220" i="2"/>
  <c r="N216" i="2"/>
  <c r="N213" i="2"/>
  <c r="N209" i="2"/>
  <c r="N206" i="2"/>
  <c r="N202" i="2"/>
  <c r="N199" i="2"/>
  <c r="N195" i="2"/>
  <c r="N192" i="2"/>
  <c r="N222" i="2"/>
  <c r="N218" i="2"/>
  <c r="N215" i="2"/>
  <c r="N211" i="2"/>
  <c r="N208" i="2"/>
  <c r="N204" i="2"/>
  <c r="N201" i="2"/>
  <c r="N197" i="2"/>
  <c r="N194" i="2"/>
  <c r="N224" i="2"/>
  <c r="N221" i="2"/>
  <c r="N217" i="2"/>
  <c r="N214" i="2"/>
  <c r="N210" i="2"/>
  <c r="N207" i="2"/>
  <c r="N203" i="2"/>
  <c r="N200" i="2"/>
  <c r="N196" i="2"/>
  <c r="N193" i="2"/>
  <c r="C233" i="2"/>
  <c r="D246" i="2"/>
  <c r="D240" i="2" s="1"/>
  <c r="C246" i="2"/>
  <c r="C247" i="2" s="1"/>
  <c r="E246" i="2"/>
  <c r="E247" i="2" s="1"/>
  <c r="F246" i="2"/>
  <c r="F247" i="2" s="1"/>
  <c r="G246" i="2"/>
  <c r="G240" i="2" s="1"/>
  <c r="H246" i="2"/>
  <c r="I246" i="2"/>
  <c r="I240" i="2" s="1"/>
  <c r="J246" i="2"/>
  <c r="J240" i="2" s="1"/>
  <c r="K246" i="2"/>
  <c r="K240" i="2" s="1"/>
  <c r="L246" i="2"/>
  <c r="M246" i="2"/>
  <c r="M247" i="2" s="1"/>
  <c r="J233" i="2"/>
  <c r="M219" i="2"/>
  <c r="I233" i="2"/>
  <c r="E233" i="2"/>
  <c r="D233" i="2"/>
  <c r="M226" i="2"/>
  <c r="G233" i="2"/>
  <c r="F148" i="2"/>
  <c r="E148" i="2"/>
  <c r="D148" i="2"/>
  <c r="H148" i="2"/>
  <c r="K148" i="2"/>
  <c r="G148" i="2"/>
  <c r="C148" i="2"/>
  <c r="M106" i="2"/>
  <c r="N159" i="2"/>
  <c r="N156" i="2"/>
  <c r="N152" i="2"/>
  <c r="N149" i="2"/>
  <c r="N145" i="2"/>
  <c r="N142" i="2"/>
  <c r="N158" i="2"/>
  <c r="N154" i="2"/>
  <c r="N151" i="2"/>
  <c r="N147" i="2"/>
  <c r="N144" i="2"/>
  <c r="N140" i="2"/>
  <c r="N143" i="2"/>
  <c r="N139" i="2"/>
  <c r="N136" i="2"/>
  <c r="N132" i="2"/>
  <c r="N157" i="2"/>
  <c r="N150" i="2"/>
  <c r="N138" i="2"/>
  <c r="N146" i="2"/>
  <c r="N131" i="2"/>
  <c r="N126" i="2"/>
  <c r="N123" i="2"/>
  <c r="N114" i="2"/>
  <c r="N153" i="2"/>
  <c r="N137" i="2"/>
  <c r="N135" i="2"/>
  <c r="N119" i="2"/>
  <c r="N116" i="2"/>
  <c r="N111" i="2"/>
  <c r="N108" i="2"/>
  <c r="N130" i="2"/>
  <c r="N129" i="2"/>
  <c r="N125" i="2"/>
  <c r="N133" i="2"/>
  <c r="N117" i="2"/>
  <c r="N115" i="2"/>
  <c r="N109" i="2"/>
  <c r="N121" i="2"/>
  <c r="N112" i="2"/>
  <c r="N110" i="2"/>
  <c r="N122" i="2"/>
  <c r="N160" i="2"/>
  <c r="N128" i="2"/>
  <c r="N107" i="2"/>
  <c r="N118" i="2"/>
  <c r="N124" i="2"/>
  <c r="M141" i="2"/>
  <c r="M134" i="2"/>
  <c r="M148" i="2"/>
  <c r="M113" i="2"/>
  <c r="M127" i="2"/>
  <c r="M120" i="2"/>
  <c r="R248" i="3"/>
  <c r="U241" i="3"/>
  <c r="D836" i="2"/>
  <c r="E836" i="2"/>
  <c r="F836" i="2"/>
  <c r="G836" i="2"/>
  <c r="H836" i="2"/>
  <c r="I836" i="2"/>
  <c r="J836" i="2"/>
  <c r="K836" i="2"/>
  <c r="L836" i="2"/>
  <c r="M836" i="2"/>
  <c r="A777" i="2"/>
  <c r="N777" i="2" s="1"/>
  <c r="A811" i="2"/>
  <c r="N811" i="2" s="1"/>
  <c r="C776" i="2"/>
  <c r="D776" i="2"/>
  <c r="E776" i="2"/>
  <c r="F776" i="2"/>
  <c r="G776" i="2"/>
  <c r="H776" i="2"/>
  <c r="I776" i="2"/>
  <c r="J776" i="2"/>
  <c r="K776" i="2"/>
  <c r="L776" i="2"/>
  <c r="N836" i="2"/>
  <c r="O834" i="2"/>
  <c r="O836" i="2"/>
  <c r="N808" i="2"/>
  <c r="N807" i="2"/>
  <c r="N806" i="2"/>
  <c r="N809" i="2"/>
  <c r="O835" i="2"/>
  <c r="O833" i="2"/>
  <c r="N810" i="2"/>
  <c r="M776" i="2"/>
  <c r="Q56" i="2"/>
  <c r="P762" i="2"/>
  <c r="P25" i="4"/>
  <c r="A837" i="2"/>
  <c r="BD837" i="2" s="1"/>
  <c r="C810" i="2"/>
  <c r="D810" i="2"/>
  <c r="E810" i="2"/>
  <c r="F810" i="2"/>
  <c r="G810" i="2"/>
  <c r="H810" i="2"/>
  <c r="I810" i="2"/>
  <c r="J810" i="2"/>
  <c r="K810" i="2"/>
  <c r="L810" i="2"/>
  <c r="O59" i="2"/>
  <c r="N775" i="2"/>
  <c r="N772" i="2"/>
  <c r="N769" i="2"/>
  <c r="N766" i="2"/>
  <c r="N774" i="2"/>
  <c r="N771" i="2"/>
  <c r="N768" i="2"/>
  <c r="N765" i="2"/>
  <c r="N776" i="2"/>
  <c r="N773" i="2"/>
  <c r="N770" i="2"/>
  <c r="N763" i="2"/>
  <c r="N767" i="2"/>
  <c r="N764" i="2"/>
  <c r="P189" i="2"/>
  <c r="N330" i="2"/>
  <c r="N528" i="2"/>
  <c r="N474" i="2"/>
  <c r="M68" i="2"/>
  <c r="N348" i="2"/>
  <c r="N366" i="2"/>
  <c r="N375" i="2"/>
  <c r="N339" i="2"/>
  <c r="N357" i="2"/>
  <c r="N321" i="2"/>
  <c r="N384" i="2"/>
  <c r="M75" i="2"/>
  <c r="M545" i="2" s="1"/>
  <c r="N501" i="2"/>
  <c r="N519" i="2"/>
  <c r="N510" i="2"/>
  <c r="N465" i="2"/>
  <c r="N456" i="2"/>
  <c r="N492" i="2"/>
  <c r="N483" i="2"/>
  <c r="N187" i="2"/>
  <c r="N188" i="2"/>
  <c r="N186" i="2"/>
  <c r="O190" i="2"/>
  <c r="N410" i="2" l="1"/>
  <c r="M659" i="2"/>
  <c r="M280" i="2"/>
  <c r="M658" i="2"/>
  <c r="M279" i="2"/>
  <c r="M665" i="2"/>
  <c r="M286" i="2"/>
  <c r="N401" i="2"/>
  <c r="P797" i="2"/>
  <c r="Q824" i="2" s="1"/>
  <c r="P784" i="2"/>
  <c r="N702" i="2"/>
  <c r="N729" i="2"/>
  <c r="N704" i="2"/>
  <c r="N731" i="2"/>
  <c r="N699" i="2"/>
  <c r="N726" i="2"/>
  <c r="N698" i="2"/>
  <c r="N725" i="2"/>
  <c r="N705" i="2"/>
  <c r="N732" i="2"/>
  <c r="N700" i="2"/>
  <c r="N727" i="2"/>
  <c r="N703" i="2"/>
  <c r="N730" i="2"/>
  <c r="N701" i="2"/>
  <c r="N728" i="2"/>
  <c r="N683" i="2"/>
  <c r="N635" i="2"/>
  <c r="N643" i="2" s="1"/>
  <c r="N627" i="2"/>
  <c r="N675" i="2"/>
  <c r="N651" i="2"/>
  <c r="N684" i="2"/>
  <c r="N676" i="2"/>
  <c r="N636" i="2"/>
  <c r="N644" i="2" s="1"/>
  <c r="N628" i="2"/>
  <c r="N652" i="2"/>
  <c r="N674" i="2"/>
  <c r="N650" i="2"/>
  <c r="N626" i="2"/>
  <c r="N634" i="2"/>
  <c r="N642" i="2" s="1"/>
  <c r="N682" i="2"/>
  <c r="N434" i="2"/>
  <c r="N429" i="2"/>
  <c r="N436" i="2"/>
  <c r="N431" i="2"/>
  <c r="N432" i="2"/>
  <c r="N435" i="2"/>
  <c r="N430" i="2"/>
  <c r="N433" i="2"/>
  <c r="M161" i="2"/>
  <c r="M155" i="2" s="1"/>
  <c r="M94" i="2" s="1"/>
  <c r="M95" i="2" s="1"/>
  <c r="I155" i="2"/>
  <c r="I94" i="2" s="1"/>
  <c r="I95" i="2" s="1"/>
  <c r="N161" i="2"/>
  <c r="N155" i="2" s="1"/>
  <c r="L161" i="2"/>
  <c r="L155" i="2" s="1"/>
  <c r="L94" i="2" s="1"/>
  <c r="L95" i="2" s="1"/>
  <c r="F161" i="2"/>
  <c r="F155" i="2" s="1"/>
  <c r="F94" i="2" s="1"/>
  <c r="F95" i="2" s="1"/>
  <c r="K161" i="2"/>
  <c r="I162" i="2"/>
  <c r="D161" i="2"/>
  <c r="D162" i="2" s="1"/>
  <c r="G161" i="2"/>
  <c r="J161" i="2"/>
  <c r="J155" i="2" s="1"/>
  <c r="J94" i="2" s="1"/>
  <c r="J95" i="2" s="1"/>
  <c r="C161" i="2"/>
  <c r="C155" i="2" s="1"/>
  <c r="C94" i="2" s="1"/>
  <c r="C95" i="2" s="1"/>
  <c r="H161" i="2"/>
  <c r="E161" i="2"/>
  <c r="M240" i="2"/>
  <c r="G247" i="2"/>
  <c r="N226" i="2"/>
  <c r="N191" i="2"/>
  <c r="N233" i="2"/>
  <c r="G93" i="2"/>
  <c r="C240" i="2"/>
  <c r="C93" i="2" s="1"/>
  <c r="D247" i="2"/>
  <c r="N198" i="2"/>
  <c r="D93" i="2"/>
  <c r="F240" i="2"/>
  <c r="F93" i="2" s="1"/>
  <c r="N212" i="2"/>
  <c r="K247" i="2"/>
  <c r="K93" i="2"/>
  <c r="I93" i="2"/>
  <c r="H240" i="2"/>
  <c r="H93" i="2" s="1"/>
  <c r="H247" i="2"/>
  <c r="N247" i="2"/>
  <c r="L240" i="2"/>
  <c r="L93" i="2" s="1"/>
  <c r="L247" i="2"/>
  <c r="E240" i="2"/>
  <c r="E93" i="2" s="1"/>
  <c r="J93" i="2"/>
  <c r="I247" i="2"/>
  <c r="N219" i="2"/>
  <c r="N240" i="2"/>
  <c r="N205" i="2"/>
  <c r="O246" i="2"/>
  <c r="O243" i="2"/>
  <c r="O239" i="2"/>
  <c r="O236" i="2"/>
  <c r="O232" i="2"/>
  <c r="O229" i="2"/>
  <c r="O225" i="2"/>
  <c r="O245" i="2"/>
  <c r="O242" i="2"/>
  <c r="O238" i="2"/>
  <c r="O235" i="2"/>
  <c r="O231" i="2"/>
  <c r="O228" i="2"/>
  <c r="O244" i="2"/>
  <c r="O241" i="2"/>
  <c r="O237" i="2"/>
  <c r="O234" i="2"/>
  <c r="O230" i="2"/>
  <c r="O227" i="2"/>
  <c r="O222" i="2"/>
  <c r="O218" i="2"/>
  <c r="O215" i="2"/>
  <c r="O211" i="2"/>
  <c r="O208" i="2"/>
  <c r="O204" i="2"/>
  <c r="O201" i="2"/>
  <c r="O197" i="2"/>
  <c r="O194" i="2"/>
  <c r="O224" i="2"/>
  <c r="O221" i="2"/>
  <c r="O217" i="2"/>
  <c r="O214" i="2"/>
  <c r="O210" i="2"/>
  <c r="O207" i="2"/>
  <c r="O203" i="2"/>
  <c r="O200" i="2"/>
  <c r="O196" i="2"/>
  <c r="O193" i="2"/>
  <c r="O223" i="2"/>
  <c r="O220" i="2"/>
  <c r="O216" i="2"/>
  <c r="O213" i="2"/>
  <c r="O209" i="2"/>
  <c r="O206" i="2"/>
  <c r="O202" i="2"/>
  <c r="O199" i="2"/>
  <c r="O195" i="2"/>
  <c r="O192" i="2"/>
  <c r="J247" i="2"/>
  <c r="N134" i="2"/>
  <c r="N141" i="2"/>
  <c r="N120" i="2"/>
  <c r="N113" i="2"/>
  <c r="O160" i="2"/>
  <c r="O157" i="2"/>
  <c r="O153" i="2"/>
  <c r="O150" i="2"/>
  <c r="O145" i="2"/>
  <c r="O158" i="2"/>
  <c r="O151" i="2"/>
  <c r="O140" i="2"/>
  <c r="O138" i="2"/>
  <c r="O135" i="2"/>
  <c r="O131" i="2"/>
  <c r="O146" i="2"/>
  <c r="O156" i="2"/>
  <c r="O149" i="2"/>
  <c r="O114" i="2"/>
  <c r="O154" i="2"/>
  <c r="O142" i="2"/>
  <c r="O137" i="2"/>
  <c r="O136" i="2"/>
  <c r="O130" i="2"/>
  <c r="O129" i="2"/>
  <c r="O125" i="2"/>
  <c r="O122" i="2"/>
  <c r="O152" i="2"/>
  <c r="O161" i="2"/>
  <c r="O128" i="2"/>
  <c r="O159" i="2"/>
  <c r="O143" i="2"/>
  <c r="O139" i="2"/>
  <c r="O126" i="2"/>
  <c r="O115" i="2"/>
  <c r="O109" i="2"/>
  <c r="O144" i="2"/>
  <c r="O121" i="2"/>
  <c r="O124" i="2"/>
  <c r="O107" i="2"/>
  <c r="O147" i="2"/>
  <c r="O111" i="2"/>
  <c r="O110" i="2"/>
  <c r="O116" i="2"/>
  <c r="O119" i="2"/>
  <c r="O123" i="2"/>
  <c r="O118" i="2"/>
  <c r="O117" i="2"/>
  <c r="O108" i="2"/>
  <c r="O112" i="2"/>
  <c r="O133" i="2"/>
  <c r="O132" i="2"/>
  <c r="N127" i="2"/>
  <c r="N106" i="2"/>
  <c r="N148" i="2"/>
  <c r="S248" i="3"/>
  <c r="V241" i="3"/>
  <c r="O837" i="2"/>
  <c r="P837" i="2"/>
  <c r="P835" i="2"/>
  <c r="O811" i="2"/>
  <c r="O808" i="2"/>
  <c r="O807" i="2"/>
  <c r="O806" i="2"/>
  <c r="P834" i="2"/>
  <c r="O809" i="2"/>
  <c r="P836" i="2"/>
  <c r="P833" i="2"/>
  <c r="O810" i="2"/>
  <c r="A778" i="2"/>
  <c r="O778" i="2" s="1"/>
  <c r="A812" i="2"/>
  <c r="O812" i="2" s="1"/>
  <c r="C777" i="2"/>
  <c r="D777" i="2"/>
  <c r="E777" i="2"/>
  <c r="F777" i="2"/>
  <c r="G777" i="2"/>
  <c r="H777" i="2"/>
  <c r="I777" i="2"/>
  <c r="J777" i="2"/>
  <c r="K777" i="2"/>
  <c r="L777" i="2"/>
  <c r="M777" i="2"/>
  <c r="A838" i="2"/>
  <c r="BD838" i="2" s="1"/>
  <c r="C811" i="2"/>
  <c r="D811" i="2"/>
  <c r="E811" i="2"/>
  <c r="F811" i="2"/>
  <c r="G811" i="2"/>
  <c r="H811" i="2"/>
  <c r="I811" i="2"/>
  <c r="J811" i="2"/>
  <c r="K811" i="2"/>
  <c r="L811" i="2"/>
  <c r="M811" i="2"/>
  <c r="D837" i="2"/>
  <c r="E837" i="2"/>
  <c r="F837" i="2"/>
  <c r="G837" i="2"/>
  <c r="H837" i="2"/>
  <c r="I837" i="2"/>
  <c r="J837" i="2"/>
  <c r="K837" i="2"/>
  <c r="L837" i="2"/>
  <c r="M837" i="2"/>
  <c r="N837" i="2"/>
  <c r="R56" i="2"/>
  <c r="Q762" i="2"/>
  <c r="Q25" i="4"/>
  <c r="P59" i="2"/>
  <c r="O777" i="2"/>
  <c r="O774" i="2"/>
  <c r="O771" i="2"/>
  <c r="O768" i="2"/>
  <c r="O765" i="2"/>
  <c r="O776" i="2"/>
  <c r="O773" i="2"/>
  <c r="O770" i="2"/>
  <c r="O767" i="2"/>
  <c r="O764" i="2"/>
  <c r="O772" i="2"/>
  <c r="O769" i="2"/>
  <c r="O766" i="2"/>
  <c r="O763" i="2"/>
  <c r="O775" i="2"/>
  <c r="Q189" i="2"/>
  <c r="O330" i="2"/>
  <c r="O528" i="2"/>
  <c r="O474" i="2"/>
  <c r="N68" i="2"/>
  <c r="O339" i="2"/>
  <c r="O366" i="2"/>
  <c r="O375" i="2"/>
  <c r="O348" i="2"/>
  <c r="O357" i="2"/>
  <c r="O384" i="2"/>
  <c r="O321" i="2"/>
  <c r="N75" i="2"/>
  <c r="O519" i="2"/>
  <c r="O492" i="2"/>
  <c r="O465" i="2"/>
  <c r="O483" i="2"/>
  <c r="O456" i="2"/>
  <c r="O501" i="2"/>
  <c r="O510" i="2"/>
  <c r="O187" i="2"/>
  <c r="O188" i="2"/>
  <c r="O186" i="2"/>
  <c r="P190" i="2"/>
  <c r="N658" i="2" l="1"/>
  <c r="N279" i="2"/>
  <c r="N660" i="2"/>
  <c r="N281" i="2"/>
  <c r="N659" i="2"/>
  <c r="N280" i="2"/>
  <c r="O410" i="2"/>
  <c r="O401" i="2"/>
  <c r="E248" i="2"/>
  <c r="F248" i="2"/>
  <c r="C248" i="2"/>
  <c r="J248" i="2"/>
  <c r="G248" i="2"/>
  <c r="K248" i="2"/>
  <c r="D248" i="2"/>
  <c r="I163" i="2"/>
  <c r="I248" i="2"/>
  <c r="H248" i="2"/>
  <c r="L248" i="2"/>
  <c r="Q797" i="2"/>
  <c r="R824" i="2" s="1"/>
  <c r="Q784" i="2"/>
  <c r="O699" i="2"/>
  <c r="O726" i="2"/>
  <c r="O698" i="2"/>
  <c r="O725" i="2"/>
  <c r="O701" i="2"/>
  <c r="O728" i="2"/>
  <c r="O704" i="2"/>
  <c r="O731" i="2"/>
  <c r="O702" i="2"/>
  <c r="O729" i="2"/>
  <c r="O700" i="2"/>
  <c r="O727" i="2"/>
  <c r="O705" i="2"/>
  <c r="O732" i="2"/>
  <c r="O703" i="2"/>
  <c r="O730" i="2"/>
  <c r="O689" i="2"/>
  <c r="O657" i="2"/>
  <c r="O633" i="2"/>
  <c r="O641" i="2"/>
  <c r="O649" i="2" s="1"/>
  <c r="O681" i="2"/>
  <c r="O687" i="2"/>
  <c r="O679" i="2"/>
  <c r="O655" i="2"/>
  <c r="O631" i="2"/>
  <c r="O639" i="2"/>
  <c r="O647" i="2" s="1"/>
  <c r="O680" i="2"/>
  <c r="O656" i="2"/>
  <c r="O640" i="2"/>
  <c r="O648" i="2" s="1"/>
  <c r="O688" i="2"/>
  <c r="O632" i="2"/>
  <c r="O430" i="2"/>
  <c r="O433" i="2"/>
  <c r="O436" i="2"/>
  <c r="O431" i="2"/>
  <c r="O434" i="2"/>
  <c r="O429" i="2"/>
  <c r="O432" i="2"/>
  <c r="O435" i="2"/>
  <c r="D92" i="2"/>
  <c r="D90" i="2" s="1"/>
  <c r="C92" i="2"/>
  <c r="C90" i="2" s="1"/>
  <c r="C96" i="2" s="1"/>
  <c r="G92" i="2"/>
  <c r="G90" i="2" s="1"/>
  <c r="M162" i="2"/>
  <c r="M163" i="2" s="1"/>
  <c r="H162" i="2"/>
  <c r="G155" i="2"/>
  <c r="G94" i="2" s="1"/>
  <c r="G95" i="2" s="1"/>
  <c r="K155" i="2"/>
  <c r="K94" i="2" s="1"/>
  <c r="K95" i="2" s="1"/>
  <c r="N162" i="2"/>
  <c r="K77" i="2"/>
  <c r="N545" i="2"/>
  <c r="D155" i="2"/>
  <c r="D94" i="2" s="1"/>
  <c r="D95" i="2" s="1"/>
  <c r="H155" i="2"/>
  <c r="H94" i="2" s="1"/>
  <c r="H95" i="2" s="1"/>
  <c r="G162" i="2"/>
  <c r="J162" i="2"/>
  <c r="J163" i="2" s="1"/>
  <c r="K162" i="2"/>
  <c r="F162" i="2"/>
  <c r="F163" i="2" s="1"/>
  <c r="L162" i="2"/>
  <c r="L163" i="2" s="1"/>
  <c r="E162" i="2"/>
  <c r="E155" i="2"/>
  <c r="E94" i="2" s="1"/>
  <c r="E95" i="2" s="1"/>
  <c r="C162" i="2"/>
  <c r="C163" i="2" s="1"/>
  <c r="O205" i="2"/>
  <c r="O226" i="2"/>
  <c r="O240" i="2"/>
  <c r="E92" i="2"/>
  <c r="E90" i="2" s="1"/>
  <c r="J92" i="2"/>
  <c r="J90" i="2" s="1"/>
  <c r="O247" i="2"/>
  <c r="K92" i="2"/>
  <c r="K90" i="2" s="1"/>
  <c r="P246" i="2"/>
  <c r="P243" i="2"/>
  <c r="P239" i="2"/>
  <c r="P236" i="2"/>
  <c r="P232" i="2"/>
  <c r="P229" i="2"/>
  <c r="P225" i="2"/>
  <c r="P245" i="2"/>
  <c r="P242" i="2"/>
  <c r="P238" i="2"/>
  <c r="P235" i="2"/>
  <c r="P231" i="2"/>
  <c r="P228" i="2"/>
  <c r="P244" i="2"/>
  <c r="P241" i="2"/>
  <c r="P237" i="2"/>
  <c r="P234" i="2"/>
  <c r="P230" i="2"/>
  <c r="P227" i="2"/>
  <c r="P222" i="2"/>
  <c r="P218" i="2"/>
  <c r="P215" i="2"/>
  <c r="P211" i="2"/>
  <c r="P208" i="2"/>
  <c r="P204" i="2"/>
  <c r="P201" i="2"/>
  <c r="P197" i="2"/>
  <c r="P194" i="2"/>
  <c r="P224" i="2"/>
  <c r="P221" i="2"/>
  <c r="P217" i="2"/>
  <c r="P214" i="2"/>
  <c r="P210" i="2"/>
  <c r="P207" i="2"/>
  <c r="P203" i="2"/>
  <c r="P200" i="2"/>
  <c r="P196" i="2"/>
  <c r="P193" i="2"/>
  <c r="P223" i="2"/>
  <c r="P220" i="2"/>
  <c r="P216" i="2"/>
  <c r="P213" i="2"/>
  <c r="P209" i="2"/>
  <c r="P206" i="2"/>
  <c r="P202" i="2"/>
  <c r="P199" i="2"/>
  <c r="P195" i="2"/>
  <c r="P192" i="2"/>
  <c r="O198" i="2"/>
  <c r="O191" i="2"/>
  <c r="O212" i="2"/>
  <c r="H92" i="2"/>
  <c r="H90" i="2" s="1"/>
  <c r="I92" i="2"/>
  <c r="I90" i="2" s="1"/>
  <c r="F92" i="2"/>
  <c r="F90" i="2" s="1"/>
  <c r="O219" i="2"/>
  <c r="O233" i="2"/>
  <c r="L92" i="2"/>
  <c r="L90" i="2" s="1"/>
  <c r="M93" i="2"/>
  <c r="N94" i="2"/>
  <c r="N95" i="2" s="1"/>
  <c r="O162" i="2"/>
  <c r="O134" i="2"/>
  <c r="O106" i="2"/>
  <c r="O141" i="2"/>
  <c r="O155" i="2"/>
  <c r="O120" i="2"/>
  <c r="O113" i="2"/>
  <c r="P160" i="2"/>
  <c r="P157" i="2"/>
  <c r="P153" i="2"/>
  <c r="P150" i="2"/>
  <c r="P146" i="2"/>
  <c r="P143" i="2"/>
  <c r="P158" i="2"/>
  <c r="P151" i="2"/>
  <c r="P140" i="2"/>
  <c r="P138" i="2"/>
  <c r="P156" i="2"/>
  <c r="P149" i="2"/>
  <c r="P144" i="2"/>
  <c r="P154" i="2"/>
  <c r="P142" i="2"/>
  <c r="P137" i="2"/>
  <c r="P136" i="2"/>
  <c r="P119" i="2"/>
  <c r="P116" i="2"/>
  <c r="P111" i="2"/>
  <c r="P108" i="2"/>
  <c r="P135" i="2"/>
  <c r="P130" i="2"/>
  <c r="P129" i="2"/>
  <c r="P125" i="2"/>
  <c r="P122" i="2"/>
  <c r="P152" i="2"/>
  <c r="P145" i="2"/>
  <c r="P133" i="2"/>
  <c r="P118" i="2"/>
  <c r="P115" i="2"/>
  <c r="P159" i="2"/>
  <c r="P139" i="2"/>
  <c r="P126" i="2"/>
  <c r="P109" i="2"/>
  <c r="P131" i="2"/>
  <c r="P121" i="2"/>
  <c r="P124" i="2"/>
  <c r="P107" i="2"/>
  <c r="P114" i="2"/>
  <c r="P161" i="2"/>
  <c r="P117" i="2"/>
  <c r="P128" i="2"/>
  <c r="P123" i="2"/>
  <c r="P112" i="2"/>
  <c r="P132" i="2"/>
  <c r="P147" i="2"/>
  <c r="P110" i="2"/>
  <c r="O127" i="2"/>
  <c r="O148" i="2"/>
  <c r="N93" i="2"/>
  <c r="T248" i="3"/>
  <c r="W241" i="3"/>
  <c r="P838" i="2"/>
  <c r="A839" i="2"/>
  <c r="BD839" i="2" s="1"/>
  <c r="C812" i="2"/>
  <c r="D812" i="2"/>
  <c r="E812" i="2"/>
  <c r="F812" i="2"/>
  <c r="G812" i="2"/>
  <c r="H812" i="2"/>
  <c r="I812" i="2"/>
  <c r="J812" i="2"/>
  <c r="K812" i="2"/>
  <c r="L812" i="2"/>
  <c r="M812" i="2"/>
  <c r="N812" i="2"/>
  <c r="Q836" i="2"/>
  <c r="Q833" i="2"/>
  <c r="Q835" i="2"/>
  <c r="Q838" i="2"/>
  <c r="P812" i="2"/>
  <c r="Q837" i="2"/>
  <c r="Q834" i="2"/>
  <c r="P807" i="2"/>
  <c r="P806" i="2"/>
  <c r="P809" i="2"/>
  <c r="P808" i="2"/>
  <c r="P810" i="2"/>
  <c r="P811" i="2"/>
  <c r="D838" i="2"/>
  <c r="E838" i="2"/>
  <c r="F838" i="2"/>
  <c r="G838" i="2"/>
  <c r="H838" i="2"/>
  <c r="I838" i="2"/>
  <c r="J838" i="2"/>
  <c r="K838" i="2"/>
  <c r="L838" i="2"/>
  <c r="M838" i="2"/>
  <c r="N838" i="2"/>
  <c r="O838" i="2"/>
  <c r="S56" i="2"/>
  <c r="R762" i="2"/>
  <c r="R25" i="4"/>
  <c r="A779" i="2"/>
  <c r="P779" i="2" s="1"/>
  <c r="A813" i="2"/>
  <c r="C778" i="2"/>
  <c r="D778" i="2"/>
  <c r="E778" i="2"/>
  <c r="F778" i="2"/>
  <c r="G778" i="2"/>
  <c r="H778" i="2"/>
  <c r="I778" i="2"/>
  <c r="J778" i="2"/>
  <c r="K778" i="2"/>
  <c r="L778" i="2"/>
  <c r="M778" i="2"/>
  <c r="N778" i="2"/>
  <c r="P778" i="2"/>
  <c r="P775" i="2"/>
  <c r="P772" i="2"/>
  <c r="P769" i="2"/>
  <c r="P766" i="2"/>
  <c r="P777" i="2"/>
  <c r="P774" i="2"/>
  <c r="P771" i="2"/>
  <c r="P768" i="2"/>
  <c r="P765" i="2"/>
  <c r="P776" i="2"/>
  <c r="P773" i="2"/>
  <c r="P770" i="2"/>
  <c r="P767" i="2"/>
  <c r="P764" i="2"/>
  <c r="P763" i="2"/>
  <c r="Q59" i="2"/>
  <c r="R189" i="2"/>
  <c r="K70" i="2"/>
  <c r="P330" i="2"/>
  <c r="P528" i="2"/>
  <c r="P474" i="2"/>
  <c r="O68" i="2"/>
  <c r="P339" i="2"/>
  <c r="P366" i="2"/>
  <c r="P348" i="2"/>
  <c r="P375" i="2"/>
  <c r="P384" i="2"/>
  <c r="P321" i="2"/>
  <c r="P357" i="2"/>
  <c r="O75" i="2"/>
  <c r="P519" i="2"/>
  <c r="P492" i="2"/>
  <c r="P465" i="2"/>
  <c r="P483" i="2"/>
  <c r="P456" i="2"/>
  <c r="P501" i="2"/>
  <c r="P510" i="2"/>
  <c r="P188" i="2"/>
  <c r="P187" i="2"/>
  <c r="P186" i="2"/>
  <c r="Q190" i="2"/>
  <c r="O663" i="2" l="1"/>
  <c r="O284" i="2"/>
  <c r="O665" i="2"/>
  <c r="O286" i="2"/>
  <c r="O664" i="2"/>
  <c r="O285" i="2"/>
  <c r="P401" i="2"/>
  <c r="P410" i="2"/>
  <c r="K163" i="2"/>
  <c r="G163" i="2"/>
  <c r="M248" i="2"/>
  <c r="N248" i="2"/>
  <c r="E163" i="2"/>
  <c r="N163" i="2"/>
  <c r="H163" i="2"/>
  <c r="D163" i="2"/>
  <c r="R797" i="2"/>
  <c r="S824" i="2" s="1"/>
  <c r="R784" i="2"/>
  <c r="P700" i="2"/>
  <c r="P727" i="2"/>
  <c r="P703" i="2"/>
  <c r="P730" i="2"/>
  <c r="P701" i="2"/>
  <c r="P728" i="2"/>
  <c r="P698" i="2"/>
  <c r="P725" i="2"/>
  <c r="P704" i="2"/>
  <c r="P731" i="2"/>
  <c r="P699" i="2"/>
  <c r="P726" i="2"/>
  <c r="P702" i="2"/>
  <c r="P729" i="2"/>
  <c r="P705" i="2"/>
  <c r="P732" i="2"/>
  <c r="P641" i="2"/>
  <c r="P649" i="2" s="1"/>
  <c r="P689" i="2"/>
  <c r="P657" i="2"/>
  <c r="P633" i="2"/>
  <c r="P681" i="2"/>
  <c r="P680" i="2"/>
  <c r="P688" i="2"/>
  <c r="P656" i="2"/>
  <c r="P640" i="2"/>
  <c r="P648" i="2" s="1"/>
  <c r="P632" i="2"/>
  <c r="P436" i="2"/>
  <c r="P429" i="2"/>
  <c r="P435" i="2"/>
  <c r="P433" i="2"/>
  <c r="P432" i="2"/>
  <c r="P430" i="2"/>
  <c r="P431" i="2"/>
  <c r="P434" i="2"/>
  <c r="D96" i="2"/>
  <c r="D100" i="2" s="1"/>
  <c r="G96" i="2"/>
  <c r="G100" i="2" s="1"/>
  <c r="C76" i="2"/>
  <c r="O545" i="2"/>
  <c r="P205" i="2"/>
  <c r="P226" i="2"/>
  <c r="H96" i="2"/>
  <c r="H100" i="2" s="1"/>
  <c r="P191" i="2"/>
  <c r="E96" i="2"/>
  <c r="E100" i="2" s="1"/>
  <c r="K96" i="2"/>
  <c r="K100" i="2" s="1"/>
  <c r="F96" i="2"/>
  <c r="F100" i="2" s="1"/>
  <c r="J96" i="2"/>
  <c r="J100" i="2" s="1"/>
  <c r="P198" i="2"/>
  <c r="P219" i="2"/>
  <c r="P233" i="2"/>
  <c r="Q246" i="2"/>
  <c r="Q243" i="2"/>
  <c r="Q239" i="2"/>
  <c r="Q236" i="2"/>
  <c r="Q232" i="2"/>
  <c r="Q229" i="2"/>
  <c r="Q225" i="2"/>
  <c r="Q245" i="2"/>
  <c r="Q242" i="2"/>
  <c r="Q238" i="2"/>
  <c r="Q235" i="2"/>
  <c r="Q231" i="2"/>
  <c r="Q228" i="2"/>
  <c r="Q244" i="2"/>
  <c r="Q241" i="2"/>
  <c r="Q237" i="2"/>
  <c r="Q234" i="2"/>
  <c r="Q230" i="2"/>
  <c r="Q227" i="2"/>
  <c r="Q222" i="2"/>
  <c r="Q218" i="2"/>
  <c r="Q215" i="2"/>
  <c r="Q211" i="2"/>
  <c r="Q208" i="2"/>
  <c r="Q204" i="2"/>
  <c r="Q201" i="2"/>
  <c r="Q197" i="2"/>
  <c r="Q194" i="2"/>
  <c r="Q224" i="2"/>
  <c r="Q221" i="2"/>
  <c r="Q217" i="2"/>
  <c r="Q214" i="2"/>
  <c r="Q210" i="2"/>
  <c r="Q207" i="2"/>
  <c r="Q203" i="2"/>
  <c r="Q200" i="2"/>
  <c r="Q196" i="2"/>
  <c r="Q193" i="2"/>
  <c r="Q223" i="2"/>
  <c r="Q220" i="2"/>
  <c r="Q216" i="2"/>
  <c r="Q213" i="2"/>
  <c r="Q209" i="2"/>
  <c r="Q206" i="2"/>
  <c r="Q202" i="2"/>
  <c r="Q199" i="2"/>
  <c r="Q195" i="2"/>
  <c r="Q192" i="2"/>
  <c r="I96" i="2"/>
  <c r="I100" i="2" s="1"/>
  <c r="P240" i="2"/>
  <c r="P212" i="2"/>
  <c r="P247" i="2"/>
  <c r="M92" i="2"/>
  <c r="M90" i="2" s="1"/>
  <c r="M96" i="2" s="1"/>
  <c r="M100" i="2" s="1"/>
  <c r="L96" i="2"/>
  <c r="L100" i="2" s="1"/>
  <c r="O94" i="2"/>
  <c r="O95" i="2" s="1"/>
  <c r="P106" i="2"/>
  <c r="P162" i="2"/>
  <c r="P113" i="2"/>
  <c r="P134" i="2"/>
  <c r="P148" i="2"/>
  <c r="P127" i="2"/>
  <c r="Q161" i="2"/>
  <c r="Q158" i="2"/>
  <c r="Q154" i="2"/>
  <c r="Q151" i="2"/>
  <c r="Q147" i="2"/>
  <c r="Q144" i="2"/>
  <c r="Q140" i="2"/>
  <c r="Q160" i="2"/>
  <c r="Q157" i="2"/>
  <c r="Q153" i="2"/>
  <c r="Q150" i="2"/>
  <c r="Q146" i="2"/>
  <c r="Q143" i="2"/>
  <c r="Q138" i="2"/>
  <c r="Q135" i="2"/>
  <c r="Q131" i="2"/>
  <c r="Q156" i="2"/>
  <c r="Q149" i="2"/>
  <c r="Q142" i="2"/>
  <c r="Q137" i="2"/>
  <c r="Q119" i="2"/>
  <c r="Q130" i="2"/>
  <c r="Q129" i="2"/>
  <c r="Q125" i="2"/>
  <c r="Q122" i="2"/>
  <c r="Q152" i="2"/>
  <c r="Q145" i="2"/>
  <c r="Q133" i="2"/>
  <c r="Q128" i="2"/>
  <c r="Q124" i="2"/>
  <c r="Q121" i="2"/>
  <c r="Q111" i="2"/>
  <c r="Q115" i="2"/>
  <c r="Q107" i="2"/>
  <c r="Q114" i="2"/>
  <c r="Q112" i="2"/>
  <c r="Q110" i="2"/>
  <c r="Q126" i="2"/>
  <c r="Q117" i="2"/>
  <c r="Q116" i="2"/>
  <c r="Q109" i="2"/>
  <c r="Q118" i="2"/>
  <c r="Q108" i="2"/>
  <c r="Q123" i="2"/>
  <c r="Q132" i="2"/>
  <c r="Q139" i="2"/>
  <c r="Q136" i="2"/>
  <c r="Q159" i="2"/>
  <c r="P155" i="2"/>
  <c r="P120" i="2"/>
  <c r="P141" i="2"/>
  <c r="N92" i="2"/>
  <c r="N90" i="2" s="1"/>
  <c r="U248" i="3"/>
  <c r="O93" i="2"/>
  <c r="X241" i="3"/>
  <c r="Q839" i="2"/>
  <c r="A840" i="2"/>
  <c r="BD840" i="2" s="1"/>
  <c r="C813" i="2"/>
  <c r="D813" i="2"/>
  <c r="E813" i="2"/>
  <c r="F813" i="2"/>
  <c r="G813" i="2"/>
  <c r="H813" i="2"/>
  <c r="I813" i="2"/>
  <c r="J813" i="2"/>
  <c r="K813" i="2"/>
  <c r="L813" i="2"/>
  <c r="M813" i="2"/>
  <c r="N813" i="2"/>
  <c r="O813" i="2"/>
  <c r="T56" i="2"/>
  <c r="S762" i="2"/>
  <c r="S25" i="4"/>
  <c r="A780" i="2"/>
  <c r="Q780" i="2" s="1"/>
  <c r="A814" i="2"/>
  <c r="Q814" i="2" s="1"/>
  <c r="C779" i="2"/>
  <c r="D779" i="2"/>
  <c r="E779" i="2"/>
  <c r="F779" i="2"/>
  <c r="G779" i="2"/>
  <c r="H779" i="2"/>
  <c r="I779" i="2"/>
  <c r="J779" i="2"/>
  <c r="K779" i="2"/>
  <c r="L779" i="2"/>
  <c r="M779" i="2"/>
  <c r="N779" i="2"/>
  <c r="O779" i="2"/>
  <c r="D839" i="2"/>
  <c r="E839" i="2"/>
  <c r="F839" i="2"/>
  <c r="G839" i="2"/>
  <c r="H839" i="2"/>
  <c r="I839" i="2"/>
  <c r="J839" i="2"/>
  <c r="K839" i="2"/>
  <c r="L839" i="2"/>
  <c r="M839" i="2"/>
  <c r="N839" i="2"/>
  <c r="O839" i="2"/>
  <c r="P839" i="2"/>
  <c r="R838" i="2"/>
  <c r="R835" i="2"/>
  <c r="R837" i="2"/>
  <c r="R839" i="2"/>
  <c r="R834" i="2"/>
  <c r="R836" i="2"/>
  <c r="Q809" i="2"/>
  <c r="Q808" i="2"/>
  <c r="Q813" i="2"/>
  <c r="Q810" i="2"/>
  <c r="R833" i="2"/>
  <c r="Q807" i="2"/>
  <c r="Q812" i="2"/>
  <c r="Q811" i="2"/>
  <c r="Q806" i="2"/>
  <c r="P813" i="2"/>
  <c r="Q778" i="2"/>
  <c r="Q775" i="2"/>
  <c r="Q772" i="2"/>
  <c r="Q769" i="2"/>
  <c r="Q766" i="2"/>
  <c r="Q777" i="2"/>
  <c r="Q774" i="2"/>
  <c r="Q771" i="2"/>
  <c r="Q768" i="2"/>
  <c r="Q765" i="2"/>
  <c r="Q779" i="2"/>
  <c r="Q776" i="2"/>
  <c r="Q773" i="2"/>
  <c r="Q770" i="2"/>
  <c r="Q767" i="2"/>
  <c r="Q764" i="2"/>
  <c r="Q763" i="2"/>
  <c r="R59" i="2"/>
  <c r="S189" i="2"/>
  <c r="Q330" i="2"/>
  <c r="Q474" i="2"/>
  <c r="Q528" i="2"/>
  <c r="Q348" i="2"/>
  <c r="Q375" i="2"/>
  <c r="Q384" i="2"/>
  <c r="Q339" i="2"/>
  <c r="Q321" i="2"/>
  <c r="Q366" i="2"/>
  <c r="Q357" i="2"/>
  <c r="P75" i="2"/>
  <c r="P545" i="2" s="1"/>
  <c r="Q519" i="2"/>
  <c r="Q492" i="2"/>
  <c r="Q465" i="2"/>
  <c r="Q483" i="2"/>
  <c r="Q456" i="2"/>
  <c r="Q501" i="2"/>
  <c r="Q510" i="2"/>
  <c r="Q187" i="2"/>
  <c r="Q188" i="2"/>
  <c r="Q186" i="2"/>
  <c r="R190" i="2"/>
  <c r="Q401" i="2" l="1"/>
  <c r="P664" i="2"/>
  <c r="P285" i="2"/>
  <c r="P665" i="2"/>
  <c r="P286" i="2"/>
  <c r="Q410" i="2"/>
  <c r="O248" i="2"/>
  <c r="O163" i="2"/>
  <c r="S797" i="2"/>
  <c r="T824" i="2" s="1"/>
  <c r="S784" i="2"/>
  <c r="Q700" i="2"/>
  <c r="Q727" i="2"/>
  <c r="Q703" i="2"/>
  <c r="Q730" i="2"/>
  <c r="Q698" i="2"/>
  <c r="Q725" i="2"/>
  <c r="Q701" i="2"/>
  <c r="Q728" i="2"/>
  <c r="Q702" i="2"/>
  <c r="Q729" i="2"/>
  <c r="Q705" i="2"/>
  <c r="Q732" i="2"/>
  <c r="Q699" i="2"/>
  <c r="Q726" i="2"/>
  <c r="Q704" i="2"/>
  <c r="Q731" i="2"/>
  <c r="Q674" i="2"/>
  <c r="Q634" i="2"/>
  <c r="Q642" i="2" s="1"/>
  <c r="Q626" i="2"/>
  <c r="Q682" i="2"/>
  <c r="Q650" i="2"/>
  <c r="Q683" i="2"/>
  <c r="Q675" i="2"/>
  <c r="Q635" i="2"/>
  <c r="Q643" i="2" s="1"/>
  <c r="Q627" i="2"/>
  <c r="Q651" i="2"/>
  <c r="Q430" i="2"/>
  <c r="Q436" i="2"/>
  <c r="Q432" i="2"/>
  <c r="Q429" i="2"/>
  <c r="Q435" i="2"/>
  <c r="Q433" i="2"/>
  <c r="Q431" i="2"/>
  <c r="Q434" i="2"/>
  <c r="Q226" i="2"/>
  <c r="Q205" i="2"/>
  <c r="G102" i="2"/>
  <c r="Q219" i="2"/>
  <c r="Q240" i="2"/>
  <c r="Q191" i="2"/>
  <c r="Q247" i="2"/>
  <c r="Q198" i="2"/>
  <c r="Q212" i="2"/>
  <c r="R246" i="2"/>
  <c r="R243" i="2"/>
  <c r="R239" i="2"/>
  <c r="R236" i="2"/>
  <c r="R232" i="2"/>
  <c r="R229" i="2"/>
  <c r="R225" i="2"/>
  <c r="R245" i="2"/>
  <c r="R242" i="2"/>
  <c r="R238" i="2"/>
  <c r="R235" i="2"/>
  <c r="R231" i="2"/>
  <c r="R228" i="2"/>
  <c r="R244" i="2"/>
  <c r="R241" i="2"/>
  <c r="R237" i="2"/>
  <c r="R234" i="2"/>
  <c r="R230" i="2"/>
  <c r="R227" i="2"/>
  <c r="R222" i="2"/>
  <c r="R218" i="2"/>
  <c r="R215" i="2"/>
  <c r="R211" i="2"/>
  <c r="R208" i="2"/>
  <c r="R204" i="2"/>
  <c r="R201" i="2"/>
  <c r="R197" i="2"/>
  <c r="R194" i="2"/>
  <c r="R224" i="2"/>
  <c r="R221" i="2"/>
  <c r="R217" i="2"/>
  <c r="R214" i="2"/>
  <c r="R210" i="2"/>
  <c r="R207" i="2"/>
  <c r="R203" i="2"/>
  <c r="R200" i="2"/>
  <c r="R196" i="2"/>
  <c r="R193" i="2"/>
  <c r="R223" i="2"/>
  <c r="R220" i="2"/>
  <c r="R216" i="2"/>
  <c r="R213" i="2"/>
  <c r="R209" i="2"/>
  <c r="R206" i="2"/>
  <c r="R202" i="2"/>
  <c r="R199" i="2"/>
  <c r="R195" i="2"/>
  <c r="R192" i="2"/>
  <c r="Q233" i="2"/>
  <c r="P94" i="2"/>
  <c r="P95" i="2" s="1"/>
  <c r="Q162" i="2"/>
  <c r="Q141" i="2"/>
  <c r="Q148" i="2"/>
  <c r="Q127" i="2"/>
  <c r="Q120" i="2"/>
  <c r="Q106" i="2"/>
  <c r="Q155" i="2"/>
  <c r="Q134" i="2"/>
  <c r="R161" i="2"/>
  <c r="R158" i="2"/>
  <c r="R154" i="2"/>
  <c r="R151" i="2"/>
  <c r="R147" i="2"/>
  <c r="R144" i="2"/>
  <c r="R140" i="2"/>
  <c r="R160" i="2"/>
  <c r="R157" i="2"/>
  <c r="R153" i="2"/>
  <c r="R150" i="2"/>
  <c r="R146" i="2"/>
  <c r="R143" i="2"/>
  <c r="R138" i="2"/>
  <c r="R135" i="2"/>
  <c r="R131" i="2"/>
  <c r="R156" i="2"/>
  <c r="R149" i="2"/>
  <c r="R142" i="2"/>
  <c r="R137" i="2"/>
  <c r="R130" i="2"/>
  <c r="R129" i="2"/>
  <c r="R125" i="2"/>
  <c r="R122" i="2"/>
  <c r="R152" i="2"/>
  <c r="R145" i="2"/>
  <c r="R133" i="2"/>
  <c r="R118" i="2"/>
  <c r="R115" i="2"/>
  <c r="R110" i="2"/>
  <c r="R107" i="2"/>
  <c r="R128" i="2"/>
  <c r="R124" i="2"/>
  <c r="R116" i="2"/>
  <c r="R121" i="2"/>
  <c r="R114" i="2"/>
  <c r="R112" i="2"/>
  <c r="R132" i="2"/>
  <c r="R126" i="2"/>
  <c r="R117" i="2"/>
  <c r="R109" i="2"/>
  <c r="R108" i="2"/>
  <c r="R111" i="2"/>
  <c r="R139" i="2"/>
  <c r="R136" i="2"/>
  <c r="R159" i="2"/>
  <c r="R123" i="2"/>
  <c r="R119" i="2"/>
  <c r="Q113" i="2"/>
  <c r="O92" i="2"/>
  <c r="O90" i="2" s="1"/>
  <c r="O96" i="2" s="1"/>
  <c r="O100" i="2" s="1"/>
  <c r="N96" i="2"/>
  <c r="V248" i="3"/>
  <c r="Y241" i="3"/>
  <c r="D840" i="2"/>
  <c r="E840" i="2"/>
  <c r="F840" i="2"/>
  <c r="G840" i="2"/>
  <c r="H840" i="2"/>
  <c r="I840" i="2"/>
  <c r="J840" i="2"/>
  <c r="K840" i="2"/>
  <c r="L840" i="2"/>
  <c r="M840" i="2"/>
  <c r="N840" i="2"/>
  <c r="O840" i="2"/>
  <c r="P840" i="2"/>
  <c r="Q840" i="2"/>
  <c r="R840" i="2"/>
  <c r="A841" i="2"/>
  <c r="BD841" i="2" s="1"/>
  <c r="C814" i="2"/>
  <c r="D814" i="2"/>
  <c r="E814" i="2"/>
  <c r="F814" i="2"/>
  <c r="G814" i="2"/>
  <c r="H814" i="2"/>
  <c r="I814" i="2"/>
  <c r="J814" i="2"/>
  <c r="K814" i="2"/>
  <c r="L814" i="2"/>
  <c r="M814" i="2"/>
  <c r="N814" i="2"/>
  <c r="O814" i="2"/>
  <c r="P814" i="2"/>
  <c r="U56" i="2"/>
  <c r="T762" i="2"/>
  <c r="T25" i="4"/>
  <c r="A781" i="2"/>
  <c r="A815" i="2"/>
  <c r="R815" i="2" s="1"/>
  <c r="C780" i="2"/>
  <c r="D780" i="2"/>
  <c r="E780" i="2"/>
  <c r="F780" i="2"/>
  <c r="G780" i="2"/>
  <c r="H780" i="2"/>
  <c r="I780" i="2"/>
  <c r="J780" i="2"/>
  <c r="K780" i="2"/>
  <c r="L780" i="2"/>
  <c r="M780" i="2"/>
  <c r="N780" i="2"/>
  <c r="O780" i="2"/>
  <c r="P780" i="2"/>
  <c r="S839" i="2"/>
  <c r="S836" i="2"/>
  <c r="S833" i="2"/>
  <c r="S838" i="2"/>
  <c r="S840" i="2"/>
  <c r="S834" i="2"/>
  <c r="S837" i="2"/>
  <c r="R813" i="2"/>
  <c r="R810" i="2"/>
  <c r="R809" i="2"/>
  <c r="R814" i="2"/>
  <c r="R812" i="2"/>
  <c r="R807" i="2"/>
  <c r="S835" i="2"/>
  <c r="R811" i="2"/>
  <c r="R806" i="2"/>
  <c r="R808" i="2"/>
  <c r="R780" i="2"/>
  <c r="R777" i="2"/>
  <c r="R774" i="2"/>
  <c r="R771" i="2"/>
  <c r="R768" i="2"/>
  <c r="R765" i="2"/>
  <c r="R779" i="2"/>
  <c r="R776" i="2"/>
  <c r="R773" i="2"/>
  <c r="R770" i="2"/>
  <c r="R767" i="2"/>
  <c r="R764" i="2"/>
  <c r="R769" i="2"/>
  <c r="R763" i="2"/>
  <c r="R766" i="2"/>
  <c r="R778" i="2"/>
  <c r="R775" i="2"/>
  <c r="R772" i="2"/>
  <c r="S59" i="2"/>
  <c r="Q68" i="2"/>
  <c r="T189" i="2"/>
  <c r="R330" i="2"/>
  <c r="R528" i="2"/>
  <c r="R474" i="2"/>
  <c r="R348" i="2"/>
  <c r="R357" i="2"/>
  <c r="R321" i="2"/>
  <c r="R375" i="2"/>
  <c r="R384" i="2"/>
  <c r="R339" i="2"/>
  <c r="R366" i="2"/>
  <c r="Q75" i="2"/>
  <c r="Q545" i="2" s="1"/>
  <c r="R519" i="2"/>
  <c r="R492" i="2"/>
  <c r="R465" i="2"/>
  <c r="R510" i="2"/>
  <c r="R483" i="2"/>
  <c r="R456" i="2"/>
  <c r="R501" i="2"/>
  <c r="R187" i="2"/>
  <c r="R188" i="2"/>
  <c r="R186" i="2"/>
  <c r="S190" i="2"/>
  <c r="R410" i="2" l="1"/>
  <c r="Q659" i="2"/>
  <c r="Q280" i="2"/>
  <c r="Q658" i="2"/>
  <c r="Q279" i="2"/>
  <c r="R401" i="2"/>
  <c r="P163" i="2"/>
  <c r="T797" i="2"/>
  <c r="U824" i="2" s="1"/>
  <c r="T784" i="2"/>
  <c r="R698" i="2"/>
  <c r="R725" i="2"/>
  <c r="R704" i="2"/>
  <c r="R731" i="2"/>
  <c r="R699" i="2"/>
  <c r="R726" i="2"/>
  <c r="R702" i="2"/>
  <c r="R729" i="2"/>
  <c r="R700" i="2"/>
  <c r="R727" i="2"/>
  <c r="R701" i="2"/>
  <c r="R728" i="2"/>
  <c r="R705" i="2"/>
  <c r="R732" i="2"/>
  <c r="R703" i="2"/>
  <c r="R730" i="2"/>
  <c r="R683" i="2"/>
  <c r="R675" i="2"/>
  <c r="R627" i="2"/>
  <c r="R651" i="2"/>
  <c r="R635" i="2"/>
  <c r="R643" i="2" s="1"/>
  <c r="R676" i="2"/>
  <c r="R652" i="2"/>
  <c r="R684" i="2"/>
  <c r="R636" i="2"/>
  <c r="R644" i="2" s="1"/>
  <c r="R628" i="2"/>
  <c r="R682" i="2"/>
  <c r="R626" i="2"/>
  <c r="R634" i="2"/>
  <c r="R642" i="2" s="1"/>
  <c r="R650" i="2"/>
  <c r="R674" i="2"/>
  <c r="R435" i="2"/>
  <c r="R431" i="2"/>
  <c r="R432" i="2"/>
  <c r="R434" i="2"/>
  <c r="R429" i="2"/>
  <c r="R430" i="2"/>
  <c r="R433" i="2"/>
  <c r="R436" i="2"/>
  <c r="R191" i="2"/>
  <c r="R205" i="2"/>
  <c r="R240" i="2"/>
  <c r="R219" i="2"/>
  <c r="R233" i="2"/>
  <c r="R226" i="2"/>
  <c r="R247" i="2"/>
  <c r="S245" i="2"/>
  <c r="S242" i="2"/>
  <c r="S238" i="2"/>
  <c r="S235" i="2"/>
  <c r="S231" i="2"/>
  <c r="S228" i="2"/>
  <c r="S244" i="2"/>
  <c r="S241" i="2"/>
  <c r="S237" i="2"/>
  <c r="S234" i="2"/>
  <c r="S230" i="2"/>
  <c r="S227" i="2"/>
  <c r="S246" i="2"/>
  <c r="S243" i="2"/>
  <c r="S239" i="2"/>
  <c r="S236" i="2"/>
  <c r="S232" i="2"/>
  <c r="S229" i="2"/>
  <c r="S225" i="2"/>
  <c r="S224" i="2"/>
  <c r="S221" i="2"/>
  <c r="S217" i="2"/>
  <c r="S214" i="2"/>
  <c r="S210" i="2"/>
  <c r="S207" i="2"/>
  <c r="S203" i="2"/>
  <c r="S200" i="2"/>
  <c r="S196" i="2"/>
  <c r="S193" i="2"/>
  <c r="S223" i="2"/>
  <c r="S220" i="2"/>
  <c r="S216" i="2"/>
  <c r="S213" i="2"/>
  <c r="S209" i="2"/>
  <c r="S206" i="2"/>
  <c r="S202" i="2"/>
  <c r="S199" i="2"/>
  <c r="S195" i="2"/>
  <c r="S192" i="2"/>
  <c r="S222" i="2"/>
  <c r="S218" i="2"/>
  <c r="S215" i="2"/>
  <c r="S211" i="2"/>
  <c r="S208" i="2"/>
  <c r="S204" i="2"/>
  <c r="S201" i="2"/>
  <c r="S197" i="2"/>
  <c r="S194" i="2"/>
  <c r="R198" i="2"/>
  <c r="R212" i="2"/>
  <c r="P93" i="2"/>
  <c r="Q94" i="2"/>
  <c r="Q95" i="2" s="1"/>
  <c r="R162" i="2"/>
  <c r="R141" i="2"/>
  <c r="R155" i="2"/>
  <c r="R148" i="2"/>
  <c r="R113" i="2"/>
  <c r="R134" i="2"/>
  <c r="R120" i="2"/>
  <c r="R106" i="2"/>
  <c r="S159" i="2"/>
  <c r="S156" i="2"/>
  <c r="S152" i="2"/>
  <c r="S149" i="2"/>
  <c r="S157" i="2"/>
  <c r="S150" i="2"/>
  <c r="S146" i="2"/>
  <c r="S142" i="2"/>
  <c r="S137" i="2"/>
  <c r="S133" i="2"/>
  <c r="S130" i="2"/>
  <c r="S144" i="2"/>
  <c r="S161" i="2"/>
  <c r="S154" i="2"/>
  <c r="S153" i="2"/>
  <c r="S135" i="2"/>
  <c r="S145" i="2"/>
  <c r="S128" i="2"/>
  <c r="S124" i="2"/>
  <c r="S121" i="2"/>
  <c r="S151" i="2"/>
  <c r="S140" i="2"/>
  <c r="S139" i="2"/>
  <c r="S126" i="2"/>
  <c r="S109" i="2"/>
  <c r="S143" i="2"/>
  <c r="S131" i="2"/>
  <c r="S114" i="2"/>
  <c r="S107" i="2"/>
  <c r="S138" i="2"/>
  <c r="S125" i="2"/>
  <c r="S112" i="2"/>
  <c r="S132" i="2"/>
  <c r="S110" i="2"/>
  <c r="S160" i="2"/>
  <c r="S123" i="2"/>
  <c r="S118" i="2"/>
  <c r="S117" i="2"/>
  <c r="S115" i="2"/>
  <c r="S158" i="2"/>
  <c r="S122" i="2"/>
  <c r="S116" i="2"/>
  <c r="S108" i="2"/>
  <c r="S111" i="2"/>
  <c r="S147" i="2"/>
  <c r="S136" i="2"/>
  <c r="S129" i="2"/>
  <c r="S119" i="2"/>
  <c r="R127" i="2"/>
  <c r="N100" i="2"/>
  <c r="K102" i="2"/>
  <c r="W248" i="3"/>
  <c r="Z241" i="3"/>
  <c r="A782" i="2"/>
  <c r="S782" i="2" s="1"/>
  <c r="A816" i="2"/>
  <c r="S816" i="2" s="1"/>
  <c r="C781" i="2"/>
  <c r="D781" i="2"/>
  <c r="E781" i="2"/>
  <c r="F781" i="2"/>
  <c r="G781" i="2"/>
  <c r="H781" i="2"/>
  <c r="I781" i="2"/>
  <c r="J781" i="2"/>
  <c r="K781" i="2"/>
  <c r="L781" i="2"/>
  <c r="M781" i="2"/>
  <c r="N781" i="2"/>
  <c r="O781" i="2"/>
  <c r="P781" i="2"/>
  <c r="Q781" i="2"/>
  <c r="T838" i="2"/>
  <c r="T841" i="2"/>
  <c r="T833" i="2"/>
  <c r="T840" i="2"/>
  <c r="T837" i="2"/>
  <c r="S813" i="2"/>
  <c r="S810" i="2"/>
  <c r="S807" i="2"/>
  <c r="T836" i="2"/>
  <c r="S815" i="2"/>
  <c r="S806" i="2"/>
  <c r="S814" i="2"/>
  <c r="T834" i="2"/>
  <c r="S812" i="2"/>
  <c r="T835" i="2"/>
  <c r="S809" i="2"/>
  <c r="S811" i="2"/>
  <c r="T839" i="2"/>
  <c r="S808" i="2"/>
  <c r="V56" i="2"/>
  <c r="U762" i="2"/>
  <c r="U25" i="4"/>
  <c r="A842" i="2"/>
  <c r="BD842" i="2" s="1"/>
  <c r="C815" i="2"/>
  <c r="D815" i="2"/>
  <c r="E815" i="2"/>
  <c r="F815" i="2"/>
  <c r="G815" i="2"/>
  <c r="H815" i="2"/>
  <c r="I815" i="2"/>
  <c r="J815" i="2"/>
  <c r="K815" i="2"/>
  <c r="L815" i="2"/>
  <c r="M815" i="2"/>
  <c r="N815" i="2"/>
  <c r="O815" i="2"/>
  <c r="P815" i="2"/>
  <c r="Q815" i="2"/>
  <c r="D841" i="2"/>
  <c r="E841" i="2"/>
  <c r="F841" i="2"/>
  <c r="G841" i="2"/>
  <c r="H841" i="2"/>
  <c r="I841" i="2"/>
  <c r="J841" i="2"/>
  <c r="K841" i="2"/>
  <c r="L841" i="2"/>
  <c r="M841" i="2"/>
  <c r="N841" i="2"/>
  <c r="O841" i="2"/>
  <c r="P841" i="2"/>
  <c r="Q841" i="2"/>
  <c r="R841" i="2"/>
  <c r="R781" i="2"/>
  <c r="S841" i="2"/>
  <c r="S779" i="2"/>
  <c r="S776" i="2"/>
  <c r="S773" i="2"/>
  <c r="S770" i="2"/>
  <c r="S767" i="2"/>
  <c r="S764" i="2"/>
  <c r="S781" i="2"/>
  <c r="S778" i="2"/>
  <c r="S775" i="2"/>
  <c r="S772" i="2"/>
  <c r="S769" i="2"/>
  <c r="S766" i="2"/>
  <c r="S765" i="2"/>
  <c r="S763" i="2"/>
  <c r="S780" i="2"/>
  <c r="S777" i="2"/>
  <c r="S774" i="2"/>
  <c r="S771" i="2"/>
  <c r="S768" i="2"/>
  <c r="T59" i="2"/>
  <c r="U189" i="2"/>
  <c r="R68" i="2"/>
  <c r="S330" i="2"/>
  <c r="S474" i="2"/>
  <c r="S528" i="2"/>
  <c r="S348" i="2"/>
  <c r="S375" i="2"/>
  <c r="S384" i="2"/>
  <c r="S321" i="2"/>
  <c r="S357" i="2"/>
  <c r="S339" i="2"/>
  <c r="S366" i="2"/>
  <c r="R75" i="2"/>
  <c r="S510" i="2"/>
  <c r="S483" i="2"/>
  <c r="S456" i="2"/>
  <c r="S519" i="2"/>
  <c r="S501" i="2"/>
  <c r="S492" i="2"/>
  <c r="S465" i="2"/>
  <c r="S187" i="2"/>
  <c r="S188" i="2"/>
  <c r="S186" i="2"/>
  <c r="T190" i="2"/>
  <c r="S410" i="2" l="1"/>
  <c r="R660" i="2"/>
  <c r="R281" i="2"/>
  <c r="R659" i="2"/>
  <c r="R280" i="2"/>
  <c r="R658" i="2"/>
  <c r="R279" i="2"/>
  <c r="S401" i="2"/>
  <c r="Q163" i="2"/>
  <c r="P248" i="2"/>
  <c r="U797" i="2"/>
  <c r="V824" i="2" s="1"/>
  <c r="U784" i="2"/>
  <c r="S700" i="2"/>
  <c r="S727" i="2"/>
  <c r="S699" i="2"/>
  <c r="S726" i="2"/>
  <c r="S702" i="2"/>
  <c r="S729" i="2"/>
  <c r="S705" i="2"/>
  <c r="S732" i="2"/>
  <c r="S698" i="2"/>
  <c r="S725" i="2"/>
  <c r="S701" i="2"/>
  <c r="S728" i="2"/>
  <c r="S704" i="2"/>
  <c r="S731" i="2"/>
  <c r="S703" i="2"/>
  <c r="S730" i="2"/>
  <c r="S687" i="2"/>
  <c r="S639" i="2"/>
  <c r="S647" i="2" s="1"/>
  <c r="S679" i="2"/>
  <c r="S631" i="2"/>
  <c r="S655" i="2"/>
  <c r="S681" i="2"/>
  <c r="S657" i="2"/>
  <c r="S633" i="2"/>
  <c r="S689" i="2"/>
  <c r="S641" i="2"/>
  <c r="S649" i="2" s="1"/>
  <c r="S680" i="2"/>
  <c r="S640" i="2"/>
  <c r="S648" i="2" s="1"/>
  <c r="S688" i="2"/>
  <c r="S632" i="2"/>
  <c r="S656" i="2"/>
  <c r="S432" i="2"/>
  <c r="S429" i="2"/>
  <c r="S431" i="2"/>
  <c r="S434" i="2"/>
  <c r="S435" i="2"/>
  <c r="S430" i="2"/>
  <c r="S433" i="2"/>
  <c r="S436" i="2"/>
  <c r="O77" i="2"/>
  <c r="R545" i="2"/>
  <c r="S233" i="2"/>
  <c r="S240" i="2"/>
  <c r="S219" i="2"/>
  <c r="S191" i="2"/>
  <c r="S198" i="2"/>
  <c r="T245" i="2"/>
  <c r="T242" i="2"/>
  <c r="T238" i="2"/>
  <c r="T235" i="2"/>
  <c r="T231" i="2"/>
  <c r="T228" i="2"/>
  <c r="T244" i="2"/>
  <c r="T241" i="2"/>
  <c r="T237" i="2"/>
  <c r="T234" i="2"/>
  <c r="T230" i="2"/>
  <c r="T227" i="2"/>
  <c r="T246" i="2"/>
  <c r="T243" i="2"/>
  <c r="T239" i="2"/>
  <c r="T236" i="2"/>
  <c r="T232" i="2"/>
  <c r="T229" i="2"/>
  <c r="T225" i="2"/>
  <c r="T224" i="2"/>
  <c r="T221" i="2"/>
  <c r="T217" i="2"/>
  <c r="T214" i="2"/>
  <c r="T210" i="2"/>
  <c r="T207" i="2"/>
  <c r="T203" i="2"/>
  <c r="T200" i="2"/>
  <c r="T196" i="2"/>
  <c r="T193" i="2"/>
  <c r="T223" i="2"/>
  <c r="T220" i="2"/>
  <c r="T216" i="2"/>
  <c r="T213" i="2"/>
  <c r="T209" i="2"/>
  <c r="T206" i="2"/>
  <c r="T202" i="2"/>
  <c r="T199" i="2"/>
  <c r="T195" i="2"/>
  <c r="T192" i="2"/>
  <c r="T222" i="2"/>
  <c r="T218" i="2"/>
  <c r="T215" i="2"/>
  <c r="T211" i="2"/>
  <c r="T208" i="2"/>
  <c r="T204" i="2"/>
  <c r="T201" i="2"/>
  <c r="T197" i="2"/>
  <c r="T194" i="2"/>
  <c r="S226" i="2"/>
  <c r="S247" i="2"/>
  <c r="S205" i="2"/>
  <c r="S212" i="2"/>
  <c r="P92" i="2"/>
  <c r="P90" i="2" s="1"/>
  <c r="P96" i="2" s="1"/>
  <c r="P100" i="2" s="1"/>
  <c r="Q93" i="2"/>
  <c r="R94" i="2"/>
  <c r="R95" i="2" s="1"/>
  <c r="S162" i="2"/>
  <c r="S120" i="2"/>
  <c r="S113" i="2"/>
  <c r="S134" i="2"/>
  <c r="S141" i="2"/>
  <c r="S127" i="2"/>
  <c r="S148" i="2"/>
  <c r="T159" i="2"/>
  <c r="T156" i="2"/>
  <c r="T152" i="2"/>
  <c r="T149" i="2"/>
  <c r="T145" i="2"/>
  <c r="T142" i="2"/>
  <c r="T157" i="2"/>
  <c r="T150" i="2"/>
  <c r="T146" i="2"/>
  <c r="T137" i="2"/>
  <c r="T144" i="2"/>
  <c r="T161" i="2"/>
  <c r="T154" i="2"/>
  <c r="T153" i="2"/>
  <c r="T135" i="2"/>
  <c r="T118" i="2"/>
  <c r="T115" i="2"/>
  <c r="T110" i="2"/>
  <c r="T107" i="2"/>
  <c r="T133" i="2"/>
  <c r="T128" i="2"/>
  <c r="T124" i="2"/>
  <c r="T121" i="2"/>
  <c r="T151" i="2"/>
  <c r="T140" i="2"/>
  <c r="T132" i="2"/>
  <c r="T117" i="2"/>
  <c r="T112" i="2"/>
  <c r="T138" i="2"/>
  <c r="T125" i="2"/>
  <c r="T160" i="2"/>
  <c r="T123" i="2"/>
  <c r="T158" i="2"/>
  <c r="T122" i="2"/>
  <c r="T116" i="2"/>
  <c r="T109" i="2"/>
  <c r="T108" i="2"/>
  <c r="T111" i="2"/>
  <c r="T130" i="2"/>
  <c r="T143" i="2"/>
  <c r="T139" i="2"/>
  <c r="T136" i="2"/>
  <c r="T131" i="2"/>
  <c r="T129" i="2"/>
  <c r="T119" i="2"/>
  <c r="T147" i="2"/>
  <c r="T126" i="2"/>
  <c r="T114" i="2"/>
  <c r="S106" i="2"/>
  <c r="S155" i="2"/>
  <c r="X248" i="3"/>
  <c r="R93" i="2"/>
  <c r="R248" i="2" s="1"/>
  <c r="AA241" i="3"/>
  <c r="T842" i="2"/>
  <c r="A843" i="2"/>
  <c r="BD843" i="2" s="1"/>
  <c r="C816" i="2"/>
  <c r="D816" i="2"/>
  <c r="E816" i="2"/>
  <c r="F816" i="2"/>
  <c r="G816" i="2"/>
  <c r="H816" i="2"/>
  <c r="I816" i="2"/>
  <c r="J816" i="2"/>
  <c r="K816" i="2"/>
  <c r="L816" i="2"/>
  <c r="M816" i="2"/>
  <c r="N816" i="2"/>
  <c r="O816" i="2"/>
  <c r="P816" i="2"/>
  <c r="Q816" i="2"/>
  <c r="R816" i="2"/>
  <c r="A817" i="2"/>
  <c r="T817" i="2" s="1"/>
  <c r="C782" i="2"/>
  <c r="D782" i="2"/>
  <c r="E782" i="2"/>
  <c r="F782" i="2"/>
  <c r="F57" i="2" s="1"/>
  <c r="G782" i="2"/>
  <c r="H782" i="2"/>
  <c r="I782" i="2"/>
  <c r="J782" i="2"/>
  <c r="K782" i="2"/>
  <c r="L782" i="2"/>
  <c r="M782" i="2"/>
  <c r="N782" i="2"/>
  <c r="O782" i="2"/>
  <c r="P782" i="2"/>
  <c r="Q782" i="2"/>
  <c r="R782" i="2"/>
  <c r="U841" i="2"/>
  <c r="U838" i="2"/>
  <c r="U835" i="2"/>
  <c r="U837" i="2"/>
  <c r="T816" i="2"/>
  <c r="U834" i="2"/>
  <c r="U836" i="2"/>
  <c r="T815" i="2"/>
  <c r="T813" i="2"/>
  <c r="T806" i="2"/>
  <c r="T809" i="2"/>
  <c r="T808" i="2"/>
  <c r="T807" i="2"/>
  <c r="T811" i="2"/>
  <c r="T814" i="2"/>
  <c r="T812" i="2"/>
  <c r="T810" i="2"/>
  <c r="U840" i="2"/>
  <c r="U833" i="2"/>
  <c r="U842" i="2"/>
  <c r="U839" i="2"/>
  <c r="W56" i="2"/>
  <c r="V762" i="2"/>
  <c r="V25" i="4"/>
  <c r="D842" i="2"/>
  <c r="E842" i="2"/>
  <c r="F842" i="2"/>
  <c r="G842" i="2"/>
  <c r="H842" i="2"/>
  <c r="I842" i="2"/>
  <c r="J842" i="2"/>
  <c r="K842" i="2"/>
  <c r="L842" i="2"/>
  <c r="M842" i="2"/>
  <c r="N842" i="2"/>
  <c r="O842" i="2"/>
  <c r="P842" i="2"/>
  <c r="Q842" i="2"/>
  <c r="R842" i="2"/>
  <c r="S842" i="2"/>
  <c r="S57" i="2"/>
  <c r="S26" i="4" s="1"/>
  <c r="T780" i="2"/>
  <c r="T777" i="2"/>
  <c r="T774" i="2"/>
  <c r="T771" i="2"/>
  <c r="T768" i="2"/>
  <c r="T765" i="2"/>
  <c r="T782" i="2"/>
  <c r="T779" i="2"/>
  <c r="T776" i="2"/>
  <c r="T773" i="2"/>
  <c r="T770" i="2"/>
  <c r="T767" i="2"/>
  <c r="T764" i="2"/>
  <c r="T781" i="2"/>
  <c r="T778" i="2"/>
  <c r="T775" i="2"/>
  <c r="T772" i="2"/>
  <c r="T769" i="2"/>
  <c r="T766" i="2"/>
  <c r="T763" i="2"/>
  <c r="U59" i="2"/>
  <c r="V189" i="2"/>
  <c r="S68" i="2"/>
  <c r="T330" i="2"/>
  <c r="T474" i="2"/>
  <c r="T528" i="2"/>
  <c r="T348" i="2"/>
  <c r="T375" i="2"/>
  <c r="T384" i="2"/>
  <c r="T357" i="2"/>
  <c r="T321" i="2"/>
  <c r="T339" i="2"/>
  <c r="T366" i="2"/>
  <c r="S75" i="2"/>
  <c r="S545" i="2" s="1"/>
  <c r="T510" i="2"/>
  <c r="T483" i="2"/>
  <c r="T456" i="2"/>
  <c r="T519" i="2"/>
  <c r="T501" i="2"/>
  <c r="T492" i="2"/>
  <c r="T465" i="2"/>
  <c r="T187" i="2"/>
  <c r="T188" i="2"/>
  <c r="T186" i="2"/>
  <c r="U190" i="2"/>
  <c r="S665" i="2" l="1"/>
  <c r="S286" i="2"/>
  <c r="S663" i="2"/>
  <c r="S284" i="2"/>
  <c r="S664" i="2"/>
  <c r="S285" i="2"/>
  <c r="T410" i="2"/>
  <c r="T401" i="2"/>
  <c r="Q248" i="2"/>
  <c r="R163" i="2"/>
  <c r="V797" i="2"/>
  <c r="W824" i="2" s="1"/>
  <c r="V784" i="2"/>
  <c r="T698" i="2"/>
  <c r="T725" i="2"/>
  <c r="T701" i="2"/>
  <c r="T728" i="2"/>
  <c r="T700" i="2"/>
  <c r="T727" i="2"/>
  <c r="T704" i="2"/>
  <c r="T731" i="2"/>
  <c r="T705" i="2"/>
  <c r="T732" i="2"/>
  <c r="T703" i="2"/>
  <c r="T730" i="2"/>
  <c r="T699" i="2"/>
  <c r="T726" i="2"/>
  <c r="T702" i="2"/>
  <c r="T729" i="2"/>
  <c r="T682" i="2"/>
  <c r="T674" i="2"/>
  <c r="T634" i="2"/>
  <c r="T642" i="2" s="1"/>
  <c r="T650" i="2"/>
  <c r="T626" i="2"/>
  <c r="T689" i="2"/>
  <c r="T657" i="2"/>
  <c r="T633" i="2"/>
  <c r="T681" i="2"/>
  <c r="T641" i="2"/>
  <c r="T649" i="2" s="1"/>
  <c r="T680" i="2"/>
  <c r="T688" i="2"/>
  <c r="T656" i="2"/>
  <c r="T632" i="2"/>
  <c r="T640" i="2"/>
  <c r="T648" i="2" s="1"/>
  <c r="T429" i="2"/>
  <c r="T431" i="2"/>
  <c r="T432" i="2"/>
  <c r="T435" i="2"/>
  <c r="T434" i="2"/>
  <c r="T430" i="2"/>
  <c r="T433" i="2"/>
  <c r="T436" i="2"/>
  <c r="T240" i="2"/>
  <c r="T191" i="2"/>
  <c r="T198" i="2"/>
  <c r="T233" i="2"/>
  <c r="T212" i="2"/>
  <c r="T226" i="2"/>
  <c r="T219" i="2"/>
  <c r="T205" i="2"/>
  <c r="T247" i="2"/>
  <c r="U245" i="2"/>
  <c r="U242" i="2"/>
  <c r="U238" i="2"/>
  <c r="U235" i="2"/>
  <c r="U231" i="2"/>
  <c r="U228" i="2"/>
  <c r="U244" i="2"/>
  <c r="U241" i="2"/>
  <c r="U237" i="2"/>
  <c r="U234" i="2"/>
  <c r="U230" i="2"/>
  <c r="U227" i="2"/>
  <c r="U246" i="2"/>
  <c r="U243" i="2"/>
  <c r="U239" i="2"/>
  <c r="U236" i="2"/>
  <c r="U232" i="2"/>
  <c r="U229" i="2"/>
  <c r="U225" i="2"/>
  <c r="U224" i="2"/>
  <c r="U221" i="2"/>
  <c r="U217" i="2"/>
  <c r="U214" i="2"/>
  <c r="U210" i="2"/>
  <c r="U207" i="2"/>
  <c r="U203" i="2"/>
  <c r="U200" i="2"/>
  <c r="U196" i="2"/>
  <c r="U193" i="2"/>
  <c r="U223" i="2"/>
  <c r="U220" i="2"/>
  <c r="U216" i="2"/>
  <c r="U213" i="2"/>
  <c r="U209" i="2"/>
  <c r="U206" i="2"/>
  <c r="U202" i="2"/>
  <c r="U199" i="2"/>
  <c r="U195" i="2"/>
  <c r="U192" i="2"/>
  <c r="U222" i="2"/>
  <c r="U218" i="2"/>
  <c r="U215" i="2"/>
  <c r="U211" i="2"/>
  <c r="U208" i="2"/>
  <c r="U204" i="2"/>
  <c r="U201" i="2"/>
  <c r="U197" i="2"/>
  <c r="U194" i="2"/>
  <c r="Q92" i="2"/>
  <c r="Q90" i="2" s="1"/>
  <c r="Q96" i="2" s="1"/>
  <c r="Q100" i="2" s="1"/>
  <c r="S94" i="2"/>
  <c r="S95" i="2" s="1"/>
  <c r="T106" i="2"/>
  <c r="T162" i="2"/>
  <c r="T141" i="2"/>
  <c r="T148" i="2"/>
  <c r="U160" i="2"/>
  <c r="U157" i="2"/>
  <c r="U153" i="2"/>
  <c r="U150" i="2"/>
  <c r="U146" i="2"/>
  <c r="U143" i="2"/>
  <c r="U159" i="2"/>
  <c r="U156" i="2"/>
  <c r="U152" i="2"/>
  <c r="U149" i="2"/>
  <c r="U145" i="2"/>
  <c r="U142" i="2"/>
  <c r="U137" i="2"/>
  <c r="U133" i="2"/>
  <c r="U130" i="2"/>
  <c r="U144" i="2"/>
  <c r="U161" i="2"/>
  <c r="U154" i="2"/>
  <c r="U139" i="2"/>
  <c r="U118" i="2"/>
  <c r="U128" i="2"/>
  <c r="U124" i="2"/>
  <c r="U121" i="2"/>
  <c r="U151" i="2"/>
  <c r="U140" i="2"/>
  <c r="U132" i="2"/>
  <c r="U126" i="2"/>
  <c r="U123" i="2"/>
  <c r="U112" i="2"/>
  <c r="U135" i="2"/>
  <c r="U110" i="2"/>
  <c r="U147" i="2"/>
  <c r="U136" i="2"/>
  <c r="U119" i="2"/>
  <c r="U117" i="2"/>
  <c r="U108" i="2"/>
  <c r="U138" i="2"/>
  <c r="U125" i="2"/>
  <c r="U107" i="2"/>
  <c r="U158" i="2"/>
  <c r="U116" i="2"/>
  <c r="U115" i="2"/>
  <c r="U109" i="2"/>
  <c r="U131" i="2"/>
  <c r="U129" i="2"/>
  <c r="U122" i="2"/>
  <c r="U114" i="2"/>
  <c r="U111" i="2"/>
  <c r="T113" i="2"/>
  <c r="T120" i="2"/>
  <c r="T134" i="2"/>
  <c r="T155" i="2"/>
  <c r="T127" i="2"/>
  <c r="Y248" i="3"/>
  <c r="R92" i="2"/>
  <c r="R90" i="2" s="1"/>
  <c r="S93" i="2"/>
  <c r="AB241" i="3"/>
  <c r="U843" i="2"/>
  <c r="M57" i="2"/>
  <c r="C919" i="2" s="1"/>
  <c r="L57" i="2"/>
  <c r="K57" i="2"/>
  <c r="D57" i="2"/>
  <c r="J57" i="2"/>
  <c r="D843" i="2"/>
  <c r="E843" i="2"/>
  <c r="F843" i="2"/>
  <c r="G843" i="2"/>
  <c r="H843" i="2"/>
  <c r="I843" i="2"/>
  <c r="J843" i="2"/>
  <c r="K843" i="2"/>
  <c r="L843" i="2"/>
  <c r="M843" i="2"/>
  <c r="N843" i="2"/>
  <c r="O843" i="2"/>
  <c r="P843" i="2"/>
  <c r="Q843" i="2"/>
  <c r="R843" i="2"/>
  <c r="S843" i="2"/>
  <c r="T843" i="2"/>
  <c r="E57" i="2"/>
  <c r="C57" i="2"/>
  <c r="N57" i="2"/>
  <c r="A844" i="2"/>
  <c r="BD844" i="2" s="1"/>
  <c r="C817" i="2"/>
  <c r="D817" i="2"/>
  <c r="E817" i="2"/>
  <c r="F817" i="2"/>
  <c r="G817" i="2"/>
  <c r="H817" i="2"/>
  <c r="I817" i="2"/>
  <c r="J817" i="2"/>
  <c r="K817" i="2"/>
  <c r="L817" i="2"/>
  <c r="M817" i="2"/>
  <c r="N817" i="2"/>
  <c r="O817" i="2"/>
  <c r="P817" i="2"/>
  <c r="Q817" i="2"/>
  <c r="R817" i="2"/>
  <c r="S817" i="2"/>
  <c r="P57" i="2"/>
  <c r="O57" i="2"/>
  <c r="I57" i="2"/>
  <c r="V841" i="2"/>
  <c r="V836" i="2"/>
  <c r="V834" i="2"/>
  <c r="V837" i="2"/>
  <c r="U813" i="2"/>
  <c r="U806" i="2"/>
  <c r="U809" i="2"/>
  <c r="U808" i="2"/>
  <c r="U807" i="2"/>
  <c r="U810" i="2"/>
  <c r="U817" i="2"/>
  <c r="U814" i="2"/>
  <c r="V835" i="2"/>
  <c r="V833" i="2"/>
  <c r="U816" i="2"/>
  <c r="U815" i="2"/>
  <c r="U812" i="2"/>
  <c r="V840" i="2"/>
  <c r="V839" i="2"/>
  <c r="V838" i="2"/>
  <c r="U811" i="2"/>
  <c r="V843" i="2"/>
  <c r="V842" i="2"/>
  <c r="H57" i="2"/>
  <c r="G57" i="2"/>
  <c r="Q57" i="2"/>
  <c r="X56" i="2"/>
  <c r="W762" i="2"/>
  <c r="W25" i="4"/>
  <c r="R57" i="2"/>
  <c r="F26" i="4"/>
  <c r="C912" i="2"/>
  <c r="F64" i="2"/>
  <c r="T57" i="2"/>
  <c r="T26" i="4" s="1"/>
  <c r="S64" i="2"/>
  <c r="S27" i="4" s="1"/>
  <c r="U780" i="2"/>
  <c r="U777" i="2"/>
  <c r="U774" i="2"/>
  <c r="U771" i="2"/>
  <c r="U768" i="2"/>
  <c r="U765" i="2"/>
  <c r="U782" i="2"/>
  <c r="U779" i="2"/>
  <c r="U776" i="2"/>
  <c r="U773" i="2"/>
  <c r="U770" i="2"/>
  <c r="U767" i="2"/>
  <c r="U764" i="2"/>
  <c r="U781" i="2"/>
  <c r="U778" i="2"/>
  <c r="U775" i="2"/>
  <c r="U772" i="2"/>
  <c r="U769" i="2"/>
  <c r="U766" i="2"/>
  <c r="U763" i="2"/>
  <c r="V59" i="2"/>
  <c r="W189" i="2"/>
  <c r="T68" i="2"/>
  <c r="U330" i="2"/>
  <c r="U528" i="2"/>
  <c r="U474" i="2"/>
  <c r="U321" i="2"/>
  <c r="U357" i="2"/>
  <c r="U384" i="2"/>
  <c r="U348" i="2"/>
  <c r="U366" i="2"/>
  <c r="U375" i="2"/>
  <c r="U339" i="2"/>
  <c r="T75" i="2"/>
  <c r="T545" i="2" s="1"/>
  <c r="U510" i="2"/>
  <c r="U483" i="2"/>
  <c r="U456" i="2"/>
  <c r="U501" i="2"/>
  <c r="U492" i="2"/>
  <c r="U519" i="2"/>
  <c r="U465" i="2"/>
  <c r="U187" i="2"/>
  <c r="U188" i="2"/>
  <c r="U186" i="2"/>
  <c r="V190" i="2"/>
  <c r="T665" i="2" l="1"/>
  <c r="T286" i="2"/>
  <c r="T658" i="2"/>
  <c r="T279" i="2"/>
  <c r="U401" i="2"/>
  <c r="T664" i="2"/>
  <c r="T285" i="2"/>
  <c r="U410" i="2"/>
  <c r="S163" i="2"/>
  <c r="S248" i="2"/>
  <c r="W797" i="2"/>
  <c r="X824" i="2" s="1"/>
  <c r="W784" i="2"/>
  <c r="U702" i="2"/>
  <c r="U729" i="2"/>
  <c r="U700" i="2"/>
  <c r="U727" i="2"/>
  <c r="U699" i="2"/>
  <c r="U726" i="2"/>
  <c r="U705" i="2"/>
  <c r="U732" i="2"/>
  <c r="U698" i="2"/>
  <c r="U725" i="2"/>
  <c r="U704" i="2"/>
  <c r="U731" i="2"/>
  <c r="U703" i="2"/>
  <c r="U730" i="2"/>
  <c r="U701" i="2"/>
  <c r="U728" i="2"/>
  <c r="U689" i="2"/>
  <c r="U633" i="2"/>
  <c r="U681" i="2"/>
  <c r="U657" i="2"/>
  <c r="U641" i="2"/>
  <c r="U649" i="2" s="1"/>
  <c r="U675" i="2"/>
  <c r="U683" i="2"/>
  <c r="U651" i="2"/>
  <c r="U635" i="2"/>
  <c r="U643" i="2" s="1"/>
  <c r="U627" i="2"/>
  <c r="U682" i="2"/>
  <c r="U674" i="2"/>
  <c r="U626" i="2"/>
  <c r="U634" i="2"/>
  <c r="U642" i="2" s="1"/>
  <c r="U650" i="2"/>
  <c r="U429" i="2"/>
  <c r="U430" i="2"/>
  <c r="U432" i="2"/>
  <c r="U433" i="2"/>
  <c r="U436" i="2"/>
  <c r="U435" i="2"/>
  <c r="U431" i="2"/>
  <c r="U434" i="2"/>
  <c r="U198" i="2"/>
  <c r="U212" i="2"/>
  <c r="U219" i="2"/>
  <c r="U240" i="2"/>
  <c r="U226" i="2"/>
  <c r="U191" i="2"/>
  <c r="U247" i="2"/>
  <c r="U233" i="2"/>
  <c r="U205" i="2"/>
  <c r="V245" i="2"/>
  <c r="V242" i="2"/>
  <c r="V238" i="2"/>
  <c r="V235" i="2"/>
  <c r="V231" i="2"/>
  <c r="V228" i="2"/>
  <c r="V244" i="2"/>
  <c r="V241" i="2"/>
  <c r="V237" i="2"/>
  <c r="V234" i="2"/>
  <c r="V230" i="2"/>
  <c r="V227" i="2"/>
  <c r="V246" i="2"/>
  <c r="V243" i="2"/>
  <c r="V239" i="2"/>
  <c r="V236" i="2"/>
  <c r="V232" i="2"/>
  <c r="V229" i="2"/>
  <c r="V225" i="2"/>
  <c r="V224" i="2"/>
  <c r="V221" i="2"/>
  <c r="V217" i="2"/>
  <c r="V214" i="2"/>
  <c r="V210" i="2"/>
  <c r="V207" i="2"/>
  <c r="V203" i="2"/>
  <c r="V200" i="2"/>
  <c r="V196" i="2"/>
  <c r="V193" i="2"/>
  <c r="V223" i="2"/>
  <c r="V220" i="2"/>
  <c r="V216" i="2"/>
  <c r="V213" i="2"/>
  <c r="V209" i="2"/>
  <c r="V206" i="2"/>
  <c r="V202" i="2"/>
  <c r="V199" i="2"/>
  <c r="V195" i="2"/>
  <c r="V192" i="2"/>
  <c r="V222" i="2"/>
  <c r="V218" i="2"/>
  <c r="V215" i="2"/>
  <c r="V211" i="2"/>
  <c r="V208" i="2"/>
  <c r="V204" i="2"/>
  <c r="V201" i="2"/>
  <c r="V197" i="2"/>
  <c r="V194" i="2"/>
  <c r="T94" i="2"/>
  <c r="T163" i="2" s="1"/>
  <c r="U162" i="2"/>
  <c r="U106" i="2"/>
  <c r="V160" i="2"/>
  <c r="V157" i="2"/>
  <c r="V153" i="2"/>
  <c r="V150" i="2"/>
  <c r="V146" i="2"/>
  <c r="V143" i="2"/>
  <c r="V159" i="2"/>
  <c r="V156" i="2"/>
  <c r="V152" i="2"/>
  <c r="V149" i="2"/>
  <c r="V145" i="2"/>
  <c r="V142" i="2"/>
  <c r="V137" i="2"/>
  <c r="V133" i="2"/>
  <c r="V130" i="2"/>
  <c r="V144" i="2"/>
  <c r="V161" i="2"/>
  <c r="V154" i="2"/>
  <c r="V139" i="2"/>
  <c r="V128" i="2"/>
  <c r="V124" i="2"/>
  <c r="V121" i="2"/>
  <c r="V151" i="2"/>
  <c r="V140" i="2"/>
  <c r="V132" i="2"/>
  <c r="V117" i="2"/>
  <c r="V112" i="2"/>
  <c r="V109" i="2"/>
  <c r="V126" i="2"/>
  <c r="V123" i="2"/>
  <c r="V114" i="2"/>
  <c r="V131" i="2"/>
  <c r="V115" i="2"/>
  <c r="V135" i="2"/>
  <c r="V110" i="2"/>
  <c r="V147" i="2"/>
  <c r="V136" i="2"/>
  <c r="V119" i="2"/>
  <c r="V118" i="2"/>
  <c r="V108" i="2"/>
  <c r="V138" i="2"/>
  <c r="V125" i="2"/>
  <c r="V107" i="2"/>
  <c r="V129" i="2"/>
  <c r="V122" i="2"/>
  <c r="V116" i="2"/>
  <c r="V111" i="2"/>
  <c r="V158" i="2"/>
  <c r="U134" i="2"/>
  <c r="U148" i="2"/>
  <c r="U141" i="2"/>
  <c r="U113" i="2"/>
  <c r="U120" i="2"/>
  <c r="U155" i="2"/>
  <c r="U127" i="2"/>
  <c r="S92" i="2"/>
  <c r="S90" i="2" s="1"/>
  <c r="R96" i="2"/>
  <c r="Z248" i="3"/>
  <c r="AC241" i="3"/>
  <c r="V844" i="2"/>
  <c r="M64" i="2"/>
  <c r="M27" i="4" s="1"/>
  <c r="M26" i="4"/>
  <c r="P26" i="4"/>
  <c r="N26" i="4"/>
  <c r="C920" i="2"/>
  <c r="N64" i="2"/>
  <c r="Q26" i="4"/>
  <c r="Q64" i="2"/>
  <c r="E26" i="4"/>
  <c r="E64" i="2"/>
  <c r="C911" i="2"/>
  <c r="L26" i="4"/>
  <c r="L64" i="2"/>
  <c r="C918" i="2"/>
  <c r="C916" i="2"/>
  <c r="J64" i="2"/>
  <c r="J26" i="4"/>
  <c r="C909" i="2"/>
  <c r="C26" i="4"/>
  <c r="C63" i="2"/>
  <c r="C58" i="2"/>
  <c r="C932" i="2" s="1"/>
  <c r="C913" i="2"/>
  <c r="G64" i="2"/>
  <c r="G26" i="4"/>
  <c r="G63" i="2"/>
  <c r="R26" i="4"/>
  <c r="R64" i="2"/>
  <c r="R27" i="4" s="1"/>
  <c r="K26" i="4"/>
  <c r="K64" i="2"/>
  <c r="C917" i="2"/>
  <c r="K63" i="2"/>
  <c r="W844" i="2"/>
  <c r="W841" i="2"/>
  <c r="W838" i="2"/>
  <c r="W835" i="2"/>
  <c r="W836" i="2"/>
  <c r="W840" i="2"/>
  <c r="V809" i="2"/>
  <c r="V808" i="2"/>
  <c r="V807" i="2"/>
  <c r="V810" i="2"/>
  <c r="V811" i="2"/>
  <c r="W833" i="2"/>
  <c r="W837" i="2"/>
  <c r="W834" i="2"/>
  <c r="V816" i="2"/>
  <c r="V815" i="2"/>
  <c r="V817" i="2"/>
  <c r="V812" i="2"/>
  <c r="V813" i="2"/>
  <c r="W839" i="2"/>
  <c r="V814" i="2"/>
  <c r="W843" i="2"/>
  <c r="V806" i="2"/>
  <c r="W842" i="2"/>
  <c r="C914" i="2"/>
  <c r="H26" i="4"/>
  <c r="H64" i="2"/>
  <c r="F27" i="4"/>
  <c r="F912" i="2"/>
  <c r="O26" i="4"/>
  <c r="C921" i="2"/>
  <c r="O64" i="2"/>
  <c r="O63" i="2"/>
  <c r="C910" i="2"/>
  <c r="D64" i="2"/>
  <c r="D26" i="4"/>
  <c r="C915" i="2"/>
  <c r="I64" i="2"/>
  <c r="I26" i="4"/>
  <c r="Y56" i="2"/>
  <c r="X762" i="2"/>
  <c r="X25" i="4"/>
  <c r="D844" i="2"/>
  <c r="E844" i="2"/>
  <c r="F844" i="2"/>
  <c r="G844" i="2"/>
  <c r="H844" i="2"/>
  <c r="I844" i="2"/>
  <c r="J844" i="2"/>
  <c r="K844" i="2"/>
  <c r="L844" i="2"/>
  <c r="M844" i="2"/>
  <c r="N844" i="2"/>
  <c r="O844" i="2"/>
  <c r="P844" i="2"/>
  <c r="Q844" i="2"/>
  <c r="R844" i="2"/>
  <c r="S844" i="2"/>
  <c r="T844" i="2"/>
  <c r="U844" i="2"/>
  <c r="U57" i="2"/>
  <c r="U26" i="4" s="1"/>
  <c r="T64" i="2"/>
  <c r="T27" i="4" s="1"/>
  <c r="V782" i="2"/>
  <c r="V779" i="2"/>
  <c r="V776" i="2"/>
  <c r="V773" i="2"/>
  <c r="V770" i="2"/>
  <c r="V767" i="2"/>
  <c r="V764" i="2"/>
  <c r="V781" i="2"/>
  <c r="V778" i="2"/>
  <c r="V775" i="2"/>
  <c r="V772" i="2"/>
  <c r="V769" i="2"/>
  <c r="V766" i="2"/>
  <c r="V780" i="2"/>
  <c r="V777" i="2"/>
  <c r="V774" i="2"/>
  <c r="V771" i="2"/>
  <c r="V768" i="2"/>
  <c r="V763" i="2"/>
  <c r="V765" i="2"/>
  <c r="W59" i="2"/>
  <c r="U68" i="2"/>
  <c r="X189" i="2"/>
  <c r="V330" i="2"/>
  <c r="V474" i="2"/>
  <c r="V528" i="2"/>
  <c r="V357" i="2"/>
  <c r="V384" i="2"/>
  <c r="V339" i="2"/>
  <c r="V366" i="2"/>
  <c r="V321" i="2"/>
  <c r="V348" i="2"/>
  <c r="V375" i="2"/>
  <c r="U75" i="2"/>
  <c r="U545" i="2" s="1"/>
  <c r="V510" i="2"/>
  <c r="V483" i="2"/>
  <c r="V456" i="2"/>
  <c r="V519" i="2"/>
  <c r="V501" i="2"/>
  <c r="V492" i="2"/>
  <c r="V465" i="2"/>
  <c r="V188" i="2"/>
  <c r="V187" i="2"/>
  <c r="V186" i="2"/>
  <c r="W190" i="2"/>
  <c r="V410" i="2" l="1"/>
  <c r="U659" i="2"/>
  <c r="U280" i="2"/>
  <c r="U665" i="2"/>
  <c r="U286" i="2"/>
  <c r="U658" i="2"/>
  <c r="U279" i="2"/>
  <c r="V401" i="2"/>
  <c r="X797" i="2"/>
  <c r="Y824" i="2" s="1"/>
  <c r="X784" i="2"/>
  <c r="V700" i="2"/>
  <c r="V727" i="2"/>
  <c r="V699" i="2"/>
  <c r="V726" i="2"/>
  <c r="V702" i="2"/>
  <c r="V729" i="2"/>
  <c r="V701" i="2"/>
  <c r="V728" i="2"/>
  <c r="V704" i="2"/>
  <c r="V731" i="2"/>
  <c r="V698" i="2"/>
  <c r="V725" i="2"/>
  <c r="V703" i="2"/>
  <c r="V730" i="2"/>
  <c r="V705" i="2"/>
  <c r="V732" i="2"/>
  <c r="V675" i="2"/>
  <c r="V651" i="2"/>
  <c r="V683" i="2"/>
  <c r="V635" i="2"/>
  <c r="V643" i="2" s="1"/>
  <c r="V627" i="2"/>
  <c r="V676" i="2"/>
  <c r="V684" i="2"/>
  <c r="V628" i="2"/>
  <c r="V652" i="2"/>
  <c r="V636" i="2"/>
  <c r="V644" i="2" s="1"/>
  <c r="V436" i="2"/>
  <c r="V432" i="2"/>
  <c r="V435" i="2"/>
  <c r="V431" i="2"/>
  <c r="V429" i="2"/>
  <c r="V430" i="2"/>
  <c r="V434" i="2"/>
  <c r="V433" i="2"/>
  <c r="T95" i="2"/>
  <c r="V198" i="2"/>
  <c r="V226" i="2"/>
  <c r="V240" i="2"/>
  <c r="V247" i="2"/>
  <c r="W244" i="2"/>
  <c r="W241" i="2"/>
  <c r="W237" i="2"/>
  <c r="W234" i="2"/>
  <c r="W230" i="2"/>
  <c r="W227" i="2"/>
  <c r="W246" i="2"/>
  <c r="W243" i="2"/>
  <c r="W239" i="2"/>
  <c r="W236" i="2"/>
  <c r="W232" i="2"/>
  <c r="W229" i="2"/>
  <c r="W225" i="2"/>
  <c r="W245" i="2"/>
  <c r="W242" i="2"/>
  <c r="W238" i="2"/>
  <c r="W235" i="2"/>
  <c r="W231" i="2"/>
  <c r="W228" i="2"/>
  <c r="W224" i="2"/>
  <c r="W223" i="2"/>
  <c r="W220" i="2"/>
  <c r="W216" i="2"/>
  <c r="W213" i="2"/>
  <c r="W209" i="2"/>
  <c r="W206" i="2"/>
  <c r="W202" i="2"/>
  <c r="W199" i="2"/>
  <c r="W195" i="2"/>
  <c r="W192" i="2"/>
  <c r="W222" i="2"/>
  <c r="W218" i="2"/>
  <c r="W215" i="2"/>
  <c r="W211" i="2"/>
  <c r="W208" i="2"/>
  <c r="W204" i="2"/>
  <c r="W201" i="2"/>
  <c r="W197" i="2"/>
  <c r="W194" i="2"/>
  <c r="W221" i="2"/>
  <c r="W217" i="2"/>
  <c r="W214" i="2"/>
  <c r="W210" i="2"/>
  <c r="W207" i="2"/>
  <c r="W203" i="2"/>
  <c r="W200" i="2"/>
  <c r="W196" i="2"/>
  <c r="W193" i="2"/>
  <c r="V233" i="2"/>
  <c r="V205" i="2"/>
  <c r="V191" i="2"/>
  <c r="V212" i="2"/>
  <c r="V219" i="2"/>
  <c r="T93" i="2"/>
  <c r="V120" i="2"/>
  <c r="U94" i="2"/>
  <c r="U163" i="2" s="1"/>
  <c r="V148" i="2"/>
  <c r="V162" i="2"/>
  <c r="V127" i="2"/>
  <c r="W161" i="2"/>
  <c r="W158" i="2"/>
  <c r="W154" i="2"/>
  <c r="W151" i="2"/>
  <c r="W144" i="2"/>
  <c r="W156" i="2"/>
  <c r="W149" i="2"/>
  <c r="W146" i="2"/>
  <c r="W142" i="2"/>
  <c r="W139" i="2"/>
  <c r="W136" i="2"/>
  <c r="W132" i="2"/>
  <c r="W129" i="2"/>
  <c r="W160" i="2"/>
  <c r="W153" i="2"/>
  <c r="W147" i="2"/>
  <c r="W152" i="2"/>
  <c r="W145" i="2"/>
  <c r="W140" i="2"/>
  <c r="W133" i="2"/>
  <c r="W126" i="2"/>
  <c r="W123" i="2"/>
  <c r="W150" i="2"/>
  <c r="W159" i="2"/>
  <c r="W138" i="2"/>
  <c r="W125" i="2"/>
  <c r="W114" i="2"/>
  <c r="W107" i="2"/>
  <c r="W157" i="2"/>
  <c r="W137" i="2"/>
  <c r="W124" i="2"/>
  <c r="W119" i="2"/>
  <c r="W118" i="2"/>
  <c r="W108" i="2"/>
  <c r="W117" i="2"/>
  <c r="W122" i="2"/>
  <c r="W111" i="2"/>
  <c r="W131" i="2"/>
  <c r="W130" i="2"/>
  <c r="W116" i="2"/>
  <c r="W112" i="2"/>
  <c r="W115" i="2"/>
  <c r="W110" i="2"/>
  <c r="W109" i="2"/>
  <c r="W143" i="2"/>
  <c r="W135" i="2"/>
  <c r="W121" i="2"/>
  <c r="W128" i="2"/>
  <c r="V113" i="2"/>
  <c r="V106" i="2"/>
  <c r="V155" i="2"/>
  <c r="V134" i="2"/>
  <c r="V141" i="2"/>
  <c r="S96" i="2"/>
  <c r="U93" i="2"/>
  <c r="O102" i="2"/>
  <c r="R100" i="2"/>
  <c r="AA248" i="3"/>
  <c r="AD241" i="3"/>
  <c r="F919" i="2"/>
  <c r="F910" i="2"/>
  <c r="D27" i="4"/>
  <c r="C927" i="2"/>
  <c r="D896" i="2"/>
  <c r="N27" i="4"/>
  <c r="F920" i="2"/>
  <c r="X841" i="2"/>
  <c r="X836" i="2"/>
  <c r="X844" i="2"/>
  <c r="X839" i="2"/>
  <c r="X834" i="2"/>
  <c r="W815" i="2"/>
  <c r="W812" i="2"/>
  <c r="W809" i="2"/>
  <c r="W806" i="2"/>
  <c r="X833" i="2"/>
  <c r="W816" i="2"/>
  <c r="W810" i="2"/>
  <c r="W811" i="2"/>
  <c r="W817" i="2"/>
  <c r="W814" i="2"/>
  <c r="X835" i="2"/>
  <c r="X843" i="2"/>
  <c r="X842" i="2"/>
  <c r="W813" i="2"/>
  <c r="X840" i="2"/>
  <c r="W808" i="2"/>
  <c r="X837" i="2"/>
  <c r="X838" i="2"/>
  <c r="W807" i="2"/>
  <c r="D895" i="2"/>
  <c r="C926" i="2"/>
  <c r="K66" i="2"/>
  <c r="D894" i="2"/>
  <c r="G66" i="2"/>
  <c r="C925" i="2"/>
  <c r="O27" i="4"/>
  <c r="F921" i="2"/>
  <c r="K27" i="4"/>
  <c r="F917" i="2"/>
  <c r="F913" i="2"/>
  <c r="G27" i="4"/>
  <c r="F911" i="2"/>
  <c r="E27" i="4"/>
  <c r="C924" i="2"/>
  <c r="D893" i="2"/>
  <c r="I27" i="4"/>
  <c r="F915" i="2"/>
  <c r="H27" i="4"/>
  <c r="F914" i="2"/>
  <c r="Z56" i="2"/>
  <c r="Y762" i="2"/>
  <c r="Y25" i="4"/>
  <c r="L27" i="4"/>
  <c r="F918" i="2"/>
  <c r="F916" i="2"/>
  <c r="J27" i="4"/>
  <c r="Q27" i="4"/>
  <c r="V57" i="2"/>
  <c r="V26" i="4" s="1"/>
  <c r="U64" i="2"/>
  <c r="U27" i="4" s="1"/>
  <c r="W781" i="2"/>
  <c r="W778" i="2"/>
  <c r="W775" i="2"/>
  <c r="W772" i="2"/>
  <c r="W769" i="2"/>
  <c r="W766" i="2"/>
  <c r="W780" i="2"/>
  <c r="W777" i="2"/>
  <c r="W774" i="2"/>
  <c r="W771" i="2"/>
  <c r="W768" i="2"/>
  <c r="W765" i="2"/>
  <c r="W776" i="2"/>
  <c r="W773" i="2"/>
  <c r="W770" i="2"/>
  <c r="W767" i="2"/>
  <c r="W782" i="2"/>
  <c r="W764" i="2"/>
  <c r="W763" i="2"/>
  <c r="W779" i="2"/>
  <c r="X59" i="2"/>
  <c r="V68" i="2"/>
  <c r="Y189" i="2"/>
  <c r="W330" i="2"/>
  <c r="W474" i="2"/>
  <c r="W528" i="2"/>
  <c r="W357" i="2"/>
  <c r="W384" i="2"/>
  <c r="W321" i="2"/>
  <c r="W339" i="2"/>
  <c r="W366" i="2"/>
  <c r="W375" i="2"/>
  <c r="W348" i="2"/>
  <c r="V75" i="2"/>
  <c r="W501" i="2"/>
  <c r="W519" i="2"/>
  <c r="W456" i="2"/>
  <c r="W492" i="2"/>
  <c r="W483" i="2"/>
  <c r="W465" i="2"/>
  <c r="W510" i="2"/>
  <c r="W188" i="2"/>
  <c r="W187" i="2"/>
  <c r="W186" i="2"/>
  <c r="X190" i="2"/>
  <c r="V660" i="2" l="1"/>
  <c r="V281" i="2"/>
  <c r="V659" i="2"/>
  <c r="V280" i="2"/>
  <c r="W410" i="2"/>
  <c r="W401" i="2"/>
  <c r="U248" i="2"/>
  <c r="T248" i="2"/>
  <c r="Y797" i="2"/>
  <c r="Z824" i="2" s="1"/>
  <c r="Y784" i="2"/>
  <c r="W698" i="2"/>
  <c r="W725" i="2"/>
  <c r="W699" i="2"/>
  <c r="W726" i="2"/>
  <c r="W701" i="2"/>
  <c r="W728" i="2"/>
  <c r="W704" i="2"/>
  <c r="W731" i="2"/>
  <c r="W702" i="2"/>
  <c r="W729" i="2"/>
  <c r="W705" i="2"/>
  <c r="W732" i="2"/>
  <c r="W700" i="2"/>
  <c r="W727" i="2"/>
  <c r="W703" i="2"/>
  <c r="W730" i="2"/>
  <c r="W679" i="2"/>
  <c r="W631" i="2"/>
  <c r="W687" i="2"/>
  <c r="W639" i="2"/>
  <c r="W647" i="2" s="1"/>
  <c r="W655" i="2"/>
  <c r="W688" i="2"/>
  <c r="W680" i="2"/>
  <c r="W656" i="2"/>
  <c r="W640" i="2"/>
  <c r="W648" i="2" s="1"/>
  <c r="W632" i="2"/>
  <c r="W432" i="2"/>
  <c r="W431" i="2"/>
  <c r="W429" i="2"/>
  <c r="W434" i="2"/>
  <c r="W430" i="2"/>
  <c r="W435" i="2"/>
  <c r="W433" i="2"/>
  <c r="W436" i="2"/>
  <c r="S77" i="2"/>
  <c r="V545" i="2"/>
  <c r="W205" i="2"/>
  <c r="W191" i="2"/>
  <c r="W212" i="2"/>
  <c r="U95" i="2"/>
  <c r="W233" i="2"/>
  <c r="X244" i="2"/>
  <c r="X241" i="2"/>
  <c r="X237" i="2"/>
  <c r="X234" i="2"/>
  <c r="X230" i="2"/>
  <c r="X227" i="2"/>
  <c r="X246" i="2"/>
  <c r="X243" i="2"/>
  <c r="X239" i="2"/>
  <c r="X236" i="2"/>
  <c r="X232" i="2"/>
  <c r="X229" i="2"/>
  <c r="X225" i="2"/>
  <c r="X245" i="2"/>
  <c r="X242" i="2"/>
  <c r="X238" i="2"/>
  <c r="X235" i="2"/>
  <c r="X231" i="2"/>
  <c r="X228" i="2"/>
  <c r="X224" i="2"/>
  <c r="X223" i="2"/>
  <c r="X220" i="2"/>
  <c r="X216" i="2"/>
  <c r="X213" i="2"/>
  <c r="X209" i="2"/>
  <c r="X206" i="2"/>
  <c r="X202" i="2"/>
  <c r="X199" i="2"/>
  <c r="X195" i="2"/>
  <c r="X192" i="2"/>
  <c r="X222" i="2"/>
  <c r="X218" i="2"/>
  <c r="X215" i="2"/>
  <c r="X211" i="2"/>
  <c r="X208" i="2"/>
  <c r="X204" i="2"/>
  <c r="X201" i="2"/>
  <c r="X197" i="2"/>
  <c r="X194" i="2"/>
  <c r="X221" i="2"/>
  <c r="X217" i="2"/>
  <c r="X214" i="2"/>
  <c r="X210" i="2"/>
  <c r="X207" i="2"/>
  <c r="X203" i="2"/>
  <c r="X200" i="2"/>
  <c r="X196" i="2"/>
  <c r="X193" i="2"/>
  <c r="W219" i="2"/>
  <c r="W240" i="2"/>
  <c r="W247" i="2"/>
  <c r="W226" i="2"/>
  <c r="W198" i="2"/>
  <c r="T92" i="2"/>
  <c r="T90" i="2" s="1"/>
  <c r="V94" i="2"/>
  <c r="V163" i="2" s="1"/>
  <c r="W155" i="2"/>
  <c r="W162" i="2"/>
  <c r="W106" i="2"/>
  <c r="W141" i="2"/>
  <c r="W148" i="2"/>
  <c r="W134" i="2"/>
  <c r="W113" i="2"/>
  <c r="W127" i="2"/>
  <c r="X161" i="2"/>
  <c r="X158" i="2"/>
  <c r="X154" i="2"/>
  <c r="X151" i="2"/>
  <c r="X147" i="2"/>
  <c r="X144" i="2"/>
  <c r="X140" i="2"/>
  <c r="X156" i="2"/>
  <c r="X149" i="2"/>
  <c r="X146" i="2"/>
  <c r="X142" i="2"/>
  <c r="X139" i="2"/>
  <c r="X160" i="2"/>
  <c r="X153" i="2"/>
  <c r="X152" i="2"/>
  <c r="X145" i="2"/>
  <c r="X133" i="2"/>
  <c r="X117" i="2"/>
  <c r="X112" i="2"/>
  <c r="X109" i="2"/>
  <c r="X132" i="2"/>
  <c r="X126" i="2"/>
  <c r="X123" i="2"/>
  <c r="X114" i="2"/>
  <c r="X150" i="2"/>
  <c r="X136" i="2"/>
  <c r="X131" i="2"/>
  <c r="X119" i="2"/>
  <c r="X116" i="2"/>
  <c r="X143" i="2"/>
  <c r="X157" i="2"/>
  <c r="X137" i="2"/>
  <c r="X124" i="2"/>
  <c r="X118" i="2"/>
  <c r="X108" i="2"/>
  <c r="X122" i="2"/>
  <c r="X111" i="2"/>
  <c r="X129" i="2"/>
  <c r="X138" i="2"/>
  <c r="X125" i="2"/>
  <c r="X107" i="2"/>
  <c r="X130" i="2"/>
  <c r="X115" i="2"/>
  <c r="X110" i="2"/>
  <c r="X135" i="2"/>
  <c r="X121" i="2"/>
  <c r="X159" i="2"/>
  <c r="X128" i="2"/>
  <c r="W120" i="2"/>
  <c r="S100" i="2"/>
  <c r="U92" i="2"/>
  <c r="U90" i="2" s="1"/>
  <c r="AB248" i="3"/>
  <c r="V93" i="2"/>
  <c r="AE241" i="3"/>
  <c r="F894" i="2"/>
  <c r="F925" i="2"/>
  <c r="Y843" i="2"/>
  <c r="Y840" i="2"/>
  <c r="Y837" i="2"/>
  <c r="Y834" i="2"/>
  <c r="Y844" i="2"/>
  <c r="Y839" i="2"/>
  <c r="X815" i="2"/>
  <c r="Y841" i="2"/>
  <c r="Y836" i="2"/>
  <c r="X811" i="2"/>
  <c r="X817" i="2"/>
  <c r="X814" i="2"/>
  <c r="Y842" i="2"/>
  <c r="X812" i="2"/>
  <c r="X813" i="2"/>
  <c r="X810" i="2"/>
  <c r="Y833" i="2"/>
  <c r="Y835" i="2"/>
  <c r="X809" i="2"/>
  <c r="X816" i="2"/>
  <c r="X808" i="2"/>
  <c r="X806" i="2"/>
  <c r="Y838" i="2"/>
  <c r="X807" i="2"/>
  <c r="F895" i="2"/>
  <c r="F926" i="2"/>
  <c r="AA56" i="2"/>
  <c r="Z762" i="2"/>
  <c r="Z25" i="4"/>
  <c r="W57" i="2"/>
  <c r="W26" i="4" s="1"/>
  <c r="S63" i="2"/>
  <c r="D897" i="2" s="1"/>
  <c r="V64" i="2"/>
  <c r="V27" i="4" s="1"/>
  <c r="X782" i="2"/>
  <c r="X779" i="2"/>
  <c r="X776" i="2"/>
  <c r="X773" i="2"/>
  <c r="X770" i="2"/>
  <c r="X767" i="2"/>
  <c r="X764" i="2"/>
  <c r="X781" i="2"/>
  <c r="X778" i="2"/>
  <c r="X775" i="2"/>
  <c r="X772" i="2"/>
  <c r="X769" i="2"/>
  <c r="X766" i="2"/>
  <c r="X780" i="2"/>
  <c r="X777" i="2"/>
  <c r="X774" i="2"/>
  <c r="X771" i="2"/>
  <c r="X768" i="2"/>
  <c r="X765" i="2"/>
  <c r="X763" i="2"/>
  <c r="S70" i="2"/>
  <c r="Y59" i="2"/>
  <c r="W68" i="2"/>
  <c r="Z189" i="2"/>
  <c r="X330" i="2"/>
  <c r="X474" i="2"/>
  <c r="X528" i="2"/>
  <c r="X357" i="2"/>
  <c r="X384" i="2"/>
  <c r="X339" i="2"/>
  <c r="X321" i="2"/>
  <c r="X366" i="2"/>
  <c r="X375" i="2"/>
  <c r="X348" i="2"/>
  <c r="W75" i="2"/>
  <c r="W545" i="2" s="1"/>
  <c r="X501" i="2"/>
  <c r="X492" i="2"/>
  <c r="X483" i="2"/>
  <c r="X465" i="2"/>
  <c r="X456" i="2"/>
  <c r="X510" i="2"/>
  <c r="X519" i="2"/>
  <c r="X187" i="2"/>
  <c r="X188" i="2"/>
  <c r="X186" i="2"/>
  <c r="Y190" i="2"/>
  <c r="W664" i="2" l="1"/>
  <c r="W285" i="2"/>
  <c r="W663" i="2"/>
  <c r="W284" i="2"/>
  <c r="X401" i="2"/>
  <c r="X410" i="2"/>
  <c r="V248" i="2"/>
  <c r="Z797" i="2"/>
  <c r="AA824" i="2" s="1"/>
  <c r="Z784" i="2"/>
  <c r="X700" i="2"/>
  <c r="X727" i="2"/>
  <c r="X699" i="2"/>
  <c r="X726" i="2"/>
  <c r="X703" i="2"/>
  <c r="X730" i="2"/>
  <c r="X702" i="2"/>
  <c r="X729" i="2"/>
  <c r="X705" i="2"/>
  <c r="X732" i="2"/>
  <c r="X701" i="2"/>
  <c r="X728" i="2"/>
  <c r="X704" i="2"/>
  <c r="X731" i="2"/>
  <c r="X698" i="2"/>
  <c r="X725" i="2"/>
  <c r="X688" i="2"/>
  <c r="X632" i="2"/>
  <c r="X680" i="2"/>
  <c r="X656" i="2"/>
  <c r="X640" i="2"/>
  <c r="X648" i="2" s="1"/>
  <c r="X674" i="2"/>
  <c r="X682" i="2"/>
  <c r="X650" i="2"/>
  <c r="X626" i="2"/>
  <c r="X634" i="2"/>
  <c r="X642" i="2" s="1"/>
  <c r="X689" i="2"/>
  <c r="X641" i="2"/>
  <c r="X649" i="2" s="1"/>
  <c r="X681" i="2"/>
  <c r="X657" i="2"/>
  <c r="X633" i="2"/>
  <c r="X430" i="2"/>
  <c r="X434" i="2"/>
  <c r="X435" i="2"/>
  <c r="X429" i="2"/>
  <c r="X431" i="2"/>
  <c r="X433" i="2"/>
  <c r="X436" i="2"/>
  <c r="X432" i="2"/>
  <c r="U96" i="2"/>
  <c r="X212" i="2"/>
  <c r="X198" i="2"/>
  <c r="X233" i="2"/>
  <c r="V95" i="2"/>
  <c r="X226" i="2"/>
  <c r="X205" i="2"/>
  <c r="X247" i="2"/>
  <c r="X219" i="2"/>
  <c r="X191" i="2"/>
  <c r="X240" i="2"/>
  <c r="Y244" i="2"/>
  <c r="Y241" i="2"/>
  <c r="Y237" i="2"/>
  <c r="Y234" i="2"/>
  <c r="Y230" i="2"/>
  <c r="Y227" i="2"/>
  <c r="Y246" i="2"/>
  <c r="Y243" i="2"/>
  <c r="Y239" i="2"/>
  <c r="Y236" i="2"/>
  <c r="Y232" i="2"/>
  <c r="Y229" i="2"/>
  <c r="Y225" i="2"/>
  <c r="Y245" i="2"/>
  <c r="Y242" i="2"/>
  <c r="Y238" i="2"/>
  <c r="Y235" i="2"/>
  <c r="Y231" i="2"/>
  <c r="Y228" i="2"/>
  <c r="Y224" i="2"/>
  <c r="Y223" i="2"/>
  <c r="Y220" i="2"/>
  <c r="Y216" i="2"/>
  <c r="Y213" i="2"/>
  <c r="Y209" i="2"/>
  <c r="Y206" i="2"/>
  <c r="Y202" i="2"/>
  <c r="Y199" i="2"/>
  <c r="Y195" i="2"/>
  <c r="Y192" i="2"/>
  <c r="Y222" i="2"/>
  <c r="Y218" i="2"/>
  <c r="Y215" i="2"/>
  <c r="Y211" i="2"/>
  <c r="Y208" i="2"/>
  <c r="Y204" i="2"/>
  <c r="Y201" i="2"/>
  <c r="Y197" i="2"/>
  <c r="Y194" i="2"/>
  <c r="Y221" i="2"/>
  <c r="Y217" i="2"/>
  <c r="Y214" i="2"/>
  <c r="Y210" i="2"/>
  <c r="Y207" i="2"/>
  <c r="Y203" i="2"/>
  <c r="Y200" i="2"/>
  <c r="Y196" i="2"/>
  <c r="Y193" i="2"/>
  <c r="T96" i="2"/>
  <c r="W94" i="2"/>
  <c r="W95" i="2" s="1"/>
  <c r="X106" i="2"/>
  <c r="X162" i="2"/>
  <c r="X141" i="2"/>
  <c r="X113" i="2"/>
  <c r="Y159" i="2"/>
  <c r="Y156" i="2"/>
  <c r="Y152" i="2"/>
  <c r="Y149" i="2"/>
  <c r="Y145" i="2"/>
  <c r="Y142" i="2"/>
  <c r="Y161" i="2"/>
  <c r="Y158" i="2"/>
  <c r="Y154" i="2"/>
  <c r="Y151" i="2"/>
  <c r="Y147" i="2"/>
  <c r="Y144" i="2"/>
  <c r="Y140" i="2"/>
  <c r="Y139" i="2"/>
  <c r="Y136" i="2"/>
  <c r="Y132" i="2"/>
  <c r="Y160" i="2"/>
  <c r="Y153" i="2"/>
  <c r="Y138" i="2"/>
  <c r="Y126" i="2"/>
  <c r="Y123" i="2"/>
  <c r="Y114" i="2"/>
  <c r="Y150" i="2"/>
  <c r="Y131" i="2"/>
  <c r="Y125" i="2"/>
  <c r="Y122" i="2"/>
  <c r="Y135" i="2"/>
  <c r="Y121" i="2"/>
  <c r="Y110" i="2"/>
  <c r="Y119" i="2"/>
  <c r="Y146" i="2"/>
  <c r="Y117" i="2"/>
  <c r="Y111" i="2"/>
  <c r="Y129" i="2"/>
  <c r="Y116" i="2"/>
  <c r="Y107" i="2"/>
  <c r="Y130" i="2"/>
  <c r="Y118" i="2"/>
  <c r="Y143" i="2"/>
  <c r="Y137" i="2"/>
  <c r="Y109" i="2"/>
  <c r="Y108" i="2"/>
  <c r="Y157" i="2"/>
  <c r="Y133" i="2"/>
  <c r="Y124" i="2"/>
  <c r="Y128" i="2"/>
  <c r="Y115" i="2"/>
  <c r="Y112" i="2"/>
  <c r="X127" i="2"/>
  <c r="X134" i="2"/>
  <c r="X120" i="2"/>
  <c r="X148" i="2"/>
  <c r="X155" i="2"/>
  <c r="V92" i="2"/>
  <c r="V90" i="2" s="1"/>
  <c r="W93" i="2"/>
  <c r="AC248" i="3"/>
  <c r="AF241" i="3"/>
  <c r="S66" i="2"/>
  <c r="F897" i="2" s="1"/>
  <c r="Z844" i="2"/>
  <c r="Z839" i="2"/>
  <c r="Z842" i="2"/>
  <c r="Z841" i="2"/>
  <c r="Z838" i="2"/>
  <c r="Z833" i="2"/>
  <c r="Y811" i="2"/>
  <c r="Y817" i="2"/>
  <c r="Y814" i="2"/>
  <c r="Z835" i="2"/>
  <c r="Z843" i="2"/>
  <c r="Y812" i="2"/>
  <c r="Y816" i="2"/>
  <c r="Y810" i="2"/>
  <c r="Z840" i="2"/>
  <c r="Z836" i="2"/>
  <c r="Y815" i="2"/>
  <c r="Y813" i="2"/>
  <c r="Z834" i="2"/>
  <c r="Y808" i="2"/>
  <c r="Y806" i="2"/>
  <c r="Z837" i="2"/>
  <c r="Y807" i="2"/>
  <c r="Y809" i="2"/>
  <c r="AB56" i="2"/>
  <c r="AA762" i="2"/>
  <c r="AA25" i="4"/>
  <c r="X57" i="2"/>
  <c r="X26" i="4" s="1"/>
  <c r="C928" i="2"/>
  <c r="W64" i="2"/>
  <c r="W27" i="4" s="1"/>
  <c r="Y782" i="2"/>
  <c r="Y779" i="2"/>
  <c r="Y776" i="2"/>
  <c r="Y773" i="2"/>
  <c r="Y770" i="2"/>
  <c r="Y767" i="2"/>
  <c r="Y764" i="2"/>
  <c r="Y781" i="2"/>
  <c r="Y778" i="2"/>
  <c r="Y775" i="2"/>
  <c r="Y772" i="2"/>
  <c r="Y769" i="2"/>
  <c r="Y766" i="2"/>
  <c r="Y780" i="2"/>
  <c r="Y777" i="2"/>
  <c r="Y774" i="2"/>
  <c r="Y771" i="2"/>
  <c r="Y768" i="2"/>
  <c r="Y765" i="2"/>
  <c r="Y763" i="2"/>
  <c r="Z59" i="2"/>
  <c r="AA189" i="2"/>
  <c r="X68" i="2"/>
  <c r="Y330" i="2"/>
  <c r="Y528" i="2"/>
  <c r="Y474" i="2"/>
  <c r="Y321" i="2"/>
  <c r="Y339" i="2"/>
  <c r="Y366" i="2"/>
  <c r="Y375" i="2"/>
  <c r="Y384" i="2"/>
  <c r="Y348" i="2"/>
  <c r="Y357" i="2"/>
  <c r="X75" i="2"/>
  <c r="X545" i="2" s="1"/>
  <c r="Y501" i="2"/>
  <c r="Y492" i="2"/>
  <c r="Y483" i="2"/>
  <c r="Y465" i="2"/>
  <c r="Y456" i="2"/>
  <c r="Y510" i="2"/>
  <c r="Y519" i="2"/>
  <c r="Y187" i="2"/>
  <c r="Y188" i="2"/>
  <c r="Y186" i="2"/>
  <c r="Z190" i="2"/>
  <c r="X658" i="2" l="1"/>
  <c r="X279" i="2"/>
  <c r="X664" i="2"/>
  <c r="X285" i="2"/>
  <c r="Y401" i="2"/>
  <c r="X665" i="2"/>
  <c r="X286" i="2"/>
  <c r="Y410" i="2"/>
  <c r="W163" i="2"/>
  <c r="W248" i="2"/>
  <c r="AA797" i="2"/>
  <c r="AB824" i="2" s="1"/>
  <c r="AA784" i="2"/>
  <c r="Y698" i="2"/>
  <c r="Y725" i="2"/>
  <c r="Y700" i="2"/>
  <c r="Y727" i="2"/>
  <c r="Y699" i="2"/>
  <c r="Y726" i="2"/>
  <c r="Y703" i="2"/>
  <c r="Y730" i="2"/>
  <c r="Y702" i="2"/>
  <c r="Y729" i="2"/>
  <c r="Y705" i="2"/>
  <c r="Y732" i="2"/>
  <c r="Y701" i="2"/>
  <c r="Y728" i="2"/>
  <c r="Y704" i="2"/>
  <c r="Y731" i="2"/>
  <c r="Y681" i="2"/>
  <c r="Y689" i="2"/>
  <c r="Y641" i="2"/>
  <c r="Y649" i="2" s="1"/>
  <c r="Y657" i="2"/>
  <c r="Y633" i="2"/>
  <c r="Y682" i="2"/>
  <c r="Y674" i="2"/>
  <c r="Y650" i="2"/>
  <c r="Y626" i="2"/>
  <c r="Y634" i="2"/>
  <c r="Y642" i="2" s="1"/>
  <c r="Y675" i="2"/>
  <c r="Y651" i="2"/>
  <c r="Y627" i="2"/>
  <c r="Y683" i="2"/>
  <c r="Y635" i="2"/>
  <c r="Y643" i="2" s="1"/>
  <c r="Y432" i="2"/>
  <c r="Y435" i="2"/>
  <c r="Y434" i="2"/>
  <c r="Y433" i="2"/>
  <c r="Y436" i="2"/>
  <c r="Y429" i="2"/>
  <c r="Y431" i="2"/>
  <c r="Y430" i="2"/>
  <c r="Y212" i="2"/>
  <c r="U100" i="2"/>
  <c r="Y191" i="2"/>
  <c r="Y240" i="2"/>
  <c r="Y219" i="2"/>
  <c r="Y233" i="2"/>
  <c r="Y205" i="2"/>
  <c r="Z244" i="2"/>
  <c r="Z241" i="2"/>
  <c r="Z237" i="2"/>
  <c r="Z234" i="2"/>
  <c r="Z230" i="2"/>
  <c r="Z227" i="2"/>
  <c r="Z246" i="2"/>
  <c r="Z243" i="2"/>
  <c r="Z239" i="2"/>
  <c r="Z236" i="2"/>
  <c r="Z232" i="2"/>
  <c r="Z229" i="2"/>
  <c r="Z225" i="2"/>
  <c r="Z245" i="2"/>
  <c r="Z242" i="2"/>
  <c r="Z238" i="2"/>
  <c r="Z235" i="2"/>
  <c r="Z231" i="2"/>
  <c r="Z228" i="2"/>
  <c r="Z224" i="2"/>
  <c r="Z223" i="2"/>
  <c r="Z220" i="2"/>
  <c r="Z216" i="2"/>
  <c r="Z213" i="2"/>
  <c r="Z209" i="2"/>
  <c r="Z206" i="2"/>
  <c r="Z202" i="2"/>
  <c r="Z199" i="2"/>
  <c r="Z195" i="2"/>
  <c r="Z192" i="2"/>
  <c r="Z222" i="2"/>
  <c r="Z218" i="2"/>
  <c r="Z215" i="2"/>
  <c r="Z211" i="2"/>
  <c r="Z208" i="2"/>
  <c r="Z204" i="2"/>
  <c r="Z201" i="2"/>
  <c r="Z197" i="2"/>
  <c r="Z194" i="2"/>
  <c r="Z221" i="2"/>
  <c r="Z217" i="2"/>
  <c r="Z214" i="2"/>
  <c r="Z210" i="2"/>
  <c r="Z207" i="2"/>
  <c r="Z203" i="2"/>
  <c r="Z200" i="2"/>
  <c r="Z196" i="2"/>
  <c r="Z193" i="2"/>
  <c r="Y198" i="2"/>
  <c r="Y226" i="2"/>
  <c r="Y247" i="2"/>
  <c r="T100" i="2"/>
  <c r="X94" i="2"/>
  <c r="X95" i="2" s="1"/>
  <c r="Y162" i="2"/>
  <c r="Y106" i="2"/>
  <c r="Y134" i="2"/>
  <c r="Y155" i="2"/>
  <c r="Y141" i="2"/>
  <c r="Y148" i="2"/>
  <c r="Y120" i="2"/>
  <c r="Z159" i="2"/>
  <c r="Z156" i="2"/>
  <c r="Z152" i="2"/>
  <c r="Z149" i="2"/>
  <c r="Z145" i="2"/>
  <c r="Z142" i="2"/>
  <c r="Z161" i="2"/>
  <c r="Z158" i="2"/>
  <c r="Z154" i="2"/>
  <c r="Z151" i="2"/>
  <c r="Z147" i="2"/>
  <c r="Z144" i="2"/>
  <c r="Z140" i="2"/>
  <c r="Z139" i="2"/>
  <c r="Z136" i="2"/>
  <c r="Z132" i="2"/>
  <c r="Z160" i="2"/>
  <c r="Z153" i="2"/>
  <c r="Z138" i="2"/>
  <c r="Z143" i="2"/>
  <c r="Z126" i="2"/>
  <c r="Z123" i="2"/>
  <c r="Z114" i="2"/>
  <c r="Z150" i="2"/>
  <c r="Z131" i="2"/>
  <c r="Z119" i="2"/>
  <c r="Z116" i="2"/>
  <c r="Z111" i="2"/>
  <c r="Z108" i="2"/>
  <c r="Z125" i="2"/>
  <c r="Z122" i="2"/>
  <c r="Z129" i="2"/>
  <c r="Z112" i="2"/>
  <c r="Z146" i="2"/>
  <c r="Z117" i="2"/>
  <c r="Z130" i="2"/>
  <c r="Z118" i="2"/>
  <c r="Z157" i="2"/>
  <c r="Z135" i="2"/>
  <c r="Z133" i="2"/>
  <c r="Z124" i="2"/>
  <c r="Z121" i="2"/>
  <c r="Z107" i="2"/>
  <c r="Z128" i="2"/>
  <c r="Z115" i="2"/>
  <c r="Z137" i="2"/>
  <c r="Z110" i="2"/>
  <c r="Z109" i="2"/>
  <c r="Y127" i="2"/>
  <c r="Y113" i="2"/>
  <c r="W92" i="2"/>
  <c r="W90" i="2" s="1"/>
  <c r="V96" i="2"/>
  <c r="X93" i="2"/>
  <c r="AD248" i="3"/>
  <c r="AG241" i="3"/>
  <c r="F928" i="2"/>
  <c r="AA843" i="2"/>
  <c r="AA840" i="2"/>
  <c r="AA837" i="2"/>
  <c r="AA834" i="2"/>
  <c r="AA842" i="2"/>
  <c r="AA838" i="2"/>
  <c r="AA833" i="2"/>
  <c r="Z814" i="2"/>
  <c r="Z813" i="2"/>
  <c r="Z812" i="2"/>
  <c r="AA835" i="2"/>
  <c r="Z816" i="2"/>
  <c r="AA844" i="2"/>
  <c r="AA841" i="2"/>
  <c r="Z817" i="2"/>
  <c r="Z810" i="2"/>
  <c r="AA836" i="2"/>
  <c r="AA839" i="2"/>
  <c r="Z815" i="2"/>
  <c r="Z811" i="2"/>
  <c r="Z808" i="2"/>
  <c r="Z806" i="2"/>
  <c r="Z807" i="2"/>
  <c r="Z809" i="2"/>
  <c r="AC56" i="2"/>
  <c r="AB762" i="2"/>
  <c r="AB25" i="4"/>
  <c r="Y57" i="2"/>
  <c r="Y26" i="4" s="1"/>
  <c r="X64" i="2"/>
  <c r="X27" i="4" s="1"/>
  <c r="Z781" i="2"/>
  <c r="Z778" i="2"/>
  <c r="Z775" i="2"/>
  <c r="Z772" i="2"/>
  <c r="Z769" i="2"/>
  <c r="Z766" i="2"/>
  <c r="Z780" i="2"/>
  <c r="Z777" i="2"/>
  <c r="Z774" i="2"/>
  <c r="Z771" i="2"/>
  <c r="Z768" i="2"/>
  <c r="Z765" i="2"/>
  <c r="Z773" i="2"/>
  <c r="Z770" i="2"/>
  <c r="Z767" i="2"/>
  <c r="Z763" i="2"/>
  <c r="Z782" i="2"/>
  <c r="Z764" i="2"/>
  <c r="Z779" i="2"/>
  <c r="Z776" i="2"/>
  <c r="AA59" i="2"/>
  <c r="Y68" i="2"/>
  <c r="AB189" i="2"/>
  <c r="Z330" i="2"/>
  <c r="Z528" i="2"/>
  <c r="Z474" i="2"/>
  <c r="Z339" i="2"/>
  <c r="Z348" i="2"/>
  <c r="Z375" i="2"/>
  <c r="Z366" i="2"/>
  <c r="Z384" i="2"/>
  <c r="Z321" i="2"/>
  <c r="Z357" i="2"/>
  <c r="Y75" i="2"/>
  <c r="Y545" i="2" s="1"/>
  <c r="Z501" i="2"/>
  <c r="Z519" i="2"/>
  <c r="Z510" i="2"/>
  <c r="Z492" i="2"/>
  <c r="Z483" i="2"/>
  <c r="Z465" i="2"/>
  <c r="Z456" i="2"/>
  <c r="Z187" i="2"/>
  <c r="Z188" i="2"/>
  <c r="Z186" i="2"/>
  <c r="AA190" i="2"/>
  <c r="Z410" i="2" l="1"/>
  <c r="Y658" i="2"/>
  <c r="Y279" i="2"/>
  <c r="Y665" i="2"/>
  <c r="Y286" i="2"/>
  <c r="Y659" i="2"/>
  <c r="Y280" i="2"/>
  <c r="Z401" i="2"/>
  <c r="X248" i="2"/>
  <c r="X163" i="2"/>
  <c r="AB797" i="2"/>
  <c r="AC824" i="2" s="1"/>
  <c r="AB784" i="2"/>
  <c r="Z699" i="2"/>
  <c r="Z726" i="2"/>
  <c r="Z701" i="2"/>
  <c r="Z728" i="2"/>
  <c r="Z704" i="2"/>
  <c r="Z731" i="2"/>
  <c r="Z698" i="2"/>
  <c r="Z725" i="2"/>
  <c r="Z702" i="2"/>
  <c r="Z729" i="2"/>
  <c r="Z705" i="2"/>
  <c r="Z732" i="2"/>
  <c r="Z700" i="2"/>
  <c r="Z727" i="2"/>
  <c r="Z703" i="2"/>
  <c r="Z730" i="2"/>
  <c r="Z683" i="2"/>
  <c r="Z635" i="2"/>
  <c r="Z643" i="2" s="1"/>
  <c r="Z651" i="2"/>
  <c r="Z627" i="2"/>
  <c r="Z675" i="2"/>
  <c r="Z684" i="2"/>
  <c r="Z676" i="2"/>
  <c r="Z636" i="2"/>
  <c r="Z644" i="2" s="1"/>
  <c r="Z628" i="2"/>
  <c r="Z652" i="2"/>
  <c r="Z674" i="2"/>
  <c r="Z682" i="2"/>
  <c r="Z650" i="2"/>
  <c r="Z626" i="2"/>
  <c r="Z634" i="2"/>
  <c r="Z642" i="2" s="1"/>
  <c r="Z435" i="2"/>
  <c r="Z429" i="2"/>
  <c r="Z431" i="2"/>
  <c r="Z430" i="2"/>
  <c r="Z432" i="2"/>
  <c r="Z436" i="2"/>
  <c r="Z433" i="2"/>
  <c r="Z434" i="2"/>
  <c r="Z212" i="2"/>
  <c r="Z191" i="2"/>
  <c r="Z247" i="2"/>
  <c r="Z233" i="2"/>
  <c r="Z219" i="2"/>
  <c r="Z226" i="2"/>
  <c r="Z198" i="2"/>
  <c r="Z240" i="2"/>
  <c r="AA246" i="2"/>
  <c r="AA243" i="2"/>
  <c r="AA239" i="2"/>
  <c r="AA236" i="2"/>
  <c r="AA232" i="2"/>
  <c r="AA229" i="2"/>
  <c r="AA225" i="2"/>
  <c r="AA245" i="2"/>
  <c r="AA242" i="2"/>
  <c r="AA238" i="2"/>
  <c r="AA235" i="2"/>
  <c r="AA231" i="2"/>
  <c r="AA228" i="2"/>
  <c r="AA224" i="2"/>
  <c r="AA244" i="2"/>
  <c r="AA241" i="2"/>
  <c r="AA237" i="2"/>
  <c r="AA234" i="2"/>
  <c r="AA230" i="2"/>
  <c r="AA227" i="2"/>
  <c r="AA222" i="2"/>
  <c r="AA218" i="2"/>
  <c r="AA215" i="2"/>
  <c r="AA211" i="2"/>
  <c r="AA208" i="2"/>
  <c r="AA204" i="2"/>
  <c r="AA201" i="2"/>
  <c r="AA197" i="2"/>
  <c r="AA194" i="2"/>
  <c r="AA221" i="2"/>
  <c r="AA217" i="2"/>
  <c r="AA214" i="2"/>
  <c r="AA210" i="2"/>
  <c r="AA207" i="2"/>
  <c r="AA203" i="2"/>
  <c r="AA200" i="2"/>
  <c r="AA196" i="2"/>
  <c r="AA193" i="2"/>
  <c r="AA223" i="2"/>
  <c r="AA220" i="2"/>
  <c r="AA216" i="2"/>
  <c r="AA213" i="2"/>
  <c r="AA209" i="2"/>
  <c r="AA206" i="2"/>
  <c r="AA202" i="2"/>
  <c r="AA199" i="2"/>
  <c r="AA195" i="2"/>
  <c r="AA192" i="2"/>
  <c r="Z205" i="2"/>
  <c r="Y94" i="2"/>
  <c r="Y95" i="2" s="1"/>
  <c r="Z120" i="2"/>
  <c r="Z162" i="2"/>
  <c r="Z141" i="2"/>
  <c r="Z155" i="2"/>
  <c r="Z106" i="2"/>
  <c r="Z113" i="2"/>
  <c r="Z148" i="2"/>
  <c r="Z127" i="2"/>
  <c r="AA160" i="2"/>
  <c r="AA157" i="2"/>
  <c r="AA153" i="2"/>
  <c r="AA150" i="2"/>
  <c r="AA142" i="2"/>
  <c r="AA161" i="2"/>
  <c r="AA154" i="2"/>
  <c r="AA138" i="2"/>
  <c r="AA135" i="2"/>
  <c r="AA131" i="2"/>
  <c r="AA147" i="2"/>
  <c r="AA143" i="2"/>
  <c r="AA159" i="2"/>
  <c r="AA152" i="2"/>
  <c r="AA145" i="2"/>
  <c r="AA140" i="2"/>
  <c r="AA114" i="2"/>
  <c r="AA151" i="2"/>
  <c r="AA132" i="2"/>
  <c r="AA125" i="2"/>
  <c r="AA122" i="2"/>
  <c r="AA136" i="2"/>
  <c r="AA129" i="2"/>
  <c r="AA149" i="2"/>
  <c r="AA144" i="2"/>
  <c r="AA139" i="2"/>
  <c r="AA137" i="2"/>
  <c r="AA124" i="2"/>
  <c r="AA118" i="2"/>
  <c r="AA111" i="2"/>
  <c r="AA123" i="2"/>
  <c r="AA130" i="2"/>
  <c r="AA116" i="2"/>
  <c r="AA158" i="2"/>
  <c r="AA128" i="2"/>
  <c r="AA109" i="2"/>
  <c r="AA146" i="2"/>
  <c r="AA133" i="2"/>
  <c r="AA121" i="2"/>
  <c r="AA126" i="2"/>
  <c r="AA108" i="2"/>
  <c r="AA107" i="2"/>
  <c r="AA117" i="2"/>
  <c r="AA119" i="2"/>
  <c r="AA115" i="2"/>
  <c r="AA112" i="2"/>
  <c r="AA110" i="2"/>
  <c r="AA156" i="2"/>
  <c r="Z134" i="2"/>
  <c r="X92" i="2"/>
  <c r="X90" i="2" s="1"/>
  <c r="X96" i="2" s="1"/>
  <c r="W96" i="2"/>
  <c r="V100" i="2"/>
  <c r="S102" i="2"/>
  <c r="AE248" i="3"/>
  <c r="AH241" i="3"/>
  <c r="AD56" i="2"/>
  <c r="AC762" i="2"/>
  <c r="AC25" i="4"/>
  <c r="AB842" i="2"/>
  <c r="AB837" i="2"/>
  <c r="AA817" i="2"/>
  <c r="AA814" i="2"/>
  <c r="AA811" i="2"/>
  <c r="AA808" i="2"/>
  <c r="AB843" i="2"/>
  <c r="AB839" i="2"/>
  <c r="AB835" i="2"/>
  <c r="AB833" i="2"/>
  <c r="AB844" i="2"/>
  <c r="AB836" i="2"/>
  <c r="AA812" i="2"/>
  <c r="AB840" i="2"/>
  <c r="AA807" i="2"/>
  <c r="AA806" i="2"/>
  <c r="AA816" i="2"/>
  <c r="AA813" i="2"/>
  <c r="AB834" i="2"/>
  <c r="AB841" i="2"/>
  <c r="AA810" i="2"/>
  <c r="AB838" i="2"/>
  <c r="AA809" i="2"/>
  <c r="AA815" i="2"/>
  <c r="Z57" i="2"/>
  <c r="Z26" i="4" s="1"/>
  <c r="Y64" i="2"/>
  <c r="Y27" i="4" s="1"/>
  <c r="AA780" i="2"/>
  <c r="AA777" i="2"/>
  <c r="AA774" i="2"/>
  <c r="AA771" i="2"/>
  <c r="AA768" i="2"/>
  <c r="AA765" i="2"/>
  <c r="AA782" i="2"/>
  <c r="AA779" i="2"/>
  <c r="AA776" i="2"/>
  <c r="AA773" i="2"/>
  <c r="AA770" i="2"/>
  <c r="AA767" i="2"/>
  <c r="AA764" i="2"/>
  <c r="AA769" i="2"/>
  <c r="AA766" i="2"/>
  <c r="AA781" i="2"/>
  <c r="AA763" i="2"/>
  <c r="AA778" i="2"/>
  <c r="AA775" i="2"/>
  <c r="AA772" i="2"/>
  <c r="AB59" i="2"/>
  <c r="Z68" i="2"/>
  <c r="AC189" i="2"/>
  <c r="AA330" i="2"/>
  <c r="AA474" i="2"/>
  <c r="AA528" i="2"/>
  <c r="AA339" i="2"/>
  <c r="AA366" i="2"/>
  <c r="AA348" i="2"/>
  <c r="AA375" i="2"/>
  <c r="AA384" i="2"/>
  <c r="AA321" i="2"/>
  <c r="AA357" i="2"/>
  <c r="Z75" i="2"/>
  <c r="AA519" i="2"/>
  <c r="AA492" i="2"/>
  <c r="AA465" i="2"/>
  <c r="AA510" i="2"/>
  <c r="AA501" i="2"/>
  <c r="AA456" i="2"/>
  <c r="AA483" i="2"/>
  <c r="AA188" i="2"/>
  <c r="AA187" i="2"/>
  <c r="AA186" i="2"/>
  <c r="AB190" i="2"/>
  <c r="Z660" i="2" l="1"/>
  <c r="Z281" i="2"/>
  <c r="Z659" i="2"/>
  <c r="Z280" i="2"/>
  <c r="Z658" i="2"/>
  <c r="Z279" i="2"/>
  <c r="AA410" i="2"/>
  <c r="AA401" i="2"/>
  <c r="W70" i="2"/>
  <c r="Y163" i="2"/>
  <c r="AC797" i="2"/>
  <c r="AD824" i="2" s="1"/>
  <c r="AC784" i="2"/>
  <c r="AA705" i="2"/>
  <c r="AA732" i="2"/>
  <c r="AA700" i="2"/>
  <c r="AA727" i="2"/>
  <c r="AA698" i="2"/>
  <c r="AA725" i="2"/>
  <c r="AA703" i="2"/>
  <c r="AA730" i="2"/>
  <c r="AA701" i="2"/>
  <c r="AA728" i="2"/>
  <c r="AA704" i="2"/>
  <c r="AA731" i="2"/>
  <c r="AA699" i="2"/>
  <c r="AA726" i="2"/>
  <c r="AA702" i="2"/>
  <c r="AA729" i="2"/>
  <c r="AA687" i="2"/>
  <c r="AA679" i="2"/>
  <c r="AA655" i="2"/>
  <c r="AA631" i="2"/>
  <c r="AA639" i="2"/>
  <c r="AA647" i="2" s="1"/>
  <c r="AA680" i="2"/>
  <c r="AA688" i="2"/>
  <c r="AA640" i="2"/>
  <c r="AA648" i="2" s="1"/>
  <c r="AA656" i="2"/>
  <c r="AA632" i="2"/>
  <c r="AA681" i="2"/>
  <c r="AA689" i="2"/>
  <c r="AA657" i="2"/>
  <c r="AA641" i="2"/>
  <c r="AA649" i="2" s="1"/>
  <c r="AA633" i="2"/>
  <c r="AA429" i="2"/>
  <c r="AA430" i="2"/>
  <c r="AA431" i="2"/>
  <c r="AA436" i="2"/>
  <c r="AA434" i="2"/>
  <c r="AA432" i="2"/>
  <c r="AA435" i="2"/>
  <c r="AA433" i="2"/>
  <c r="W77" i="2"/>
  <c r="Z545" i="2"/>
  <c r="AA205" i="2"/>
  <c r="AA226" i="2"/>
  <c r="AA233" i="2"/>
  <c r="AA212" i="2"/>
  <c r="AB246" i="2"/>
  <c r="AB243" i="2"/>
  <c r="AB239" i="2"/>
  <c r="AB236" i="2"/>
  <c r="AB232" i="2"/>
  <c r="AB229" i="2"/>
  <c r="AB225" i="2"/>
  <c r="AB245" i="2"/>
  <c r="AB242" i="2"/>
  <c r="AB238" i="2"/>
  <c r="AB235" i="2"/>
  <c r="AB231" i="2"/>
  <c r="AB228" i="2"/>
  <c r="AB224" i="2"/>
  <c r="AB244" i="2"/>
  <c r="AB241" i="2"/>
  <c r="AB237" i="2"/>
  <c r="AB234" i="2"/>
  <c r="AB230" i="2"/>
  <c r="AB227" i="2"/>
  <c r="AB222" i="2"/>
  <c r="AB218" i="2"/>
  <c r="AB215" i="2"/>
  <c r="AB211" i="2"/>
  <c r="AB208" i="2"/>
  <c r="AB204" i="2"/>
  <c r="AB201" i="2"/>
  <c r="AB197" i="2"/>
  <c r="AB194" i="2"/>
  <c r="AB221" i="2"/>
  <c r="AB217" i="2"/>
  <c r="AB214" i="2"/>
  <c r="AB210" i="2"/>
  <c r="AB207" i="2"/>
  <c r="AB203" i="2"/>
  <c r="AB200" i="2"/>
  <c r="AB196" i="2"/>
  <c r="AB193" i="2"/>
  <c r="AB223" i="2"/>
  <c r="AB220" i="2"/>
  <c r="AB216" i="2"/>
  <c r="AB213" i="2"/>
  <c r="AB209" i="2"/>
  <c r="AB206" i="2"/>
  <c r="AB202" i="2"/>
  <c r="AB199" i="2"/>
  <c r="AB195" i="2"/>
  <c r="AB192" i="2"/>
  <c r="AA191" i="2"/>
  <c r="AA247" i="2"/>
  <c r="AA219" i="2"/>
  <c r="AA198" i="2"/>
  <c r="AA240" i="2"/>
  <c r="Y93" i="2"/>
  <c r="AA106" i="2"/>
  <c r="Z94" i="2"/>
  <c r="Z95" i="2" s="1"/>
  <c r="AA162" i="2"/>
  <c r="AA113" i="2"/>
  <c r="AA141" i="2"/>
  <c r="AA155" i="2"/>
  <c r="AA120" i="2"/>
  <c r="AA148" i="2"/>
  <c r="AB160" i="2"/>
  <c r="AB157" i="2"/>
  <c r="AB153" i="2"/>
  <c r="AB150" i="2"/>
  <c r="AB146" i="2"/>
  <c r="AB143" i="2"/>
  <c r="AB139" i="2"/>
  <c r="AB161" i="2"/>
  <c r="AB154" i="2"/>
  <c r="AB138" i="2"/>
  <c r="AB147" i="2"/>
  <c r="AB159" i="2"/>
  <c r="AB152" i="2"/>
  <c r="AB145" i="2"/>
  <c r="AB140" i="2"/>
  <c r="AB151" i="2"/>
  <c r="AB132" i="2"/>
  <c r="AB119" i="2"/>
  <c r="AB116" i="2"/>
  <c r="AB111" i="2"/>
  <c r="AB108" i="2"/>
  <c r="AB131" i="2"/>
  <c r="AB125" i="2"/>
  <c r="AB122" i="2"/>
  <c r="AB136" i="2"/>
  <c r="AB129" i="2"/>
  <c r="AB149" i="2"/>
  <c r="AB144" i="2"/>
  <c r="AB135" i="2"/>
  <c r="AB130" i="2"/>
  <c r="AB118" i="2"/>
  <c r="AB115" i="2"/>
  <c r="AB123" i="2"/>
  <c r="AB158" i="2"/>
  <c r="AB128" i="2"/>
  <c r="AB109" i="2"/>
  <c r="AB133" i="2"/>
  <c r="AB121" i="2"/>
  <c r="AB124" i="2"/>
  <c r="AB126" i="2"/>
  <c r="AB107" i="2"/>
  <c r="AB117" i="2"/>
  <c r="AB142" i="2"/>
  <c r="AB114" i="2"/>
  <c r="AB112" i="2"/>
  <c r="AB110" i="2"/>
  <c r="AB156" i="2"/>
  <c r="AB137" i="2"/>
  <c r="AA127" i="2"/>
  <c r="AA134" i="2"/>
  <c r="X100" i="2"/>
  <c r="W100" i="2"/>
  <c r="AF248" i="3"/>
  <c r="AI241" i="3"/>
  <c r="AE56" i="2"/>
  <c r="AD762" i="2"/>
  <c r="AD25" i="4"/>
  <c r="AC842" i="2"/>
  <c r="AC839" i="2"/>
  <c r="AC836" i="2"/>
  <c r="AC833" i="2"/>
  <c r="AC837" i="2"/>
  <c r="AB817" i="2"/>
  <c r="AB816" i="2"/>
  <c r="AB812" i="2"/>
  <c r="AC841" i="2"/>
  <c r="AC840" i="2"/>
  <c r="AC844" i="2"/>
  <c r="AC835" i="2"/>
  <c r="AB807" i="2"/>
  <c r="AB806" i="2"/>
  <c r="AB811" i="2"/>
  <c r="AB808" i="2"/>
  <c r="AC843" i="2"/>
  <c r="AC838" i="2"/>
  <c r="AC834" i="2"/>
  <c r="AB814" i="2"/>
  <c r="AB810" i="2"/>
  <c r="AB809" i="2"/>
  <c r="AB815" i="2"/>
  <c r="AB813" i="2"/>
  <c r="AA57" i="2"/>
  <c r="AA26" i="4" s="1"/>
  <c r="W63" i="2"/>
  <c r="D898" i="2" s="1"/>
  <c r="AB781" i="2"/>
  <c r="AB778" i="2"/>
  <c r="AB775" i="2"/>
  <c r="AB772" i="2"/>
  <c r="AB769" i="2"/>
  <c r="AB766" i="2"/>
  <c r="AB780" i="2"/>
  <c r="AB777" i="2"/>
  <c r="AB774" i="2"/>
  <c r="AB771" i="2"/>
  <c r="AB768" i="2"/>
  <c r="AB765" i="2"/>
  <c r="AB782" i="2"/>
  <c r="AB779" i="2"/>
  <c r="AB776" i="2"/>
  <c r="AB773" i="2"/>
  <c r="AB770" i="2"/>
  <c r="AB767" i="2"/>
  <c r="AB764" i="2"/>
  <c r="AB763" i="2"/>
  <c r="Z64" i="2"/>
  <c r="Z27" i="4" s="1"/>
  <c r="AC59" i="2"/>
  <c r="AA68" i="2"/>
  <c r="AD189" i="2"/>
  <c r="AB330" i="2"/>
  <c r="AB528" i="2"/>
  <c r="AB474" i="2"/>
  <c r="AB339" i="2"/>
  <c r="AB366" i="2"/>
  <c r="AB348" i="2"/>
  <c r="AB375" i="2"/>
  <c r="AB321" i="2"/>
  <c r="AB384" i="2"/>
  <c r="AB357" i="2"/>
  <c r="AA75" i="2"/>
  <c r="AA545" i="2" s="1"/>
  <c r="AB519" i="2"/>
  <c r="AB492" i="2"/>
  <c r="AB465" i="2"/>
  <c r="AB501" i="2"/>
  <c r="AB510" i="2"/>
  <c r="AB456" i="2"/>
  <c r="AB483" i="2"/>
  <c r="AB186" i="2"/>
  <c r="AB188" i="2"/>
  <c r="AB187" i="2"/>
  <c r="AC190" i="2"/>
  <c r="AB410" i="2" l="1"/>
  <c r="AA663" i="2"/>
  <c r="AA284" i="2"/>
  <c r="AA665" i="2"/>
  <c r="AA286" i="2"/>
  <c r="AA664" i="2"/>
  <c r="AA285" i="2"/>
  <c r="AB401" i="2"/>
  <c r="Y248" i="2"/>
  <c r="Z163" i="2"/>
  <c r="AD797" i="2"/>
  <c r="AE824" i="2" s="1"/>
  <c r="AD784" i="2"/>
  <c r="AB698" i="2"/>
  <c r="AB725" i="2"/>
  <c r="AB699" i="2"/>
  <c r="AB726" i="2"/>
  <c r="AB702" i="2"/>
  <c r="AB729" i="2"/>
  <c r="AB701" i="2"/>
  <c r="AB728" i="2"/>
  <c r="AB705" i="2"/>
  <c r="AB732" i="2"/>
  <c r="AB704" i="2"/>
  <c r="AB731" i="2"/>
  <c r="AB703" i="2"/>
  <c r="AB730" i="2"/>
  <c r="AB700" i="2"/>
  <c r="AB727" i="2"/>
  <c r="AB688" i="2"/>
  <c r="AB680" i="2"/>
  <c r="AB656" i="2"/>
  <c r="AB640" i="2"/>
  <c r="AB648" i="2" s="1"/>
  <c r="AB632" i="2"/>
  <c r="AB674" i="2"/>
  <c r="AB682" i="2"/>
  <c r="AB650" i="2"/>
  <c r="AB626" i="2"/>
  <c r="AB634" i="2"/>
  <c r="AB642" i="2" s="1"/>
  <c r="AB432" i="2"/>
  <c r="AB429" i="2"/>
  <c r="AB435" i="2"/>
  <c r="AB430" i="2"/>
  <c r="AB433" i="2"/>
  <c r="AB436" i="2"/>
  <c r="AB431" i="2"/>
  <c r="AB434" i="2"/>
  <c r="Y92" i="2"/>
  <c r="Y90" i="2" s="1"/>
  <c r="AB205" i="2"/>
  <c r="AB226" i="2"/>
  <c r="AB233" i="2"/>
  <c r="AB240" i="2"/>
  <c r="AB212" i="2"/>
  <c r="AB219" i="2"/>
  <c r="AC246" i="2"/>
  <c r="AC243" i="2"/>
  <c r="AC239" i="2"/>
  <c r="AC236" i="2"/>
  <c r="AC232" i="2"/>
  <c r="AC229" i="2"/>
  <c r="AC225" i="2"/>
  <c r="AC245" i="2"/>
  <c r="AC242" i="2"/>
  <c r="AC238" i="2"/>
  <c r="AC235" i="2"/>
  <c r="AC231" i="2"/>
  <c r="AC228" i="2"/>
  <c r="AC224" i="2"/>
  <c r="AC244" i="2"/>
  <c r="AC241" i="2"/>
  <c r="AC237" i="2"/>
  <c r="AC234" i="2"/>
  <c r="AC230" i="2"/>
  <c r="AC227" i="2"/>
  <c r="AC222" i="2"/>
  <c r="AC218" i="2"/>
  <c r="AC215" i="2"/>
  <c r="AC211" i="2"/>
  <c r="AC208" i="2"/>
  <c r="AC204" i="2"/>
  <c r="AC201" i="2"/>
  <c r="AC197" i="2"/>
  <c r="AC194" i="2"/>
  <c r="AC221" i="2"/>
  <c r="AC217" i="2"/>
  <c r="AC214" i="2"/>
  <c r="AC210" i="2"/>
  <c r="AC207" i="2"/>
  <c r="AC203" i="2"/>
  <c r="AC200" i="2"/>
  <c r="AC196" i="2"/>
  <c r="AC193" i="2"/>
  <c r="AC223" i="2"/>
  <c r="AC220" i="2"/>
  <c r="AC216" i="2"/>
  <c r="AC213" i="2"/>
  <c r="AC209" i="2"/>
  <c r="AC206" i="2"/>
  <c r="AC202" i="2"/>
  <c r="AC199" i="2"/>
  <c r="AC195" i="2"/>
  <c r="AC192" i="2"/>
  <c r="AB191" i="2"/>
  <c r="AB247" i="2"/>
  <c r="AB198" i="2"/>
  <c r="Z93" i="2"/>
  <c r="AA94" i="2"/>
  <c r="AA95" i="2" s="1"/>
  <c r="AB162" i="2"/>
  <c r="AB106" i="2"/>
  <c r="AB134" i="2"/>
  <c r="AC161" i="2"/>
  <c r="AC158" i="2"/>
  <c r="AC154" i="2"/>
  <c r="AC151" i="2"/>
  <c r="AC147" i="2"/>
  <c r="AC144" i="2"/>
  <c r="AC140" i="2"/>
  <c r="AC160" i="2"/>
  <c r="AC157" i="2"/>
  <c r="AC153" i="2"/>
  <c r="AC150" i="2"/>
  <c r="AC146" i="2"/>
  <c r="AC143" i="2"/>
  <c r="AC139" i="2"/>
  <c r="AC138" i="2"/>
  <c r="AC135" i="2"/>
  <c r="AC131" i="2"/>
  <c r="AC159" i="2"/>
  <c r="AC152" i="2"/>
  <c r="AC145" i="2"/>
  <c r="AC137" i="2"/>
  <c r="AC119" i="2"/>
  <c r="AC125" i="2"/>
  <c r="AC122" i="2"/>
  <c r="AC136" i="2"/>
  <c r="AC129" i="2"/>
  <c r="AC149" i="2"/>
  <c r="AC130" i="2"/>
  <c r="AC128" i="2"/>
  <c r="AC124" i="2"/>
  <c r="AC121" i="2"/>
  <c r="AC117" i="2"/>
  <c r="AC108" i="2"/>
  <c r="AC132" i="2"/>
  <c r="AC116" i="2"/>
  <c r="AC109" i="2"/>
  <c r="AC133" i="2"/>
  <c r="AC115" i="2"/>
  <c r="AC107" i="2"/>
  <c r="AC118" i="2"/>
  <c r="AC114" i="2"/>
  <c r="AC112" i="2"/>
  <c r="AC110" i="2"/>
  <c r="AC156" i="2"/>
  <c r="AC111" i="2"/>
  <c r="AC123" i="2"/>
  <c r="AC142" i="2"/>
  <c r="AC126" i="2"/>
  <c r="AB120" i="2"/>
  <c r="AB127" i="2"/>
  <c r="AB148" i="2"/>
  <c r="AB155" i="2"/>
  <c r="AB113" i="2"/>
  <c r="AB141" i="2"/>
  <c r="AG248" i="3"/>
  <c r="AJ241" i="3"/>
  <c r="AF56" i="2"/>
  <c r="AE762" i="2"/>
  <c r="AE25" i="4"/>
  <c r="AD837" i="2"/>
  <c r="AD840" i="2"/>
  <c r="AD835" i="2"/>
  <c r="AD842" i="2"/>
  <c r="AD834" i="2"/>
  <c r="AC817" i="2"/>
  <c r="AD833" i="2"/>
  <c r="AC816" i="2"/>
  <c r="AC812" i="2"/>
  <c r="AD844" i="2"/>
  <c r="AD843" i="2"/>
  <c r="AD841" i="2"/>
  <c r="AC815" i="2"/>
  <c r="AC813" i="2"/>
  <c r="AD839" i="2"/>
  <c r="AC807" i="2"/>
  <c r="AC806" i="2"/>
  <c r="AC811" i="2"/>
  <c r="AC808" i="2"/>
  <c r="AD838" i="2"/>
  <c r="AC809" i="2"/>
  <c r="AC810" i="2"/>
  <c r="AD836" i="2"/>
  <c r="AC814" i="2"/>
  <c r="AA64" i="2"/>
  <c r="AA27" i="4" s="1"/>
  <c r="AB57" i="2"/>
  <c r="AB26" i="4" s="1"/>
  <c r="W66" i="2"/>
  <c r="F898" i="2" s="1"/>
  <c r="C929" i="2"/>
  <c r="AC781" i="2"/>
  <c r="AC778" i="2"/>
  <c r="AC775" i="2"/>
  <c r="AC772" i="2"/>
  <c r="AC769" i="2"/>
  <c r="AC766" i="2"/>
  <c r="AC780" i="2"/>
  <c r="AC777" i="2"/>
  <c r="AC774" i="2"/>
  <c r="AC771" i="2"/>
  <c r="AC768" i="2"/>
  <c r="AC765" i="2"/>
  <c r="AC782" i="2"/>
  <c r="AC779" i="2"/>
  <c r="AC776" i="2"/>
  <c r="AC773" i="2"/>
  <c r="AC770" i="2"/>
  <c r="AC767" i="2"/>
  <c r="AC764" i="2"/>
  <c r="AC763" i="2"/>
  <c r="AD59" i="2"/>
  <c r="AB68" i="2"/>
  <c r="AE189" i="2"/>
  <c r="AC330" i="2"/>
  <c r="AC528" i="2"/>
  <c r="AC474" i="2"/>
  <c r="AC348" i="2"/>
  <c r="AC375" i="2"/>
  <c r="AC321" i="2"/>
  <c r="AC384" i="2"/>
  <c r="AC339" i="2"/>
  <c r="AC357" i="2"/>
  <c r="AC366" i="2"/>
  <c r="AB75" i="2"/>
  <c r="AC519" i="2"/>
  <c r="AC492" i="2"/>
  <c r="AC465" i="2"/>
  <c r="AC501" i="2"/>
  <c r="AC510" i="2"/>
  <c r="AC456" i="2"/>
  <c r="AC483" i="2"/>
  <c r="AC186" i="2"/>
  <c r="AC188" i="2"/>
  <c r="AC187" i="2"/>
  <c r="AD190" i="2"/>
  <c r="AB658" i="2" l="1"/>
  <c r="AB279" i="2"/>
  <c r="AB664" i="2"/>
  <c r="AB285" i="2"/>
  <c r="AC401" i="2"/>
  <c r="AC410" i="2"/>
  <c r="Z248" i="2"/>
  <c r="AA163" i="2"/>
  <c r="AE797" i="2"/>
  <c r="AF824" i="2" s="1"/>
  <c r="AE784" i="2"/>
  <c r="AC700" i="2"/>
  <c r="AC727" i="2"/>
  <c r="AC703" i="2"/>
  <c r="AC730" i="2"/>
  <c r="AC698" i="2"/>
  <c r="AC725" i="2"/>
  <c r="AC699" i="2"/>
  <c r="AC726" i="2"/>
  <c r="AC702" i="2"/>
  <c r="AC729" i="2"/>
  <c r="AC701" i="2"/>
  <c r="AC728" i="2"/>
  <c r="AC705" i="2"/>
  <c r="AC732" i="2"/>
  <c r="AC704" i="2"/>
  <c r="AC731" i="2"/>
  <c r="AC683" i="2"/>
  <c r="AC675" i="2"/>
  <c r="AC635" i="2"/>
  <c r="AC643" i="2" s="1"/>
  <c r="AC627" i="2"/>
  <c r="AC651" i="2"/>
  <c r="AC681" i="2"/>
  <c r="AC689" i="2"/>
  <c r="AC657" i="2"/>
  <c r="AC633" i="2"/>
  <c r="AC641" i="2"/>
  <c r="AC649" i="2" s="1"/>
  <c r="AC436" i="2"/>
  <c r="AC429" i="2"/>
  <c r="AC435" i="2"/>
  <c r="AC432" i="2"/>
  <c r="AC430" i="2"/>
  <c r="AC433" i="2"/>
  <c r="AC431" i="2"/>
  <c r="AC434" i="2"/>
  <c r="P76" i="2"/>
  <c r="AB545" i="2"/>
  <c r="Y96" i="2"/>
  <c r="AC205" i="2"/>
  <c r="AC233" i="2"/>
  <c r="AC226" i="2"/>
  <c r="AC212" i="2"/>
  <c r="AC191" i="2"/>
  <c r="AC240" i="2"/>
  <c r="AC247" i="2"/>
  <c r="AC198" i="2"/>
  <c r="AD246" i="2"/>
  <c r="AD243" i="2"/>
  <c r="AD239" i="2"/>
  <c r="AD236" i="2"/>
  <c r="AD232" i="2"/>
  <c r="AD229" i="2"/>
  <c r="AD225" i="2"/>
  <c r="AD245" i="2"/>
  <c r="AD242" i="2"/>
  <c r="AD238" i="2"/>
  <c r="AD235" i="2"/>
  <c r="AD231" i="2"/>
  <c r="AD228" i="2"/>
  <c r="AD224" i="2"/>
  <c r="AD244" i="2"/>
  <c r="AD241" i="2"/>
  <c r="AD237" i="2"/>
  <c r="AD234" i="2"/>
  <c r="AD230" i="2"/>
  <c r="AD227" i="2"/>
  <c r="AD222" i="2"/>
  <c r="AD218" i="2"/>
  <c r="AD215" i="2"/>
  <c r="AD211" i="2"/>
  <c r="AD208" i="2"/>
  <c r="AD204" i="2"/>
  <c r="AD201" i="2"/>
  <c r="AD197" i="2"/>
  <c r="AD194" i="2"/>
  <c r="AD221" i="2"/>
  <c r="AD217" i="2"/>
  <c r="AD214" i="2"/>
  <c r="AD210" i="2"/>
  <c r="AD207" i="2"/>
  <c r="AD203" i="2"/>
  <c r="AD200" i="2"/>
  <c r="AD196" i="2"/>
  <c r="AD193" i="2"/>
  <c r="AD223" i="2"/>
  <c r="AD220" i="2"/>
  <c r="AD216" i="2"/>
  <c r="AD213" i="2"/>
  <c r="AD209" i="2"/>
  <c r="AD206" i="2"/>
  <c r="AD202" i="2"/>
  <c r="AD199" i="2"/>
  <c r="AD195" i="2"/>
  <c r="AD192" i="2"/>
  <c r="AC219" i="2"/>
  <c r="Z92" i="2"/>
  <c r="Z90" i="2" s="1"/>
  <c r="AA93" i="2"/>
  <c r="AB94" i="2"/>
  <c r="AB95" i="2" s="1"/>
  <c r="AC127" i="2"/>
  <c r="AC162" i="2"/>
  <c r="AC120" i="2"/>
  <c r="AD161" i="2"/>
  <c r="AD158" i="2"/>
  <c r="AD154" i="2"/>
  <c r="AD151" i="2"/>
  <c r="AD147" i="2"/>
  <c r="AD144" i="2"/>
  <c r="AD140" i="2"/>
  <c r="AD160" i="2"/>
  <c r="AD157" i="2"/>
  <c r="AD153" i="2"/>
  <c r="AD150" i="2"/>
  <c r="AD146" i="2"/>
  <c r="AD143" i="2"/>
  <c r="AD139" i="2"/>
  <c r="AD138" i="2"/>
  <c r="AD135" i="2"/>
  <c r="AD131" i="2"/>
  <c r="AD159" i="2"/>
  <c r="AD152" i="2"/>
  <c r="AD145" i="2"/>
  <c r="AD137" i="2"/>
  <c r="AD125" i="2"/>
  <c r="AD122" i="2"/>
  <c r="AD136" i="2"/>
  <c r="AD129" i="2"/>
  <c r="AD149" i="2"/>
  <c r="AD130" i="2"/>
  <c r="AD118" i="2"/>
  <c r="AD115" i="2"/>
  <c r="AD110" i="2"/>
  <c r="AD107" i="2"/>
  <c r="AD128" i="2"/>
  <c r="AD124" i="2"/>
  <c r="AD132" i="2"/>
  <c r="AD116" i="2"/>
  <c r="AD109" i="2"/>
  <c r="AD133" i="2"/>
  <c r="AD121" i="2"/>
  <c r="AD117" i="2"/>
  <c r="AD108" i="2"/>
  <c r="AD114" i="2"/>
  <c r="AD119" i="2"/>
  <c r="AD112" i="2"/>
  <c r="AD156" i="2"/>
  <c r="AD111" i="2"/>
  <c r="AD123" i="2"/>
  <c r="AD142" i="2"/>
  <c r="AD126" i="2"/>
  <c r="AC148" i="2"/>
  <c r="AC155" i="2"/>
  <c r="AC134" i="2"/>
  <c r="AC106" i="2"/>
  <c r="AC113" i="2"/>
  <c r="AC141" i="2"/>
  <c r="AB93" i="2"/>
  <c r="AH248" i="3"/>
  <c r="AK241" i="3"/>
  <c r="AE842" i="2"/>
  <c r="AE839" i="2"/>
  <c r="AE836" i="2"/>
  <c r="AE833" i="2"/>
  <c r="AE840" i="2"/>
  <c r="AD816" i="2"/>
  <c r="AD812" i="2"/>
  <c r="AE844" i="2"/>
  <c r="AE843" i="2"/>
  <c r="AD815" i="2"/>
  <c r="AD813" i="2"/>
  <c r="AE838" i="2"/>
  <c r="AD807" i="2"/>
  <c r="AD806" i="2"/>
  <c r="AE835" i="2"/>
  <c r="AD811" i="2"/>
  <c r="AD808" i="2"/>
  <c r="AD809" i="2"/>
  <c r="AD817" i="2"/>
  <c r="AE841" i="2"/>
  <c r="AE837" i="2"/>
  <c r="AD810" i="2"/>
  <c r="AD814" i="2"/>
  <c r="AE834" i="2"/>
  <c r="AG56" i="2"/>
  <c r="AF762" i="2"/>
  <c r="AF25" i="4"/>
  <c r="P58" i="2"/>
  <c r="C933" i="2" s="1"/>
  <c r="AB64" i="2"/>
  <c r="AB27" i="4" s="1"/>
  <c r="AC57" i="2"/>
  <c r="AC26" i="4" s="1"/>
  <c r="F929" i="2"/>
  <c r="AD780" i="2"/>
  <c r="AD777" i="2"/>
  <c r="AD774" i="2"/>
  <c r="AD771" i="2"/>
  <c r="AD768" i="2"/>
  <c r="AD765" i="2"/>
  <c r="AD782" i="2"/>
  <c r="AD779" i="2"/>
  <c r="AD776" i="2"/>
  <c r="AD773" i="2"/>
  <c r="AD770" i="2"/>
  <c r="AD767" i="2"/>
  <c r="AD764" i="2"/>
  <c r="AD766" i="2"/>
  <c r="AD763" i="2"/>
  <c r="AD781" i="2"/>
  <c r="AD778" i="2"/>
  <c r="AD775" i="2"/>
  <c r="AD772" i="2"/>
  <c r="AD769" i="2"/>
  <c r="AE59" i="2"/>
  <c r="AF189" i="2"/>
  <c r="AD330" i="2"/>
  <c r="AD474" i="2"/>
  <c r="AD528" i="2"/>
  <c r="AD348" i="2"/>
  <c r="AD375" i="2"/>
  <c r="AD357" i="2"/>
  <c r="AD384" i="2"/>
  <c r="AD321" i="2"/>
  <c r="AD366" i="2"/>
  <c r="AD339" i="2"/>
  <c r="AC75" i="2"/>
  <c r="AC545" i="2" s="1"/>
  <c r="AD519" i="2"/>
  <c r="AD492" i="2"/>
  <c r="AD465" i="2"/>
  <c r="AD510" i="2"/>
  <c r="AD456" i="2"/>
  <c r="AD483" i="2"/>
  <c r="AD501" i="2"/>
  <c r="AD188" i="2"/>
  <c r="AD187" i="2"/>
  <c r="AD186" i="2"/>
  <c r="AE190" i="2"/>
  <c r="AC665" i="2" l="1"/>
  <c r="AC286" i="2"/>
  <c r="AC659" i="2"/>
  <c r="AC280" i="2"/>
  <c r="AD410" i="2"/>
  <c r="AD401" i="2"/>
  <c r="AA248" i="2"/>
  <c r="AB248" i="2"/>
  <c r="AB163" i="2"/>
  <c r="AF797" i="2"/>
  <c r="AG824" i="2" s="1"/>
  <c r="AF784" i="2"/>
  <c r="AD702" i="2"/>
  <c r="AD729" i="2"/>
  <c r="AD705" i="2"/>
  <c r="AD732" i="2"/>
  <c r="AD704" i="2"/>
  <c r="AD731" i="2"/>
  <c r="AD698" i="2"/>
  <c r="AD725" i="2"/>
  <c r="AD700" i="2"/>
  <c r="AD727" i="2"/>
  <c r="AD703" i="2"/>
  <c r="AD730" i="2"/>
  <c r="AD701" i="2"/>
  <c r="AD728" i="2"/>
  <c r="AD699" i="2"/>
  <c r="AD726" i="2"/>
  <c r="AD675" i="2"/>
  <c r="AD683" i="2"/>
  <c r="AD635" i="2"/>
  <c r="AD643" i="2" s="1"/>
  <c r="AD651" i="2"/>
  <c r="AD627" i="2"/>
  <c r="AD682" i="2"/>
  <c r="AD674" i="2"/>
  <c r="AD626" i="2"/>
  <c r="AD634" i="2"/>
  <c r="AD642" i="2" s="1"/>
  <c r="AD650" i="2"/>
  <c r="AD652" i="2"/>
  <c r="AD628" i="2"/>
  <c r="AD636" i="2"/>
  <c r="AD644" i="2" s="1"/>
  <c r="AD676" i="2"/>
  <c r="AD684" i="2"/>
  <c r="AD429" i="2"/>
  <c r="AD433" i="2"/>
  <c r="AD430" i="2"/>
  <c r="AD432" i="2"/>
  <c r="AD436" i="2"/>
  <c r="AD435" i="2"/>
  <c r="AD431" i="2"/>
  <c r="AD434" i="2"/>
  <c r="Y100" i="2"/>
  <c r="AD205" i="2"/>
  <c r="AD191" i="2"/>
  <c r="AD233" i="2"/>
  <c r="AD226" i="2"/>
  <c r="AD247" i="2"/>
  <c r="AD198" i="2"/>
  <c r="AD219" i="2"/>
  <c r="AE245" i="2"/>
  <c r="AE242" i="2"/>
  <c r="AE238" i="2"/>
  <c r="AE235" i="2"/>
  <c r="AE231" i="2"/>
  <c r="AE228" i="2"/>
  <c r="AE224" i="2"/>
  <c r="AE244" i="2"/>
  <c r="AE241" i="2"/>
  <c r="AE237" i="2"/>
  <c r="AE234" i="2"/>
  <c r="AE230" i="2"/>
  <c r="AE227" i="2"/>
  <c r="AE246" i="2"/>
  <c r="AE243" i="2"/>
  <c r="AE239" i="2"/>
  <c r="AE236" i="2"/>
  <c r="AE232" i="2"/>
  <c r="AE229" i="2"/>
  <c r="AE225" i="2"/>
  <c r="AE221" i="2"/>
  <c r="AE217" i="2"/>
  <c r="AE214" i="2"/>
  <c r="AE210" i="2"/>
  <c r="AE207" i="2"/>
  <c r="AE203" i="2"/>
  <c r="AE200" i="2"/>
  <c r="AE196" i="2"/>
  <c r="AE193" i="2"/>
  <c r="AE223" i="2"/>
  <c r="AE220" i="2"/>
  <c r="AE216" i="2"/>
  <c r="AE213" i="2"/>
  <c r="AE209" i="2"/>
  <c r="AE206" i="2"/>
  <c r="AE202" i="2"/>
  <c r="AE199" i="2"/>
  <c r="AE195" i="2"/>
  <c r="AE192" i="2"/>
  <c r="AE222" i="2"/>
  <c r="AE218" i="2"/>
  <c r="AE215" i="2"/>
  <c r="AE211" i="2"/>
  <c r="AE208" i="2"/>
  <c r="AE204" i="2"/>
  <c r="AE201" i="2"/>
  <c r="AE197" i="2"/>
  <c r="AE194" i="2"/>
  <c r="AD240" i="2"/>
  <c r="AD212" i="2"/>
  <c r="Z96" i="2"/>
  <c r="AA92" i="2"/>
  <c r="AA90" i="2" s="1"/>
  <c r="AD162" i="2"/>
  <c r="AC94" i="2"/>
  <c r="AC95" i="2" s="1"/>
  <c r="AD134" i="2"/>
  <c r="AD113" i="2"/>
  <c r="AD155" i="2"/>
  <c r="AE159" i="2"/>
  <c r="AE156" i="2"/>
  <c r="AE152" i="2"/>
  <c r="AE149" i="2"/>
  <c r="AE160" i="2"/>
  <c r="AE153" i="2"/>
  <c r="AE145" i="2"/>
  <c r="AE147" i="2"/>
  <c r="AE143" i="2"/>
  <c r="AE137" i="2"/>
  <c r="AE133" i="2"/>
  <c r="AE130" i="2"/>
  <c r="AE140" i="2"/>
  <c r="AE158" i="2"/>
  <c r="AE151" i="2"/>
  <c r="AE136" i="2"/>
  <c r="AE129" i="2"/>
  <c r="AE150" i="2"/>
  <c r="AE131" i="2"/>
  <c r="AE144" i="2"/>
  <c r="AE128" i="2"/>
  <c r="AE124" i="2"/>
  <c r="AE121" i="2"/>
  <c r="AE139" i="2"/>
  <c r="AE135" i="2"/>
  <c r="AE161" i="2"/>
  <c r="AE138" i="2"/>
  <c r="AE157" i="2"/>
  <c r="AE123" i="2"/>
  <c r="AE119" i="2"/>
  <c r="AE111" i="2"/>
  <c r="AE154" i="2"/>
  <c r="AE122" i="2"/>
  <c r="AE115" i="2"/>
  <c r="AE107" i="2"/>
  <c r="AE126" i="2"/>
  <c r="AE125" i="2"/>
  <c r="AE146" i="2"/>
  <c r="AE132" i="2"/>
  <c r="AE114" i="2"/>
  <c r="AE112" i="2"/>
  <c r="AE118" i="2"/>
  <c r="AE110" i="2"/>
  <c r="AE142" i="2"/>
  <c r="AE109" i="2"/>
  <c r="AE117" i="2"/>
  <c r="AE116" i="2"/>
  <c r="AE108" i="2"/>
  <c r="AD106" i="2"/>
  <c r="AD141" i="2"/>
  <c r="AD120" i="2"/>
  <c r="AD148" i="2"/>
  <c r="AD127" i="2"/>
  <c r="AB92" i="2"/>
  <c r="AB90" i="2" s="1"/>
  <c r="AB96" i="2" s="1"/>
  <c r="AC93" i="2"/>
  <c r="AI248" i="3"/>
  <c r="AL241" i="3"/>
  <c r="AF840" i="2"/>
  <c r="AF843" i="2"/>
  <c r="AF838" i="2"/>
  <c r="AF842" i="2"/>
  <c r="AF839" i="2"/>
  <c r="AF835" i="2"/>
  <c r="AE816" i="2"/>
  <c r="AE813" i="2"/>
  <c r="AE810" i="2"/>
  <c r="AE807" i="2"/>
  <c r="AE815" i="2"/>
  <c r="AF844" i="2"/>
  <c r="AF833" i="2"/>
  <c r="AF841" i="2"/>
  <c r="AE809" i="2"/>
  <c r="AF834" i="2"/>
  <c r="AE806" i="2"/>
  <c r="AE811" i="2"/>
  <c r="AE808" i="2"/>
  <c r="AE817" i="2"/>
  <c r="AE812" i="2"/>
  <c r="AF837" i="2"/>
  <c r="AE814" i="2"/>
  <c r="AF836" i="2"/>
  <c r="AH56" i="2"/>
  <c r="AG762" i="2"/>
  <c r="AG25" i="4"/>
  <c r="AD57" i="2"/>
  <c r="AD26" i="4" s="1"/>
  <c r="AE782" i="2"/>
  <c r="AE779" i="2"/>
  <c r="AE776" i="2"/>
  <c r="AE773" i="2"/>
  <c r="AE770" i="2"/>
  <c r="AE767" i="2"/>
  <c r="AE764" i="2"/>
  <c r="AE781" i="2"/>
  <c r="AE778" i="2"/>
  <c r="AE775" i="2"/>
  <c r="AE772" i="2"/>
  <c r="AE769" i="2"/>
  <c r="AE766" i="2"/>
  <c r="AE780" i="2"/>
  <c r="AE763" i="2"/>
  <c r="AE777" i="2"/>
  <c r="AE774" i="2"/>
  <c r="AE771" i="2"/>
  <c r="AE768" i="2"/>
  <c r="AE765" i="2"/>
  <c r="AF59" i="2"/>
  <c r="AD68" i="2"/>
  <c r="AG189" i="2"/>
  <c r="AE330" i="2"/>
  <c r="AE474" i="2"/>
  <c r="AE528" i="2"/>
  <c r="AE348" i="2"/>
  <c r="AE375" i="2"/>
  <c r="AE384" i="2"/>
  <c r="AE321" i="2"/>
  <c r="AE357" i="2"/>
  <c r="AE366" i="2"/>
  <c r="AE339" i="2"/>
  <c r="AD75" i="2"/>
  <c r="AE510" i="2"/>
  <c r="AE483" i="2"/>
  <c r="AE456" i="2"/>
  <c r="AE501" i="2"/>
  <c r="AE465" i="2"/>
  <c r="AE519" i="2"/>
  <c r="AE492" i="2"/>
  <c r="AE188" i="2"/>
  <c r="AE187" i="2"/>
  <c r="AE186" i="2"/>
  <c r="AF190" i="2"/>
  <c r="AD659" i="2" l="1"/>
  <c r="AD280" i="2"/>
  <c r="AD660" i="2"/>
  <c r="AD281" i="2"/>
  <c r="AD658" i="2"/>
  <c r="AD279" i="2"/>
  <c r="AE401" i="2"/>
  <c r="AE410" i="2"/>
  <c r="AC248" i="2"/>
  <c r="AC163" i="2"/>
  <c r="AG797" i="2"/>
  <c r="AH824" i="2" s="1"/>
  <c r="AG784" i="2"/>
  <c r="AE699" i="2"/>
  <c r="AE726" i="2"/>
  <c r="AE702" i="2"/>
  <c r="AE729" i="2"/>
  <c r="AE705" i="2"/>
  <c r="AE732" i="2"/>
  <c r="AE698" i="2"/>
  <c r="AE725" i="2"/>
  <c r="AE701" i="2"/>
  <c r="AE728" i="2"/>
  <c r="AE704" i="2"/>
  <c r="AE731" i="2"/>
  <c r="AE700" i="2"/>
  <c r="AE727" i="2"/>
  <c r="AE703" i="2"/>
  <c r="AE730" i="2"/>
  <c r="AE687" i="2"/>
  <c r="AE639" i="2"/>
  <c r="AE647" i="2" s="1"/>
  <c r="AE655" i="2"/>
  <c r="AE631" i="2"/>
  <c r="AE679" i="2"/>
  <c r="AE681" i="2"/>
  <c r="AE689" i="2"/>
  <c r="AE657" i="2"/>
  <c r="AE633" i="2"/>
  <c r="AE641" i="2"/>
  <c r="AE649" i="2" s="1"/>
  <c r="AE688" i="2"/>
  <c r="AE680" i="2"/>
  <c r="AE656" i="2"/>
  <c r="AE632" i="2"/>
  <c r="AE640" i="2"/>
  <c r="AE648" i="2" s="1"/>
  <c r="AE434" i="2"/>
  <c r="AE430" i="2"/>
  <c r="AE429" i="2"/>
  <c r="AE436" i="2"/>
  <c r="AE433" i="2"/>
  <c r="AE432" i="2"/>
  <c r="AE435" i="2"/>
  <c r="AE431" i="2"/>
  <c r="AA77" i="2"/>
  <c r="AD545" i="2"/>
  <c r="AE198" i="2"/>
  <c r="AE191" i="2"/>
  <c r="AE219" i="2"/>
  <c r="AE226" i="2"/>
  <c r="AE240" i="2"/>
  <c r="AF245" i="2"/>
  <c r="AF242" i="2"/>
  <c r="AF238" i="2"/>
  <c r="AF235" i="2"/>
  <c r="AF231" i="2"/>
  <c r="AF228" i="2"/>
  <c r="AF224" i="2"/>
  <c r="AF244" i="2"/>
  <c r="AF241" i="2"/>
  <c r="AF237" i="2"/>
  <c r="AF234" i="2"/>
  <c r="AF230" i="2"/>
  <c r="AF227" i="2"/>
  <c r="AF246" i="2"/>
  <c r="AF243" i="2"/>
  <c r="AF239" i="2"/>
  <c r="AF236" i="2"/>
  <c r="AF232" i="2"/>
  <c r="AF229" i="2"/>
  <c r="AF225" i="2"/>
  <c r="AF221" i="2"/>
  <c r="AF217" i="2"/>
  <c r="AF214" i="2"/>
  <c r="AF210" i="2"/>
  <c r="AF207" i="2"/>
  <c r="AF203" i="2"/>
  <c r="AF200" i="2"/>
  <c r="AF196" i="2"/>
  <c r="AF193" i="2"/>
  <c r="AF223" i="2"/>
  <c r="AF220" i="2"/>
  <c r="AF216" i="2"/>
  <c r="AF213" i="2"/>
  <c r="AF209" i="2"/>
  <c r="AF206" i="2"/>
  <c r="AF202" i="2"/>
  <c r="AF199" i="2"/>
  <c r="AF195" i="2"/>
  <c r="AF192" i="2"/>
  <c r="AF222" i="2"/>
  <c r="AF218" i="2"/>
  <c r="AF215" i="2"/>
  <c r="AF211" i="2"/>
  <c r="AF208" i="2"/>
  <c r="AF204" i="2"/>
  <c r="AF201" i="2"/>
  <c r="AF197" i="2"/>
  <c r="AF194" i="2"/>
  <c r="AE212" i="2"/>
  <c r="W102" i="2"/>
  <c r="Z100" i="2"/>
  <c r="AE233" i="2"/>
  <c r="AE247" i="2"/>
  <c r="AE205" i="2"/>
  <c r="AA96" i="2"/>
  <c r="AD94" i="2"/>
  <c r="AD163" i="2" s="1"/>
  <c r="AE162" i="2"/>
  <c r="AE141" i="2"/>
  <c r="AE113" i="2"/>
  <c r="AE134" i="2"/>
  <c r="AE120" i="2"/>
  <c r="AE127" i="2"/>
  <c r="AE148" i="2"/>
  <c r="AE155" i="2"/>
  <c r="AF159" i="2"/>
  <c r="AF156" i="2"/>
  <c r="AF152" i="2"/>
  <c r="AF149" i="2"/>
  <c r="AF145" i="2"/>
  <c r="AF142" i="2"/>
  <c r="AF160" i="2"/>
  <c r="AF153" i="2"/>
  <c r="AF147" i="2"/>
  <c r="AF143" i="2"/>
  <c r="AF137" i="2"/>
  <c r="AF140" i="2"/>
  <c r="AF158" i="2"/>
  <c r="AF151" i="2"/>
  <c r="AF150" i="2"/>
  <c r="AF131" i="2"/>
  <c r="AF118" i="2"/>
  <c r="AF115" i="2"/>
  <c r="AF110" i="2"/>
  <c r="AF107" i="2"/>
  <c r="AF144" i="2"/>
  <c r="AF130" i="2"/>
  <c r="AF128" i="2"/>
  <c r="AF124" i="2"/>
  <c r="AF121" i="2"/>
  <c r="AF139" i="2"/>
  <c r="AF135" i="2"/>
  <c r="AF161" i="2"/>
  <c r="AF138" i="2"/>
  <c r="AF133" i="2"/>
  <c r="AF117" i="2"/>
  <c r="AF112" i="2"/>
  <c r="AF146" i="2"/>
  <c r="AF154" i="2"/>
  <c r="AF122" i="2"/>
  <c r="AF136" i="2"/>
  <c r="AF129" i="2"/>
  <c r="AF126" i="2"/>
  <c r="AF157" i="2"/>
  <c r="AF132" i="2"/>
  <c r="AF114" i="2"/>
  <c r="AF119" i="2"/>
  <c r="AF125" i="2"/>
  <c r="AF111" i="2"/>
  <c r="AF123" i="2"/>
  <c r="AF109" i="2"/>
  <c r="AF116" i="2"/>
  <c r="AF108" i="2"/>
  <c r="AE106" i="2"/>
  <c r="AC92" i="2"/>
  <c r="AC90" i="2" s="1"/>
  <c r="AC96" i="2" s="1"/>
  <c r="AD93" i="2"/>
  <c r="AB100" i="2"/>
  <c r="AJ248" i="3"/>
  <c r="AM241" i="3"/>
  <c r="AA63" i="2"/>
  <c r="D899" i="2" s="1"/>
  <c r="AI56" i="2"/>
  <c r="AH762" i="2"/>
  <c r="AH25" i="4"/>
  <c r="AG844" i="2"/>
  <c r="AG841" i="2"/>
  <c r="AG838" i="2"/>
  <c r="AG835" i="2"/>
  <c r="AG843" i="2"/>
  <c r="AG839" i="2"/>
  <c r="AF816" i="2"/>
  <c r="AG836" i="2"/>
  <c r="AF806" i="2"/>
  <c r="AG840" i="2"/>
  <c r="AG834" i="2"/>
  <c r="AF810" i="2"/>
  <c r="AF811" i="2"/>
  <c r="AF808" i="2"/>
  <c r="AF807" i="2"/>
  <c r="AG833" i="2"/>
  <c r="AF809" i="2"/>
  <c r="AF812" i="2"/>
  <c r="AG837" i="2"/>
  <c r="AF814" i="2"/>
  <c r="AG842" i="2"/>
  <c r="AF815" i="2"/>
  <c r="AF813" i="2"/>
  <c r="AF817" i="2"/>
  <c r="AE57" i="2"/>
  <c r="AE26" i="4" s="1"/>
  <c r="AD64" i="2"/>
  <c r="AD27" i="4" s="1"/>
  <c r="AF780" i="2"/>
  <c r="AF777" i="2"/>
  <c r="AF774" i="2"/>
  <c r="AF771" i="2"/>
  <c r="AF768" i="2"/>
  <c r="AF765" i="2"/>
  <c r="AF782" i="2"/>
  <c r="AF779" i="2"/>
  <c r="AF776" i="2"/>
  <c r="AF773" i="2"/>
  <c r="AF770" i="2"/>
  <c r="AF767" i="2"/>
  <c r="AF764" i="2"/>
  <c r="AF781" i="2"/>
  <c r="AF778" i="2"/>
  <c r="AF775" i="2"/>
  <c r="AF772" i="2"/>
  <c r="AF769" i="2"/>
  <c r="AF766" i="2"/>
  <c r="AF763" i="2"/>
  <c r="AG59" i="2"/>
  <c r="AE68" i="2"/>
  <c r="AH189" i="2"/>
  <c r="AF330" i="2"/>
  <c r="AF528" i="2"/>
  <c r="AF474" i="2"/>
  <c r="AF348" i="2"/>
  <c r="AF375" i="2"/>
  <c r="AF357" i="2"/>
  <c r="AF384" i="2"/>
  <c r="AF321" i="2"/>
  <c r="AF366" i="2"/>
  <c r="AF339" i="2"/>
  <c r="AE75" i="2"/>
  <c r="AE545" i="2" s="1"/>
  <c r="AF510" i="2"/>
  <c r="AF456" i="2"/>
  <c r="AF483" i="2"/>
  <c r="AF519" i="2"/>
  <c r="AF501" i="2"/>
  <c r="AF492" i="2"/>
  <c r="AF465" i="2"/>
  <c r="AF188" i="2"/>
  <c r="AF187" i="2"/>
  <c r="AF186" i="2"/>
  <c r="AG190" i="2"/>
  <c r="AE663" i="2" l="1"/>
  <c r="AE284" i="2"/>
  <c r="AE665" i="2"/>
  <c r="AE286" i="2"/>
  <c r="AE664" i="2"/>
  <c r="AE285" i="2"/>
  <c r="AF410" i="2"/>
  <c r="AF401" i="2"/>
  <c r="AD248" i="2"/>
  <c r="AH797" i="2"/>
  <c r="AI824" i="2" s="1"/>
  <c r="AH784" i="2"/>
  <c r="AF703" i="2"/>
  <c r="AF730" i="2"/>
  <c r="AF700" i="2"/>
  <c r="AF727" i="2"/>
  <c r="AF699" i="2"/>
  <c r="AF726" i="2"/>
  <c r="AF702" i="2"/>
  <c r="AF729" i="2"/>
  <c r="AF698" i="2"/>
  <c r="AF725" i="2"/>
  <c r="AF704" i="2"/>
  <c r="AF731" i="2"/>
  <c r="AF705" i="2"/>
  <c r="AF732" i="2"/>
  <c r="AF701" i="2"/>
  <c r="AF728" i="2"/>
  <c r="AF657" i="2"/>
  <c r="AF681" i="2"/>
  <c r="AF689" i="2"/>
  <c r="AF641" i="2"/>
  <c r="AF649" i="2" s="1"/>
  <c r="AF633" i="2"/>
  <c r="AF682" i="2"/>
  <c r="AF634" i="2"/>
  <c r="AF642" i="2" s="1"/>
  <c r="AF674" i="2"/>
  <c r="AF650" i="2"/>
  <c r="AF626" i="2"/>
  <c r="AF680" i="2"/>
  <c r="AF688" i="2"/>
  <c r="AF632" i="2"/>
  <c r="AF640" i="2"/>
  <c r="AF648" i="2" s="1"/>
  <c r="AF656" i="2"/>
  <c r="AF433" i="2"/>
  <c r="AF430" i="2"/>
  <c r="AF436" i="2"/>
  <c r="AF429" i="2"/>
  <c r="AF432" i="2"/>
  <c r="AF435" i="2"/>
  <c r="AF431" i="2"/>
  <c r="AF434" i="2"/>
  <c r="AF240" i="2"/>
  <c r="AF219" i="2"/>
  <c r="AF191" i="2"/>
  <c r="AF233" i="2"/>
  <c r="AF212" i="2"/>
  <c r="AF226" i="2"/>
  <c r="AF198" i="2"/>
  <c r="AF205" i="2"/>
  <c r="AG245" i="2"/>
  <c r="AG242" i="2"/>
  <c r="AG238" i="2"/>
  <c r="AG235" i="2"/>
  <c r="AG231" i="2"/>
  <c r="AG228" i="2"/>
  <c r="AG224" i="2"/>
  <c r="AG244" i="2"/>
  <c r="AG241" i="2"/>
  <c r="AG237" i="2"/>
  <c r="AG234" i="2"/>
  <c r="AG230" i="2"/>
  <c r="AG227" i="2"/>
  <c r="AG246" i="2"/>
  <c r="AG243" i="2"/>
  <c r="AG239" i="2"/>
  <c r="AG236" i="2"/>
  <c r="AG232" i="2"/>
  <c r="AG229" i="2"/>
  <c r="AG225" i="2"/>
  <c r="AG221" i="2"/>
  <c r="AG217" i="2"/>
  <c r="AG214" i="2"/>
  <c r="AG210" i="2"/>
  <c r="AG207" i="2"/>
  <c r="AG203" i="2"/>
  <c r="AG200" i="2"/>
  <c r="AG196" i="2"/>
  <c r="AG193" i="2"/>
  <c r="AG223" i="2"/>
  <c r="AG220" i="2"/>
  <c r="AG216" i="2"/>
  <c r="AG213" i="2"/>
  <c r="AG209" i="2"/>
  <c r="AG206" i="2"/>
  <c r="AG202" i="2"/>
  <c r="AG199" i="2"/>
  <c r="AG195" i="2"/>
  <c r="AG192" i="2"/>
  <c r="AG222" i="2"/>
  <c r="AG218" i="2"/>
  <c r="AG215" i="2"/>
  <c r="AG211" i="2"/>
  <c r="AG208" i="2"/>
  <c r="AG204" i="2"/>
  <c r="AG201" i="2"/>
  <c r="AG197" i="2"/>
  <c r="AG194" i="2"/>
  <c r="AF247" i="2"/>
  <c r="P101" i="2"/>
  <c r="AA100" i="2"/>
  <c r="AE94" i="2"/>
  <c r="AE95" i="2" s="1"/>
  <c r="AD95" i="2"/>
  <c r="AF162" i="2"/>
  <c r="AF148" i="2"/>
  <c r="AF106" i="2"/>
  <c r="AF141" i="2"/>
  <c r="AF155" i="2"/>
  <c r="AF113" i="2"/>
  <c r="AF120" i="2"/>
  <c r="AF127" i="2"/>
  <c r="AF134" i="2"/>
  <c r="AG160" i="2"/>
  <c r="AG157" i="2"/>
  <c r="AG153" i="2"/>
  <c r="AG150" i="2"/>
  <c r="AG146" i="2"/>
  <c r="AG143" i="2"/>
  <c r="AG139" i="2"/>
  <c r="AG159" i="2"/>
  <c r="AG156" i="2"/>
  <c r="AG152" i="2"/>
  <c r="AG149" i="2"/>
  <c r="AG145" i="2"/>
  <c r="AG142" i="2"/>
  <c r="AG147" i="2"/>
  <c r="AG137" i="2"/>
  <c r="AG133" i="2"/>
  <c r="AG130" i="2"/>
  <c r="AG140" i="2"/>
  <c r="AG158" i="2"/>
  <c r="AG151" i="2"/>
  <c r="AG118" i="2"/>
  <c r="AG144" i="2"/>
  <c r="AG128" i="2"/>
  <c r="AG124" i="2"/>
  <c r="AG121" i="2"/>
  <c r="AG135" i="2"/>
  <c r="AG161" i="2"/>
  <c r="AG138" i="2"/>
  <c r="AG126" i="2"/>
  <c r="AG123" i="2"/>
  <c r="AG132" i="2"/>
  <c r="AG116" i="2"/>
  <c r="AG109" i="2"/>
  <c r="AG136" i="2"/>
  <c r="AG129" i="2"/>
  <c r="AG115" i="2"/>
  <c r="AG107" i="2"/>
  <c r="AG114" i="2"/>
  <c r="AG112" i="2"/>
  <c r="AG110" i="2"/>
  <c r="AG131" i="2"/>
  <c r="AG119" i="2"/>
  <c r="AG111" i="2"/>
  <c r="AG122" i="2"/>
  <c r="AG125" i="2"/>
  <c r="AG108" i="2"/>
  <c r="AG154" i="2"/>
  <c r="AG117" i="2"/>
  <c r="AD92" i="2"/>
  <c r="AD90" i="2" s="1"/>
  <c r="AK248" i="3"/>
  <c r="AE93" i="2"/>
  <c r="AC100" i="2"/>
  <c r="AN241" i="3"/>
  <c r="AH843" i="2"/>
  <c r="AH838" i="2"/>
  <c r="AH833" i="2"/>
  <c r="AH836" i="2"/>
  <c r="AH835" i="2"/>
  <c r="AH841" i="2"/>
  <c r="AG806" i="2"/>
  <c r="AH842" i="2"/>
  <c r="AG815" i="2"/>
  <c r="AG813" i="2"/>
  <c r="AG809" i="2"/>
  <c r="AG808" i="2"/>
  <c r="AG807" i="2"/>
  <c r="AH839" i="2"/>
  <c r="AH837" i="2"/>
  <c r="AH840" i="2"/>
  <c r="AG811" i="2"/>
  <c r="AH844" i="2"/>
  <c r="AG814" i="2"/>
  <c r="AG810" i="2"/>
  <c r="AH834" i="2"/>
  <c r="AG817" i="2"/>
  <c r="AG816" i="2"/>
  <c r="AG812" i="2"/>
  <c r="AJ56" i="2"/>
  <c r="AI762" i="2"/>
  <c r="AI25" i="4"/>
  <c r="AE64" i="2"/>
  <c r="AE27" i="4" s="1"/>
  <c r="AF57" i="2"/>
  <c r="AF26" i="4" s="1"/>
  <c r="AG780" i="2"/>
  <c r="AG777" i="2"/>
  <c r="AG774" i="2"/>
  <c r="AG771" i="2"/>
  <c r="AG768" i="2"/>
  <c r="AG765" i="2"/>
  <c r="AG782" i="2"/>
  <c r="AG779" i="2"/>
  <c r="AG776" i="2"/>
  <c r="AG773" i="2"/>
  <c r="AG770" i="2"/>
  <c r="AG767" i="2"/>
  <c r="AG764" i="2"/>
  <c r="AG781" i="2"/>
  <c r="AG778" i="2"/>
  <c r="AG775" i="2"/>
  <c r="AG772" i="2"/>
  <c r="AG769" i="2"/>
  <c r="AG766" i="2"/>
  <c r="AG763" i="2"/>
  <c r="AH59" i="2"/>
  <c r="AF68" i="2"/>
  <c r="AI189" i="2"/>
  <c r="AG330" i="2"/>
  <c r="AG528" i="2"/>
  <c r="AG474" i="2"/>
  <c r="AG321" i="2"/>
  <c r="AG357" i="2"/>
  <c r="AG384" i="2"/>
  <c r="AG366" i="2"/>
  <c r="AG339" i="2"/>
  <c r="AG348" i="2"/>
  <c r="AG375" i="2"/>
  <c r="AF75" i="2"/>
  <c r="AF545" i="2" s="1"/>
  <c r="AG510" i="2"/>
  <c r="AG483" i="2"/>
  <c r="AG456" i="2"/>
  <c r="AG501" i="2"/>
  <c r="AG519" i="2"/>
  <c r="AG465" i="2"/>
  <c r="AG492" i="2"/>
  <c r="AG188" i="2"/>
  <c r="AG187" i="2"/>
  <c r="AG186" i="2"/>
  <c r="AH190" i="2"/>
  <c r="AF658" i="2" l="1"/>
  <c r="AF279" i="2"/>
  <c r="AF664" i="2"/>
  <c r="AF285" i="2"/>
  <c r="AF665" i="2"/>
  <c r="AF286" i="2"/>
  <c r="AG401" i="2"/>
  <c r="AG410" i="2"/>
  <c r="AE248" i="2"/>
  <c r="AE163" i="2"/>
  <c r="AI797" i="2"/>
  <c r="AJ824" i="2" s="1"/>
  <c r="AI784" i="2"/>
  <c r="AG701" i="2"/>
  <c r="AG728" i="2"/>
  <c r="AG704" i="2"/>
  <c r="AG731" i="2"/>
  <c r="AG705" i="2"/>
  <c r="AG732" i="2"/>
  <c r="AG698" i="2"/>
  <c r="AG725" i="2"/>
  <c r="AG700" i="2"/>
  <c r="AG727" i="2"/>
  <c r="AG703" i="2"/>
  <c r="AG730" i="2"/>
  <c r="AG699" i="2"/>
  <c r="AG726" i="2"/>
  <c r="AG702" i="2"/>
  <c r="AG729" i="2"/>
  <c r="AG682" i="2"/>
  <c r="AG634" i="2"/>
  <c r="AG642" i="2" s="1"/>
  <c r="AG650" i="2"/>
  <c r="AG674" i="2"/>
  <c r="AG626" i="2"/>
  <c r="AG689" i="2"/>
  <c r="AG633" i="2"/>
  <c r="AG681" i="2"/>
  <c r="AG641" i="2"/>
  <c r="AG649" i="2" s="1"/>
  <c r="AG657" i="2"/>
  <c r="AG683" i="2"/>
  <c r="AG651" i="2"/>
  <c r="AG627" i="2"/>
  <c r="AG675" i="2"/>
  <c r="AG635" i="2"/>
  <c r="AG643" i="2" s="1"/>
  <c r="AG433" i="2"/>
  <c r="AG435" i="2"/>
  <c r="AG431" i="2"/>
  <c r="AG436" i="2"/>
  <c r="AG434" i="2"/>
  <c r="AG430" i="2"/>
  <c r="AG429" i="2"/>
  <c r="AG432" i="2"/>
  <c r="AG198" i="2"/>
  <c r="AG191" i="2"/>
  <c r="AG240" i="2"/>
  <c r="AG212" i="2"/>
  <c r="AG219" i="2"/>
  <c r="AG226" i="2"/>
  <c r="AG247" i="2"/>
  <c r="AH245" i="2"/>
  <c r="AH242" i="2"/>
  <c r="AH238" i="2"/>
  <c r="AH235" i="2"/>
  <c r="AH231" i="2"/>
  <c r="AH228" i="2"/>
  <c r="AH224" i="2"/>
  <c r="AH244" i="2"/>
  <c r="AH241" i="2"/>
  <c r="AH237" i="2"/>
  <c r="AH234" i="2"/>
  <c r="AH230" i="2"/>
  <c r="AH227" i="2"/>
  <c r="AH246" i="2"/>
  <c r="AH243" i="2"/>
  <c r="AH239" i="2"/>
  <c r="AH236" i="2"/>
  <c r="AH232" i="2"/>
  <c r="AH229" i="2"/>
  <c r="AH225" i="2"/>
  <c r="AH221" i="2"/>
  <c r="AH217" i="2"/>
  <c r="AH214" i="2"/>
  <c r="AH210" i="2"/>
  <c r="AH207" i="2"/>
  <c r="AH203" i="2"/>
  <c r="AH200" i="2"/>
  <c r="AH196" i="2"/>
  <c r="AH193" i="2"/>
  <c r="AH223" i="2"/>
  <c r="AH220" i="2"/>
  <c r="AH216" i="2"/>
  <c r="AH213" i="2"/>
  <c r="AH209" i="2"/>
  <c r="AH206" i="2"/>
  <c r="AH202" i="2"/>
  <c r="AH199" i="2"/>
  <c r="AH195" i="2"/>
  <c r="AH192" i="2"/>
  <c r="AH222" i="2"/>
  <c r="AH218" i="2"/>
  <c r="AH215" i="2"/>
  <c r="AH211" i="2"/>
  <c r="AH208" i="2"/>
  <c r="AH204" i="2"/>
  <c r="AH201" i="2"/>
  <c r="AH197" i="2"/>
  <c r="AH194" i="2"/>
  <c r="AG233" i="2"/>
  <c r="AG205" i="2"/>
  <c r="AF94" i="2"/>
  <c r="AF95" i="2" s="1"/>
  <c r="AG113" i="2"/>
  <c r="AG162" i="2"/>
  <c r="AG106" i="2"/>
  <c r="AG141" i="2"/>
  <c r="AG127" i="2"/>
  <c r="AH160" i="2"/>
  <c r="AH157" i="2"/>
  <c r="AH153" i="2"/>
  <c r="AH150" i="2"/>
  <c r="AH146" i="2"/>
  <c r="AH143" i="2"/>
  <c r="AH139" i="2"/>
  <c r="AH159" i="2"/>
  <c r="AH156" i="2"/>
  <c r="AH152" i="2"/>
  <c r="AH149" i="2"/>
  <c r="AH145" i="2"/>
  <c r="AH142" i="2"/>
  <c r="AH137" i="2"/>
  <c r="AH133" i="2"/>
  <c r="AH130" i="2"/>
  <c r="AH140" i="2"/>
  <c r="AH158" i="2"/>
  <c r="AH151" i="2"/>
  <c r="AH144" i="2"/>
  <c r="AH128" i="2"/>
  <c r="AH124" i="2"/>
  <c r="AH121" i="2"/>
  <c r="AH135" i="2"/>
  <c r="AH161" i="2"/>
  <c r="AH138" i="2"/>
  <c r="AH117" i="2"/>
  <c r="AH112" i="2"/>
  <c r="AH109" i="2"/>
  <c r="AH126" i="2"/>
  <c r="AH123" i="2"/>
  <c r="AH147" i="2"/>
  <c r="AH114" i="2"/>
  <c r="AH115" i="2"/>
  <c r="AH107" i="2"/>
  <c r="AH110" i="2"/>
  <c r="AH132" i="2"/>
  <c r="AH131" i="2"/>
  <c r="AH119" i="2"/>
  <c r="AH129" i="2"/>
  <c r="AH111" i="2"/>
  <c r="AH125" i="2"/>
  <c r="AH154" i="2"/>
  <c r="AH118" i="2"/>
  <c r="AH136" i="2"/>
  <c r="AH108" i="2"/>
  <c r="AH116" i="2"/>
  <c r="AH122" i="2"/>
  <c r="AG148" i="2"/>
  <c r="AG155" i="2"/>
  <c r="AG134" i="2"/>
  <c r="AG120" i="2"/>
  <c r="AE92" i="2"/>
  <c r="AE90" i="2" s="1"/>
  <c r="AD96" i="2"/>
  <c r="AL248" i="3"/>
  <c r="AO241" i="3"/>
  <c r="AI844" i="2"/>
  <c r="AI841" i="2"/>
  <c r="AI838" i="2"/>
  <c r="AI835" i="2"/>
  <c r="AI843" i="2"/>
  <c r="AI842" i="2"/>
  <c r="AH806" i="2"/>
  <c r="AH815" i="2"/>
  <c r="AH813" i="2"/>
  <c r="AH809" i="2"/>
  <c r="AH808" i="2"/>
  <c r="AH807" i="2"/>
  <c r="AI840" i="2"/>
  <c r="AI834" i="2"/>
  <c r="AH810" i="2"/>
  <c r="AI839" i="2"/>
  <c r="AI837" i="2"/>
  <c r="AH811" i="2"/>
  <c r="AH814" i="2"/>
  <c r="AI833" i="2"/>
  <c r="AI836" i="2"/>
  <c r="AH817" i="2"/>
  <c r="AH816" i="2"/>
  <c r="AH812" i="2"/>
  <c r="AK56" i="2"/>
  <c r="AJ762" i="2"/>
  <c r="AJ25" i="4"/>
  <c r="AG57" i="2"/>
  <c r="AG26" i="4" s="1"/>
  <c r="AF64" i="2"/>
  <c r="AF27" i="4" s="1"/>
  <c r="AH782" i="2"/>
  <c r="AH779" i="2"/>
  <c r="AH776" i="2"/>
  <c r="AH773" i="2"/>
  <c r="AH770" i="2"/>
  <c r="AH767" i="2"/>
  <c r="AH764" i="2"/>
  <c r="AH781" i="2"/>
  <c r="AH778" i="2"/>
  <c r="AH775" i="2"/>
  <c r="AH772" i="2"/>
  <c r="AH769" i="2"/>
  <c r="AH766" i="2"/>
  <c r="AH777" i="2"/>
  <c r="AH774" i="2"/>
  <c r="AH771" i="2"/>
  <c r="AH768" i="2"/>
  <c r="AH765" i="2"/>
  <c r="AH763" i="2"/>
  <c r="AH780" i="2"/>
  <c r="AI59" i="2"/>
  <c r="AG68" i="2"/>
  <c r="AJ189" i="2"/>
  <c r="AH330" i="2"/>
  <c r="AH474" i="2"/>
  <c r="AH528" i="2"/>
  <c r="AH357" i="2"/>
  <c r="AH384" i="2"/>
  <c r="AH339" i="2"/>
  <c r="AH366" i="2"/>
  <c r="AH321" i="2"/>
  <c r="AH375" i="2"/>
  <c r="AH348" i="2"/>
  <c r="AG75" i="2"/>
  <c r="AG545" i="2" s="1"/>
  <c r="AH510" i="2"/>
  <c r="AH483" i="2"/>
  <c r="AH456" i="2"/>
  <c r="AH492" i="2"/>
  <c r="AH519" i="2"/>
  <c r="AH501" i="2"/>
  <c r="AH465" i="2"/>
  <c r="AH188" i="2"/>
  <c r="AH187" i="2"/>
  <c r="AH186" i="2"/>
  <c r="AI190" i="2"/>
  <c r="AG658" i="2" l="1"/>
  <c r="AG279" i="2"/>
  <c r="AG665" i="2"/>
  <c r="AG286" i="2"/>
  <c r="AG659" i="2"/>
  <c r="AG280" i="2"/>
  <c r="AH410" i="2"/>
  <c r="AH401" i="2"/>
  <c r="AF163" i="2"/>
  <c r="AJ797" i="2"/>
  <c r="AK824" i="2" s="1"/>
  <c r="AJ784" i="2"/>
  <c r="AH705" i="2"/>
  <c r="AH732" i="2"/>
  <c r="AH701" i="2"/>
  <c r="AH728" i="2"/>
  <c r="AH702" i="2"/>
  <c r="AH729" i="2"/>
  <c r="AH704" i="2"/>
  <c r="AH731" i="2"/>
  <c r="AH700" i="2"/>
  <c r="AH727" i="2"/>
  <c r="AH703" i="2"/>
  <c r="AH730" i="2"/>
  <c r="AH698" i="2"/>
  <c r="AH725" i="2"/>
  <c r="AH699" i="2"/>
  <c r="AH726" i="2"/>
  <c r="AH675" i="2"/>
  <c r="AH635" i="2"/>
  <c r="AH643" i="2" s="1"/>
  <c r="AH651" i="2"/>
  <c r="AH683" i="2"/>
  <c r="AH627" i="2"/>
  <c r="AH676" i="2"/>
  <c r="AH684" i="2"/>
  <c r="AH652" i="2"/>
  <c r="AH628" i="2"/>
  <c r="AH636" i="2"/>
  <c r="AH644" i="2" s="1"/>
  <c r="AH431" i="2"/>
  <c r="AH434" i="2"/>
  <c r="AH430" i="2"/>
  <c r="AH435" i="2"/>
  <c r="AH429" i="2"/>
  <c r="AH433" i="2"/>
  <c r="AH436" i="2"/>
  <c r="AH432" i="2"/>
  <c r="AH191" i="2"/>
  <c r="AH198" i="2"/>
  <c r="AH240" i="2"/>
  <c r="AH219" i="2"/>
  <c r="AH226" i="2"/>
  <c r="AH233" i="2"/>
  <c r="AH247" i="2"/>
  <c r="AH205" i="2"/>
  <c r="AH212" i="2"/>
  <c r="AI244" i="2"/>
  <c r="AI241" i="2"/>
  <c r="AI237" i="2"/>
  <c r="AI234" i="2"/>
  <c r="AI230" i="2"/>
  <c r="AI227" i="2"/>
  <c r="AI246" i="2"/>
  <c r="AI243" i="2"/>
  <c r="AI239" i="2"/>
  <c r="AI236" i="2"/>
  <c r="AI232" i="2"/>
  <c r="AI229" i="2"/>
  <c r="AI225" i="2"/>
  <c r="AI245" i="2"/>
  <c r="AI242" i="2"/>
  <c r="AI238" i="2"/>
  <c r="AI235" i="2"/>
  <c r="AI231" i="2"/>
  <c r="AI228" i="2"/>
  <c r="AI224" i="2"/>
  <c r="AI223" i="2"/>
  <c r="AI220" i="2"/>
  <c r="AI216" i="2"/>
  <c r="AI213" i="2"/>
  <c r="AI209" i="2"/>
  <c r="AI206" i="2"/>
  <c r="AI202" i="2"/>
  <c r="AI199" i="2"/>
  <c r="AI195" i="2"/>
  <c r="AI192" i="2"/>
  <c r="AI222" i="2"/>
  <c r="AI218" i="2"/>
  <c r="AI215" i="2"/>
  <c r="AI211" i="2"/>
  <c r="AI208" i="2"/>
  <c r="AI204" i="2"/>
  <c r="AI201" i="2"/>
  <c r="AI197" i="2"/>
  <c r="AI194" i="2"/>
  <c r="AI221" i="2"/>
  <c r="AI217" i="2"/>
  <c r="AI214" i="2"/>
  <c r="AI210" i="2"/>
  <c r="AI207" i="2"/>
  <c r="AI203" i="2"/>
  <c r="AI200" i="2"/>
  <c r="AI196" i="2"/>
  <c r="AI193" i="2"/>
  <c r="AF93" i="2"/>
  <c r="AG94" i="2"/>
  <c r="AG95" i="2" s="1"/>
  <c r="AH162" i="2"/>
  <c r="AH127" i="2"/>
  <c r="AH155" i="2"/>
  <c r="AH148" i="2"/>
  <c r="AH134" i="2"/>
  <c r="AH141" i="2"/>
  <c r="AI161" i="2"/>
  <c r="AI158" i="2"/>
  <c r="AI154" i="2"/>
  <c r="AI151" i="2"/>
  <c r="AI145" i="2"/>
  <c r="AI140" i="2"/>
  <c r="AI159" i="2"/>
  <c r="AI152" i="2"/>
  <c r="AI143" i="2"/>
  <c r="AI136" i="2"/>
  <c r="AI132" i="2"/>
  <c r="AI129" i="2"/>
  <c r="AI157" i="2"/>
  <c r="AI150" i="2"/>
  <c r="AI144" i="2"/>
  <c r="AI135" i="2"/>
  <c r="AI149" i="2"/>
  <c r="AI138" i="2"/>
  <c r="AI130" i="2"/>
  <c r="AI139" i="2"/>
  <c r="AI126" i="2"/>
  <c r="AI123" i="2"/>
  <c r="AI147" i="2"/>
  <c r="AI133" i="2"/>
  <c r="AI160" i="2"/>
  <c r="AI137" i="2"/>
  <c r="AI122" i="2"/>
  <c r="AI128" i="2"/>
  <c r="AI110" i="2"/>
  <c r="AI114" i="2"/>
  <c r="AI112" i="2"/>
  <c r="AI156" i="2"/>
  <c r="AI142" i="2"/>
  <c r="AI125" i="2"/>
  <c r="AI108" i="2"/>
  <c r="AI131" i="2"/>
  <c r="AI121" i="2"/>
  <c r="AI119" i="2"/>
  <c r="AI146" i="2"/>
  <c r="AI111" i="2"/>
  <c r="AI124" i="2"/>
  <c r="AI153" i="2"/>
  <c r="AI118" i="2"/>
  <c r="AI116" i="2"/>
  <c r="AI115" i="2"/>
  <c r="AI109" i="2"/>
  <c r="AI117" i="2"/>
  <c r="AI107" i="2"/>
  <c r="AH106" i="2"/>
  <c r="AH120" i="2"/>
  <c r="AH113" i="2"/>
  <c r="AD100" i="2"/>
  <c r="AA102" i="2"/>
  <c r="AE96" i="2"/>
  <c r="AG93" i="2"/>
  <c r="AM248" i="3"/>
  <c r="AP241" i="3"/>
  <c r="AL56" i="2"/>
  <c r="AK762" i="2"/>
  <c r="AK25" i="4"/>
  <c r="AJ838" i="2"/>
  <c r="AJ841" i="2"/>
  <c r="AJ836" i="2"/>
  <c r="AJ843" i="2"/>
  <c r="AJ840" i="2"/>
  <c r="AJ834" i="2"/>
  <c r="AI815" i="2"/>
  <c r="AI812" i="2"/>
  <c r="AI809" i="2"/>
  <c r="AI806" i="2"/>
  <c r="AJ835" i="2"/>
  <c r="AI813" i="2"/>
  <c r="AI808" i="2"/>
  <c r="AI807" i="2"/>
  <c r="AJ842" i="2"/>
  <c r="AI810" i="2"/>
  <c r="AI814" i="2"/>
  <c r="AI817" i="2"/>
  <c r="AJ833" i="2"/>
  <c r="AJ844" i="2"/>
  <c r="AJ839" i="2"/>
  <c r="AJ837" i="2"/>
  <c r="AI811" i="2"/>
  <c r="AI816" i="2"/>
  <c r="AH57" i="2"/>
  <c r="AH26" i="4" s="1"/>
  <c r="AG64" i="2"/>
  <c r="AG27" i="4" s="1"/>
  <c r="AI781" i="2"/>
  <c r="AI778" i="2"/>
  <c r="AI775" i="2"/>
  <c r="AI772" i="2"/>
  <c r="AI769" i="2"/>
  <c r="AI766" i="2"/>
  <c r="AI780" i="2"/>
  <c r="AI777" i="2"/>
  <c r="AI774" i="2"/>
  <c r="AI771" i="2"/>
  <c r="AI768" i="2"/>
  <c r="AI765" i="2"/>
  <c r="AI773" i="2"/>
  <c r="AI770" i="2"/>
  <c r="AI767" i="2"/>
  <c r="AI782" i="2"/>
  <c r="AI764" i="2"/>
  <c r="AI779" i="2"/>
  <c r="AI763" i="2"/>
  <c r="AI776" i="2"/>
  <c r="AJ59" i="2"/>
  <c r="AH68" i="2"/>
  <c r="AK189" i="2"/>
  <c r="AI330" i="2"/>
  <c r="AI528" i="2"/>
  <c r="AI474" i="2"/>
  <c r="AI357" i="2"/>
  <c r="AI384" i="2"/>
  <c r="AI321" i="2"/>
  <c r="AI339" i="2"/>
  <c r="AI366" i="2"/>
  <c r="AI375" i="2"/>
  <c r="AI348" i="2"/>
  <c r="AH75" i="2"/>
  <c r="AI501" i="2"/>
  <c r="AI510" i="2"/>
  <c r="AI519" i="2"/>
  <c r="AI492" i="2"/>
  <c r="AI483" i="2"/>
  <c r="AI465" i="2"/>
  <c r="AI456" i="2"/>
  <c r="AI187" i="2"/>
  <c r="AI188" i="2"/>
  <c r="AI186" i="2"/>
  <c r="AJ190" i="2"/>
  <c r="AH660" i="2" l="1"/>
  <c r="AH281" i="2"/>
  <c r="AH659" i="2"/>
  <c r="AH280" i="2"/>
  <c r="AI410" i="2"/>
  <c r="AI401" i="2"/>
  <c r="AF248" i="2"/>
  <c r="AG248" i="2"/>
  <c r="AE70" i="2"/>
  <c r="AG163" i="2"/>
  <c r="AK797" i="2"/>
  <c r="AL824" i="2" s="1"/>
  <c r="AK784" i="2"/>
  <c r="AI698" i="2"/>
  <c r="AI725" i="2"/>
  <c r="AI700" i="2"/>
  <c r="AI727" i="2"/>
  <c r="AI703" i="2"/>
  <c r="AI730" i="2"/>
  <c r="AI702" i="2"/>
  <c r="AI729" i="2"/>
  <c r="AI705" i="2"/>
  <c r="AI732" i="2"/>
  <c r="AI701" i="2"/>
  <c r="AI728" i="2"/>
  <c r="AI699" i="2"/>
  <c r="AI726" i="2"/>
  <c r="AI704" i="2"/>
  <c r="AI731" i="2"/>
  <c r="AI688" i="2"/>
  <c r="AI680" i="2"/>
  <c r="AI656" i="2"/>
  <c r="AI640" i="2"/>
  <c r="AI648" i="2" s="1"/>
  <c r="AI632" i="2"/>
  <c r="AI679" i="2"/>
  <c r="AI631" i="2"/>
  <c r="AI639" i="2"/>
  <c r="AI647" i="2" s="1"/>
  <c r="AI687" i="2"/>
  <c r="AI655" i="2"/>
  <c r="AI433" i="2"/>
  <c r="AI435" i="2"/>
  <c r="AI430" i="2"/>
  <c r="AI429" i="2"/>
  <c r="AI432" i="2"/>
  <c r="AI436" i="2"/>
  <c r="AI431" i="2"/>
  <c r="AI434" i="2"/>
  <c r="AE77" i="2"/>
  <c r="AH545" i="2"/>
  <c r="AI212" i="2"/>
  <c r="AI191" i="2"/>
  <c r="AI233" i="2"/>
  <c r="AI205" i="2"/>
  <c r="AI226" i="2"/>
  <c r="AI219" i="2"/>
  <c r="AI240" i="2"/>
  <c r="AI247" i="2"/>
  <c r="AI198" i="2"/>
  <c r="AJ244" i="2"/>
  <c r="AJ241" i="2"/>
  <c r="AJ237" i="2"/>
  <c r="AJ234" i="2"/>
  <c r="AJ230" i="2"/>
  <c r="AJ227" i="2"/>
  <c r="AJ246" i="2"/>
  <c r="AJ243" i="2"/>
  <c r="AJ239" i="2"/>
  <c r="AJ236" i="2"/>
  <c r="AJ232" i="2"/>
  <c r="AJ229" i="2"/>
  <c r="AJ225" i="2"/>
  <c r="AJ245" i="2"/>
  <c r="AJ242" i="2"/>
  <c r="AJ238" i="2"/>
  <c r="AJ235" i="2"/>
  <c r="AJ231" i="2"/>
  <c r="AJ228" i="2"/>
  <c r="AJ224" i="2"/>
  <c r="AJ223" i="2"/>
  <c r="AJ220" i="2"/>
  <c r="AJ216" i="2"/>
  <c r="AJ213" i="2"/>
  <c r="AJ209" i="2"/>
  <c r="AJ206" i="2"/>
  <c r="AJ202" i="2"/>
  <c r="AJ199" i="2"/>
  <c r="AJ195" i="2"/>
  <c r="AJ192" i="2"/>
  <c r="AJ222" i="2"/>
  <c r="AJ218" i="2"/>
  <c r="AJ215" i="2"/>
  <c r="AJ211" i="2"/>
  <c r="AJ208" i="2"/>
  <c r="AJ204" i="2"/>
  <c r="AJ201" i="2"/>
  <c r="AJ197" i="2"/>
  <c r="AJ194" i="2"/>
  <c r="AJ221" i="2"/>
  <c r="AJ217" i="2"/>
  <c r="AJ214" i="2"/>
  <c r="AJ210" i="2"/>
  <c r="AJ207" i="2"/>
  <c r="AJ203" i="2"/>
  <c r="AJ200" i="2"/>
  <c r="AJ196" i="2"/>
  <c r="AJ193" i="2"/>
  <c r="AF92" i="2"/>
  <c r="AF90" i="2" s="1"/>
  <c r="AF96" i="2" s="1"/>
  <c r="AH94" i="2"/>
  <c r="AH95" i="2" s="1"/>
  <c r="AI162" i="2"/>
  <c r="AI155" i="2"/>
  <c r="AI106" i="2"/>
  <c r="AI141" i="2"/>
  <c r="AI120" i="2"/>
  <c r="AI113" i="2"/>
  <c r="AI148" i="2"/>
  <c r="AJ161" i="2"/>
  <c r="AJ158" i="2"/>
  <c r="AJ154" i="2"/>
  <c r="AJ151" i="2"/>
  <c r="AJ147" i="2"/>
  <c r="AJ144" i="2"/>
  <c r="AJ140" i="2"/>
  <c r="AJ159" i="2"/>
  <c r="AJ152" i="2"/>
  <c r="AJ143" i="2"/>
  <c r="AJ157" i="2"/>
  <c r="AJ150" i="2"/>
  <c r="AJ146" i="2"/>
  <c r="AJ149" i="2"/>
  <c r="AJ138" i="2"/>
  <c r="AJ130" i="2"/>
  <c r="AJ139" i="2"/>
  <c r="AJ117" i="2"/>
  <c r="AJ112" i="2"/>
  <c r="AJ109" i="2"/>
  <c r="AJ126" i="2"/>
  <c r="AJ123" i="2"/>
  <c r="AJ133" i="2"/>
  <c r="AJ114" i="2"/>
  <c r="AJ160" i="2"/>
  <c r="AJ137" i="2"/>
  <c r="AJ132" i="2"/>
  <c r="AJ119" i="2"/>
  <c r="AJ116" i="2"/>
  <c r="AJ128" i="2"/>
  <c r="AJ110" i="2"/>
  <c r="AJ156" i="2"/>
  <c r="AJ142" i="2"/>
  <c r="AJ125" i="2"/>
  <c r="AJ108" i="2"/>
  <c r="AJ121" i="2"/>
  <c r="AJ111" i="2"/>
  <c r="AJ129" i="2"/>
  <c r="AJ124" i="2"/>
  <c r="AJ153" i="2"/>
  <c r="AJ136" i="2"/>
  <c r="AJ135" i="2"/>
  <c r="AJ131" i="2"/>
  <c r="AJ115" i="2"/>
  <c r="AJ145" i="2"/>
  <c r="AJ122" i="2"/>
  <c r="AJ107" i="2"/>
  <c r="AJ118" i="2"/>
  <c r="AI127" i="2"/>
  <c r="AI134" i="2"/>
  <c r="AG92" i="2"/>
  <c r="AG90" i="2" s="1"/>
  <c r="AG96" i="2" s="1"/>
  <c r="AE100" i="2"/>
  <c r="AH93" i="2"/>
  <c r="AN248" i="3"/>
  <c r="AQ241" i="3"/>
  <c r="AM56" i="2"/>
  <c r="AL762" i="2"/>
  <c r="AL25" i="4"/>
  <c r="AK843" i="2"/>
  <c r="AK840" i="2"/>
  <c r="AK837" i="2"/>
  <c r="AK834" i="2"/>
  <c r="AK841" i="2"/>
  <c r="AK836" i="2"/>
  <c r="AJ815" i="2"/>
  <c r="AK838" i="2"/>
  <c r="AK842" i="2"/>
  <c r="AJ810" i="2"/>
  <c r="AJ809" i="2"/>
  <c r="AK839" i="2"/>
  <c r="AJ811" i="2"/>
  <c r="AJ817" i="2"/>
  <c r="AK833" i="2"/>
  <c r="AJ808" i="2"/>
  <c r="AJ807" i="2"/>
  <c r="AJ806" i="2"/>
  <c r="AK844" i="2"/>
  <c r="AK835" i="2"/>
  <c r="AJ814" i="2"/>
  <c r="AJ816" i="2"/>
  <c r="AJ813" i="2"/>
  <c r="AJ812" i="2"/>
  <c r="AI57" i="2"/>
  <c r="AI26" i="4" s="1"/>
  <c r="AE63" i="2"/>
  <c r="D900" i="2" s="1"/>
  <c r="AJ782" i="2"/>
  <c r="AJ779" i="2"/>
  <c r="AJ776" i="2"/>
  <c r="AJ773" i="2"/>
  <c r="AJ770" i="2"/>
  <c r="AJ767" i="2"/>
  <c r="AJ764" i="2"/>
  <c r="AJ781" i="2"/>
  <c r="AJ778" i="2"/>
  <c r="AJ775" i="2"/>
  <c r="AJ772" i="2"/>
  <c r="AJ769" i="2"/>
  <c r="AJ766" i="2"/>
  <c r="AJ780" i="2"/>
  <c r="AJ777" i="2"/>
  <c r="AJ774" i="2"/>
  <c r="AJ771" i="2"/>
  <c r="AJ768" i="2"/>
  <c r="AJ765" i="2"/>
  <c r="AJ763" i="2"/>
  <c r="AK59" i="2"/>
  <c r="AH64" i="2"/>
  <c r="AH27" i="4" s="1"/>
  <c r="AI68" i="2"/>
  <c r="AL189" i="2"/>
  <c r="AJ330" i="2"/>
  <c r="AJ474" i="2"/>
  <c r="AJ528" i="2"/>
  <c r="AJ357" i="2"/>
  <c r="AJ384" i="2"/>
  <c r="AJ339" i="2"/>
  <c r="AJ321" i="2"/>
  <c r="AJ366" i="2"/>
  <c r="AJ375" i="2"/>
  <c r="AJ348" i="2"/>
  <c r="AI75" i="2"/>
  <c r="AI545" i="2" s="1"/>
  <c r="AJ501" i="2"/>
  <c r="AJ510" i="2"/>
  <c r="AJ519" i="2"/>
  <c r="AJ492" i="2"/>
  <c r="AJ483" i="2"/>
  <c r="AJ465" i="2"/>
  <c r="AJ456" i="2"/>
  <c r="AJ187" i="2"/>
  <c r="AJ188" i="2"/>
  <c r="AJ186" i="2"/>
  <c r="AK190" i="2"/>
  <c r="AI663" i="2" l="1"/>
  <c r="AI284" i="2"/>
  <c r="AI664" i="2"/>
  <c r="AI285" i="2"/>
  <c r="AJ410" i="2"/>
  <c r="AJ401" i="2"/>
  <c r="AH248" i="2"/>
  <c r="AH163" i="2"/>
  <c r="AL797" i="2"/>
  <c r="AM824" i="2" s="1"/>
  <c r="AL784" i="2"/>
  <c r="AJ701" i="2"/>
  <c r="AJ728" i="2"/>
  <c r="AJ704" i="2"/>
  <c r="AJ731" i="2"/>
  <c r="AJ700" i="2"/>
  <c r="AJ727" i="2"/>
  <c r="AJ699" i="2"/>
  <c r="AJ726" i="2"/>
  <c r="AJ698" i="2"/>
  <c r="AJ725" i="2"/>
  <c r="AJ703" i="2"/>
  <c r="AJ730" i="2"/>
  <c r="AJ702" i="2"/>
  <c r="AJ729" i="2"/>
  <c r="AJ705" i="2"/>
  <c r="AJ732" i="2"/>
  <c r="AJ681" i="2"/>
  <c r="AJ689" i="2"/>
  <c r="AJ641" i="2"/>
  <c r="AJ649" i="2" s="1"/>
  <c r="AJ657" i="2"/>
  <c r="AJ633" i="2"/>
  <c r="AJ674" i="2"/>
  <c r="AJ682" i="2"/>
  <c r="AJ650" i="2"/>
  <c r="AJ626" i="2"/>
  <c r="AJ634" i="2"/>
  <c r="AJ642" i="2" s="1"/>
  <c r="AJ688" i="2"/>
  <c r="AJ680" i="2"/>
  <c r="AJ632" i="2"/>
  <c r="AJ656" i="2"/>
  <c r="AJ640" i="2"/>
  <c r="AJ648" i="2" s="1"/>
  <c r="AJ432" i="2"/>
  <c r="AJ436" i="2"/>
  <c r="AJ435" i="2"/>
  <c r="AJ429" i="2"/>
  <c r="AJ431" i="2"/>
  <c r="AJ430" i="2"/>
  <c r="AJ434" i="2"/>
  <c r="AJ433" i="2"/>
  <c r="AJ212" i="2"/>
  <c r="AJ191" i="2"/>
  <c r="AJ233" i="2"/>
  <c r="AJ226" i="2"/>
  <c r="AJ240" i="2"/>
  <c r="AK244" i="2"/>
  <c r="AK241" i="2"/>
  <c r="AK237" i="2"/>
  <c r="AK234" i="2"/>
  <c r="AK230" i="2"/>
  <c r="AK227" i="2"/>
  <c r="AK246" i="2"/>
  <c r="AK243" i="2"/>
  <c r="AK239" i="2"/>
  <c r="AK236" i="2"/>
  <c r="AK232" i="2"/>
  <c r="AK229" i="2"/>
  <c r="AK225" i="2"/>
  <c r="AK245" i="2"/>
  <c r="AK242" i="2"/>
  <c r="AK238" i="2"/>
  <c r="AK235" i="2"/>
  <c r="AK231" i="2"/>
  <c r="AK228" i="2"/>
  <c r="AK224" i="2"/>
  <c r="AK223" i="2"/>
  <c r="AK220" i="2"/>
  <c r="AK216" i="2"/>
  <c r="AK213" i="2"/>
  <c r="AK209" i="2"/>
  <c r="AK206" i="2"/>
  <c r="AK202" i="2"/>
  <c r="AK199" i="2"/>
  <c r="AK195" i="2"/>
  <c r="AK192" i="2"/>
  <c r="AK222" i="2"/>
  <c r="AK218" i="2"/>
  <c r="AK215" i="2"/>
  <c r="AK211" i="2"/>
  <c r="AK208" i="2"/>
  <c r="AK204" i="2"/>
  <c r="AK201" i="2"/>
  <c r="AK197" i="2"/>
  <c r="AK194" i="2"/>
  <c r="AK221" i="2"/>
  <c r="AK217" i="2"/>
  <c r="AK214" i="2"/>
  <c r="AK210" i="2"/>
  <c r="AK207" i="2"/>
  <c r="AK203" i="2"/>
  <c r="AK200" i="2"/>
  <c r="AK196" i="2"/>
  <c r="AK193" i="2"/>
  <c r="AJ247" i="2"/>
  <c r="AJ219" i="2"/>
  <c r="AJ198" i="2"/>
  <c r="AJ205" i="2"/>
  <c r="AF100" i="2"/>
  <c r="AI94" i="2"/>
  <c r="AI95" i="2" s="1"/>
  <c r="AJ162" i="2"/>
  <c r="AJ106" i="2"/>
  <c r="AJ148" i="2"/>
  <c r="AJ120" i="2"/>
  <c r="AJ141" i="2"/>
  <c r="AK159" i="2"/>
  <c r="AK156" i="2"/>
  <c r="AK152" i="2"/>
  <c r="AK149" i="2"/>
  <c r="AK145" i="2"/>
  <c r="AK142" i="2"/>
  <c r="AK161" i="2"/>
  <c r="AK158" i="2"/>
  <c r="AK154" i="2"/>
  <c r="AK151" i="2"/>
  <c r="AK147" i="2"/>
  <c r="AK144" i="2"/>
  <c r="AK140" i="2"/>
  <c r="AK136" i="2"/>
  <c r="AK132" i="2"/>
  <c r="AK157" i="2"/>
  <c r="AK150" i="2"/>
  <c r="AK146" i="2"/>
  <c r="AK138" i="2"/>
  <c r="AK139" i="2"/>
  <c r="AK126" i="2"/>
  <c r="AK123" i="2"/>
  <c r="AK133" i="2"/>
  <c r="AK114" i="2"/>
  <c r="AK160" i="2"/>
  <c r="AK137" i="2"/>
  <c r="AK143" i="2"/>
  <c r="AK125" i="2"/>
  <c r="AK122" i="2"/>
  <c r="AK129" i="2"/>
  <c r="AK115" i="2"/>
  <c r="AK107" i="2"/>
  <c r="AK130" i="2"/>
  <c r="AK112" i="2"/>
  <c r="AK108" i="2"/>
  <c r="AK121" i="2"/>
  <c r="AK131" i="2"/>
  <c r="AK118" i="2"/>
  <c r="AK111" i="2"/>
  <c r="AK124" i="2"/>
  <c r="AK153" i="2"/>
  <c r="AK135" i="2"/>
  <c r="AK110" i="2"/>
  <c r="AK119" i="2"/>
  <c r="AK128" i="2"/>
  <c r="AK116" i="2"/>
  <c r="AK109" i="2"/>
  <c r="AK117" i="2"/>
  <c r="AJ134" i="2"/>
  <c r="AJ127" i="2"/>
  <c r="AJ113" i="2"/>
  <c r="AJ155" i="2"/>
  <c r="AE66" i="2"/>
  <c r="F900" i="2" s="1"/>
  <c r="AG100" i="2"/>
  <c r="AH92" i="2"/>
  <c r="AH90" i="2" s="1"/>
  <c r="AO248" i="3"/>
  <c r="AR241" i="3"/>
  <c r="AN56" i="2"/>
  <c r="AM762" i="2"/>
  <c r="AM25" i="4"/>
  <c r="AL841" i="2"/>
  <c r="AL836" i="2"/>
  <c r="AL844" i="2"/>
  <c r="AL839" i="2"/>
  <c r="AL840" i="2"/>
  <c r="AL834" i="2"/>
  <c r="AL837" i="2"/>
  <c r="AK816" i="2"/>
  <c r="AL843" i="2"/>
  <c r="AK815" i="2"/>
  <c r="AK811" i="2"/>
  <c r="AK814" i="2"/>
  <c r="AL838" i="2"/>
  <c r="AL835" i="2"/>
  <c r="AK809" i="2"/>
  <c r="AK808" i="2"/>
  <c r="AK806" i="2"/>
  <c r="AK810" i="2"/>
  <c r="AL833" i="2"/>
  <c r="AK807" i="2"/>
  <c r="AL842" i="2"/>
  <c r="AK817" i="2"/>
  <c r="AK813" i="2"/>
  <c r="AK812" i="2"/>
  <c r="AJ57" i="2"/>
  <c r="AJ26" i="4" s="1"/>
  <c r="AI64" i="2"/>
  <c r="AI27" i="4" s="1"/>
  <c r="AK782" i="2"/>
  <c r="AK779" i="2"/>
  <c r="AK776" i="2"/>
  <c r="AK773" i="2"/>
  <c r="AK770" i="2"/>
  <c r="AK767" i="2"/>
  <c r="AK764" i="2"/>
  <c r="AK781" i="2"/>
  <c r="AK778" i="2"/>
  <c r="AK775" i="2"/>
  <c r="AK772" i="2"/>
  <c r="AK769" i="2"/>
  <c r="AK766" i="2"/>
  <c r="AK780" i="2"/>
  <c r="AK777" i="2"/>
  <c r="AK774" i="2"/>
  <c r="AK771" i="2"/>
  <c r="AK768" i="2"/>
  <c r="AK765" i="2"/>
  <c r="AK763" i="2"/>
  <c r="AL59" i="2"/>
  <c r="AJ68" i="2"/>
  <c r="AM189" i="2"/>
  <c r="AK330" i="2"/>
  <c r="AK528" i="2"/>
  <c r="AK474" i="2"/>
  <c r="AK321" i="2"/>
  <c r="AK339" i="2"/>
  <c r="AK366" i="2"/>
  <c r="AK348" i="2"/>
  <c r="AK357" i="2"/>
  <c r="AK384" i="2"/>
  <c r="AK375" i="2"/>
  <c r="AJ75" i="2"/>
  <c r="AJ545" i="2" s="1"/>
  <c r="AK501" i="2"/>
  <c r="AK492" i="2"/>
  <c r="AK483" i="2"/>
  <c r="AK456" i="2"/>
  <c r="AK519" i="2"/>
  <c r="AK465" i="2"/>
  <c r="AK510" i="2"/>
  <c r="AK187" i="2"/>
  <c r="AK188" i="2"/>
  <c r="AK186" i="2"/>
  <c r="AL190" i="2"/>
  <c r="AJ658" i="2" l="1"/>
  <c r="AJ279" i="2"/>
  <c r="AJ665" i="2"/>
  <c r="AJ286" i="2"/>
  <c r="AJ664" i="2"/>
  <c r="AJ285" i="2"/>
  <c r="AK410" i="2"/>
  <c r="AK401" i="2"/>
  <c r="AI163" i="2"/>
  <c r="AM797" i="2"/>
  <c r="AN824" i="2" s="1"/>
  <c r="AM784" i="2"/>
  <c r="AK700" i="2"/>
  <c r="AK727" i="2"/>
  <c r="AK703" i="2"/>
  <c r="AK730" i="2"/>
  <c r="AK702" i="2"/>
  <c r="AK729" i="2"/>
  <c r="AK705" i="2"/>
  <c r="AK732" i="2"/>
  <c r="AK698" i="2"/>
  <c r="AK725" i="2"/>
  <c r="AK699" i="2"/>
  <c r="AK726" i="2"/>
  <c r="AK701" i="2"/>
  <c r="AK728" i="2"/>
  <c r="AK704" i="2"/>
  <c r="AK731" i="2"/>
  <c r="AK675" i="2"/>
  <c r="AK651" i="2"/>
  <c r="AK683" i="2"/>
  <c r="AK627" i="2"/>
  <c r="AK635" i="2"/>
  <c r="AK643" i="2" s="1"/>
  <c r="AK681" i="2"/>
  <c r="AK689" i="2"/>
  <c r="AK641" i="2"/>
  <c r="AK649" i="2" s="1"/>
  <c r="AK657" i="2"/>
  <c r="AK633" i="2"/>
  <c r="AK674" i="2"/>
  <c r="AK682" i="2"/>
  <c r="AK650" i="2"/>
  <c r="AK634" i="2"/>
  <c r="AK642" i="2" s="1"/>
  <c r="AK626" i="2"/>
  <c r="AK430" i="2"/>
  <c r="AK436" i="2"/>
  <c r="AK429" i="2"/>
  <c r="AK434" i="2"/>
  <c r="AK433" i="2"/>
  <c r="AK431" i="2"/>
  <c r="AK432" i="2"/>
  <c r="AK435" i="2"/>
  <c r="AK191" i="2"/>
  <c r="AK212" i="2"/>
  <c r="AK233" i="2"/>
  <c r="AK198" i="2"/>
  <c r="AK247" i="2"/>
  <c r="AK219" i="2"/>
  <c r="AK240" i="2"/>
  <c r="AK205" i="2"/>
  <c r="AL244" i="2"/>
  <c r="AL241" i="2"/>
  <c r="AL237" i="2"/>
  <c r="AL234" i="2"/>
  <c r="AL230" i="2"/>
  <c r="AL227" i="2"/>
  <c r="AL246" i="2"/>
  <c r="AL243" i="2"/>
  <c r="AL239" i="2"/>
  <c r="AL236" i="2"/>
  <c r="AL232" i="2"/>
  <c r="AL229" i="2"/>
  <c r="AL225" i="2"/>
  <c r="AL245" i="2"/>
  <c r="AL242" i="2"/>
  <c r="AL238" i="2"/>
  <c r="AL235" i="2"/>
  <c r="AL231" i="2"/>
  <c r="AL228" i="2"/>
  <c r="AL224" i="2"/>
  <c r="AL223" i="2"/>
  <c r="AL220" i="2"/>
  <c r="AL216" i="2"/>
  <c r="AL213" i="2"/>
  <c r="AL209" i="2"/>
  <c r="AL206" i="2"/>
  <c r="AL202" i="2"/>
  <c r="AL199" i="2"/>
  <c r="AL195" i="2"/>
  <c r="AL192" i="2"/>
  <c r="AL222" i="2"/>
  <c r="AL218" i="2"/>
  <c r="AL215" i="2"/>
  <c r="AL211" i="2"/>
  <c r="AL208" i="2"/>
  <c r="AL204" i="2"/>
  <c r="AL201" i="2"/>
  <c r="AL197" i="2"/>
  <c r="AL194" i="2"/>
  <c r="AL221" i="2"/>
  <c r="AL217" i="2"/>
  <c r="AL214" i="2"/>
  <c r="AL210" i="2"/>
  <c r="AL207" i="2"/>
  <c r="AL203" i="2"/>
  <c r="AL200" i="2"/>
  <c r="AL196" i="2"/>
  <c r="AL193" i="2"/>
  <c r="AK226" i="2"/>
  <c r="AI93" i="2"/>
  <c r="AJ94" i="2"/>
  <c r="AJ95" i="2" s="1"/>
  <c r="AK162" i="2"/>
  <c r="AK127" i="2"/>
  <c r="AK141" i="2"/>
  <c r="AL159" i="2"/>
  <c r="AL156" i="2"/>
  <c r="AL152" i="2"/>
  <c r="AL149" i="2"/>
  <c r="AL145" i="2"/>
  <c r="AL142" i="2"/>
  <c r="AL161" i="2"/>
  <c r="AL158" i="2"/>
  <c r="AL154" i="2"/>
  <c r="AL151" i="2"/>
  <c r="AL147" i="2"/>
  <c r="AL144" i="2"/>
  <c r="AL140" i="2"/>
  <c r="AL136" i="2"/>
  <c r="AL132" i="2"/>
  <c r="AL157" i="2"/>
  <c r="AL150" i="2"/>
  <c r="AL146" i="2"/>
  <c r="AL138" i="2"/>
  <c r="AL139" i="2"/>
  <c r="AL126" i="2"/>
  <c r="AL123" i="2"/>
  <c r="AL133" i="2"/>
  <c r="AL114" i="2"/>
  <c r="AL160" i="2"/>
  <c r="AL137" i="2"/>
  <c r="AL119" i="2"/>
  <c r="AL116" i="2"/>
  <c r="AL111" i="2"/>
  <c r="AL108" i="2"/>
  <c r="AL143" i="2"/>
  <c r="AL125" i="2"/>
  <c r="AL122" i="2"/>
  <c r="AL130" i="2"/>
  <c r="AL112" i="2"/>
  <c r="AL121" i="2"/>
  <c r="AL131" i="2"/>
  <c r="AL118" i="2"/>
  <c r="AL117" i="2"/>
  <c r="AL153" i="2"/>
  <c r="AL129" i="2"/>
  <c r="AL135" i="2"/>
  <c r="AL110" i="2"/>
  <c r="AL128" i="2"/>
  <c r="AL115" i="2"/>
  <c r="AL109" i="2"/>
  <c r="AL124" i="2"/>
  <c r="AL107" i="2"/>
  <c r="AK113" i="2"/>
  <c r="AK134" i="2"/>
  <c r="AK148" i="2"/>
  <c r="AK155" i="2"/>
  <c r="AK120" i="2"/>
  <c r="AK106" i="2"/>
  <c r="AH96" i="2"/>
  <c r="AP248" i="3"/>
  <c r="AJ93" i="2"/>
  <c r="AS241" i="3"/>
  <c r="AM843" i="2"/>
  <c r="AM840" i="2"/>
  <c r="AM837" i="2"/>
  <c r="AM834" i="2"/>
  <c r="AM844" i="2"/>
  <c r="AM839" i="2"/>
  <c r="AL811" i="2"/>
  <c r="AM841" i="2"/>
  <c r="AL814" i="2"/>
  <c r="AL817" i="2"/>
  <c r="AM836" i="2"/>
  <c r="AL812" i="2"/>
  <c r="AM835" i="2"/>
  <c r="AL809" i="2"/>
  <c r="AM838" i="2"/>
  <c r="AL816" i="2"/>
  <c r="AL813" i="2"/>
  <c r="AL810" i="2"/>
  <c r="AM842" i="2"/>
  <c r="AL808" i="2"/>
  <c r="AL806" i="2"/>
  <c r="AM833" i="2"/>
  <c r="AL807" i="2"/>
  <c r="AL815" i="2"/>
  <c r="AO56" i="2"/>
  <c r="AN762" i="2"/>
  <c r="AN25" i="4"/>
  <c r="AK57" i="2"/>
  <c r="AK26" i="4" s="1"/>
  <c r="AJ64" i="2"/>
  <c r="AJ27" i="4" s="1"/>
  <c r="AL781" i="2"/>
  <c r="AL778" i="2"/>
  <c r="AL775" i="2"/>
  <c r="AL772" i="2"/>
  <c r="AL769" i="2"/>
  <c r="AL766" i="2"/>
  <c r="AL780" i="2"/>
  <c r="AL777" i="2"/>
  <c r="AL774" i="2"/>
  <c r="AL771" i="2"/>
  <c r="AL768" i="2"/>
  <c r="AL765" i="2"/>
  <c r="AL770" i="2"/>
  <c r="AL767" i="2"/>
  <c r="AL782" i="2"/>
  <c r="AL764" i="2"/>
  <c r="AL763" i="2"/>
  <c r="AL779" i="2"/>
  <c r="AL776" i="2"/>
  <c r="AL773" i="2"/>
  <c r="AM59" i="2"/>
  <c r="AK68" i="2"/>
  <c r="AN189" i="2"/>
  <c r="AL330" i="2"/>
  <c r="AL528" i="2"/>
  <c r="AL474" i="2"/>
  <c r="AL366" i="2"/>
  <c r="AL348" i="2"/>
  <c r="AL339" i="2"/>
  <c r="AL375" i="2"/>
  <c r="AL357" i="2"/>
  <c r="AL321" i="2"/>
  <c r="AL384" i="2"/>
  <c r="AK75" i="2"/>
  <c r="AK545" i="2" s="1"/>
  <c r="AL188" i="2"/>
  <c r="AL501" i="2"/>
  <c r="AL519" i="2"/>
  <c r="AL492" i="2"/>
  <c r="AL483" i="2"/>
  <c r="AL465" i="2"/>
  <c r="AL456" i="2"/>
  <c r="AL510" i="2"/>
  <c r="AL187" i="2"/>
  <c r="AL186" i="2"/>
  <c r="AM190" i="2"/>
  <c r="AK659" i="2" l="1"/>
  <c r="AK280" i="2"/>
  <c r="AK665" i="2"/>
  <c r="AK286" i="2"/>
  <c r="AL401" i="2"/>
  <c r="AK658" i="2"/>
  <c r="AK279" i="2"/>
  <c r="AL410" i="2"/>
  <c r="AJ248" i="2"/>
  <c r="AJ163" i="2"/>
  <c r="AI248" i="2"/>
  <c r="AN797" i="2"/>
  <c r="AO824" i="2" s="1"/>
  <c r="AN784" i="2"/>
  <c r="AL705" i="2"/>
  <c r="AL732" i="2"/>
  <c r="AL698" i="2"/>
  <c r="AL725" i="2"/>
  <c r="AL703" i="2"/>
  <c r="AL730" i="2"/>
  <c r="AL701" i="2"/>
  <c r="AL728" i="2"/>
  <c r="AL704" i="2"/>
  <c r="AL731" i="2"/>
  <c r="AL699" i="2"/>
  <c r="AL726" i="2"/>
  <c r="AL700" i="2"/>
  <c r="AL727" i="2"/>
  <c r="AL702" i="2"/>
  <c r="AL729" i="2"/>
  <c r="AL674" i="2"/>
  <c r="AL682" i="2"/>
  <c r="AL650" i="2"/>
  <c r="AL626" i="2"/>
  <c r="AL634" i="2"/>
  <c r="AL642" i="2" s="1"/>
  <c r="AL684" i="2"/>
  <c r="AL676" i="2"/>
  <c r="AL652" i="2"/>
  <c r="AL636" i="2"/>
  <c r="AL644" i="2" s="1"/>
  <c r="AL628" i="2"/>
  <c r="AL683" i="2"/>
  <c r="AL635" i="2"/>
  <c r="AL643" i="2" s="1"/>
  <c r="AL651" i="2"/>
  <c r="AL627" i="2"/>
  <c r="AL675" i="2"/>
  <c r="AL429" i="2"/>
  <c r="AL432" i="2"/>
  <c r="AL435" i="2"/>
  <c r="AL430" i="2"/>
  <c r="AL433" i="2"/>
  <c r="AL436" i="2"/>
  <c r="AL431" i="2"/>
  <c r="AL434" i="2"/>
  <c r="AL233" i="2"/>
  <c r="AL198" i="2"/>
  <c r="AL226" i="2"/>
  <c r="AL212" i="2"/>
  <c r="AL191" i="2"/>
  <c r="AL240" i="2"/>
  <c r="AL247" i="2"/>
  <c r="AL219" i="2"/>
  <c r="AI92" i="2"/>
  <c r="AI90" i="2" s="1"/>
  <c r="AM246" i="2"/>
  <c r="AM243" i="2"/>
  <c r="AM239" i="2"/>
  <c r="AM236" i="2"/>
  <c r="AM232" i="2"/>
  <c r="AM229" i="2"/>
  <c r="AM225" i="2"/>
  <c r="AM245" i="2"/>
  <c r="AM242" i="2"/>
  <c r="AM238" i="2"/>
  <c r="AM235" i="2"/>
  <c r="AM231" i="2"/>
  <c r="AM228" i="2"/>
  <c r="AM224" i="2"/>
  <c r="AM244" i="2"/>
  <c r="AM241" i="2"/>
  <c r="AM237" i="2"/>
  <c r="AM234" i="2"/>
  <c r="AM230" i="2"/>
  <c r="AM227" i="2"/>
  <c r="AM222" i="2"/>
  <c r="AM218" i="2"/>
  <c r="AM215" i="2"/>
  <c r="AM211" i="2"/>
  <c r="AM208" i="2"/>
  <c r="AM204" i="2"/>
  <c r="AM201" i="2"/>
  <c r="AM197" i="2"/>
  <c r="AM194" i="2"/>
  <c r="AM221" i="2"/>
  <c r="AM217" i="2"/>
  <c r="AM214" i="2"/>
  <c r="AM210" i="2"/>
  <c r="AM207" i="2"/>
  <c r="AM203" i="2"/>
  <c r="AM200" i="2"/>
  <c r="AM196" i="2"/>
  <c r="AM193" i="2"/>
  <c r="AM223" i="2"/>
  <c r="AM220" i="2"/>
  <c r="AM216" i="2"/>
  <c r="AM213" i="2"/>
  <c r="AM209" i="2"/>
  <c r="AM206" i="2"/>
  <c r="AM202" i="2"/>
  <c r="AM199" i="2"/>
  <c r="AM195" i="2"/>
  <c r="AM192" i="2"/>
  <c r="AL205" i="2"/>
  <c r="AK94" i="2"/>
  <c r="AK163" i="2" s="1"/>
  <c r="AL162" i="2"/>
  <c r="AL155" i="2"/>
  <c r="AL134" i="2"/>
  <c r="AL120" i="2"/>
  <c r="AL141" i="2"/>
  <c r="AL148" i="2"/>
  <c r="AL106" i="2"/>
  <c r="AM160" i="2"/>
  <c r="AM157" i="2"/>
  <c r="AM153" i="2"/>
  <c r="AM150" i="2"/>
  <c r="AM158" i="2"/>
  <c r="AM151" i="2"/>
  <c r="AM146" i="2"/>
  <c r="AM138" i="2"/>
  <c r="AM135" i="2"/>
  <c r="AM131" i="2"/>
  <c r="AM144" i="2"/>
  <c r="AM139" i="2"/>
  <c r="AM156" i="2"/>
  <c r="AM149" i="2"/>
  <c r="AM142" i="2"/>
  <c r="AM133" i="2"/>
  <c r="AM114" i="2"/>
  <c r="AM161" i="2"/>
  <c r="AM137" i="2"/>
  <c r="AM147" i="2"/>
  <c r="AM143" i="2"/>
  <c r="AM125" i="2"/>
  <c r="AM122" i="2"/>
  <c r="AM132" i="2"/>
  <c r="AM159" i="2"/>
  <c r="AM129" i="2"/>
  <c r="AM154" i="2"/>
  <c r="AM136" i="2"/>
  <c r="AM128" i="2"/>
  <c r="AM110" i="2"/>
  <c r="AM121" i="2"/>
  <c r="AM108" i="2"/>
  <c r="AM152" i="2"/>
  <c r="AM140" i="2"/>
  <c r="AM126" i="2"/>
  <c r="AM118" i="2"/>
  <c r="AM117" i="2"/>
  <c r="AM111" i="2"/>
  <c r="AM124" i="2"/>
  <c r="AM119" i="2"/>
  <c r="AM130" i="2"/>
  <c r="AM115" i="2"/>
  <c r="AM112" i="2"/>
  <c r="AM109" i="2"/>
  <c r="AM116" i="2"/>
  <c r="AM123" i="2"/>
  <c r="AM107" i="2"/>
  <c r="AM145" i="2"/>
  <c r="AL127" i="2"/>
  <c r="AL113" i="2"/>
  <c r="AH100" i="2"/>
  <c r="AE102" i="2"/>
  <c r="AJ92" i="2"/>
  <c r="AJ90" i="2" s="1"/>
  <c r="AQ248" i="3"/>
  <c r="AK93" i="2"/>
  <c r="AT241" i="3"/>
  <c r="AP56" i="2"/>
  <c r="AO762" i="2"/>
  <c r="AO25" i="4"/>
  <c r="AN844" i="2"/>
  <c r="AN839" i="2"/>
  <c r="AN842" i="2"/>
  <c r="AN834" i="2"/>
  <c r="AN837" i="2"/>
  <c r="AM817" i="2"/>
  <c r="AM814" i="2"/>
  <c r="AM811" i="2"/>
  <c r="AM808" i="2"/>
  <c r="AN841" i="2"/>
  <c r="AM813" i="2"/>
  <c r="AM812" i="2"/>
  <c r="AN840" i="2"/>
  <c r="AN838" i="2"/>
  <c r="AN836" i="2"/>
  <c r="AN833" i="2"/>
  <c r="AM809" i="2"/>
  <c r="AM816" i="2"/>
  <c r="AM810" i="2"/>
  <c r="AN843" i="2"/>
  <c r="AM815" i="2"/>
  <c r="AN835" i="2"/>
  <c r="AM807" i="2"/>
  <c r="AM806" i="2"/>
  <c r="AK64" i="2"/>
  <c r="AK27" i="4" s="1"/>
  <c r="AL57" i="2"/>
  <c r="AL26" i="4" s="1"/>
  <c r="AM780" i="2"/>
  <c r="AM777" i="2"/>
  <c r="AM774" i="2"/>
  <c r="AM771" i="2"/>
  <c r="AM768" i="2"/>
  <c r="AM765" i="2"/>
  <c r="AM782" i="2"/>
  <c r="AM779" i="2"/>
  <c r="AM776" i="2"/>
  <c r="AM773" i="2"/>
  <c r="AM770" i="2"/>
  <c r="AM767" i="2"/>
  <c r="AM764" i="2"/>
  <c r="AM766" i="2"/>
  <c r="AM781" i="2"/>
  <c r="AM778" i="2"/>
  <c r="AM763" i="2"/>
  <c r="AM775" i="2"/>
  <c r="AM772" i="2"/>
  <c r="AM769" i="2"/>
  <c r="AN59" i="2"/>
  <c r="AL68" i="2"/>
  <c r="AO189" i="2"/>
  <c r="AM330" i="2"/>
  <c r="AM528" i="2"/>
  <c r="AM474" i="2"/>
  <c r="AM339" i="2"/>
  <c r="AM366" i="2"/>
  <c r="AM375" i="2"/>
  <c r="AM348" i="2"/>
  <c r="AM357" i="2"/>
  <c r="AM321" i="2"/>
  <c r="AM384" i="2"/>
  <c r="AL75" i="2"/>
  <c r="AM519" i="2"/>
  <c r="AM492" i="2"/>
  <c r="AM465" i="2"/>
  <c r="AM483" i="2"/>
  <c r="AM456" i="2"/>
  <c r="AM501" i="2"/>
  <c r="AM510" i="2"/>
  <c r="AM188" i="2"/>
  <c r="AM187" i="2"/>
  <c r="AM186" i="2"/>
  <c r="AN190" i="2"/>
  <c r="AL658" i="2" l="1"/>
  <c r="AL279" i="2"/>
  <c r="AL659" i="2"/>
  <c r="AL280" i="2"/>
  <c r="AM410" i="2"/>
  <c r="AL660" i="2"/>
  <c r="AL281" i="2"/>
  <c r="AM401" i="2"/>
  <c r="AK248" i="2"/>
  <c r="AO797" i="2"/>
  <c r="AP824" i="2" s="1"/>
  <c r="AO784" i="2"/>
  <c r="AM704" i="2"/>
  <c r="AM731" i="2"/>
  <c r="AM700" i="2"/>
  <c r="AM727" i="2"/>
  <c r="AM698" i="2"/>
  <c r="AM725" i="2"/>
  <c r="AM701" i="2"/>
  <c r="AM728" i="2"/>
  <c r="AM699" i="2"/>
  <c r="AM726" i="2"/>
  <c r="AM702" i="2"/>
  <c r="AM729" i="2"/>
  <c r="AM705" i="2"/>
  <c r="AM732" i="2"/>
  <c r="AM703" i="2"/>
  <c r="AM730" i="2"/>
  <c r="AM681" i="2"/>
  <c r="AM689" i="2"/>
  <c r="AM657" i="2"/>
  <c r="AM633" i="2"/>
  <c r="AM641" i="2"/>
  <c r="AM649" i="2" s="1"/>
  <c r="AM680" i="2"/>
  <c r="AM656" i="2"/>
  <c r="AM688" i="2"/>
  <c r="AM640" i="2"/>
  <c r="AM648" i="2" s="1"/>
  <c r="AM632" i="2"/>
  <c r="AM687" i="2"/>
  <c r="AM679" i="2"/>
  <c r="AM631" i="2"/>
  <c r="AM639" i="2"/>
  <c r="AM647" i="2" s="1"/>
  <c r="AM655" i="2"/>
  <c r="AM431" i="2"/>
  <c r="AM434" i="2"/>
  <c r="AM436" i="2"/>
  <c r="AM429" i="2"/>
  <c r="AM432" i="2"/>
  <c r="AM430" i="2"/>
  <c r="AM433" i="2"/>
  <c r="AM435" i="2"/>
  <c r="AI77" i="2"/>
  <c r="AL545" i="2"/>
  <c r="AI96" i="2"/>
  <c r="AM205" i="2"/>
  <c r="AM226" i="2"/>
  <c r="AM212" i="2"/>
  <c r="AM233" i="2"/>
  <c r="AK95" i="2"/>
  <c r="AM191" i="2"/>
  <c r="AN246" i="2"/>
  <c r="AN243" i="2"/>
  <c r="AN239" i="2"/>
  <c r="AN236" i="2"/>
  <c r="AN232" i="2"/>
  <c r="AN229" i="2"/>
  <c r="AN225" i="2"/>
  <c r="AN245" i="2"/>
  <c r="AN242" i="2"/>
  <c r="AN238" i="2"/>
  <c r="AN235" i="2"/>
  <c r="AN231" i="2"/>
  <c r="AN228" i="2"/>
  <c r="AN224" i="2"/>
  <c r="AN244" i="2"/>
  <c r="AN241" i="2"/>
  <c r="AN237" i="2"/>
  <c r="AN234" i="2"/>
  <c r="AN230" i="2"/>
  <c r="AN227" i="2"/>
  <c r="AN222" i="2"/>
  <c r="AN218" i="2"/>
  <c r="AN215" i="2"/>
  <c r="AN211" i="2"/>
  <c r="AN208" i="2"/>
  <c r="AN204" i="2"/>
  <c r="AN201" i="2"/>
  <c r="AN197" i="2"/>
  <c r="AN194" i="2"/>
  <c r="AN221" i="2"/>
  <c r="AN217" i="2"/>
  <c r="AN214" i="2"/>
  <c r="AN210" i="2"/>
  <c r="AN207" i="2"/>
  <c r="AN203" i="2"/>
  <c r="AN200" i="2"/>
  <c r="AN196" i="2"/>
  <c r="AN193" i="2"/>
  <c r="AN223" i="2"/>
  <c r="AN220" i="2"/>
  <c r="AN216" i="2"/>
  <c r="AN213" i="2"/>
  <c r="AN209" i="2"/>
  <c r="AN206" i="2"/>
  <c r="AN202" i="2"/>
  <c r="AN199" i="2"/>
  <c r="AN195" i="2"/>
  <c r="AN192" i="2"/>
  <c r="AM198" i="2"/>
  <c r="AM240" i="2"/>
  <c r="AM219" i="2"/>
  <c r="AM247" i="2"/>
  <c r="AL94" i="2"/>
  <c r="AL95" i="2" s="1"/>
  <c r="AM162" i="2"/>
  <c r="AM120" i="2"/>
  <c r="AM127" i="2"/>
  <c r="AM134" i="2"/>
  <c r="AM113" i="2"/>
  <c r="AM141" i="2"/>
  <c r="AM155" i="2"/>
  <c r="AM106" i="2"/>
  <c r="AM148" i="2"/>
  <c r="AN160" i="2"/>
  <c r="AN157" i="2"/>
  <c r="AN153" i="2"/>
  <c r="AN150" i="2"/>
  <c r="AN146" i="2"/>
  <c r="AN143" i="2"/>
  <c r="AN139" i="2"/>
  <c r="AN158" i="2"/>
  <c r="AN151" i="2"/>
  <c r="AN138" i="2"/>
  <c r="AN144" i="2"/>
  <c r="AN156" i="2"/>
  <c r="AN149" i="2"/>
  <c r="AN142" i="2"/>
  <c r="AN161" i="2"/>
  <c r="AN137" i="2"/>
  <c r="AN119" i="2"/>
  <c r="AN116" i="2"/>
  <c r="AN111" i="2"/>
  <c r="AN108" i="2"/>
  <c r="AN147" i="2"/>
  <c r="AN125" i="2"/>
  <c r="AN122" i="2"/>
  <c r="AN132" i="2"/>
  <c r="AN159" i="2"/>
  <c r="AN129" i="2"/>
  <c r="AN131" i="2"/>
  <c r="AN118" i="2"/>
  <c r="AN115" i="2"/>
  <c r="AN152" i="2"/>
  <c r="AN140" i="2"/>
  <c r="AN126" i="2"/>
  <c r="AN133" i="2"/>
  <c r="AN114" i="2"/>
  <c r="AN117" i="2"/>
  <c r="AN124" i="2"/>
  <c r="AN135" i="2"/>
  <c r="AN112" i="2"/>
  <c r="AN110" i="2"/>
  <c r="AN109" i="2"/>
  <c r="AN136" i="2"/>
  <c r="AN128" i="2"/>
  <c r="AN123" i="2"/>
  <c r="AN154" i="2"/>
  <c r="AN130" i="2"/>
  <c r="AN121" i="2"/>
  <c r="AN107" i="2"/>
  <c r="AN145" i="2"/>
  <c r="AK92" i="2"/>
  <c r="AK90" i="2" s="1"/>
  <c r="AR248" i="3"/>
  <c r="AJ96" i="2"/>
  <c r="AU241" i="3"/>
  <c r="AQ56" i="2"/>
  <c r="AP762" i="2"/>
  <c r="AP25" i="4"/>
  <c r="AO842" i="2"/>
  <c r="AO839" i="2"/>
  <c r="AO836" i="2"/>
  <c r="AO833" i="2"/>
  <c r="AN817" i="2"/>
  <c r="AN814" i="2"/>
  <c r="AO844" i="2"/>
  <c r="AO837" i="2"/>
  <c r="AO840" i="2"/>
  <c r="AN811" i="2"/>
  <c r="AO838" i="2"/>
  <c r="AO834" i="2"/>
  <c r="AN812" i="2"/>
  <c r="AO835" i="2"/>
  <c r="AN816" i="2"/>
  <c r="AN810" i="2"/>
  <c r="AO843" i="2"/>
  <c r="AN815" i="2"/>
  <c r="AN813" i="2"/>
  <c r="AO841" i="2"/>
  <c r="AN807" i="2"/>
  <c r="AN809" i="2"/>
  <c r="AN806" i="2"/>
  <c r="AN808" i="2"/>
  <c r="AI63" i="2"/>
  <c r="D901" i="2" s="1"/>
  <c r="AL64" i="2"/>
  <c r="AL27" i="4" s="1"/>
  <c r="AM57" i="2"/>
  <c r="AM26" i="4" s="1"/>
  <c r="AN781" i="2"/>
  <c r="AN778" i="2"/>
  <c r="AN775" i="2"/>
  <c r="AN772" i="2"/>
  <c r="AN769" i="2"/>
  <c r="AN766" i="2"/>
  <c r="AN780" i="2"/>
  <c r="AN777" i="2"/>
  <c r="AN774" i="2"/>
  <c r="AN771" i="2"/>
  <c r="AN768" i="2"/>
  <c r="AN765" i="2"/>
  <c r="AN782" i="2"/>
  <c r="AN779" i="2"/>
  <c r="AN776" i="2"/>
  <c r="AN773" i="2"/>
  <c r="AN770" i="2"/>
  <c r="AN767" i="2"/>
  <c r="AN764" i="2"/>
  <c r="AN763" i="2"/>
  <c r="AO59" i="2"/>
  <c r="AI70" i="2"/>
  <c r="AM68" i="2"/>
  <c r="AP189" i="2"/>
  <c r="AN330" i="2"/>
  <c r="AN528" i="2"/>
  <c r="AN474" i="2"/>
  <c r="AN339" i="2"/>
  <c r="AN366" i="2"/>
  <c r="AN348" i="2"/>
  <c r="AN375" i="2"/>
  <c r="AN357" i="2"/>
  <c r="AN384" i="2"/>
  <c r="AN321" i="2"/>
  <c r="AM75" i="2"/>
  <c r="AM545" i="2" s="1"/>
  <c r="AN519" i="2"/>
  <c r="AN492" i="2"/>
  <c r="AN465" i="2"/>
  <c r="AN483" i="2"/>
  <c r="AN456" i="2"/>
  <c r="AN510" i="2"/>
  <c r="AN501" i="2"/>
  <c r="AN187" i="2"/>
  <c r="AN188" i="2"/>
  <c r="AN186" i="2"/>
  <c r="AO190" i="2"/>
  <c r="AM663" i="2" l="1"/>
  <c r="AM284" i="2"/>
  <c r="AM664" i="2"/>
  <c r="AM285" i="2"/>
  <c r="AM665" i="2"/>
  <c r="AM286" i="2"/>
  <c r="AN410" i="2"/>
  <c r="AN401" i="2"/>
  <c r="AL163" i="2"/>
  <c r="AP797" i="2"/>
  <c r="AQ824" i="2" s="1"/>
  <c r="AP784" i="2"/>
  <c r="AN702" i="2"/>
  <c r="AN729" i="2"/>
  <c r="AN698" i="2"/>
  <c r="AN725" i="2"/>
  <c r="AN699" i="2"/>
  <c r="AN726" i="2"/>
  <c r="AN701" i="2"/>
  <c r="AN728" i="2"/>
  <c r="AN705" i="2"/>
  <c r="AN732" i="2"/>
  <c r="AN704" i="2"/>
  <c r="AN731" i="2"/>
  <c r="AN703" i="2"/>
  <c r="AN730" i="2"/>
  <c r="AN700" i="2"/>
  <c r="AN727" i="2"/>
  <c r="AN640" i="2"/>
  <c r="AN648" i="2" s="1"/>
  <c r="AN656" i="2"/>
  <c r="AN688" i="2"/>
  <c r="AN680" i="2"/>
  <c r="AN632" i="2"/>
  <c r="AN681" i="2"/>
  <c r="AN689" i="2"/>
  <c r="AN657" i="2"/>
  <c r="AN633" i="2"/>
  <c r="AN641" i="2"/>
  <c r="AN649" i="2" s="1"/>
  <c r="AN433" i="2"/>
  <c r="AN432" i="2"/>
  <c r="AN434" i="2"/>
  <c r="AN436" i="2"/>
  <c r="AN435" i="2"/>
  <c r="AN431" i="2"/>
  <c r="AN429" i="2"/>
  <c r="AN430" i="2"/>
  <c r="AI100" i="2"/>
  <c r="AK96" i="2"/>
  <c r="AK100" i="2" s="1"/>
  <c r="AN205" i="2"/>
  <c r="AN226" i="2"/>
  <c r="AN219" i="2"/>
  <c r="AN240" i="2"/>
  <c r="AN212" i="2"/>
  <c r="AN247" i="2"/>
  <c r="AO246" i="2"/>
  <c r="AO243" i="2"/>
  <c r="AO239" i="2"/>
  <c r="AO236" i="2"/>
  <c r="AO232" i="2"/>
  <c r="AO229" i="2"/>
  <c r="AO225" i="2"/>
  <c r="AO245" i="2"/>
  <c r="AO242" i="2"/>
  <c r="AO238" i="2"/>
  <c r="AO235" i="2"/>
  <c r="AO231" i="2"/>
  <c r="AO228" i="2"/>
  <c r="AO224" i="2"/>
  <c r="AO244" i="2"/>
  <c r="AO241" i="2"/>
  <c r="AO237" i="2"/>
  <c r="AO234" i="2"/>
  <c r="AO230" i="2"/>
  <c r="AO227" i="2"/>
  <c r="AO222" i="2"/>
  <c r="AO218" i="2"/>
  <c r="AO215" i="2"/>
  <c r="AO211" i="2"/>
  <c r="AO208" i="2"/>
  <c r="AO204" i="2"/>
  <c r="AO201" i="2"/>
  <c r="AO197" i="2"/>
  <c r="AO194" i="2"/>
  <c r="AO221" i="2"/>
  <c r="AO217" i="2"/>
  <c r="AO214" i="2"/>
  <c r="AO210" i="2"/>
  <c r="AO207" i="2"/>
  <c r="AO203" i="2"/>
  <c r="AO200" i="2"/>
  <c r="AO196" i="2"/>
  <c r="AO193" i="2"/>
  <c r="AO223" i="2"/>
  <c r="AO220" i="2"/>
  <c r="AO216" i="2"/>
  <c r="AO213" i="2"/>
  <c r="AO209" i="2"/>
  <c r="AO206" i="2"/>
  <c r="AO202" i="2"/>
  <c r="AO199" i="2"/>
  <c r="AO195" i="2"/>
  <c r="AO192" i="2"/>
  <c r="AN191" i="2"/>
  <c r="AN233" i="2"/>
  <c r="AN198" i="2"/>
  <c r="AL93" i="2"/>
  <c r="AM94" i="2"/>
  <c r="AM95" i="2" s="1"/>
  <c r="AN162" i="2"/>
  <c r="AN141" i="2"/>
  <c r="AN120" i="2"/>
  <c r="AN134" i="2"/>
  <c r="AN155" i="2"/>
  <c r="AN113" i="2"/>
  <c r="AN106" i="2"/>
  <c r="AN148" i="2"/>
  <c r="AO161" i="2"/>
  <c r="AO158" i="2"/>
  <c r="AO154" i="2"/>
  <c r="AO151" i="2"/>
  <c r="AO147" i="2"/>
  <c r="AO144" i="2"/>
  <c r="AO140" i="2"/>
  <c r="AO160" i="2"/>
  <c r="AO157" i="2"/>
  <c r="AO153" i="2"/>
  <c r="AO150" i="2"/>
  <c r="AO146" i="2"/>
  <c r="AO143" i="2"/>
  <c r="AO139" i="2"/>
  <c r="AO138" i="2"/>
  <c r="AO135" i="2"/>
  <c r="AO131" i="2"/>
  <c r="AO156" i="2"/>
  <c r="AO149" i="2"/>
  <c r="AO142" i="2"/>
  <c r="AO137" i="2"/>
  <c r="AO119" i="2"/>
  <c r="AO125" i="2"/>
  <c r="AO122" i="2"/>
  <c r="AO132" i="2"/>
  <c r="AO159" i="2"/>
  <c r="AO129" i="2"/>
  <c r="AO136" i="2"/>
  <c r="AO128" i="2"/>
  <c r="AO124" i="2"/>
  <c r="AO121" i="2"/>
  <c r="AO130" i="2"/>
  <c r="AO112" i="2"/>
  <c r="AO133" i="2"/>
  <c r="AO114" i="2"/>
  <c r="AO118" i="2"/>
  <c r="AO117" i="2"/>
  <c r="AO111" i="2"/>
  <c r="AO109" i="2"/>
  <c r="AO110" i="2"/>
  <c r="AO115" i="2"/>
  <c r="AO123" i="2"/>
  <c r="AO116" i="2"/>
  <c r="AO107" i="2"/>
  <c r="AO145" i="2"/>
  <c r="AO108" i="2"/>
  <c r="AO152" i="2"/>
  <c r="AO126" i="2"/>
  <c r="AN127" i="2"/>
  <c r="AS248" i="3"/>
  <c r="AJ100" i="2"/>
  <c r="AV241" i="3"/>
  <c r="AR56" i="2"/>
  <c r="AQ762" i="2"/>
  <c r="AQ25" i="4"/>
  <c r="AP842" i="2"/>
  <c r="AP837" i="2"/>
  <c r="AP844" i="2"/>
  <c r="AP841" i="2"/>
  <c r="AP833" i="2"/>
  <c r="AO814" i="2"/>
  <c r="AP838" i="2"/>
  <c r="AP834" i="2"/>
  <c r="AP839" i="2"/>
  <c r="AO817" i="2"/>
  <c r="AP835" i="2"/>
  <c r="AO816" i="2"/>
  <c r="AO810" i="2"/>
  <c r="AP843" i="2"/>
  <c r="AO815" i="2"/>
  <c r="AO813" i="2"/>
  <c r="AO812" i="2"/>
  <c r="AO811" i="2"/>
  <c r="AO807" i="2"/>
  <c r="AO809" i="2"/>
  <c r="AP836" i="2"/>
  <c r="AO806" i="2"/>
  <c r="AP840" i="2"/>
  <c r="AO808" i="2"/>
  <c r="AI66" i="2"/>
  <c r="F901" i="2" s="1"/>
  <c r="AM64" i="2"/>
  <c r="AM27" i="4" s="1"/>
  <c r="AN57" i="2"/>
  <c r="AN26" i="4" s="1"/>
  <c r="AO781" i="2"/>
  <c r="AO778" i="2"/>
  <c r="AO775" i="2"/>
  <c r="AO772" i="2"/>
  <c r="AO769" i="2"/>
  <c r="AO766" i="2"/>
  <c r="AO780" i="2"/>
  <c r="AO777" i="2"/>
  <c r="AO774" i="2"/>
  <c r="AO771" i="2"/>
  <c r="AO768" i="2"/>
  <c r="AO765" i="2"/>
  <c r="AO782" i="2"/>
  <c r="AO779" i="2"/>
  <c r="AO776" i="2"/>
  <c r="AO773" i="2"/>
  <c r="AO770" i="2"/>
  <c r="AO767" i="2"/>
  <c r="AO764" i="2"/>
  <c r="AO763" i="2"/>
  <c r="AP59" i="2"/>
  <c r="AN68" i="2"/>
  <c r="AQ189" i="2"/>
  <c r="AO330" i="2"/>
  <c r="AO528" i="2"/>
  <c r="AO474" i="2"/>
  <c r="AO348" i="2"/>
  <c r="AO375" i="2"/>
  <c r="AO321" i="2"/>
  <c r="AO357" i="2"/>
  <c r="AO366" i="2"/>
  <c r="AO384" i="2"/>
  <c r="AO339" i="2"/>
  <c r="AN75" i="2"/>
  <c r="AN545" i="2" s="1"/>
  <c r="AO519" i="2"/>
  <c r="AO492" i="2"/>
  <c r="AO465" i="2"/>
  <c r="AO483" i="2"/>
  <c r="AO456" i="2"/>
  <c r="AO501" i="2"/>
  <c r="AO510" i="2"/>
  <c r="AO188" i="2"/>
  <c r="AO187" i="2"/>
  <c r="AO186" i="2"/>
  <c r="AP190" i="2"/>
  <c r="AN665" i="2" l="1"/>
  <c r="AN286" i="2"/>
  <c r="AN664" i="2"/>
  <c r="AN285" i="2"/>
  <c r="AO401" i="2"/>
  <c r="AO410" i="2"/>
  <c r="AL248" i="2"/>
  <c r="AM163" i="2"/>
  <c r="AQ797" i="2"/>
  <c r="AR824" i="2" s="1"/>
  <c r="AQ784" i="2"/>
  <c r="AO700" i="2"/>
  <c r="AO727" i="2"/>
  <c r="AO703" i="2"/>
  <c r="AO730" i="2"/>
  <c r="AO698" i="2"/>
  <c r="AO725" i="2"/>
  <c r="AO699" i="2"/>
  <c r="AO726" i="2"/>
  <c r="AO702" i="2"/>
  <c r="AO729" i="2"/>
  <c r="AO701" i="2"/>
  <c r="AO728" i="2"/>
  <c r="AO705" i="2"/>
  <c r="AO732" i="2"/>
  <c r="AO704" i="2"/>
  <c r="AO731" i="2"/>
  <c r="AO683" i="2"/>
  <c r="AO675" i="2"/>
  <c r="AO635" i="2"/>
  <c r="AO643" i="2" s="1"/>
  <c r="AO651" i="2"/>
  <c r="AO627" i="2"/>
  <c r="AO674" i="2"/>
  <c r="AO682" i="2"/>
  <c r="AO634" i="2"/>
  <c r="AO642" i="2" s="1"/>
  <c r="AO650" i="2"/>
  <c r="AO626" i="2"/>
  <c r="AO436" i="2"/>
  <c r="AO429" i="2"/>
  <c r="AO435" i="2"/>
  <c r="AO430" i="2"/>
  <c r="AO433" i="2"/>
  <c r="AO434" i="2"/>
  <c r="AO432" i="2"/>
  <c r="AO431" i="2"/>
  <c r="AO226" i="2"/>
  <c r="AO233" i="2"/>
  <c r="AO205" i="2"/>
  <c r="AO240" i="2"/>
  <c r="AP246" i="2"/>
  <c r="AP243" i="2"/>
  <c r="AP239" i="2"/>
  <c r="AP236" i="2"/>
  <c r="AP232" i="2"/>
  <c r="AP229" i="2"/>
  <c r="AP225" i="2"/>
  <c r="AP245" i="2"/>
  <c r="AP242" i="2"/>
  <c r="AP238" i="2"/>
  <c r="AP235" i="2"/>
  <c r="AP231" i="2"/>
  <c r="AP228" i="2"/>
  <c r="AP224" i="2"/>
  <c r="AP244" i="2"/>
  <c r="AP241" i="2"/>
  <c r="AP237" i="2"/>
  <c r="AP234" i="2"/>
  <c r="AP230" i="2"/>
  <c r="AP227" i="2"/>
  <c r="AP222" i="2"/>
  <c r="AP218" i="2"/>
  <c r="AP215" i="2"/>
  <c r="AP211" i="2"/>
  <c r="AP208" i="2"/>
  <c r="AP204" i="2"/>
  <c r="AP201" i="2"/>
  <c r="AP197" i="2"/>
  <c r="AP194" i="2"/>
  <c r="AP221" i="2"/>
  <c r="AP217" i="2"/>
  <c r="AP214" i="2"/>
  <c r="AP210" i="2"/>
  <c r="AP207" i="2"/>
  <c r="AP203" i="2"/>
  <c r="AP200" i="2"/>
  <c r="AP196" i="2"/>
  <c r="AP193" i="2"/>
  <c r="AP223" i="2"/>
  <c r="AP220" i="2"/>
  <c r="AP216" i="2"/>
  <c r="AP213" i="2"/>
  <c r="AP209" i="2"/>
  <c r="AP206" i="2"/>
  <c r="AP202" i="2"/>
  <c r="AP199" i="2"/>
  <c r="AP195" i="2"/>
  <c r="AP192" i="2"/>
  <c r="AO212" i="2"/>
  <c r="AO247" i="2"/>
  <c r="AO219" i="2"/>
  <c r="AO191" i="2"/>
  <c r="AO198" i="2"/>
  <c r="AL92" i="2"/>
  <c r="AL90" i="2" s="1"/>
  <c r="AM93" i="2"/>
  <c r="AN94" i="2"/>
  <c r="AN95" i="2" s="1"/>
  <c r="AO162" i="2"/>
  <c r="AO106" i="2"/>
  <c r="AO134" i="2"/>
  <c r="AO141" i="2"/>
  <c r="AP161" i="2"/>
  <c r="AP158" i="2"/>
  <c r="AP154" i="2"/>
  <c r="AP151" i="2"/>
  <c r="AP147" i="2"/>
  <c r="AP144" i="2"/>
  <c r="AP140" i="2"/>
  <c r="AP160" i="2"/>
  <c r="AP157" i="2"/>
  <c r="AP153" i="2"/>
  <c r="AP150" i="2"/>
  <c r="AP146" i="2"/>
  <c r="AP143" i="2"/>
  <c r="AP139" i="2"/>
  <c r="AP138" i="2"/>
  <c r="AP135" i="2"/>
  <c r="AP131" i="2"/>
  <c r="AP156" i="2"/>
  <c r="AP149" i="2"/>
  <c r="AP142" i="2"/>
  <c r="AP137" i="2"/>
  <c r="AP125" i="2"/>
  <c r="AP122" i="2"/>
  <c r="AP132" i="2"/>
  <c r="AP159" i="2"/>
  <c r="AP129" i="2"/>
  <c r="AP118" i="2"/>
  <c r="AP115" i="2"/>
  <c r="AP110" i="2"/>
  <c r="AP107" i="2"/>
  <c r="AP136" i="2"/>
  <c r="AP128" i="2"/>
  <c r="AP124" i="2"/>
  <c r="AP111" i="2"/>
  <c r="AP119" i="2"/>
  <c r="AP109" i="2"/>
  <c r="AP145" i="2"/>
  <c r="AP116" i="2"/>
  <c r="AP112" i="2"/>
  <c r="AP133" i="2"/>
  <c r="AP123" i="2"/>
  <c r="AP114" i="2"/>
  <c r="AP108" i="2"/>
  <c r="AP130" i="2"/>
  <c r="AP121" i="2"/>
  <c r="AP117" i="2"/>
  <c r="AP152" i="2"/>
  <c r="AP126" i="2"/>
  <c r="AO120" i="2"/>
  <c r="AO148" i="2"/>
  <c r="AO155" i="2"/>
  <c r="AO113" i="2"/>
  <c r="AO127" i="2"/>
  <c r="AT248" i="3"/>
  <c r="AN93" i="2"/>
  <c r="AW241" i="3"/>
  <c r="AS56" i="2"/>
  <c r="AR762" i="2"/>
  <c r="AR25" i="4"/>
  <c r="AQ842" i="2"/>
  <c r="AQ839" i="2"/>
  <c r="AQ836" i="2"/>
  <c r="AQ833" i="2"/>
  <c r="AQ837" i="2"/>
  <c r="AQ841" i="2"/>
  <c r="AQ838" i="2"/>
  <c r="AP817" i="2"/>
  <c r="AP814" i="2"/>
  <c r="AP812" i="2"/>
  <c r="AQ844" i="2"/>
  <c r="AP810" i="2"/>
  <c r="AQ843" i="2"/>
  <c r="AP815" i="2"/>
  <c r="AP813" i="2"/>
  <c r="AP816" i="2"/>
  <c r="AQ834" i="2"/>
  <c r="AP807" i="2"/>
  <c r="AQ835" i="2"/>
  <c r="AP809" i="2"/>
  <c r="AP806" i="2"/>
  <c r="AQ840" i="2"/>
  <c r="AP808" i="2"/>
  <c r="AP811" i="2"/>
  <c r="AO57" i="2"/>
  <c r="AO26" i="4" s="1"/>
  <c r="AN64" i="2"/>
  <c r="AN27" i="4" s="1"/>
  <c r="AP780" i="2"/>
  <c r="AP777" i="2"/>
  <c r="AP774" i="2"/>
  <c r="AP771" i="2"/>
  <c r="AP768" i="2"/>
  <c r="AP765" i="2"/>
  <c r="AP782" i="2"/>
  <c r="AP779" i="2"/>
  <c r="AP776" i="2"/>
  <c r="AP773" i="2"/>
  <c r="AP770" i="2"/>
  <c r="AP767" i="2"/>
  <c r="AP764" i="2"/>
  <c r="AP781" i="2"/>
  <c r="AP763" i="2"/>
  <c r="AP778" i="2"/>
  <c r="AP775" i="2"/>
  <c r="AP772" i="2"/>
  <c r="AP769" i="2"/>
  <c r="AP766" i="2"/>
  <c r="AQ59" i="2"/>
  <c r="AO68" i="2"/>
  <c r="AR189" i="2"/>
  <c r="AP330" i="2"/>
  <c r="AP528" i="2"/>
  <c r="AP474" i="2"/>
  <c r="AP375" i="2"/>
  <c r="AP384" i="2"/>
  <c r="AP321" i="2"/>
  <c r="AP348" i="2"/>
  <c r="AP357" i="2"/>
  <c r="AP366" i="2"/>
  <c r="AP339" i="2"/>
  <c r="AO75" i="2"/>
  <c r="AP519" i="2"/>
  <c r="AP492" i="2"/>
  <c r="AP465" i="2"/>
  <c r="AP510" i="2"/>
  <c r="AP501" i="2"/>
  <c r="AP456" i="2"/>
  <c r="AP483" i="2"/>
  <c r="AP187" i="2"/>
  <c r="AP188" i="2"/>
  <c r="AP186" i="2"/>
  <c r="AQ190" i="2"/>
  <c r="AO658" i="2" l="1"/>
  <c r="AO279" i="2"/>
  <c r="AO659" i="2"/>
  <c r="AO280" i="2"/>
  <c r="AP410" i="2"/>
  <c r="AP401" i="2"/>
  <c r="AM248" i="2"/>
  <c r="AN248" i="2"/>
  <c r="AN163" i="2"/>
  <c r="AR797" i="2"/>
  <c r="AS824" i="2" s="1"/>
  <c r="AR784" i="2"/>
  <c r="AP702" i="2"/>
  <c r="AP729" i="2"/>
  <c r="AP703" i="2"/>
  <c r="AP730" i="2"/>
  <c r="AP698" i="2"/>
  <c r="AP725" i="2"/>
  <c r="AP705" i="2"/>
  <c r="AP732" i="2"/>
  <c r="AP699" i="2"/>
  <c r="AP726" i="2"/>
  <c r="AP701" i="2"/>
  <c r="AP728" i="2"/>
  <c r="AP704" i="2"/>
  <c r="AP731" i="2"/>
  <c r="AP700" i="2"/>
  <c r="AP727" i="2"/>
  <c r="AP652" i="2"/>
  <c r="AP676" i="2"/>
  <c r="AP636" i="2"/>
  <c r="AP644" i="2" s="1"/>
  <c r="AP684" i="2"/>
  <c r="AP628" i="2"/>
  <c r="AP682" i="2"/>
  <c r="AP626" i="2"/>
  <c r="AP674" i="2"/>
  <c r="AP634" i="2"/>
  <c r="AP642" i="2" s="1"/>
  <c r="AP650" i="2"/>
  <c r="AP683" i="2"/>
  <c r="AP675" i="2"/>
  <c r="AP635" i="2"/>
  <c r="AP643" i="2" s="1"/>
  <c r="AP651" i="2"/>
  <c r="AP627" i="2"/>
  <c r="AP429" i="2"/>
  <c r="AP431" i="2"/>
  <c r="AP435" i="2"/>
  <c r="AP434" i="2"/>
  <c r="AP432" i="2"/>
  <c r="AP436" i="2"/>
  <c r="AP430" i="2"/>
  <c r="AP433" i="2"/>
  <c r="AC76" i="2"/>
  <c r="AO545" i="2"/>
  <c r="AP198" i="2"/>
  <c r="AP205" i="2"/>
  <c r="AP191" i="2"/>
  <c r="AP226" i="2"/>
  <c r="AP233" i="2"/>
  <c r="AP219" i="2"/>
  <c r="AP240" i="2"/>
  <c r="AQ245" i="2"/>
  <c r="AQ242" i="2"/>
  <c r="AQ238" i="2"/>
  <c r="AQ235" i="2"/>
  <c r="AQ231" i="2"/>
  <c r="AQ228" i="2"/>
  <c r="AQ224" i="2"/>
  <c r="AQ244" i="2"/>
  <c r="AQ241" i="2"/>
  <c r="AQ237" i="2"/>
  <c r="AQ234" i="2"/>
  <c r="AQ230" i="2"/>
  <c r="AQ227" i="2"/>
  <c r="AQ246" i="2"/>
  <c r="AQ243" i="2"/>
  <c r="AQ239" i="2"/>
  <c r="AQ236" i="2"/>
  <c r="AQ232" i="2"/>
  <c r="AQ229" i="2"/>
  <c r="AQ225" i="2"/>
  <c r="AQ221" i="2"/>
  <c r="AQ217" i="2"/>
  <c r="AQ214" i="2"/>
  <c r="AQ210" i="2"/>
  <c r="AQ207" i="2"/>
  <c r="AQ203" i="2"/>
  <c r="AQ200" i="2"/>
  <c r="AQ196" i="2"/>
  <c r="AQ193" i="2"/>
  <c r="AQ223" i="2"/>
  <c r="AQ220" i="2"/>
  <c r="AQ216" i="2"/>
  <c r="AQ213" i="2"/>
  <c r="AQ209" i="2"/>
  <c r="AQ206" i="2"/>
  <c r="AQ202" i="2"/>
  <c r="AQ199" i="2"/>
  <c r="AQ195" i="2"/>
  <c r="AQ192" i="2"/>
  <c r="AQ222" i="2"/>
  <c r="AQ218" i="2"/>
  <c r="AQ215" i="2"/>
  <c r="AQ211" i="2"/>
  <c r="AQ208" i="2"/>
  <c r="AQ204" i="2"/>
  <c r="AQ201" i="2"/>
  <c r="AQ197" i="2"/>
  <c r="AQ194" i="2"/>
  <c r="AP212" i="2"/>
  <c r="AL96" i="2"/>
  <c r="AP247" i="2"/>
  <c r="AM92" i="2"/>
  <c r="AM90" i="2" s="1"/>
  <c r="AM96" i="2" s="1"/>
  <c r="AO94" i="2"/>
  <c r="AO95" i="2" s="1"/>
  <c r="AP148" i="2"/>
  <c r="AP113" i="2"/>
  <c r="AP162" i="2"/>
  <c r="AP155" i="2"/>
  <c r="AP134" i="2"/>
  <c r="AP106" i="2"/>
  <c r="AQ159" i="2"/>
  <c r="AQ156" i="2"/>
  <c r="AQ152" i="2"/>
  <c r="AQ149" i="2"/>
  <c r="AQ157" i="2"/>
  <c r="AQ150" i="2"/>
  <c r="AQ146" i="2"/>
  <c r="AQ142" i="2"/>
  <c r="AQ144" i="2"/>
  <c r="AQ139" i="2"/>
  <c r="AQ137" i="2"/>
  <c r="AQ133" i="2"/>
  <c r="AQ130" i="2"/>
  <c r="AQ161" i="2"/>
  <c r="AQ154" i="2"/>
  <c r="AQ132" i="2"/>
  <c r="AQ160" i="2"/>
  <c r="AQ147" i="2"/>
  <c r="AQ129" i="2"/>
  <c r="AQ143" i="2"/>
  <c r="AQ136" i="2"/>
  <c r="AQ128" i="2"/>
  <c r="AQ124" i="2"/>
  <c r="AQ121" i="2"/>
  <c r="AQ131" i="2"/>
  <c r="AQ158" i="2"/>
  <c r="AQ126" i="2"/>
  <c r="AQ108" i="2"/>
  <c r="AQ125" i="2"/>
  <c r="AQ119" i="2"/>
  <c r="AQ109" i="2"/>
  <c r="AQ145" i="2"/>
  <c r="AQ116" i="2"/>
  <c r="AQ153" i="2"/>
  <c r="AQ135" i="2"/>
  <c r="AQ123" i="2"/>
  <c r="AQ140" i="2"/>
  <c r="AQ114" i="2"/>
  <c r="AQ115" i="2"/>
  <c r="AQ151" i="2"/>
  <c r="AQ111" i="2"/>
  <c r="AQ107" i="2"/>
  <c r="AQ117" i="2"/>
  <c r="AQ138" i="2"/>
  <c r="AQ112" i="2"/>
  <c r="AQ122" i="2"/>
  <c r="AQ118" i="2"/>
  <c r="AQ110" i="2"/>
  <c r="AP120" i="2"/>
  <c r="AP127" i="2"/>
  <c r="AP141" i="2"/>
  <c r="AN92" i="2"/>
  <c r="AN90" i="2" s="1"/>
  <c r="AO93" i="2"/>
  <c r="AU248" i="3"/>
  <c r="AX241" i="3"/>
  <c r="AR842" i="2"/>
  <c r="AR837" i="2"/>
  <c r="AR840" i="2"/>
  <c r="AR835" i="2"/>
  <c r="AR838" i="2"/>
  <c r="AR833" i="2"/>
  <c r="AQ816" i="2"/>
  <c r="AQ813" i="2"/>
  <c r="AQ810" i="2"/>
  <c r="AQ807" i="2"/>
  <c r="AQ817" i="2"/>
  <c r="AR839" i="2"/>
  <c r="AQ812" i="2"/>
  <c r="AR836" i="2"/>
  <c r="AR843" i="2"/>
  <c r="AQ815" i="2"/>
  <c r="AQ814" i="2"/>
  <c r="AR834" i="2"/>
  <c r="AQ806" i="2"/>
  <c r="AR841" i="2"/>
  <c r="AQ809" i="2"/>
  <c r="AQ808" i="2"/>
  <c r="AR844" i="2"/>
  <c r="AQ811" i="2"/>
  <c r="AT56" i="2"/>
  <c r="AS762" i="2"/>
  <c r="AS25" i="4"/>
  <c r="AP57" i="2"/>
  <c r="AP26" i="4" s="1"/>
  <c r="AC58" i="2"/>
  <c r="C934" i="2" s="1"/>
  <c r="AO64" i="2"/>
  <c r="AO27" i="4" s="1"/>
  <c r="AQ782" i="2"/>
  <c r="AQ779" i="2"/>
  <c r="AQ776" i="2"/>
  <c r="AQ773" i="2"/>
  <c r="AQ770" i="2"/>
  <c r="AQ767" i="2"/>
  <c r="AQ764" i="2"/>
  <c r="AQ781" i="2"/>
  <c r="AQ778" i="2"/>
  <c r="AQ775" i="2"/>
  <c r="AQ772" i="2"/>
  <c r="AQ769" i="2"/>
  <c r="AQ766" i="2"/>
  <c r="AQ763" i="2"/>
  <c r="AQ777" i="2"/>
  <c r="AQ774" i="2"/>
  <c r="AQ771" i="2"/>
  <c r="AQ768" i="2"/>
  <c r="AQ765" i="2"/>
  <c r="AQ780" i="2"/>
  <c r="AR59" i="2"/>
  <c r="AS189" i="2"/>
  <c r="AQ330" i="2"/>
  <c r="AQ528" i="2"/>
  <c r="AQ474" i="2"/>
  <c r="AQ321" i="2"/>
  <c r="AQ348" i="2"/>
  <c r="AQ375" i="2"/>
  <c r="AQ384" i="2"/>
  <c r="AQ357" i="2"/>
  <c r="AQ366" i="2"/>
  <c r="AQ339" i="2"/>
  <c r="AP75" i="2"/>
  <c r="AQ510" i="2"/>
  <c r="AQ483" i="2"/>
  <c r="AQ456" i="2"/>
  <c r="AQ519" i="2"/>
  <c r="AQ501" i="2"/>
  <c r="AQ492" i="2"/>
  <c r="AQ465" i="2"/>
  <c r="AQ187" i="2"/>
  <c r="AQ188" i="2"/>
  <c r="AQ186" i="2"/>
  <c r="AR190" i="2"/>
  <c r="AP659" i="2" l="1"/>
  <c r="AP280" i="2"/>
  <c r="AP660" i="2"/>
  <c r="AP281" i="2"/>
  <c r="AQ401" i="2"/>
  <c r="AP658" i="2"/>
  <c r="AP279" i="2"/>
  <c r="AQ410" i="2"/>
  <c r="AO163" i="2"/>
  <c r="AO248" i="2"/>
  <c r="AS797" i="2"/>
  <c r="AT824" i="2" s="1"/>
  <c r="AS784" i="2"/>
  <c r="AQ700" i="2"/>
  <c r="AQ727" i="2"/>
  <c r="AQ702" i="2"/>
  <c r="AQ729" i="2"/>
  <c r="AQ699" i="2"/>
  <c r="AQ726" i="2"/>
  <c r="AQ705" i="2"/>
  <c r="AQ732" i="2"/>
  <c r="AQ698" i="2"/>
  <c r="AQ725" i="2"/>
  <c r="AQ701" i="2"/>
  <c r="AQ728" i="2"/>
  <c r="AQ704" i="2"/>
  <c r="AQ731" i="2"/>
  <c r="AQ703" i="2"/>
  <c r="AQ730" i="2"/>
  <c r="AQ680" i="2"/>
  <c r="AQ656" i="2"/>
  <c r="AQ632" i="2"/>
  <c r="AQ688" i="2"/>
  <c r="AQ640" i="2"/>
  <c r="AQ648" i="2" s="1"/>
  <c r="AQ679" i="2"/>
  <c r="AQ687" i="2"/>
  <c r="AQ639" i="2"/>
  <c r="AQ647" i="2" s="1"/>
  <c r="AQ655" i="2"/>
  <c r="AQ631" i="2"/>
  <c r="AQ681" i="2"/>
  <c r="AQ689" i="2"/>
  <c r="AQ657" i="2"/>
  <c r="AQ633" i="2"/>
  <c r="AQ641" i="2"/>
  <c r="AQ649" i="2" s="1"/>
  <c r="AQ435" i="2"/>
  <c r="AQ429" i="2"/>
  <c r="AQ432" i="2"/>
  <c r="AQ431" i="2"/>
  <c r="AQ430" i="2"/>
  <c r="AQ434" i="2"/>
  <c r="AQ433" i="2"/>
  <c r="AQ436" i="2"/>
  <c r="AM77" i="2"/>
  <c r="AP545" i="2"/>
  <c r="AI102" i="2"/>
  <c r="AL100" i="2"/>
  <c r="AQ191" i="2"/>
  <c r="AQ198" i="2"/>
  <c r="AQ226" i="2"/>
  <c r="AQ240" i="2"/>
  <c r="AQ205" i="2"/>
  <c r="AQ219" i="2"/>
  <c r="AQ212" i="2"/>
  <c r="AQ247" i="2"/>
  <c r="AR245" i="2"/>
  <c r="AR242" i="2"/>
  <c r="AR238" i="2"/>
  <c r="AR235" i="2"/>
  <c r="AR231" i="2"/>
  <c r="AR228" i="2"/>
  <c r="AR224" i="2"/>
  <c r="AR244" i="2"/>
  <c r="AR241" i="2"/>
  <c r="AR237" i="2"/>
  <c r="AR234" i="2"/>
  <c r="AR230" i="2"/>
  <c r="AR227" i="2"/>
  <c r="AR246" i="2"/>
  <c r="AR243" i="2"/>
  <c r="AR239" i="2"/>
  <c r="AR236" i="2"/>
  <c r="AR232" i="2"/>
  <c r="AR229" i="2"/>
  <c r="AR225" i="2"/>
  <c r="AR221" i="2"/>
  <c r="AR217" i="2"/>
  <c r="AR214" i="2"/>
  <c r="AR210" i="2"/>
  <c r="AR207" i="2"/>
  <c r="AR203" i="2"/>
  <c r="AR200" i="2"/>
  <c r="AR196" i="2"/>
  <c r="AR193" i="2"/>
  <c r="AR223" i="2"/>
  <c r="AR220" i="2"/>
  <c r="AR216" i="2"/>
  <c r="AR213" i="2"/>
  <c r="AR209" i="2"/>
  <c r="AR206" i="2"/>
  <c r="AR202" i="2"/>
  <c r="AR199" i="2"/>
  <c r="AR195" i="2"/>
  <c r="AR192" i="2"/>
  <c r="AR222" i="2"/>
  <c r="AR218" i="2"/>
  <c r="AR215" i="2"/>
  <c r="AR211" i="2"/>
  <c r="AR208" i="2"/>
  <c r="AR204" i="2"/>
  <c r="AR201" i="2"/>
  <c r="AR197" i="2"/>
  <c r="AR194" i="2"/>
  <c r="AQ233" i="2"/>
  <c r="AP94" i="2"/>
  <c r="AP95" i="2" s="1"/>
  <c r="AQ162" i="2"/>
  <c r="AQ113" i="2"/>
  <c r="AQ127" i="2"/>
  <c r="AQ148" i="2"/>
  <c r="AQ106" i="2"/>
  <c r="AR159" i="2"/>
  <c r="AR156" i="2"/>
  <c r="AR152" i="2"/>
  <c r="AR149" i="2"/>
  <c r="AR145" i="2"/>
  <c r="AR142" i="2"/>
  <c r="AR157" i="2"/>
  <c r="AR150" i="2"/>
  <c r="AR146" i="2"/>
  <c r="AR144" i="2"/>
  <c r="AR139" i="2"/>
  <c r="AR137" i="2"/>
  <c r="AR161" i="2"/>
  <c r="AR154" i="2"/>
  <c r="AR160" i="2"/>
  <c r="AR147" i="2"/>
  <c r="AR129" i="2"/>
  <c r="AR143" i="2"/>
  <c r="AR118" i="2"/>
  <c r="AR115" i="2"/>
  <c r="AR110" i="2"/>
  <c r="AR107" i="2"/>
  <c r="AR136" i="2"/>
  <c r="AR128" i="2"/>
  <c r="AR124" i="2"/>
  <c r="AR121" i="2"/>
  <c r="AR131" i="2"/>
  <c r="AR158" i="2"/>
  <c r="AR130" i="2"/>
  <c r="AR117" i="2"/>
  <c r="AR112" i="2"/>
  <c r="AR125" i="2"/>
  <c r="AR119" i="2"/>
  <c r="AR109" i="2"/>
  <c r="AR116" i="2"/>
  <c r="AR153" i="2"/>
  <c r="AR135" i="2"/>
  <c r="AR123" i="2"/>
  <c r="AR133" i="2"/>
  <c r="AR132" i="2"/>
  <c r="AR140" i="2"/>
  <c r="AR108" i="2"/>
  <c r="AR111" i="2"/>
  <c r="AR126" i="2"/>
  <c r="AR122" i="2"/>
  <c r="AR151" i="2"/>
  <c r="AR138" i="2"/>
  <c r="AQ141" i="2"/>
  <c r="AQ155" i="2"/>
  <c r="AQ120" i="2"/>
  <c r="AQ134" i="2"/>
  <c r="AO92" i="2"/>
  <c r="AO90" i="2" s="1"/>
  <c r="AO96" i="2" s="1"/>
  <c r="AN96" i="2"/>
  <c r="AM100" i="2"/>
  <c r="AP93" i="2"/>
  <c r="AV248" i="3"/>
  <c r="AY241" i="3"/>
  <c r="AU56" i="2"/>
  <c r="AT762" i="2"/>
  <c r="AT25" i="4"/>
  <c r="AS844" i="2"/>
  <c r="AS841" i="2"/>
  <c r="AS838" i="2"/>
  <c r="AS835" i="2"/>
  <c r="AS840" i="2"/>
  <c r="AR816" i="2"/>
  <c r="AS833" i="2"/>
  <c r="AR812" i="2"/>
  <c r="AS836" i="2"/>
  <c r="AS837" i="2"/>
  <c r="AR809" i="2"/>
  <c r="AR815" i="2"/>
  <c r="AR813" i="2"/>
  <c r="AS843" i="2"/>
  <c r="AR810" i="2"/>
  <c r="AS839" i="2"/>
  <c r="AR814" i="2"/>
  <c r="AS834" i="2"/>
  <c r="AR806" i="2"/>
  <c r="AS842" i="2"/>
  <c r="AR817" i="2"/>
  <c r="AR808" i="2"/>
  <c r="AR807" i="2"/>
  <c r="AR811" i="2"/>
  <c r="AM63" i="2"/>
  <c r="D902" i="2" s="1"/>
  <c r="AQ57" i="2"/>
  <c r="AQ26" i="4" s="1"/>
  <c r="AR780" i="2"/>
  <c r="AR777" i="2"/>
  <c r="AR774" i="2"/>
  <c r="AR771" i="2"/>
  <c r="AR768" i="2"/>
  <c r="AR765" i="2"/>
  <c r="AR782" i="2"/>
  <c r="AR779" i="2"/>
  <c r="AR776" i="2"/>
  <c r="AR773" i="2"/>
  <c r="AR770" i="2"/>
  <c r="AR767" i="2"/>
  <c r="AR764" i="2"/>
  <c r="AR781" i="2"/>
  <c r="AR778" i="2"/>
  <c r="AR775" i="2"/>
  <c r="AR772" i="2"/>
  <c r="AR769" i="2"/>
  <c r="AR766" i="2"/>
  <c r="AR763" i="2"/>
  <c r="AS59" i="2"/>
  <c r="AQ68" i="2"/>
  <c r="AT189" i="2"/>
  <c r="AR330" i="2"/>
  <c r="AR528" i="2"/>
  <c r="AR474" i="2"/>
  <c r="AR348" i="2"/>
  <c r="AR375" i="2"/>
  <c r="AR357" i="2"/>
  <c r="AR384" i="2"/>
  <c r="AR321" i="2"/>
  <c r="AR339" i="2"/>
  <c r="AR366" i="2"/>
  <c r="AQ75" i="2"/>
  <c r="AQ545" i="2" s="1"/>
  <c r="AR510" i="2"/>
  <c r="AR483" i="2"/>
  <c r="AR456" i="2"/>
  <c r="AR519" i="2"/>
  <c r="AR501" i="2"/>
  <c r="AR492" i="2"/>
  <c r="AR465" i="2"/>
  <c r="AR187" i="2"/>
  <c r="AR188" i="2"/>
  <c r="AR186" i="2"/>
  <c r="AS190" i="2"/>
  <c r="AQ665" i="2" l="1"/>
  <c r="AQ286" i="2"/>
  <c r="AR410" i="2"/>
  <c r="AQ664" i="2"/>
  <c r="AQ285" i="2"/>
  <c r="AQ663" i="2"/>
  <c r="AQ284" i="2"/>
  <c r="AR401" i="2"/>
  <c r="AP248" i="2"/>
  <c r="AP163" i="2"/>
  <c r="AT797" i="2"/>
  <c r="AU824" i="2" s="1"/>
  <c r="AT784" i="2"/>
  <c r="AR701" i="2"/>
  <c r="AR728" i="2"/>
  <c r="AR700" i="2"/>
  <c r="AR727" i="2"/>
  <c r="AR703" i="2"/>
  <c r="AR730" i="2"/>
  <c r="AR699" i="2"/>
  <c r="AR726" i="2"/>
  <c r="AR702" i="2"/>
  <c r="AR729" i="2"/>
  <c r="AR698" i="2"/>
  <c r="AR725" i="2"/>
  <c r="AR704" i="2"/>
  <c r="AR731" i="2"/>
  <c r="AR705" i="2"/>
  <c r="AR732" i="2"/>
  <c r="AR689" i="2"/>
  <c r="AR681" i="2"/>
  <c r="AR657" i="2"/>
  <c r="AR641" i="2"/>
  <c r="AR649" i="2" s="1"/>
  <c r="AR633" i="2"/>
  <c r="AR682" i="2"/>
  <c r="AR634" i="2"/>
  <c r="AR642" i="2" s="1"/>
  <c r="AR674" i="2"/>
  <c r="AR650" i="2"/>
  <c r="AR626" i="2"/>
  <c r="AR680" i="2"/>
  <c r="AR656" i="2"/>
  <c r="AR632" i="2"/>
  <c r="AR640" i="2"/>
  <c r="AR648" i="2" s="1"/>
  <c r="AR688" i="2"/>
  <c r="AR436" i="2"/>
  <c r="AR434" i="2"/>
  <c r="AR433" i="2"/>
  <c r="AR430" i="2"/>
  <c r="AR429" i="2"/>
  <c r="AR432" i="2"/>
  <c r="AR435" i="2"/>
  <c r="AR431" i="2"/>
  <c r="AR219" i="2"/>
  <c r="AR240" i="2"/>
  <c r="AR198" i="2"/>
  <c r="AR205" i="2"/>
  <c r="AR233" i="2"/>
  <c r="AR247" i="2"/>
  <c r="AR212" i="2"/>
  <c r="AR191" i="2"/>
  <c r="AS245" i="2"/>
  <c r="AS242" i="2"/>
  <c r="AS238" i="2"/>
  <c r="AS235" i="2"/>
  <c r="AS231" i="2"/>
  <c r="AS228" i="2"/>
  <c r="AS224" i="2"/>
  <c r="AS244" i="2"/>
  <c r="AS241" i="2"/>
  <c r="AS237" i="2"/>
  <c r="AS234" i="2"/>
  <c r="AS230" i="2"/>
  <c r="AS227" i="2"/>
  <c r="AS246" i="2"/>
  <c r="AS243" i="2"/>
  <c r="AS239" i="2"/>
  <c r="AS236" i="2"/>
  <c r="AS232" i="2"/>
  <c r="AS229" i="2"/>
  <c r="AS225" i="2"/>
  <c r="AS221" i="2"/>
  <c r="AS217" i="2"/>
  <c r="AS214" i="2"/>
  <c r="AS210" i="2"/>
  <c r="AS207" i="2"/>
  <c r="AS203" i="2"/>
  <c r="AS200" i="2"/>
  <c r="AS196" i="2"/>
  <c r="AS193" i="2"/>
  <c r="AS223" i="2"/>
  <c r="AS220" i="2"/>
  <c r="AS216" i="2"/>
  <c r="AS213" i="2"/>
  <c r="AS209" i="2"/>
  <c r="AS206" i="2"/>
  <c r="AS202" i="2"/>
  <c r="AS199" i="2"/>
  <c r="AS195" i="2"/>
  <c r="AS192" i="2"/>
  <c r="AS222" i="2"/>
  <c r="AS218" i="2"/>
  <c r="AS215" i="2"/>
  <c r="AS211" i="2"/>
  <c r="AS208" i="2"/>
  <c r="AS204" i="2"/>
  <c r="AS201" i="2"/>
  <c r="AS197" i="2"/>
  <c r="AS194" i="2"/>
  <c r="AR226" i="2"/>
  <c r="AQ94" i="2"/>
  <c r="AQ95" i="2" s="1"/>
  <c r="AR162" i="2"/>
  <c r="AR113" i="2"/>
  <c r="AR106" i="2"/>
  <c r="AR155" i="2"/>
  <c r="AR120" i="2"/>
  <c r="AR141" i="2"/>
  <c r="AR148" i="2"/>
  <c r="AS160" i="2"/>
  <c r="AS157" i="2"/>
  <c r="AS153" i="2"/>
  <c r="AS150" i="2"/>
  <c r="AS146" i="2"/>
  <c r="AS143" i="2"/>
  <c r="AS139" i="2"/>
  <c r="AS159" i="2"/>
  <c r="AS156" i="2"/>
  <c r="AS152" i="2"/>
  <c r="AS149" i="2"/>
  <c r="AS145" i="2"/>
  <c r="AS142" i="2"/>
  <c r="AS144" i="2"/>
  <c r="AS137" i="2"/>
  <c r="AS133" i="2"/>
  <c r="AS130" i="2"/>
  <c r="AS161" i="2"/>
  <c r="AS154" i="2"/>
  <c r="AS147" i="2"/>
  <c r="AS118" i="2"/>
  <c r="AS136" i="2"/>
  <c r="AS128" i="2"/>
  <c r="AS124" i="2"/>
  <c r="AS121" i="2"/>
  <c r="AS131" i="2"/>
  <c r="AS158" i="2"/>
  <c r="AS135" i="2"/>
  <c r="AS126" i="2"/>
  <c r="AS123" i="2"/>
  <c r="AS140" i="2"/>
  <c r="AS117" i="2"/>
  <c r="AS111" i="2"/>
  <c r="AS116" i="2"/>
  <c r="AS107" i="2"/>
  <c r="AS109" i="2"/>
  <c r="AS108" i="2"/>
  <c r="AS138" i="2"/>
  <c r="AS119" i="2"/>
  <c r="AS112" i="2"/>
  <c r="AS110" i="2"/>
  <c r="AS132" i="2"/>
  <c r="AS115" i="2"/>
  <c r="AS122" i="2"/>
  <c r="AS129" i="2"/>
  <c r="AS114" i="2"/>
  <c r="AS151" i="2"/>
  <c r="AS125" i="2"/>
  <c r="AR127" i="2"/>
  <c r="AR134" i="2"/>
  <c r="AP92" i="2"/>
  <c r="AP90" i="2" s="1"/>
  <c r="AN100" i="2"/>
  <c r="AO100" i="2"/>
  <c r="AW248" i="3"/>
  <c r="AC101" i="2"/>
  <c r="AQ93" i="2"/>
  <c r="AZ241" i="3"/>
  <c r="AV56" i="2"/>
  <c r="AU762" i="2"/>
  <c r="AU25" i="4"/>
  <c r="AT840" i="2"/>
  <c r="AT843" i="2"/>
  <c r="AT844" i="2"/>
  <c r="AT836" i="2"/>
  <c r="AS815" i="2"/>
  <c r="AT837" i="2"/>
  <c r="AT835" i="2"/>
  <c r="AS816" i="2"/>
  <c r="AS806" i="2"/>
  <c r="AT833" i="2"/>
  <c r="AS813" i="2"/>
  <c r="AS810" i="2"/>
  <c r="AT839" i="2"/>
  <c r="AS814" i="2"/>
  <c r="AT838" i="2"/>
  <c r="AT834" i="2"/>
  <c r="AT842" i="2"/>
  <c r="AS817" i="2"/>
  <c r="AS812" i="2"/>
  <c r="AS808" i="2"/>
  <c r="AS807" i="2"/>
  <c r="AT841" i="2"/>
  <c r="AS809" i="2"/>
  <c r="AS811" i="2"/>
  <c r="AQ64" i="2"/>
  <c r="AQ27" i="4" s="1"/>
  <c r="AR57" i="2"/>
  <c r="AR26" i="4" s="1"/>
  <c r="AS780" i="2"/>
  <c r="AS777" i="2"/>
  <c r="AS774" i="2"/>
  <c r="AS771" i="2"/>
  <c r="AS768" i="2"/>
  <c r="AS765" i="2"/>
  <c r="AS782" i="2"/>
  <c r="AS779" i="2"/>
  <c r="AS776" i="2"/>
  <c r="AS773" i="2"/>
  <c r="AS770" i="2"/>
  <c r="AS767" i="2"/>
  <c r="AS764" i="2"/>
  <c r="AS781" i="2"/>
  <c r="AS778" i="2"/>
  <c r="AS775" i="2"/>
  <c r="AS772" i="2"/>
  <c r="AS769" i="2"/>
  <c r="AS766" i="2"/>
  <c r="AS763" i="2"/>
  <c r="AT59" i="2"/>
  <c r="AR68" i="2"/>
  <c r="AU189" i="2"/>
  <c r="AS330" i="2"/>
  <c r="AS528" i="2"/>
  <c r="AS474" i="2"/>
  <c r="AS321" i="2"/>
  <c r="AS357" i="2"/>
  <c r="AS384" i="2"/>
  <c r="AS339" i="2"/>
  <c r="AS348" i="2"/>
  <c r="AS366" i="2"/>
  <c r="AS375" i="2"/>
  <c r="AR75" i="2"/>
  <c r="AR545" i="2" s="1"/>
  <c r="AS510" i="2"/>
  <c r="AS483" i="2"/>
  <c r="AS456" i="2"/>
  <c r="AS519" i="2"/>
  <c r="AS501" i="2"/>
  <c r="AS492" i="2"/>
  <c r="AS465" i="2"/>
  <c r="AS187" i="2"/>
  <c r="AS188" i="2"/>
  <c r="AS186" i="2"/>
  <c r="AT190" i="2"/>
  <c r="AR664" i="2" l="1"/>
  <c r="AR285" i="2"/>
  <c r="AR665" i="2"/>
  <c r="AR286" i="2"/>
  <c r="AR658" i="2"/>
  <c r="AR279" i="2"/>
  <c r="AS401" i="2"/>
  <c r="AS410" i="2"/>
  <c r="AQ248" i="2"/>
  <c r="AQ163" i="2"/>
  <c r="AU797" i="2"/>
  <c r="AV824" i="2" s="1"/>
  <c r="AU784" i="2"/>
  <c r="AS703" i="2"/>
  <c r="AS730" i="2"/>
  <c r="AS699" i="2"/>
  <c r="AS726" i="2"/>
  <c r="AS698" i="2"/>
  <c r="AS725" i="2"/>
  <c r="AS701" i="2"/>
  <c r="AS728" i="2"/>
  <c r="AS704" i="2"/>
  <c r="AS731" i="2"/>
  <c r="AS700" i="2"/>
  <c r="AS727" i="2"/>
  <c r="AS702" i="2"/>
  <c r="AS729" i="2"/>
  <c r="AS705" i="2"/>
  <c r="AS732" i="2"/>
  <c r="AS675" i="2"/>
  <c r="AS683" i="2"/>
  <c r="AS651" i="2"/>
  <c r="AS635" i="2"/>
  <c r="AS643" i="2" s="1"/>
  <c r="AS627" i="2"/>
  <c r="AS689" i="2"/>
  <c r="AS657" i="2"/>
  <c r="AS633" i="2"/>
  <c r="AS641" i="2"/>
  <c r="AS649" i="2" s="1"/>
  <c r="AS681" i="2"/>
  <c r="AS435" i="2"/>
  <c r="AS432" i="2"/>
  <c r="AS431" i="2"/>
  <c r="AS434" i="2"/>
  <c r="AS433" i="2"/>
  <c r="AS430" i="2"/>
  <c r="AS436" i="2"/>
  <c r="AS429" i="2"/>
  <c r="AS240" i="2"/>
  <c r="AS219" i="2"/>
  <c r="AS191" i="2"/>
  <c r="AS198" i="2"/>
  <c r="AS205" i="2"/>
  <c r="AS233" i="2"/>
  <c r="AT245" i="2"/>
  <c r="AT242" i="2"/>
  <c r="AT238" i="2"/>
  <c r="AT235" i="2"/>
  <c r="AT231" i="2"/>
  <c r="AT228" i="2"/>
  <c r="AT224" i="2"/>
  <c r="AT244" i="2"/>
  <c r="AT241" i="2"/>
  <c r="AT237" i="2"/>
  <c r="AT234" i="2"/>
  <c r="AT230" i="2"/>
  <c r="AT227" i="2"/>
  <c r="AT246" i="2"/>
  <c r="AT243" i="2"/>
  <c r="AT239" i="2"/>
  <c r="AT236" i="2"/>
  <c r="AT232" i="2"/>
  <c r="AT229" i="2"/>
  <c r="AT225" i="2"/>
  <c r="AT221" i="2"/>
  <c r="AT217" i="2"/>
  <c r="AT214" i="2"/>
  <c r="AT210" i="2"/>
  <c r="AT207" i="2"/>
  <c r="AT203" i="2"/>
  <c r="AT200" i="2"/>
  <c r="AT196" i="2"/>
  <c r="AT193" i="2"/>
  <c r="AT223" i="2"/>
  <c r="AT220" i="2"/>
  <c r="AT216" i="2"/>
  <c r="AT213" i="2"/>
  <c r="AT209" i="2"/>
  <c r="AT206" i="2"/>
  <c r="AT202" i="2"/>
  <c r="AT199" i="2"/>
  <c r="AT195" i="2"/>
  <c r="AT192" i="2"/>
  <c r="AT222" i="2"/>
  <c r="AT218" i="2"/>
  <c r="AT215" i="2"/>
  <c r="AT211" i="2"/>
  <c r="AT208" i="2"/>
  <c r="AT204" i="2"/>
  <c r="AT201" i="2"/>
  <c r="AT197" i="2"/>
  <c r="AT194" i="2"/>
  <c r="AS212" i="2"/>
  <c r="AS247" i="2"/>
  <c r="AS226" i="2"/>
  <c r="AR94" i="2"/>
  <c r="AR95" i="2" s="1"/>
  <c r="AS106" i="2"/>
  <c r="AS162" i="2"/>
  <c r="AS113" i="2"/>
  <c r="AS148" i="2"/>
  <c r="AS155" i="2"/>
  <c r="AS120" i="2"/>
  <c r="AS141" i="2"/>
  <c r="AS127" i="2"/>
  <c r="AT160" i="2"/>
  <c r="AT157" i="2"/>
  <c r="AT153" i="2"/>
  <c r="AT150" i="2"/>
  <c r="AT146" i="2"/>
  <c r="AT143" i="2"/>
  <c r="AT139" i="2"/>
  <c r="AT159" i="2"/>
  <c r="AT156" i="2"/>
  <c r="AT152" i="2"/>
  <c r="AT149" i="2"/>
  <c r="AT145" i="2"/>
  <c r="AT142" i="2"/>
  <c r="AT137" i="2"/>
  <c r="AT133" i="2"/>
  <c r="AT130" i="2"/>
  <c r="AT161" i="2"/>
  <c r="AT154" i="2"/>
  <c r="AT147" i="2"/>
  <c r="AT136" i="2"/>
  <c r="AT128" i="2"/>
  <c r="AT124" i="2"/>
  <c r="AT121" i="2"/>
  <c r="AT131" i="2"/>
  <c r="AT158" i="2"/>
  <c r="AT117" i="2"/>
  <c r="AT112" i="2"/>
  <c r="AT109" i="2"/>
  <c r="AT135" i="2"/>
  <c r="AT126" i="2"/>
  <c r="AT123" i="2"/>
  <c r="AT144" i="2"/>
  <c r="AT107" i="2"/>
  <c r="AT115" i="2"/>
  <c r="AT108" i="2"/>
  <c r="AT116" i="2"/>
  <c r="AT122" i="2"/>
  <c r="AT119" i="2"/>
  <c r="AT111" i="2"/>
  <c r="AT110" i="2"/>
  <c r="AT132" i="2"/>
  <c r="AT129" i="2"/>
  <c r="AT114" i="2"/>
  <c r="AT140" i="2"/>
  <c r="AT118" i="2"/>
  <c r="AT151" i="2"/>
  <c r="AT125" i="2"/>
  <c r="AT138" i="2"/>
  <c r="AS134" i="2"/>
  <c r="AP96" i="2"/>
  <c r="AM102" i="2" s="1"/>
  <c r="AQ92" i="2"/>
  <c r="AQ90" i="2" s="1"/>
  <c r="AX248" i="3"/>
  <c r="AR93" i="2"/>
  <c r="BA241" i="3"/>
  <c r="AU844" i="2"/>
  <c r="AU841" i="2"/>
  <c r="AU838" i="2"/>
  <c r="AU835" i="2"/>
  <c r="AU843" i="2"/>
  <c r="AT817" i="2"/>
  <c r="AU840" i="2"/>
  <c r="AU834" i="2"/>
  <c r="AU837" i="2"/>
  <c r="AU836" i="2"/>
  <c r="AT816" i="2"/>
  <c r="AT806" i="2"/>
  <c r="AT809" i="2"/>
  <c r="AT808" i="2"/>
  <c r="AT807" i="2"/>
  <c r="AT815" i="2"/>
  <c r="AT814" i="2"/>
  <c r="AT813" i="2"/>
  <c r="AU842" i="2"/>
  <c r="AT812" i="2"/>
  <c r="AT811" i="2"/>
  <c r="AT810" i="2"/>
  <c r="AU839" i="2"/>
  <c r="AU833" i="2"/>
  <c r="AW56" i="2"/>
  <c r="AV762" i="2"/>
  <c r="AV25" i="4"/>
  <c r="AR64" i="2"/>
  <c r="AR27" i="4" s="1"/>
  <c r="AS57" i="2"/>
  <c r="AS26" i="4" s="1"/>
  <c r="AT782" i="2"/>
  <c r="AT779" i="2"/>
  <c r="AT776" i="2"/>
  <c r="AT773" i="2"/>
  <c r="AT770" i="2"/>
  <c r="AT767" i="2"/>
  <c r="AT764" i="2"/>
  <c r="AT781" i="2"/>
  <c r="AT778" i="2"/>
  <c r="AT775" i="2"/>
  <c r="AT772" i="2"/>
  <c r="AT769" i="2"/>
  <c r="AT766" i="2"/>
  <c r="AT763" i="2"/>
  <c r="AT774" i="2"/>
  <c r="AT771" i="2"/>
  <c r="AT768" i="2"/>
  <c r="AT765" i="2"/>
  <c r="AT780" i="2"/>
  <c r="AT777" i="2"/>
  <c r="AU59" i="2"/>
  <c r="AS68" i="2"/>
  <c r="AV189" i="2"/>
  <c r="AT330" i="2"/>
  <c r="AT474" i="2"/>
  <c r="AT528" i="2"/>
  <c r="AT384" i="2"/>
  <c r="AT339" i="2"/>
  <c r="AT357" i="2"/>
  <c r="AT321" i="2"/>
  <c r="AT366" i="2"/>
  <c r="AT348" i="2"/>
  <c r="AT375" i="2"/>
  <c r="AS75" i="2"/>
  <c r="AS545" i="2" s="1"/>
  <c r="AT510" i="2"/>
  <c r="AT483" i="2"/>
  <c r="AT456" i="2"/>
  <c r="AT465" i="2"/>
  <c r="AT501" i="2"/>
  <c r="AT519" i="2"/>
  <c r="AT492" i="2"/>
  <c r="AT187" i="2"/>
  <c r="AT188" i="2"/>
  <c r="AT186" i="2"/>
  <c r="AU190" i="2"/>
  <c r="AS665" i="2" l="1"/>
  <c r="AS286" i="2"/>
  <c r="AS659" i="2"/>
  <c r="AS280" i="2"/>
  <c r="AT401" i="2"/>
  <c r="AT410" i="2"/>
  <c r="AR248" i="2"/>
  <c r="AR163" i="2"/>
  <c r="AV797" i="2"/>
  <c r="AW824" i="2" s="1"/>
  <c r="AV784" i="2"/>
  <c r="AT701" i="2"/>
  <c r="AT728" i="2"/>
  <c r="AT704" i="2"/>
  <c r="AT731" i="2"/>
  <c r="AT705" i="2"/>
  <c r="AT732" i="2"/>
  <c r="AT698" i="2"/>
  <c r="AT725" i="2"/>
  <c r="AT703" i="2"/>
  <c r="AT730" i="2"/>
  <c r="AT699" i="2"/>
  <c r="AT726" i="2"/>
  <c r="AT700" i="2"/>
  <c r="AT727" i="2"/>
  <c r="AT702" i="2"/>
  <c r="AT729" i="2"/>
  <c r="AT676" i="2"/>
  <c r="AT684" i="2"/>
  <c r="AT628" i="2"/>
  <c r="AT636" i="2"/>
  <c r="AT644" i="2" s="1"/>
  <c r="AT652" i="2"/>
  <c r="AT674" i="2"/>
  <c r="AT634" i="2"/>
  <c r="AT642" i="2" s="1"/>
  <c r="AT682" i="2"/>
  <c r="AT650" i="2"/>
  <c r="AT626" i="2"/>
  <c r="AT431" i="2"/>
  <c r="AT436" i="2"/>
  <c r="AT430" i="2"/>
  <c r="AT433" i="2"/>
  <c r="AT434" i="2"/>
  <c r="AT429" i="2"/>
  <c r="AT432" i="2"/>
  <c r="AT435" i="2"/>
  <c r="AT191" i="2"/>
  <c r="AT198" i="2"/>
  <c r="AT240" i="2"/>
  <c r="AT226" i="2"/>
  <c r="AT219" i="2"/>
  <c r="AT247" i="2"/>
  <c r="AT212" i="2"/>
  <c r="AU244" i="2"/>
  <c r="AU241" i="2"/>
  <c r="AU237" i="2"/>
  <c r="AU234" i="2"/>
  <c r="AU230" i="2"/>
  <c r="AU227" i="2"/>
  <c r="AU246" i="2"/>
  <c r="AU243" i="2"/>
  <c r="AU239" i="2"/>
  <c r="AU236" i="2"/>
  <c r="AU232" i="2"/>
  <c r="AU229" i="2"/>
  <c r="AU225" i="2"/>
  <c r="AU245" i="2"/>
  <c r="AU242" i="2"/>
  <c r="AU238" i="2"/>
  <c r="AU235" i="2"/>
  <c r="AU231" i="2"/>
  <c r="AU228" i="2"/>
  <c r="AU224" i="2"/>
  <c r="AU223" i="2"/>
  <c r="AU220" i="2"/>
  <c r="AU216" i="2"/>
  <c r="AU213" i="2"/>
  <c r="AU209" i="2"/>
  <c r="AU206" i="2"/>
  <c r="AU202" i="2"/>
  <c r="AU199" i="2"/>
  <c r="AU195" i="2"/>
  <c r="AU192" i="2"/>
  <c r="AU222" i="2"/>
  <c r="AU218" i="2"/>
  <c r="AU215" i="2"/>
  <c r="AU211" i="2"/>
  <c r="AU208" i="2"/>
  <c r="AU204" i="2"/>
  <c r="AU201" i="2"/>
  <c r="AU197" i="2"/>
  <c r="AU194" i="2"/>
  <c r="AU221" i="2"/>
  <c r="AU217" i="2"/>
  <c r="AU214" i="2"/>
  <c r="AU210" i="2"/>
  <c r="AU207" i="2"/>
  <c r="AU203" i="2"/>
  <c r="AU200" i="2"/>
  <c r="AU196" i="2"/>
  <c r="AU193" i="2"/>
  <c r="AT205" i="2"/>
  <c r="AT233" i="2"/>
  <c r="AS94" i="2"/>
  <c r="AS95" i="2" s="1"/>
  <c r="AT162" i="2"/>
  <c r="AT106" i="2"/>
  <c r="AT148" i="2"/>
  <c r="AT127" i="2"/>
  <c r="AT134" i="2"/>
  <c r="AT120" i="2"/>
  <c r="AT155" i="2"/>
  <c r="AT113" i="2"/>
  <c r="AT141" i="2"/>
  <c r="AU161" i="2"/>
  <c r="AU158" i="2"/>
  <c r="AU154" i="2"/>
  <c r="AU151" i="2"/>
  <c r="AU142" i="2"/>
  <c r="AU156" i="2"/>
  <c r="AU149" i="2"/>
  <c r="AU139" i="2"/>
  <c r="AU147" i="2"/>
  <c r="AU136" i="2"/>
  <c r="AU132" i="2"/>
  <c r="AU129" i="2"/>
  <c r="AU160" i="2"/>
  <c r="AU153" i="2"/>
  <c r="AU145" i="2"/>
  <c r="AU140" i="2"/>
  <c r="AU143" i="2"/>
  <c r="AU131" i="2"/>
  <c r="AU159" i="2"/>
  <c r="AU135" i="2"/>
  <c r="AU126" i="2"/>
  <c r="AU123" i="2"/>
  <c r="AU130" i="2"/>
  <c r="AU157" i="2"/>
  <c r="AU146" i="2"/>
  <c r="AU152" i="2"/>
  <c r="AU133" i="2"/>
  <c r="AU125" i="2"/>
  <c r="AU121" i="2"/>
  <c r="AU119" i="2"/>
  <c r="AU118" i="2"/>
  <c r="AU144" i="2"/>
  <c r="AU150" i="2"/>
  <c r="AU124" i="2"/>
  <c r="AU107" i="2"/>
  <c r="AU115" i="2"/>
  <c r="AU138" i="2"/>
  <c r="AU122" i="2"/>
  <c r="AU114" i="2"/>
  <c r="AU110" i="2"/>
  <c r="AU116" i="2"/>
  <c r="AU128" i="2"/>
  <c r="AU117" i="2"/>
  <c r="AU112" i="2"/>
  <c r="AU108" i="2"/>
  <c r="AU137" i="2"/>
  <c r="AU109" i="2"/>
  <c r="AU111" i="2"/>
  <c r="AP100" i="2"/>
  <c r="AQ96" i="2"/>
  <c r="AR92" i="2"/>
  <c r="AR90" i="2" s="1"/>
  <c r="AR96" i="2" s="1"/>
  <c r="AY248" i="3"/>
  <c r="BB241" i="3"/>
  <c r="AX56" i="2"/>
  <c r="AW762" i="2"/>
  <c r="AW25" i="4"/>
  <c r="AV843" i="2"/>
  <c r="AV838" i="2"/>
  <c r="AV833" i="2"/>
  <c r="AV842" i="2"/>
  <c r="AU815" i="2"/>
  <c r="AU812" i="2"/>
  <c r="AU809" i="2"/>
  <c r="AU806" i="2"/>
  <c r="AU816" i="2"/>
  <c r="AV835" i="2"/>
  <c r="AU808" i="2"/>
  <c r="AU807" i="2"/>
  <c r="AU813" i="2"/>
  <c r="AU810" i="2"/>
  <c r="AV834" i="2"/>
  <c r="AU817" i="2"/>
  <c r="AU811" i="2"/>
  <c r="AV837" i="2"/>
  <c r="AV841" i="2"/>
  <c r="AV839" i="2"/>
  <c r="AV836" i="2"/>
  <c r="AU814" i="2"/>
  <c r="AV844" i="2"/>
  <c r="AV840" i="2"/>
  <c r="AT57" i="2"/>
  <c r="AT26" i="4" s="1"/>
  <c r="AS64" i="2"/>
  <c r="AS27" i="4" s="1"/>
  <c r="AU781" i="2"/>
  <c r="AU778" i="2"/>
  <c r="AU775" i="2"/>
  <c r="AU772" i="2"/>
  <c r="AU769" i="2"/>
  <c r="AU766" i="2"/>
  <c r="AU763" i="2"/>
  <c r="AU780" i="2"/>
  <c r="AU777" i="2"/>
  <c r="AU774" i="2"/>
  <c r="AU771" i="2"/>
  <c r="AU768" i="2"/>
  <c r="AU765" i="2"/>
  <c r="AU770" i="2"/>
  <c r="AU767" i="2"/>
  <c r="AU782" i="2"/>
  <c r="AU764" i="2"/>
  <c r="AU779" i="2"/>
  <c r="AU776" i="2"/>
  <c r="AU773" i="2"/>
  <c r="AV59" i="2"/>
  <c r="AT68" i="2"/>
  <c r="AW189" i="2"/>
  <c r="AU330" i="2"/>
  <c r="AU474" i="2"/>
  <c r="AU528" i="2"/>
  <c r="AU357" i="2"/>
  <c r="AU384" i="2"/>
  <c r="AU366" i="2"/>
  <c r="AU321" i="2"/>
  <c r="AU339" i="2"/>
  <c r="AU348" i="2"/>
  <c r="AU375" i="2"/>
  <c r="AT75" i="2"/>
  <c r="AU501" i="2"/>
  <c r="AU510" i="2"/>
  <c r="AU492" i="2"/>
  <c r="AU465" i="2"/>
  <c r="AU519" i="2"/>
  <c r="AU483" i="2"/>
  <c r="AU456" i="2"/>
  <c r="AU187" i="2"/>
  <c r="AU188" i="2"/>
  <c r="AU186" i="2"/>
  <c r="AV190" i="2"/>
  <c r="AT658" i="2" l="1"/>
  <c r="AT279" i="2"/>
  <c r="AT660" i="2"/>
  <c r="AT281" i="2"/>
  <c r="AU401" i="2"/>
  <c r="AU410" i="2"/>
  <c r="AS163" i="2"/>
  <c r="AW797" i="2"/>
  <c r="AX824" i="2" s="1"/>
  <c r="AW784" i="2"/>
  <c r="AU699" i="2"/>
  <c r="AU726" i="2"/>
  <c r="AU705" i="2"/>
  <c r="AU732" i="2"/>
  <c r="AU702" i="2"/>
  <c r="AU729" i="2"/>
  <c r="AU700" i="2"/>
  <c r="AU727" i="2"/>
  <c r="AU703" i="2"/>
  <c r="AU730" i="2"/>
  <c r="AU698" i="2"/>
  <c r="AU725" i="2"/>
  <c r="AU704" i="2"/>
  <c r="AU731" i="2"/>
  <c r="AU701" i="2"/>
  <c r="AU728" i="2"/>
  <c r="AU680" i="2"/>
  <c r="AU640" i="2"/>
  <c r="AU648" i="2" s="1"/>
  <c r="AU632" i="2"/>
  <c r="AU688" i="2"/>
  <c r="AU656" i="2"/>
  <c r="AU689" i="2"/>
  <c r="AU641" i="2"/>
  <c r="AU649" i="2" s="1"/>
  <c r="AU681" i="2"/>
  <c r="AU633" i="2"/>
  <c r="AU657" i="2"/>
  <c r="AU430" i="2"/>
  <c r="AU433" i="2"/>
  <c r="AU432" i="2"/>
  <c r="AU429" i="2"/>
  <c r="AU435" i="2"/>
  <c r="AU436" i="2"/>
  <c r="AU431" i="2"/>
  <c r="AU434" i="2"/>
  <c r="AQ77" i="2"/>
  <c r="AT545" i="2"/>
  <c r="AU205" i="2"/>
  <c r="AU226" i="2"/>
  <c r="AU212" i="2"/>
  <c r="AU233" i="2"/>
  <c r="AU247" i="2"/>
  <c r="AU191" i="2"/>
  <c r="AU240" i="2"/>
  <c r="AU219" i="2"/>
  <c r="AU198" i="2"/>
  <c r="AV244" i="2"/>
  <c r="AV241" i="2"/>
  <c r="AV237" i="2"/>
  <c r="AV234" i="2"/>
  <c r="AV230" i="2"/>
  <c r="AV227" i="2"/>
  <c r="AV246" i="2"/>
  <c r="AV243" i="2"/>
  <c r="AV239" i="2"/>
  <c r="AV236" i="2"/>
  <c r="AV232" i="2"/>
  <c r="AV229" i="2"/>
  <c r="AV225" i="2"/>
  <c r="AV245" i="2"/>
  <c r="AV242" i="2"/>
  <c r="AV238" i="2"/>
  <c r="AV235" i="2"/>
  <c r="AV231" i="2"/>
  <c r="AV228" i="2"/>
  <c r="AV224" i="2"/>
  <c r="AV223" i="2"/>
  <c r="AV220" i="2"/>
  <c r="AV216" i="2"/>
  <c r="AV213" i="2"/>
  <c r="AV209" i="2"/>
  <c r="AV206" i="2"/>
  <c r="AV202" i="2"/>
  <c r="AV199" i="2"/>
  <c r="AV195" i="2"/>
  <c r="AV192" i="2"/>
  <c r="AV222" i="2"/>
  <c r="AV218" i="2"/>
  <c r="AV215" i="2"/>
  <c r="AV211" i="2"/>
  <c r="AV208" i="2"/>
  <c r="AV204" i="2"/>
  <c r="AV201" i="2"/>
  <c r="AV197" i="2"/>
  <c r="AV194" i="2"/>
  <c r="AV221" i="2"/>
  <c r="AV217" i="2"/>
  <c r="AV214" i="2"/>
  <c r="AV210" i="2"/>
  <c r="AV207" i="2"/>
  <c r="AV203" i="2"/>
  <c r="AV200" i="2"/>
  <c r="AV196" i="2"/>
  <c r="AV193" i="2"/>
  <c r="AS93" i="2"/>
  <c r="AT94" i="2"/>
  <c r="AT95" i="2" s="1"/>
  <c r="AU162" i="2"/>
  <c r="AU106" i="2"/>
  <c r="AU113" i="2"/>
  <c r="AU127" i="2"/>
  <c r="AU141" i="2"/>
  <c r="AU134" i="2"/>
  <c r="AU148" i="2"/>
  <c r="AU120" i="2"/>
  <c r="AV161" i="2"/>
  <c r="AV158" i="2"/>
  <c r="AV154" i="2"/>
  <c r="AV151" i="2"/>
  <c r="AV147" i="2"/>
  <c r="AV144" i="2"/>
  <c r="AV140" i="2"/>
  <c r="AV156" i="2"/>
  <c r="AV149" i="2"/>
  <c r="AV139" i="2"/>
  <c r="AV136" i="2"/>
  <c r="AV160" i="2"/>
  <c r="AV153" i="2"/>
  <c r="AV145" i="2"/>
  <c r="AV143" i="2"/>
  <c r="AV159" i="2"/>
  <c r="AV117" i="2"/>
  <c r="AV112" i="2"/>
  <c r="AV109" i="2"/>
  <c r="AV135" i="2"/>
  <c r="AV126" i="2"/>
  <c r="AV123" i="2"/>
  <c r="AV130" i="2"/>
  <c r="AV157" i="2"/>
  <c r="AV146" i="2"/>
  <c r="AV142" i="2"/>
  <c r="AV119" i="2"/>
  <c r="AV116" i="2"/>
  <c r="AV111" i="2"/>
  <c r="AV150" i="2"/>
  <c r="AV124" i="2"/>
  <c r="AV107" i="2"/>
  <c r="AV131" i="2"/>
  <c r="AV115" i="2"/>
  <c r="AV138" i="2"/>
  <c r="AV122" i="2"/>
  <c r="AV114" i="2"/>
  <c r="AV110" i="2"/>
  <c r="AV128" i="2"/>
  <c r="AV132" i="2"/>
  <c r="AV129" i="2"/>
  <c r="AV121" i="2"/>
  <c r="AV108" i="2"/>
  <c r="AV133" i="2"/>
  <c r="AV152" i="2"/>
  <c r="AV137" i="2"/>
  <c r="AV118" i="2"/>
  <c r="AV125" i="2"/>
  <c r="AU155" i="2"/>
  <c r="AQ100" i="2"/>
  <c r="AR100" i="2"/>
  <c r="AZ248" i="3"/>
  <c r="AW843" i="2"/>
  <c r="AW840" i="2"/>
  <c r="AW837" i="2"/>
  <c r="AW834" i="2"/>
  <c r="AW838" i="2"/>
  <c r="AW842" i="2"/>
  <c r="AV815" i="2"/>
  <c r="AW839" i="2"/>
  <c r="AW835" i="2"/>
  <c r="AV808" i="2"/>
  <c r="AV807" i="2"/>
  <c r="AV806" i="2"/>
  <c r="AV813" i="2"/>
  <c r="AV810" i="2"/>
  <c r="AV809" i="2"/>
  <c r="AW833" i="2"/>
  <c r="AV811" i="2"/>
  <c r="AW844" i="2"/>
  <c r="AV817" i="2"/>
  <c r="AV816" i="2"/>
  <c r="AV812" i="2"/>
  <c r="AW841" i="2"/>
  <c r="AW836" i="2"/>
  <c r="AV814" i="2"/>
  <c r="AY56" i="2"/>
  <c r="AX762" i="2"/>
  <c r="AX25" i="4"/>
  <c r="AU57" i="2"/>
  <c r="AU26" i="4" s="1"/>
  <c r="AT64" i="2"/>
  <c r="AT27" i="4" s="1"/>
  <c r="AQ63" i="2"/>
  <c r="D903" i="2" s="1"/>
  <c r="AV782" i="2"/>
  <c r="AV779" i="2"/>
  <c r="AV776" i="2"/>
  <c r="AV773" i="2"/>
  <c r="AV770" i="2"/>
  <c r="AV767" i="2"/>
  <c r="AV764" i="2"/>
  <c r="AV781" i="2"/>
  <c r="AV778" i="2"/>
  <c r="AV775" i="2"/>
  <c r="AV772" i="2"/>
  <c r="AV769" i="2"/>
  <c r="AV766" i="2"/>
  <c r="AV763" i="2"/>
  <c r="AV780" i="2"/>
  <c r="AV777" i="2"/>
  <c r="AV774" i="2"/>
  <c r="AV771" i="2"/>
  <c r="AV768" i="2"/>
  <c r="AV765" i="2"/>
  <c r="AQ70" i="2"/>
  <c r="AW59" i="2"/>
  <c r="AU68" i="2"/>
  <c r="AX189" i="2"/>
  <c r="AV330" i="2"/>
  <c r="AV474" i="2"/>
  <c r="AV528" i="2"/>
  <c r="AV357" i="2"/>
  <c r="AV384" i="2"/>
  <c r="AV366" i="2"/>
  <c r="AV321" i="2"/>
  <c r="AV339" i="2"/>
  <c r="AV348" i="2"/>
  <c r="AV375" i="2"/>
  <c r="AU75" i="2"/>
  <c r="AU545" i="2" s="1"/>
  <c r="AV501" i="2"/>
  <c r="AV510" i="2"/>
  <c r="AV456" i="2"/>
  <c r="AV519" i="2"/>
  <c r="AV492" i="2"/>
  <c r="AV483" i="2"/>
  <c r="AV465" i="2"/>
  <c r="AV187" i="2"/>
  <c r="AV188" i="2"/>
  <c r="AV186" i="2"/>
  <c r="AW190" i="2"/>
  <c r="AU665" i="2" l="1"/>
  <c r="AU286" i="2"/>
  <c r="AU664" i="2"/>
  <c r="AU285" i="2"/>
  <c r="AV410" i="2"/>
  <c r="AV401" i="2"/>
  <c r="AS248" i="2"/>
  <c r="AT163" i="2"/>
  <c r="AX797" i="2"/>
  <c r="AY824" i="2" s="1"/>
  <c r="AX784" i="2"/>
  <c r="AV701" i="2"/>
  <c r="AV728" i="2"/>
  <c r="AV704" i="2"/>
  <c r="AV731" i="2"/>
  <c r="AV700" i="2"/>
  <c r="AV727" i="2"/>
  <c r="AV703" i="2"/>
  <c r="AV730" i="2"/>
  <c r="AV699" i="2"/>
  <c r="AV726" i="2"/>
  <c r="AV702" i="2"/>
  <c r="AV729" i="2"/>
  <c r="AV698" i="2"/>
  <c r="AV725" i="2"/>
  <c r="AV705" i="2"/>
  <c r="AV732" i="2"/>
  <c r="AV689" i="2"/>
  <c r="AV681" i="2"/>
  <c r="AV633" i="2"/>
  <c r="AV657" i="2"/>
  <c r="AV641" i="2"/>
  <c r="AV649" i="2" s="1"/>
  <c r="AV688" i="2"/>
  <c r="AV680" i="2"/>
  <c r="AV632" i="2"/>
  <c r="AV640" i="2"/>
  <c r="AV648" i="2" s="1"/>
  <c r="AV656" i="2"/>
  <c r="AV430" i="2"/>
  <c r="AV429" i="2"/>
  <c r="AV431" i="2"/>
  <c r="AV436" i="2"/>
  <c r="AV434" i="2"/>
  <c r="AV433" i="2"/>
  <c r="AV432" i="2"/>
  <c r="AV435" i="2"/>
  <c r="AV212" i="2"/>
  <c r="AV219" i="2"/>
  <c r="AV226" i="2"/>
  <c r="AV233" i="2"/>
  <c r="AS92" i="2"/>
  <c r="AS90" i="2" s="1"/>
  <c r="AS96" i="2" s="1"/>
  <c r="AV198" i="2"/>
  <c r="AV240" i="2"/>
  <c r="AV205" i="2"/>
  <c r="AV247" i="2"/>
  <c r="AV191" i="2"/>
  <c r="AW244" i="2"/>
  <c r="AW241" i="2"/>
  <c r="AW237" i="2"/>
  <c r="AW234" i="2"/>
  <c r="AW230" i="2"/>
  <c r="AW227" i="2"/>
  <c r="AW246" i="2"/>
  <c r="AW243" i="2"/>
  <c r="AW239" i="2"/>
  <c r="AW236" i="2"/>
  <c r="AW232" i="2"/>
  <c r="AW229" i="2"/>
  <c r="AW225" i="2"/>
  <c r="AW245" i="2"/>
  <c r="AW242" i="2"/>
  <c r="AW238" i="2"/>
  <c r="AW235" i="2"/>
  <c r="AW231" i="2"/>
  <c r="AW228" i="2"/>
  <c r="AW224" i="2"/>
  <c r="AW223" i="2"/>
  <c r="AW220" i="2"/>
  <c r="AW216" i="2"/>
  <c r="AW213" i="2"/>
  <c r="AW209" i="2"/>
  <c r="AW206" i="2"/>
  <c r="AW202" i="2"/>
  <c r="AW199" i="2"/>
  <c r="AW195" i="2"/>
  <c r="AW192" i="2"/>
  <c r="AW222" i="2"/>
  <c r="AW218" i="2"/>
  <c r="AW215" i="2"/>
  <c r="AW211" i="2"/>
  <c r="AW208" i="2"/>
  <c r="AW204" i="2"/>
  <c r="AW201" i="2"/>
  <c r="AW197" i="2"/>
  <c r="AW194" i="2"/>
  <c r="AW221" i="2"/>
  <c r="AW217" i="2"/>
  <c r="AW214" i="2"/>
  <c r="AW210" i="2"/>
  <c r="AW207" i="2"/>
  <c r="AW203" i="2"/>
  <c r="AW200" i="2"/>
  <c r="AW196" i="2"/>
  <c r="AW193" i="2"/>
  <c r="AT93" i="2"/>
  <c r="AU94" i="2"/>
  <c r="AU95" i="2" s="1"/>
  <c r="AV120" i="2"/>
  <c r="AV127" i="2"/>
  <c r="AV162" i="2"/>
  <c r="AV141" i="2"/>
  <c r="AV134" i="2"/>
  <c r="AW159" i="2"/>
  <c r="AW156" i="2"/>
  <c r="AW152" i="2"/>
  <c r="AW149" i="2"/>
  <c r="AW145" i="2"/>
  <c r="AW142" i="2"/>
  <c r="AW161" i="2"/>
  <c r="AW158" i="2"/>
  <c r="AW154" i="2"/>
  <c r="AW151" i="2"/>
  <c r="AW147" i="2"/>
  <c r="AW144" i="2"/>
  <c r="AW140" i="2"/>
  <c r="AW136" i="2"/>
  <c r="AW132" i="2"/>
  <c r="AW160" i="2"/>
  <c r="AW153" i="2"/>
  <c r="AW143" i="2"/>
  <c r="AW138" i="2"/>
  <c r="AW135" i="2"/>
  <c r="AW126" i="2"/>
  <c r="AW123" i="2"/>
  <c r="AW130" i="2"/>
  <c r="AW157" i="2"/>
  <c r="AW146" i="2"/>
  <c r="AW133" i="2"/>
  <c r="AW125" i="2"/>
  <c r="AW122" i="2"/>
  <c r="AW116" i="2"/>
  <c r="AW109" i="2"/>
  <c r="AW131" i="2"/>
  <c r="AW115" i="2"/>
  <c r="AW114" i="2"/>
  <c r="AW110" i="2"/>
  <c r="AW108" i="2"/>
  <c r="AW150" i="2"/>
  <c r="AW117" i="2"/>
  <c r="AW107" i="2"/>
  <c r="AW124" i="2"/>
  <c r="AW128" i="2"/>
  <c r="AW139" i="2"/>
  <c r="AW137" i="2"/>
  <c r="AW118" i="2"/>
  <c r="AW111" i="2"/>
  <c r="AW129" i="2"/>
  <c r="AW121" i="2"/>
  <c r="AW119" i="2"/>
  <c r="AW112" i="2"/>
  <c r="AV106" i="2"/>
  <c r="AV155" i="2"/>
  <c r="AV113" i="2"/>
  <c r="AV148" i="2"/>
  <c r="BA248" i="3"/>
  <c r="AX838" i="2"/>
  <c r="AX841" i="2"/>
  <c r="AX836" i="2"/>
  <c r="AX839" i="2"/>
  <c r="AX835" i="2"/>
  <c r="AW813" i="2"/>
  <c r="AW810" i="2"/>
  <c r="AW809" i="2"/>
  <c r="AX833" i="2"/>
  <c r="AX844" i="2"/>
  <c r="AX843" i="2"/>
  <c r="AW814" i="2"/>
  <c r="AW815" i="2"/>
  <c r="AX834" i="2"/>
  <c r="AW817" i="2"/>
  <c r="AW816" i="2"/>
  <c r="AW812" i="2"/>
  <c r="AX842" i="2"/>
  <c r="AW811" i="2"/>
  <c r="AW808" i="2"/>
  <c r="AW807" i="2"/>
  <c r="AW806" i="2"/>
  <c r="AX837" i="2"/>
  <c r="AX840" i="2"/>
  <c r="AZ56" i="2"/>
  <c r="AY762" i="2"/>
  <c r="AY25" i="4"/>
  <c r="AV57" i="2"/>
  <c r="AV26" i="4" s="1"/>
  <c r="AQ66" i="2"/>
  <c r="F903" i="2" s="1"/>
  <c r="AU64" i="2"/>
  <c r="AU27" i="4" s="1"/>
  <c r="AW782" i="2"/>
  <c r="AW779" i="2"/>
  <c r="AW776" i="2"/>
  <c r="AW773" i="2"/>
  <c r="AW770" i="2"/>
  <c r="AW767" i="2"/>
  <c r="AW764" i="2"/>
  <c r="AW781" i="2"/>
  <c r="AW778" i="2"/>
  <c r="AW775" i="2"/>
  <c r="AW772" i="2"/>
  <c r="AW769" i="2"/>
  <c r="AW766" i="2"/>
  <c r="AW763" i="2"/>
  <c r="AW780" i="2"/>
  <c r="AW777" i="2"/>
  <c r="AW774" i="2"/>
  <c r="AW771" i="2"/>
  <c r="AW768" i="2"/>
  <c r="AW765" i="2"/>
  <c r="AX59" i="2"/>
  <c r="AV68" i="2"/>
  <c r="AY189" i="2"/>
  <c r="AW330" i="2"/>
  <c r="AW528" i="2"/>
  <c r="AW474" i="2"/>
  <c r="AW321" i="2"/>
  <c r="AW339" i="2"/>
  <c r="AW366" i="2"/>
  <c r="AW375" i="2"/>
  <c r="AW384" i="2"/>
  <c r="AW357" i="2"/>
  <c r="AW348" i="2"/>
  <c r="AV75" i="2"/>
  <c r="AV545" i="2" s="1"/>
  <c r="AW501" i="2"/>
  <c r="AW510" i="2"/>
  <c r="AW519" i="2"/>
  <c r="AW492" i="2"/>
  <c r="AW456" i="2"/>
  <c r="AW483" i="2"/>
  <c r="AW465" i="2"/>
  <c r="AW187" i="2"/>
  <c r="AW188" i="2"/>
  <c r="AW186" i="2"/>
  <c r="AX190" i="2"/>
  <c r="AV664" i="2" l="1"/>
  <c r="AV285" i="2"/>
  <c r="AV665" i="2"/>
  <c r="AV286" i="2"/>
  <c r="AW410" i="2"/>
  <c r="AW401" i="2"/>
  <c r="AT248" i="2"/>
  <c r="AU163" i="2"/>
  <c r="AY797" i="2"/>
  <c r="AZ824" i="2" s="1"/>
  <c r="AY784" i="2"/>
  <c r="AW698" i="2"/>
  <c r="AW725" i="2"/>
  <c r="AW701" i="2"/>
  <c r="AW728" i="2"/>
  <c r="AW704" i="2"/>
  <c r="AW731" i="2"/>
  <c r="AW702" i="2"/>
  <c r="AW729" i="2"/>
  <c r="AW705" i="2"/>
  <c r="AW732" i="2"/>
  <c r="AW700" i="2"/>
  <c r="AW727" i="2"/>
  <c r="AW703" i="2"/>
  <c r="AW730" i="2"/>
  <c r="AW699" i="2"/>
  <c r="AW726" i="2"/>
  <c r="AW682" i="2"/>
  <c r="AW674" i="2"/>
  <c r="AW626" i="2"/>
  <c r="AW650" i="2"/>
  <c r="AW634" i="2"/>
  <c r="AW642" i="2" s="1"/>
  <c r="AW675" i="2"/>
  <c r="AW683" i="2"/>
  <c r="AW651" i="2"/>
  <c r="AW627" i="2"/>
  <c r="AW635" i="2"/>
  <c r="AW643" i="2" s="1"/>
  <c r="AW689" i="2"/>
  <c r="AW681" i="2"/>
  <c r="AW641" i="2"/>
  <c r="AW649" i="2" s="1"/>
  <c r="AW657" i="2"/>
  <c r="AW633" i="2"/>
  <c r="AW436" i="2"/>
  <c r="AW431" i="2"/>
  <c r="AW430" i="2"/>
  <c r="AW434" i="2"/>
  <c r="AW433" i="2"/>
  <c r="AW429" i="2"/>
  <c r="AW432" i="2"/>
  <c r="AW435" i="2"/>
  <c r="AS100" i="2"/>
  <c r="AW219" i="2"/>
  <c r="AW240" i="2"/>
  <c r="AW212" i="2"/>
  <c r="AW247" i="2"/>
  <c r="AW233" i="2"/>
  <c r="AW191" i="2"/>
  <c r="AW198" i="2"/>
  <c r="AW205" i="2"/>
  <c r="AX244" i="2"/>
  <c r="AX241" i="2"/>
  <c r="AX237" i="2"/>
  <c r="AX234" i="2"/>
  <c r="AX230" i="2"/>
  <c r="AX227" i="2"/>
  <c r="AX246" i="2"/>
  <c r="AX243" i="2"/>
  <c r="AX239" i="2"/>
  <c r="AX236" i="2"/>
  <c r="AX232" i="2"/>
  <c r="AX229" i="2"/>
  <c r="AX225" i="2"/>
  <c r="AX245" i="2"/>
  <c r="AX242" i="2"/>
  <c r="AX238" i="2"/>
  <c r="AX235" i="2"/>
  <c r="AX231" i="2"/>
  <c r="AX228" i="2"/>
  <c r="AX224" i="2"/>
  <c r="AX223" i="2"/>
  <c r="AX220" i="2"/>
  <c r="AX216" i="2"/>
  <c r="AX213" i="2"/>
  <c r="AX209" i="2"/>
  <c r="AX206" i="2"/>
  <c r="AX202" i="2"/>
  <c r="AX199" i="2"/>
  <c r="AX195" i="2"/>
  <c r="AX192" i="2"/>
  <c r="AX222" i="2"/>
  <c r="AX218" i="2"/>
  <c r="AX215" i="2"/>
  <c r="AX211" i="2"/>
  <c r="AX208" i="2"/>
  <c r="AX204" i="2"/>
  <c r="AX201" i="2"/>
  <c r="AX197" i="2"/>
  <c r="AX194" i="2"/>
  <c r="AX221" i="2"/>
  <c r="AX217" i="2"/>
  <c r="AX214" i="2"/>
  <c r="AX210" i="2"/>
  <c r="AX207" i="2"/>
  <c r="AX203" i="2"/>
  <c r="AX200" i="2"/>
  <c r="AX196" i="2"/>
  <c r="AX193" i="2"/>
  <c r="AW226" i="2"/>
  <c r="AT92" i="2"/>
  <c r="AT90" i="2" s="1"/>
  <c r="AU93" i="2"/>
  <c r="AV94" i="2"/>
  <c r="AV95" i="2" s="1"/>
  <c r="AW162" i="2"/>
  <c r="AW127" i="2"/>
  <c r="AW113" i="2"/>
  <c r="AW106" i="2"/>
  <c r="AW134" i="2"/>
  <c r="AW141" i="2"/>
  <c r="AX159" i="2"/>
  <c r="AX156" i="2"/>
  <c r="AX152" i="2"/>
  <c r="AX149" i="2"/>
  <c r="AX145" i="2"/>
  <c r="AX142" i="2"/>
  <c r="AX161" i="2"/>
  <c r="AX158" i="2"/>
  <c r="AX154" i="2"/>
  <c r="AX151" i="2"/>
  <c r="AX147" i="2"/>
  <c r="AX144" i="2"/>
  <c r="AX140" i="2"/>
  <c r="AX136" i="2"/>
  <c r="AX132" i="2"/>
  <c r="AX160" i="2"/>
  <c r="AX153" i="2"/>
  <c r="AX143" i="2"/>
  <c r="AX138" i="2"/>
  <c r="AX135" i="2"/>
  <c r="AX126" i="2"/>
  <c r="AX123" i="2"/>
  <c r="AX130" i="2"/>
  <c r="AX157" i="2"/>
  <c r="AX146" i="2"/>
  <c r="AX119" i="2"/>
  <c r="AX116" i="2"/>
  <c r="AX111" i="2"/>
  <c r="AX108" i="2"/>
  <c r="AX133" i="2"/>
  <c r="AX125" i="2"/>
  <c r="AX122" i="2"/>
  <c r="AX114" i="2"/>
  <c r="AX110" i="2"/>
  <c r="AX129" i="2"/>
  <c r="AX112" i="2"/>
  <c r="AX150" i="2"/>
  <c r="AX117" i="2"/>
  <c r="AX107" i="2"/>
  <c r="AX139" i="2"/>
  <c r="AX137" i="2"/>
  <c r="AX118" i="2"/>
  <c r="AX124" i="2"/>
  <c r="AX131" i="2"/>
  <c r="AX128" i="2"/>
  <c r="AX115" i="2"/>
  <c r="AX109" i="2"/>
  <c r="AX121" i="2"/>
  <c r="AW148" i="2"/>
  <c r="AW155" i="2"/>
  <c r="AW120" i="2"/>
  <c r="AV93" i="2"/>
  <c r="BB248" i="3"/>
  <c r="BA56" i="2"/>
  <c r="AZ762" i="2"/>
  <c r="AZ25" i="4"/>
  <c r="AY843" i="2"/>
  <c r="AY840" i="2"/>
  <c r="AY837" i="2"/>
  <c r="AY834" i="2"/>
  <c r="AY841" i="2"/>
  <c r="AY836" i="2"/>
  <c r="AY839" i="2"/>
  <c r="AY835" i="2"/>
  <c r="AY833" i="2"/>
  <c r="AX815" i="2"/>
  <c r="AX811" i="2"/>
  <c r="AX814" i="2"/>
  <c r="AY842" i="2"/>
  <c r="AX817" i="2"/>
  <c r="AX816" i="2"/>
  <c r="AX813" i="2"/>
  <c r="AX812" i="2"/>
  <c r="AY838" i="2"/>
  <c r="AX808" i="2"/>
  <c r="AX807" i="2"/>
  <c r="AX806" i="2"/>
  <c r="AX810" i="2"/>
  <c r="AX809" i="2"/>
  <c r="AY844" i="2"/>
  <c r="AV64" i="2"/>
  <c r="AV27" i="4" s="1"/>
  <c r="AW57" i="2"/>
  <c r="AW26" i="4" s="1"/>
  <c r="AX781" i="2"/>
  <c r="AX778" i="2"/>
  <c r="AX775" i="2"/>
  <c r="AX772" i="2"/>
  <c r="AX769" i="2"/>
  <c r="AX766" i="2"/>
  <c r="AX763" i="2"/>
  <c r="AX780" i="2"/>
  <c r="AX777" i="2"/>
  <c r="AX774" i="2"/>
  <c r="AX771" i="2"/>
  <c r="AX768" i="2"/>
  <c r="AX765" i="2"/>
  <c r="AX767" i="2"/>
  <c r="AX782" i="2"/>
  <c r="AX764" i="2"/>
  <c r="AX779" i="2"/>
  <c r="AX776" i="2"/>
  <c r="AX773" i="2"/>
  <c r="AX770" i="2"/>
  <c r="AY59" i="2"/>
  <c r="AW68" i="2"/>
  <c r="AZ189" i="2"/>
  <c r="AX330" i="2"/>
  <c r="AX528" i="2"/>
  <c r="AX474" i="2"/>
  <c r="AX375" i="2"/>
  <c r="AX366" i="2"/>
  <c r="AX339" i="2"/>
  <c r="AX348" i="2"/>
  <c r="AX384" i="2"/>
  <c r="AX321" i="2"/>
  <c r="AX357" i="2"/>
  <c r="AW75" i="2"/>
  <c r="AW545" i="2" s="1"/>
  <c r="AX501" i="2"/>
  <c r="AX519" i="2"/>
  <c r="AX510" i="2"/>
  <c r="AX465" i="2"/>
  <c r="AX456" i="2"/>
  <c r="AX492" i="2"/>
  <c r="AX483" i="2"/>
  <c r="AX188" i="2"/>
  <c r="AX187" i="2"/>
  <c r="AX186" i="2"/>
  <c r="AY190" i="2"/>
  <c r="AW659" i="2" l="1"/>
  <c r="AW280" i="2"/>
  <c r="AW658" i="2"/>
  <c r="AW279" i="2"/>
  <c r="AW665" i="2"/>
  <c r="AW286" i="2"/>
  <c r="AX410" i="2"/>
  <c r="AX401" i="2"/>
  <c r="AU248" i="2"/>
  <c r="AV248" i="2"/>
  <c r="AV163" i="2"/>
  <c r="AZ797" i="2"/>
  <c r="BA824" i="2" s="1"/>
  <c r="AZ784" i="2"/>
  <c r="AX700" i="2"/>
  <c r="AX727" i="2"/>
  <c r="AX703" i="2"/>
  <c r="AX730" i="2"/>
  <c r="AX705" i="2"/>
  <c r="AX732" i="2"/>
  <c r="AX698" i="2"/>
  <c r="AX725" i="2"/>
  <c r="AX701" i="2"/>
  <c r="AX728" i="2"/>
  <c r="AX704" i="2"/>
  <c r="AX731" i="2"/>
  <c r="AX699" i="2"/>
  <c r="AX726" i="2"/>
  <c r="AX702" i="2"/>
  <c r="AX729" i="2"/>
  <c r="AX674" i="2"/>
  <c r="AX682" i="2"/>
  <c r="AX650" i="2"/>
  <c r="AX626" i="2"/>
  <c r="AX634" i="2"/>
  <c r="AX642" i="2" s="1"/>
  <c r="AX684" i="2"/>
  <c r="AX676" i="2"/>
  <c r="AX652" i="2"/>
  <c r="AX636" i="2"/>
  <c r="AX644" i="2" s="1"/>
  <c r="AX628" i="2"/>
  <c r="AX432" i="2"/>
  <c r="AX435" i="2"/>
  <c r="AX429" i="2"/>
  <c r="AX436" i="2"/>
  <c r="AX430" i="2"/>
  <c r="AX433" i="2"/>
  <c r="AX431" i="2"/>
  <c r="AX434" i="2"/>
  <c r="AX198" i="2"/>
  <c r="AX212" i="2"/>
  <c r="AX233" i="2"/>
  <c r="AX226" i="2"/>
  <c r="AX247" i="2"/>
  <c r="AX191" i="2"/>
  <c r="AX240" i="2"/>
  <c r="AX219" i="2"/>
  <c r="AY246" i="2"/>
  <c r="AY243" i="2"/>
  <c r="AY239" i="2"/>
  <c r="AY236" i="2"/>
  <c r="AY232" i="2"/>
  <c r="AY229" i="2"/>
  <c r="AY225" i="2"/>
  <c r="AY245" i="2"/>
  <c r="AY242" i="2"/>
  <c r="AY238" i="2"/>
  <c r="AY235" i="2"/>
  <c r="AY231" i="2"/>
  <c r="AY228" i="2"/>
  <c r="AY224" i="2"/>
  <c r="AY244" i="2"/>
  <c r="AY241" i="2"/>
  <c r="AY237" i="2"/>
  <c r="AY234" i="2"/>
  <c r="AY230" i="2"/>
  <c r="AY227" i="2"/>
  <c r="AY222" i="2"/>
  <c r="AY218" i="2"/>
  <c r="AY215" i="2"/>
  <c r="AY211" i="2"/>
  <c r="AY208" i="2"/>
  <c r="AY204" i="2"/>
  <c r="AY201" i="2"/>
  <c r="AY197" i="2"/>
  <c r="AY194" i="2"/>
  <c r="AY221" i="2"/>
  <c r="AY217" i="2"/>
  <c r="AY214" i="2"/>
  <c r="AY210" i="2"/>
  <c r="AY207" i="2"/>
  <c r="AY203" i="2"/>
  <c r="AY200" i="2"/>
  <c r="AY196" i="2"/>
  <c r="AY193" i="2"/>
  <c r="AY223" i="2"/>
  <c r="AY220" i="2"/>
  <c r="AY216" i="2"/>
  <c r="AY213" i="2"/>
  <c r="AY209" i="2"/>
  <c r="AY206" i="2"/>
  <c r="AY202" i="2"/>
  <c r="AY199" i="2"/>
  <c r="AY195" i="2"/>
  <c r="AY192" i="2"/>
  <c r="AU92" i="2"/>
  <c r="AU90" i="2" s="1"/>
  <c r="AX205" i="2"/>
  <c r="AT96" i="2"/>
  <c r="AW94" i="2"/>
  <c r="AW95" i="2" s="1"/>
  <c r="AX155" i="2"/>
  <c r="AX162" i="2"/>
  <c r="AX134" i="2"/>
  <c r="AX106" i="2"/>
  <c r="AX120" i="2"/>
  <c r="AX141" i="2"/>
  <c r="AY160" i="2"/>
  <c r="AY157" i="2"/>
  <c r="AY153" i="2"/>
  <c r="AY150" i="2"/>
  <c r="AY161" i="2"/>
  <c r="AY154" i="2"/>
  <c r="AY147" i="2"/>
  <c r="AY143" i="2"/>
  <c r="AY145" i="2"/>
  <c r="AY138" i="2"/>
  <c r="AY135" i="2"/>
  <c r="AY131" i="2"/>
  <c r="AY140" i="2"/>
  <c r="AY159" i="2"/>
  <c r="AY152" i="2"/>
  <c r="AY130" i="2"/>
  <c r="AY158" i="2"/>
  <c r="AY146" i="2"/>
  <c r="AY133" i="2"/>
  <c r="AY125" i="2"/>
  <c r="AY122" i="2"/>
  <c r="AY142" i="2"/>
  <c r="AY156" i="2"/>
  <c r="AY124" i="2"/>
  <c r="AY107" i="2"/>
  <c r="AY114" i="2"/>
  <c r="AY123" i="2"/>
  <c r="AY129" i="2"/>
  <c r="AY112" i="2"/>
  <c r="AY108" i="2"/>
  <c r="AY151" i="2"/>
  <c r="AY137" i="2"/>
  <c r="AY132" i="2"/>
  <c r="AY128" i="2"/>
  <c r="AY136" i="2"/>
  <c r="AY139" i="2"/>
  <c r="AY118" i="2"/>
  <c r="AY126" i="2"/>
  <c r="AY115" i="2"/>
  <c r="AY109" i="2"/>
  <c r="AY117" i="2"/>
  <c r="AY149" i="2"/>
  <c r="AY121" i="2"/>
  <c r="AY111" i="2"/>
  <c r="AY116" i="2"/>
  <c r="AY119" i="2"/>
  <c r="AY144" i="2"/>
  <c r="AY110" i="2"/>
  <c r="AX148" i="2"/>
  <c r="AX127" i="2"/>
  <c r="AX113" i="2"/>
  <c r="AV92" i="2"/>
  <c r="AV90" i="2" s="1"/>
  <c r="AW93" i="2"/>
  <c r="BB56" i="2"/>
  <c r="BA762" i="2"/>
  <c r="BA25" i="4"/>
  <c r="AZ841" i="2"/>
  <c r="AZ836" i="2"/>
  <c r="AZ844" i="2"/>
  <c r="AZ839" i="2"/>
  <c r="AY814" i="2"/>
  <c r="AY811" i="2"/>
  <c r="AY808" i="2"/>
  <c r="AZ843" i="2"/>
  <c r="AY816" i="2"/>
  <c r="AY815" i="2"/>
  <c r="AZ842" i="2"/>
  <c r="AZ834" i="2"/>
  <c r="AY817" i="2"/>
  <c r="AZ838" i="2"/>
  <c r="AY807" i="2"/>
  <c r="AY806" i="2"/>
  <c r="AZ837" i="2"/>
  <c r="AY809" i="2"/>
  <c r="AZ835" i="2"/>
  <c r="AZ833" i="2"/>
  <c r="AZ840" i="2"/>
  <c r="AY813" i="2"/>
  <c r="AY812" i="2"/>
  <c r="AY810" i="2"/>
  <c r="AX57" i="2"/>
  <c r="AX26" i="4" s="1"/>
  <c r="AW64" i="2"/>
  <c r="AW27" i="4" s="1"/>
  <c r="AY780" i="2"/>
  <c r="AY777" i="2"/>
  <c r="AY774" i="2"/>
  <c r="AY771" i="2"/>
  <c r="AY768" i="2"/>
  <c r="AY765" i="2"/>
  <c r="AY782" i="2"/>
  <c r="AY779" i="2"/>
  <c r="AY776" i="2"/>
  <c r="AY773" i="2"/>
  <c r="AY770" i="2"/>
  <c r="AY767" i="2"/>
  <c r="AY764" i="2"/>
  <c r="AY781" i="2"/>
  <c r="AY763" i="2"/>
  <c r="AY778" i="2"/>
  <c r="AY775" i="2"/>
  <c r="AY772" i="2"/>
  <c r="AY769" i="2"/>
  <c r="AY766" i="2"/>
  <c r="AZ59" i="2"/>
  <c r="AX68" i="2"/>
  <c r="BA189" i="2"/>
  <c r="AY330" i="2"/>
  <c r="AY528" i="2"/>
  <c r="AY474" i="2"/>
  <c r="AY339" i="2"/>
  <c r="AY366" i="2"/>
  <c r="AY348" i="2"/>
  <c r="AY375" i="2"/>
  <c r="AY384" i="2"/>
  <c r="AY321" i="2"/>
  <c r="AY357" i="2"/>
  <c r="AX75" i="2"/>
  <c r="AY519" i="2"/>
  <c r="AY492" i="2"/>
  <c r="AY465" i="2"/>
  <c r="AY510" i="2"/>
  <c r="AY483" i="2"/>
  <c r="AY456" i="2"/>
  <c r="AY501" i="2"/>
  <c r="AY188" i="2"/>
  <c r="AY187" i="2"/>
  <c r="AY186" i="2"/>
  <c r="AZ190" i="2"/>
  <c r="AX658" i="2" l="1"/>
  <c r="AX279" i="2"/>
  <c r="AX660" i="2"/>
  <c r="AX281" i="2"/>
  <c r="AY410" i="2"/>
  <c r="AY401" i="2"/>
  <c r="AW248" i="2"/>
  <c r="AW163" i="2"/>
  <c r="AU70" i="2"/>
  <c r="BA797" i="2"/>
  <c r="BB824" i="2" s="1"/>
  <c r="BA784" i="2"/>
  <c r="AY705" i="2"/>
  <c r="AY732" i="2"/>
  <c r="AY699" i="2"/>
  <c r="AY726" i="2"/>
  <c r="AY702" i="2"/>
  <c r="AY729" i="2"/>
  <c r="AY703" i="2"/>
  <c r="AY730" i="2"/>
  <c r="AY698" i="2"/>
  <c r="AY725" i="2"/>
  <c r="AY701" i="2"/>
  <c r="AY728" i="2"/>
  <c r="AY704" i="2"/>
  <c r="AY731" i="2"/>
  <c r="AY700" i="2"/>
  <c r="AY727" i="2"/>
  <c r="AY688" i="2"/>
  <c r="AY632" i="2"/>
  <c r="AY680" i="2"/>
  <c r="AY656" i="2"/>
  <c r="AY640" i="2"/>
  <c r="AY648" i="2" s="1"/>
  <c r="AY681" i="2"/>
  <c r="AY657" i="2"/>
  <c r="AY633" i="2"/>
  <c r="AY641" i="2"/>
  <c r="AY649" i="2" s="1"/>
  <c r="AY689" i="2"/>
  <c r="AY436" i="2"/>
  <c r="AY435" i="2"/>
  <c r="AY430" i="2"/>
  <c r="AY432" i="2"/>
  <c r="AY431" i="2"/>
  <c r="AY434" i="2"/>
  <c r="AY429" i="2"/>
  <c r="AY433" i="2"/>
  <c r="AU77" i="2"/>
  <c r="AX545" i="2"/>
  <c r="AT100" i="2"/>
  <c r="AY233" i="2"/>
  <c r="AU96" i="2"/>
  <c r="AY226" i="2"/>
  <c r="AY205" i="2"/>
  <c r="AY240" i="2"/>
  <c r="AY191" i="2"/>
  <c r="AY247" i="2"/>
  <c r="AZ246" i="2"/>
  <c r="AZ243" i="2"/>
  <c r="AZ239" i="2"/>
  <c r="AZ236" i="2"/>
  <c r="AZ232" i="2"/>
  <c r="AZ229" i="2"/>
  <c r="AZ225" i="2"/>
  <c r="AZ245" i="2"/>
  <c r="AZ242" i="2"/>
  <c r="AZ238" i="2"/>
  <c r="AZ235" i="2"/>
  <c r="AZ231" i="2"/>
  <c r="AZ228" i="2"/>
  <c r="AZ224" i="2"/>
  <c r="AZ244" i="2"/>
  <c r="AZ241" i="2"/>
  <c r="AZ237" i="2"/>
  <c r="AZ234" i="2"/>
  <c r="AZ230" i="2"/>
  <c r="AZ227" i="2"/>
  <c r="AZ222" i="2"/>
  <c r="AZ218" i="2"/>
  <c r="AZ215" i="2"/>
  <c r="AZ211" i="2"/>
  <c r="AZ208" i="2"/>
  <c r="AZ204" i="2"/>
  <c r="AZ201" i="2"/>
  <c r="AZ197" i="2"/>
  <c r="AZ194" i="2"/>
  <c r="AZ221" i="2"/>
  <c r="AZ217" i="2"/>
  <c r="AZ214" i="2"/>
  <c r="AZ210" i="2"/>
  <c r="AZ207" i="2"/>
  <c r="AZ203" i="2"/>
  <c r="AZ200" i="2"/>
  <c r="AZ196" i="2"/>
  <c r="AZ193" i="2"/>
  <c r="AZ223" i="2"/>
  <c r="AZ220" i="2"/>
  <c r="AZ216" i="2"/>
  <c r="AZ213" i="2"/>
  <c r="AZ209" i="2"/>
  <c r="AZ206" i="2"/>
  <c r="AZ202" i="2"/>
  <c r="AZ199" i="2"/>
  <c r="AZ195" i="2"/>
  <c r="AZ192" i="2"/>
  <c r="AY212" i="2"/>
  <c r="AY219" i="2"/>
  <c r="AY198" i="2"/>
  <c r="AQ102" i="2"/>
  <c r="AX94" i="2"/>
  <c r="AX95" i="2" s="1"/>
  <c r="AY162" i="2"/>
  <c r="AY106" i="2"/>
  <c r="AY127" i="2"/>
  <c r="AY141" i="2"/>
  <c r="AY120" i="2"/>
  <c r="AY148" i="2"/>
  <c r="AY113" i="2"/>
  <c r="AZ160" i="2"/>
  <c r="AZ157" i="2"/>
  <c r="AZ153" i="2"/>
  <c r="AZ150" i="2"/>
  <c r="AZ146" i="2"/>
  <c r="AZ143" i="2"/>
  <c r="AZ139" i="2"/>
  <c r="AZ161" i="2"/>
  <c r="AZ154" i="2"/>
  <c r="AZ147" i="2"/>
  <c r="AZ145" i="2"/>
  <c r="AZ138" i="2"/>
  <c r="AZ140" i="2"/>
  <c r="AZ159" i="2"/>
  <c r="AZ152" i="2"/>
  <c r="AZ158" i="2"/>
  <c r="AZ119" i="2"/>
  <c r="AZ116" i="2"/>
  <c r="AZ111" i="2"/>
  <c r="AZ108" i="2"/>
  <c r="AZ133" i="2"/>
  <c r="AZ125" i="2"/>
  <c r="AZ122" i="2"/>
  <c r="AZ142" i="2"/>
  <c r="AZ114" i="2"/>
  <c r="AZ156" i="2"/>
  <c r="AZ129" i="2"/>
  <c r="AZ118" i="2"/>
  <c r="AZ115" i="2"/>
  <c r="AZ123" i="2"/>
  <c r="AZ135" i="2"/>
  <c r="AZ112" i="2"/>
  <c r="AZ151" i="2"/>
  <c r="AZ137" i="2"/>
  <c r="AZ132" i="2"/>
  <c r="AZ128" i="2"/>
  <c r="AZ136" i="2"/>
  <c r="AZ126" i="2"/>
  <c r="AZ131" i="2"/>
  <c r="AZ130" i="2"/>
  <c r="AZ117" i="2"/>
  <c r="AZ107" i="2"/>
  <c r="AZ149" i="2"/>
  <c r="AZ121" i="2"/>
  <c r="AZ110" i="2"/>
  <c r="AZ144" i="2"/>
  <c r="AZ124" i="2"/>
  <c r="AZ109" i="2"/>
  <c r="AY155" i="2"/>
  <c r="AY134" i="2"/>
  <c r="AV96" i="2"/>
  <c r="AW92" i="2"/>
  <c r="AW90" i="2" s="1"/>
  <c r="BA842" i="2"/>
  <c r="BA839" i="2"/>
  <c r="BA836" i="2"/>
  <c r="BA833" i="2"/>
  <c r="BA844" i="2"/>
  <c r="AZ814" i="2"/>
  <c r="BA834" i="2"/>
  <c r="AZ817" i="2"/>
  <c r="BA835" i="2"/>
  <c r="AZ813" i="2"/>
  <c r="AZ812" i="2"/>
  <c r="AZ811" i="2"/>
  <c r="AZ815" i="2"/>
  <c r="BA843" i="2"/>
  <c r="BA838" i="2"/>
  <c r="AZ807" i="2"/>
  <c r="AZ806" i="2"/>
  <c r="AZ808" i="2"/>
  <c r="BA837" i="2"/>
  <c r="BA841" i="2"/>
  <c r="AZ809" i="2"/>
  <c r="BA840" i="2"/>
  <c r="AZ816" i="2"/>
  <c r="AZ810" i="2"/>
  <c r="BB25" i="4"/>
  <c r="BB762" i="2"/>
  <c r="AY57" i="2"/>
  <c r="AY26" i="4" s="1"/>
  <c r="AU63" i="2"/>
  <c r="D904" i="2" s="1"/>
  <c r="AZ781" i="2"/>
  <c r="AZ778" i="2"/>
  <c r="AZ775" i="2"/>
  <c r="AZ772" i="2"/>
  <c r="AZ769" i="2"/>
  <c r="AZ766" i="2"/>
  <c r="AZ763" i="2"/>
  <c r="AZ780" i="2"/>
  <c r="AZ777" i="2"/>
  <c r="AZ774" i="2"/>
  <c r="AZ771" i="2"/>
  <c r="AZ768" i="2"/>
  <c r="AZ765" i="2"/>
  <c r="AZ782" i="2"/>
  <c r="AZ779" i="2"/>
  <c r="AZ776" i="2"/>
  <c r="AZ773" i="2"/>
  <c r="AZ770" i="2"/>
  <c r="AZ767" i="2"/>
  <c r="AZ764" i="2"/>
  <c r="AX64" i="2"/>
  <c r="AX27" i="4" s="1"/>
  <c r="BA59" i="2"/>
  <c r="AY68" i="2"/>
  <c r="BB189" i="2"/>
  <c r="BB190" i="2" s="1"/>
  <c r="AZ330" i="2"/>
  <c r="AZ528" i="2"/>
  <c r="AZ474" i="2"/>
  <c r="AZ339" i="2"/>
  <c r="AZ366" i="2"/>
  <c r="AZ348" i="2"/>
  <c r="AZ375" i="2"/>
  <c r="AZ357" i="2"/>
  <c r="AZ384" i="2"/>
  <c r="AZ321" i="2"/>
  <c r="AY75" i="2"/>
  <c r="AY545" i="2" s="1"/>
  <c r="AZ519" i="2"/>
  <c r="AZ492" i="2"/>
  <c r="AZ465" i="2"/>
  <c r="AZ510" i="2"/>
  <c r="AZ483" i="2"/>
  <c r="AZ456" i="2"/>
  <c r="AZ501" i="2"/>
  <c r="AZ187" i="2"/>
  <c r="AZ188" i="2"/>
  <c r="AZ186" i="2"/>
  <c r="BA190" i="2"/>
  <c r="AY664" i="2" l="1"/>
  <c r="AY285" i="2"/>
  <c r="AY665" i="2"/>
  <c r="AY286" i="2"/>
  <c r="AZ401" i="2"/>
  <c r="AZ410" i="2"/>
  <c r="AX163" i="2"/>
  <c r="BB797" i="2"/>
  <c r="BC824" i="2" s="1"/>
  <c r="BB784" i="2"/>
  <c r="AZ700" i="2"/>
  <c r="AZ727" i="2"/>
  <c r="AZ703" i="2"/>
  <c r="AZ730" i="2"/>
  <c r="AZ699" i="2"/>
  <c r="AZ726" i="2"/>
  <c r="AZ702" i="2"/>
  <c r="AZ729" i="2"/>
  <c r="AZ698" i="2"/>
  <c r="AZ725" i="2"/>
  <c r="AZ705" i="2"/>
  <c r="AZ732" i="2"/>
  <c r="AZ701" i="2"/>
  <c r="AZ728" i="2"/>
  <c r="AZ704" i="2"/>
  <c r="AZ731" i="2"/>
  <c r="AZ657" i="2"/>
  <c r="AZ681" i="2"/>
  <c r="AZ641" i="2"/>
  <c r="AZ649" i="2" s="1"/>
  <c r="AZ633" i="2"/>
  <c r="AZ689" i="2"/>
  <c r="AZ674" i="2"/>
  <c r="AZ682" i="2"/>
  <c r="AZ650" i="2"/>
  <c r="AZ626" i="2"/>
  <c r="AZ634" i="2"/>
  <c r="AZ642" i="2" s="1"/>
  <c r="AZ688" i="2"/>
  <c r="AZ640" i="2"/>
  <c r="AZ648" i="2" s="1"/>
  <c r="AZ680" i="2"/>
  <c r="AZ656" i="2"/>
  <c r="AZ632" i="2"/>
  <c r="AZ434" i="2"/>
  <c r="AZ429" i="2"/>
  <c r="AZ431" i="2"/>
  <c r="AZ430" i="2"/>
  <c r="AZ433" i="2"/>
  <c r="AZ436" i="2"/>
  <c r="AZ432" i="2"/>
  <c r="AZ435" i="2"/>
  <c r="AU100" i="2"/>
  <c r="AZ226" i="2"/>
  <c r="AZ219" i="2"/>
  <c r="AZ240" i="2"/>
  <c r="AZ191" i="2"/>
  <c r="AZ247" i="2"/>
  <c r="AZ198" i="2"/>
  <c r="BB246" i="2"/>
  <c r="BB243" i="2"/>
  <c r="BB239" i="2"/>
  <c r="BB236" i="2"/>
  <c r="BB232" i="2"/>
  <c r="BB229" i="2"/>
  <c r="BB225" i="2"/>
  <c r="BB245" i="2"/>
  <c r="BB242" i="2"/>
  <c r="BB238" i="2"/>
  <c r="BB235" i="2"/>
  <c r="BB231" i="2"/>
  <c r="BB228" i="2"/>
  <c r="BB224" i="2"/>
  <c r="BB244" i="2"/>
  <c r="BB241" i="2"/>
  <c r="BB237" i="2"/>
  <c r="BB234" i="2"/>
  <c r="BB230" i="2"/>
  <c r="BB227" i="2"/>
  <c r="BB222" i="2"/>
  <c r="BB218" i="2"/>
  <c r="BB215" i="2"/>
  <c r="BB211" i="2"/>
  <c r="BB208" i="2"/>
  <c r="BB204" i="2"/>
  <c r="BB201" i="2"/>
  <c r="BB197" i="2"/>
  <c r="BB194" i="2"/>
  <c r="BB221" i="2"/>
  <c r="BB217" i="2"/>
  <c r="BB214" i="2"/>
  <c r="BB210" i="2"/>
  <c r="BB207" i="2"/>
  <c r="BB203" i="2"/>
  <c r="BB200" i="2"/>
  <c r="BB196" i="2"/>
  <c r="BB193" i="2"/>
  <c r="BB223" i="2"/>
  <c r="BB220" i="2"/>
  <c r="BB216" i="2"/>
  <c r="BB213" i="2"/>
  <c r="BB209" i="2"/>
  <c r="BB206" i="2"/>
  <c r="BB202" i="2"/>
  <c r="BB199" i="2"/>
  <c r="BB195" i="2"/>
  <c r="BB192" i="2"/>
  <c r="AZ205" i="2"/>
  <c r="BA246" i="2"/>
  <c r="BA243" i="2"/>
  <c r="BA239" i="2"/>
  <c r="BA236" i="2"/>
  <c r="BA232" i="2"/>
  <c r="BA229" i="2"/>
  <c r="BA225" i="2"/>
  <c r="BA245" i="2"/>
  <c r="BA242" i="2"/>
  <c r="BA238" i="2"/>
  <c r="BA235" i="2"/>
  <c r="BA231" i="2"/>
  <c r="BA228" i="2"/>
  <c r="BA224" i="2"/>
  <c r="BA244" i="2"/>
  <c r="BA241" i="2"/>
  <c r="BA237" i="2"/>
  <c r="BA234" i="2"/>
  <c r="BA230" i="2"/>
  <c r="BA227" i="2"/>
  <c r="BA222" i="2"/>
  <c r="BA218" i="2"/>
  <c r="BA215" i="2"/>
  <c r="BA211" i="2"/>
  <c r="BA208" i="2"/>
  <c r="BA204" i="2"/>
  <c r="BA201" i="2"/>
  <c r="BA197" i="2"/>
  <c r="BA194" i="2"/>
  <c r="BA221" i="2"/>
  <c r="BA217" i="2"/>
  <c r="BA214" i="2"/>
  <c r="BA210" i="2"/>
  <c r="BA207" i="2"/>
  <c r="BA203" i="2"/>
  <c r="BA200" i="2"/>
  <c r="BA196" i="2"/>
  <c r="BA193" i="2"/>
  <c r="BA223" i="2"/>
  <c r="BA220" i="2"/>
  <c r="BA216" i="2"/>
  <c r="BA213" i="2"/>
  <c r="BA209" i="2"/>
  <c r="BA206" i="2"/>
  <c r="BA202" i="2"/>
  <c r="BA199" i="2"/>
  <c r="BA195" i="2"/>
  <c r="BA192" i="2"/>
  <c r="AZ212" i="2"/>
  <c r="AZ233" i="2"/>
  <c r="AX93" i="2"/>
  <c r="AY94" i="2"/>
  <c r="AY95" i="2" s="1"/>
  <c r="AZ162" i="2"/>
  <c r="AZ148" i="2"/>
  <c r="AZ134" i="2"/>
  <c r="BA161" i="2"/>
  <c r="BA158" i="2"/>
  <c r="BA154" i="2"/>
  <c r="BA151" i="2"/>
  <c r="BA147" i="2"/>
  <c r="BA144" i="2"/>
  <c r="BA140" i="2"/>
  <c r="BA160" i="2"/>
  <c r="BA157" i="2"/>
  <c r="BA153" i="2"/>
  <c r="BA150" i="2"/>
  <c r="BA146" i="2"/>
  <c r="BA143" i="2"/>
  <c r="BA139" i="2"/>
  <c r="BA145" i="2"/>
  <c r="BA138" i="2"/>
  <c r="BA135" i="2"/>
  <c r="BA131" i="2"/>
  <c r="BA159" i="2"/>
  <c r="BA152" i="2"/>
  <c r="BA137" i="2"/>
  <c r="BA119" i="2"/>
  <c r="BA133" i="2"/>
  <c r="BA125" i="2"/>
  <c r="BA122" i="2"/>
  <c r="BA142" i="2"/>
  <c r="BA156" i="2"/>
  <c r="BA129" i="2"/>
  <c r="BA132" i="2"/>
  <c r="BA128" i="2"/>
  <c r="BA124" i="2"/>
  <c r="BA121" i="2"/>
  <c r="BA115" i="2"/>
  <c r="BA110" i="2"/>
  <c r="BA112" i="2"/>
  <c r="BA108" i="2"/>
  <c r="BA117" i="2"/>
  <c r="BA123" i="2"/>
  <c r="BA126" i="2"/>
  <c r="BA118" i="2"/>
  <c r="BA149" i="2"/>
  <c r="BA114" i="2"/>
  <c r="BA116" i="2"/>
  <c r="BA107" i="2"/>
  <c r="BA136" i="2"/>
  <c r="BA111" i="2"/>
  <c r="BA109" i="2"/>
  <c r="BA130" i="2"/>
  <c r="AZ113" i="2"/>
  <c r="AZ155" i="2"/>
  <c r="AZ141" i="2"/>
  <c r="BB161" i="2"/>
  <c r="BB158" i="2"/>
  <c r="BB154" i="2"/>
  <c r="BB151" i="2"/>
  <c r="BB147" i="2"/>
  <c r="BB144" i="2"/>
  <c r="BB140" i="2"/>
  <c r="BB160" i="2"/>
  <c r="BB157" i="2"/>
  <c r="BB153" i="2"/>
  <c r="BB150" i="2"/>
  <c r="BB146" i="2"/>
  <c r="BB143" i="2"/>
  <c r="BB139" i="2"/>
  <c r="BB145" i="2"/>
  <c r="BB138" i="2"/>
  <c r="BB135" i="2"/>
  <c r="BB131" i="2"/>
  <c r="BB159" i="2"/>
  <c r="BB152" i="2"/>
  <c r="BB137" i="2"/>
  <c r="BB133" i="2"/>
  <c r="BB125" i="2"/>
  <c r="BB122" i="2"/>
  <c r="BB142" i="2"/>
  <c r="BB114" i="2"/>
  <c r="BB156" i="2"/>
  <c r="BB129" i="2"/>
  <c r="BB118" i="2"/>
  <c r="BB115" i="2"/>
  <c r="BB110" i="2"/>
  <c r="BB107" i="2"/>
  <c r="BB132" i="2"/>
  <c r="BB128" i="2"/>
  <c r="BB124" i="2"/>
  <c r="BB108" i="2"/>
  <c r="BB117" i="2"/>
  <c r="BB121" i="2"/>
  <c r="BB111" i="2"/>
  <c r="BB126" i="2"/>
  <c r="BB149" i="2"/>
  <c r="BB116" i="2"/>
  <c r="BB136" i="2"/>
  <c r="BB123" i="2"/>
  <c r="BB119" i="2"/>
  <c r="BB109" i="2"/>
  <c r="BB130" i="2"/>
  <c r="BB112" i="2"/>
  <c r="AZ127" i="2"/>
  <c r="AZ120" i="2"/>
  <c r="AZ106" i="2"/>
  <c r="AV100" i="2"/>
  <c r="AW96" i="2"/>
  <c r="BC842" i="2"/>
  <c r="BC839" i="2"/>
  <c r="BC836" i="2"/>
  <c r="BC833" i="2"/>
  <c r="BC843" i="2"/>
  <c r="BC834" i="2"/>
  <c r="BC840" i="2"/>
  <c r="BB811" i="2"/>
  <c r="BC844" i="2"/>
  <c r="BB814" i="2"/>
  <c r="BC841" i="2"/>
  <c r="BB817" i="2"/>
  <c r="BB812" i="2"/>
  <c r="BC837" i="2"/>
  <c r="BB809" i="2"/>
  <c r="BC835" i="2"/>
  <c r="BB807" i="2"/>
  <c r="BB816" i="2"/>
  <c r="BB813" i="2"/>
  <c r="BB815" i="2"/>
  <c r="BB806" i="2"/>
  <c r="BC838" i="2"/>
  <c r="BB808" i="2"/>
  <c r="BB810" i="2"/>
  <c r="BB844" i="2"/>
  <c r="BB839" i="2"/>
  <c r="BB834" i="2"/>
  <c r="BA817" i="2"/>
  <c r="BB843" i="2"/>
  <c r="BB836" i="2"/>
  <c r="BA811" i="2"/>
  <c r="BB841" i="2"/>
  <c r="BB840" i="2"/>
  <c r="BA812" i="2"/>
  <c r="BA808" i="2"/>
  <c r="BB842" i="2"/>
  <c r="BB837" i="2"/>
  <c r="BA809" i="2"/>
  <c r="BB835" i="2"/>
  <c r="BA807" i="2"/>
  <c r="BB833" i="2"/>
  <c r="BA814" i="2"/>
  <c r="BA816" i="2"/>
  <c r="BA813" i="2"/>
  <c r="BA815" i="2"/>
  <c r="BA806" i="2"/>
  <c r="BB838" i="2"/>
  <c r="BA810" i="2"/>
  <c r="AU66" i="2"/>
  <c r="F904" i="2" s="1"/>
  <c r="AZ57" i="2"/>
  <c r="AZ26" i="4" s="1"/>
  <c r="AY64" i="2"/>
  <c r="AY27" i="4" s="1"/>
  <c r="BB780" i="2"/>
  <c r="BB777" i="2"/>
  <c r="BB774" i="2"/>
  <c r="BB771" i="2"/>
  <c r="BB768" i="2"/>
  <c r="BB765" i="2"/>
  <c r="BB782" i="2"/>
  <c r="BB779" i="2"/>
  <c r="BB776" i="2"/>
  <c r="BB773" i="2"/>
  <c r="BB770" i="2"/>
  <c r="BB767" i="2"/>
  <c r="BB764" i="2"/>
  <c r="BB778" i="2"/>
  <c r="BB775" i="2"/>
  <c r="BB772" i="2"/>
  <c r="BB769" i="2"/>
  <c r="BB766" i="2"/>
  <c r="BB781" i="2"/>
  <c r="BB763" i="2"/>
  <c r="BA781" i="2"/>
  <c r="BA778" i="2"/>
  <c r="BA775" i="2"/>
  <c r="BA772" i="2"/>
  <c r="BA769" i="2"/>
  <c r="BA766" i="2"/>
  <c r="BA763" i="2"/>
  <c r="BA780" i="2"/>
  <c r="BA777" i="2"/>
  <c r="BA774" i="2"/>
  <c r="BA771" i="2"/>
  <c r="BA768" i="2"/>
  <c r="BA765" i="2"/>
  <c r="BA782" i="2"/>
  <c r="BA779" i="2"/>
  <c r="BA776" i="2"/>
  <c r="BA773" i="2"/>
  <c r="BA770" i="2"/>
  <c r="BA767" i="2"/>
  <c r="BA764" i="2"/>
  <c r="BB59" i="2"/>
  <c r="AZ68" i="2"/>
  <c r="BA330" i="2"/>
  <c r="BA474" i="2"/>
  <c r="BA528" i="2"/>
  <c r="BB330" i="2"/>
  <c r="BB528" i="2"/>
  <c r="BB474" i="2"/>
  <c r="BA348" i="2"/>
  <c r="BA375" i="2"/>
  <c r="BA339" i="2"/>
  <c r="BA384" i="2"/>
  <c r="BA321" i="2"/>
  <c r="BA357" i="2"/>
  <c r="BA366" i="2"/>
  <c r="BB384" i="2"/>
  <c r="BB348" i="2"/>
  <c r="BB375" i="2"/>
  <c r="BB357" i="2"/>
  <c r="BB321" i="2"/>
  <c r="BB339" i="2"/>
  <c r="BB366" i="2"/>
  <c r="AZ75" i="2"/>
  <c r="AZ545" i="2" s="1"/>
  <c r="BA519" i="2"/>
  <c r="BA492" i="2"/>
  <c r="BA465" i="2"/>
  <c r="BA510" i="2"/>
  <c r="BA483" i="2"/>
  <c r="BA456" i="2"/>
  <c r="BA501" i="2"/>
  <c r="BB519" i="2"/>
  <c r="BB492" i="2"/>
  <c r="BB465" i="2"/>
  <c r="BB510" i="2"/>
  <c r="BB483" i="2"/>
  <c r="BB456" i="2"/>
  <c r="BB501" i="2"/>
  <c r="BA188" i="2"/>
  <c r="BB188" i="2" s="1"/>
  <c r="BA187" i="2"/>
  <c r="BB187" i="2" s="1"/>
  <c r="BA186" i="2"/>
  <c r="AZ658" i="2" l="1"/>
  <c r="AZ279" i="2"/>
  <c r="AZ664" i="2"/>
  <c r="AZ285" i="2"/>
  <c r="AZ665" i="2"/>
  <c r="AZ286" i="2"/>
  <c r="BB401" i="2"/>
  <c r="BA410" i="2"/>
  <c r="BA401" i="2"/>
  <c r="BB410" i="2"/>
  <c r="AY163" i="2"/>
  <c r="AX248" i="2"/>
  <c r="BA698" i="2"/>
  <c r="BA725" i="2"/>
  <c r="BB705" i="2"/>
  <c r="BB732" i="2"/>
  <c r="BB704" i="2"/>
  <c r="BB731" i="2"/>
  <c r="BA699" i="2"/>
  <c r="BA726" i="2"/>
  <c r="BA702" i="2"/>
  <c r="BA729" i="2"/>
  <c r="BA705" i="2"/>
  <c r="BA732" i="2"/>
  <c r="BA701" i="2"/>
  <c r="BA728" i="2"/>
  <c r="BA704" i="2"/>
  <c r="BA731" i="2"/>
  <c r="BB699" i="2"/>
  <c r="BB726" i="2"/>
  <c r="BB702" i="2"/>
  <c r="BB729" i="2"/>
  <c r="BA700" i="2"/>
  <c r="BA727" i="2"/>
  <c r="BA703" i="2"/>
  <c r="BA730" i="2"/>
  <c r="BB698" i="2"/>
  <c r="BB725" i="2"/>
  <c r="BB701" i="2"/>
  <c r="BB728" i="2"/>
  <c r="BB700" i="2"/>
  <c r="BB727" i="2"/>
  <c r="BB703" i="2"/>
  <c r="BB730" i="2"/>
  <c r="BA683" i="2"/>
  <c r="BA635" i="2"/>
  <c r="BA643" i="2" s="1"/>
  <c r="BA651" i="2"/>
  <c r="BA627" i="2"/>
  <c r="BA675" i="2"/>
  <c r="BA682" i="2"/>
  <c r="BA674" i="2"/>
  <c r="BA650" i="2"/>
  <c r="BA634" i="2"/>
  <c r="BA642" i="2" s="1"/>
  <c r="BA626" i="2"/>
  <c r="BA681" i="2"/>
  <c r="BA657" i="2"/>
  <c r="BA633" i="2"/>
  <c r="BA641" i="2"/>
  <c r="BA649" i="2" s="1"/>
  <c r="BA689" i="2"/>
  <c r="BB684" i="2"/>
  <c r="BB652" i="2"/>
  <c r="BB636" i="2"/>
  <c r="BB644" i="2" s="1"/>
  <c r="BB628" i="2"/>
  <c r="BB676" i="2"/>
  <c r="BB651" i="2"/>
  <c r="BB627" i="2"/>
  <c r="BB675" i="2"/>
  <c r="BB683" i="2"/>
  <c r="BB635" i="2"/>
  <c r="BB643" i="2" s="1"/>
  <c r="BB682" i="2"/>
  <c r="BB674" i="2"/>
  <c r="BB626" i="2"/>
  <c r="BB650" i="2"/>
  <c r="BB634" i="2"/>
  <c r="BB642" i="2" s="1"/>
  <c r="BB433" i="2"/>
  <c r="BB432" i="2"/>
  <c r="BB435" i="2"/>
  <c r="BB436" i="2"/>
  <c r="BB429" i="2"/>
  <c r="BB431" i="2"/>
  <c r="BB434" i="2"/>
  <c r="BB430" i="2"/>
  <c r="BB186" i="2"/>
  <c r="BA431" i="2"/>
  <c r="BA436" i="2"/>
  <c r="BA432" i="2"/>
  <c r="BA435" i="2"/>
  <c r="BA434" i="2"/>
  <c r="BA430" i="2"/>
  <c r="BA433" i="2"/>
  <c r="BA429" i="2"/>
  <c r="O12" i="2"/>
  <c r="O10" i="2"/>
  <c r="O16" i="2"/>
  <c r="O13" i="2"/>
  <c r="O15" i="2"/>
  <c r="O11" i="2"/>
  <c r="O14" i="2"/>
  <c r="O17" i="2"/>
  <c r="BC115" i="2"/>
  <c r="BC199" i="2"/>
  <c r="BA205" i="2"/>
  <c r="BC214" i="2"/>
  <c r="BC209" i="2"/>
  <c r="BB233" i="2"/>
  <c r="BC245" i="2"/>
  <c r="BA240" i="2"/>
  <c r="BC216" i="2"/>
  <c r="BC206" i="2"/>
  <c r="BC156" i="2"/>
  <c r="BC145" i="2"/>
  <c r="BC154" i="2"/>
  <c r="BC139" i="2"/>
  <c r="BC158" i="2"/>
  <c r="BC210" i="2"/>
  <c r="BC222" i="2"/>
  <c r="BC242" i="2"/>
  <c r="BB226" i="2"/>
  <c r="BA233" i="2"/>
  <c r="BA226" i="2"/>
  <c r="BC217" i="2"/>
  <c r="BC230" i="2"/>
  <c r="BC225" i="2"/>
  <c r="BB212" i="2"/>
  <c r="BA247" i="2"/>
  <c r="BC192" i="2"/>
  <c r="BC223" i="2"/>
  <c r="BC197" i="2"/>
  <c r="BB240" i="2"/>
  <c r="BC241" i="2"/>
  <c r="BC236" i="2"/>
  <c r="BA191" i="2"/>
  <c r="BB205" i="2"/>
  <c r="BC201" i="2"/>
  <c r="BC244" i="2"/>
  <c r="BC239" i="2"/>
  <c r="BB191" i="2"/>
  <c r="BC194" i="2"/>
  <c r="BC204" i="2"/>
  <c r="BC224" i="2"/>
  <c r="BC243" i="2"/>
  <c r="BA219" i="2"/>
  <c r="BC229" i="2"/>
  <c r="BC237" i="2"/>
  <c r="BA198" i="2"/>
  <c r="BC193" i="2"/>
  <c r="BB247" i="2"/>
  <c r="BC196" i="2"/>
  <c r="BC208" i="2"/>
  <c r="BC228" i="2"/>
  <c r="BC246" i="2"/>
  <c r="BC195" i="2"/>
  <c r="BC200" i="2"/>
  <c r="BC211" i="2"/>
  <c r="BC231" i="2"/>
  <c r="BC221" i="2"/>
  <c r="BB219" i="2"/>
  <c r="BB198" i="2"/>
  <c r="BC203" i="2"/>
  <c r="BC215" i="2"/>
  <c r="BC235" i="2"/>
  <c r="BC232" i="2"/>
  <c r="BA212" i="2"/>
  <c r="BC202" i="2"/>
  <c r="BC207" i="2"/>
  <c r="BC218" i="2"/>
  <c r="BC238" i="2"/>
  <c r="AX92" i="2"/>
  <c r="AX90" i="2" s="1"/>
  <c r="AX96" i="2" s="1"/>
  <c r="AY93" i="2"/>
  <c r="BC126" i="2"/>
  <c r="BC129" i="2"/>
  <c r="BC138" i="2"/>
  <c r="BC151" i="2"/>
  <c r="AZ94" i="2"/>
  <c r="AZ163" i="2" s="1"/>
  <c r="BA127" i="2"/>
  <c r="BC117" i="2"/>
  <c r="BC143" i="2"/>
  <c r="BC161" i="2"/>
  <c r="BC112" i="2"/>
  <c r="BC150" i="2"/>
  <c r="BC133" i="2"/>
  <c r="BC123" i="2"/>
  <c r="BB162" i="2"/>
  <c r="BC131" i="2"/>
  <c r="BC144" i="2"/>
  <c r="BC118" i="2"/>
  <c r="BC135" i="2"/>
  <c r="BC147" i="2"/>
  <c r="BA162" i="2"/>
  <c r="BA120" i="2"/>
  <c r="BC108" i="2"/>
  <c r="BC122" i="2"/>
  <c r="BC146" i="2"/>
  <c r="BC114" i="2"/>
  <c r="BC130" i="2"/>
  <c r="BC125" i="2"/>
  <c r="BA106" i="2"/>
  <c r="BB155" i="2"/>
  <c r="BA134" i="2"/>
  <c r="BC136" i="2"/>
  <c r="BB113" i="2"/>
  <c r="BC110" i="2"/>
  <c r="BC159" i="2"/>
  <c r="BC140" i="2"/>
  <c r="BB120" i="2"/>
  <c r="BC121" i="2"/>
  <c r="BA113" i="2"/>
  <c r="BA148" i="2"/>
  <c r="BB106" i="2"/>
  <c r="BC109" i="2"/>
  <c r="BC119" i="2"/>
  <c r="BC124" i="2"/>
  <c r="BA155" i="2"/>
  <c r="BB134" i="2"/>
  <c r="BB141" i="2"/>
  <c r="BC142" i="2"/>
  <c r="BB127" i="2"/>
  <c r="BC128" i="2"/>
  <c r="BC153" i="2"/>
  <c r="BA141" i="2"/>
  <c r="BC111" i="2"/>
  <c r="BC132" i="2"/>
  <c r="BC137" i="2"/>
  <c r="BC157" i="2"/>
  <c r="BB148" i="2"/>
  <c r="BC149" i="2"/>
  <c r="BC116" i="2"/>
  <c r="BC107" i="2"/>
  <c r="BC152" i="2"/>
  <c r="BC160" i="2"/>
  <c r="AW100" i="2"/>
  <c r="BC766" i="2"/>
  <c r="BC763" i="2"/>
  <c r="BA57" i="2"/>
  <c r="BB57" i="2"/>
  <c r="BB26" i="4" s="1"/>
  <c r="BC770" i="2"/>
  <c r="AZ64" i="2"/>
  <c r="AZ27" i="4" s="1"/>
  <c r="BC775" i="2"/>
  <c r="BD775" i="2" s="1"/>
  <c r="BC774" i="2"/>
  <c r="BD774" i="2" s="1"/>
  <c r="BC764" i="2"/>
  <c r="BC780" i="2"/>
  <c r="BD780" i="2" s="1"/>
  <c r="BC767" i="2"/>
  <c r="BC773" i="2"/>
  <c r="BD773" i="2" s="1"/>
  <c r="BC776" i="2"/>
  <c r="BD776" i="2" s="1"/>
  <c r="BC779" i="2"/>
  <c r="BD779" i="2" s="1"/>
  <c r="BC781" i="2"/>
  <c r="BD781" i="2" s="1"/>
  <c r="BC782" i="2"/>
  <c r="BD782" i="2" s="1"/>
  <c r="BC765" i="2"/>
  <c r="BC769" i="2"/>
  <c r="BC768" i="2"/>
  <c r="BC772" i="2"/>
  <c r="BD772" i="2" s="1"/>
  <c r="BC771" i="2"/>
  <c r="BD771" i="2" s="1"/>
  <c r="BC778" i="2"/>
  <c r="BD778" i="2" s="1"/>
  <c r="BC777" i="2"/>
  <c r="BD777" i="2" s="1"/>
  <c r="BC330" i="2"/>
  <c r="BC528" i="2"/>
  <c r="BC474" i="2"/>
  <c r="BA68" i="2"/>
  <c r="BC375" i="2"/>
  <c r="BC348" i="2"/>
  <c r="BB68" i="2"/>
  <c r="BC366" i="2"/>
  <c r="BC519" i="2"/>
  <c r="BC339" i="2"/>
  <c r="BC321" i="2"/>
  <c r="BC357" i="2"/>
  <c r="BB75" i="2"/>
  <c r="BB545" i="2" s="1"/>
  <c r="BC465" i="2"/>
  <c r="BA75" i="2"/>
  <c r="BA545" i="2" s="1"/>
  <c r="BC501" i="2"/>
  <c r="BC456" i="2"/>
  <c r="BC483" i="2"/>
  <c r="BC510" i="2"/>
  <c r="BC492" i="2"/>
  <c r="BA659" i="2" l="1"/>
  <c r="BA280" i="2"/>
  <c r="BA665" i="2"/>
  <c r="BA286" i="2"/>
  <c r="BB659" i="2"/>
  <c r="BB280" i="2"/>
  <c r="BA658" i="2"/>
  <c r="BA279" i="2"/>
  <c r="BB658" i="2"/>
  <c r="BB279" i="2"/>
  <c r="BB660" i="2"/>
  <c r="BB281" i="2"/>
  <c r="AY248" i="2"/>
  <c r="BC704" i="2"/>
  <c r="BC699" i="2"/>
  <c r="BC702" i="2"/>
  <c r="BC701" i="2"/>
  <c r="BC703" i="2"/>
  <c r="BC705" i="2"/>
  <c r="BC698" i="2"/>
  <c r="BC700" i="2"/>
  <c r="L16" i="2"/>
  <c r="P16" i="2"/>
  <c r="M16" i="2"/>
  <c r="P11" i="2"/>
  <c r="L11" i="2"/>
  <c r="M11" i="2"/>
  <c r="L13" i="2"/>
  <c r="M13" i="2"/>
  <c r="P13" i="2"/>
  <c r="P15" i="2"/>
  <c r="L15" i="2"/>
  <c r="M15" i="2"/>
  <c r="L17" i="2"/>
  <c r="P17" i="2"/>
  <c r="M17" i="2"/>
  <c r="AE3" i="2"/>
  <c r="L10" i="2"/>
  <c r="M10" i="2"/>
  <c r="P10" i="2"/>
  <c r="L14" i="2"/>
  <c r="P14" i="2"/>
  <c r="M14" i="2"/>
  <c r="P12" i="2"/>
  <c r="L12" i="2"/>
  <c r="M12" i="2"/>
  <c r="BC429" i="2"/>
  <c r="BC435" i="2"/>
  <c r="BC432" i="2"/>
  <c r="BC436" i="2"/>
  <c r="BC433" i="2"/>
  <c r="BC434" i="2"/>
  <c r="BC430" i="2"/>
  <c r="BC431" i="2"/>
  <c r="BC205" i="2"/>
  <c r="BC240" i="2"/>
  <c r="BC191" i="2"/>
  <c r="BC198" i="2"/>
  <c r="BC148" i="2"/>
  <c r="AY92" i="2"/>
  <c r="AY90" i="2" s="1"/>
  <c r="AY96" i="2" s="1"/>
  <c r="AZ95" i="2"/>
  <c r="AZ93" i="2"/>
  <c r="BC127" i="2"/>
  <c r="BC134" i="2"/>
  <c r="BB94" i="2"/>
  <c r="BB95" i="2" s="1"/>
  <c r="BA94" i="2"/>
  <c r="BA163" i="2" s="1"/>
  <c r="BC120" i="2"/>
  <c r="BC162" i="2"/>
  <c r="BC141" i="2"/>
  <c r="BC113" i="2"/>
  <c r="BC155" i="2"/>
  <c r="BC106" i="2"/>
  <c r="BC212" i="2"/>
  <c r="AU102" i="2"/>
  <c r="BC213" i="2"/>
  <c r="AX100" i="2"/>
  <c r="BC57" i="2"/>
  <c r="AP58" i="2"/>
  <c r="C935" i="2" s="1"/>
  <c r="AY63" i="2"/>
  <c r="D905" i="2" s="1"/>
  <c r="BA26" i="4"/>
  <c r="BC809" i="2"/>
  <c r="BC807" i="2"/>
  <c r="BC810" i="2"/>
  <c r="BA64" i="2"/>
  <c r="BA27" i="4" s="1"/>
  <c r="AY70" i="2"/>
  <c r="BB64" i="2"/>
  <c r="BB27" i="4" s="1"/>
  <c r="AP76" i="2"/>
  <c r="BC76" i="2" s="1"/>
  <c r="BC75" i="2"/>
  <c r="BC545" i="2" s="1"/>
  <c r="AY77" i="2"/>
  <c r="BC77" i="2" s="1"/>
  <c r="AZ248" i="2" l="1"/>
  <c r="BB163" i="2"/>
  <c r="K37" i="2"/>
  <c r="M4" i="2"/>
  <c r="H37" i="2" s="1"/>
  <c r="M3" i="2"/>
  <c r="H38" i="2"/>
  <c r="H39" i="2"/>
  <c r="N39" i="2" s="1"/>
  <c r="Q39" i="2" s="1"/>
  <c r="R39" i="2" s="1"/>
  <c r="X39" i="2" s="1"/>
  <c r="AA39" i="2" s="1"/>
  <c r="C9" i="1"/>
  <c r="AZ92" i="2"/>
  <c r="AZ90" i="2" s="1"/>
  <c r="BA93" i="2"/>
  <c r="BA95" i="2"/>
  <c r="BC95" i="2" s="1"/>
  <c r="BC94" i="2"/>
  <c r="BC163" i="2" s="1"/>
  <c r="BC233" i="2"/>
  <c r="BC220" i="2"/>
  <c r="AY100" i="2"/>
  <c r="AY66" i="2"/>
  <c r="F905" i="2" s="1"/>
  <c r="BC817" i="2"/>
  <c r="BC815" i="2"/>
  <c r="BC812" i="2"/>
  <c r="BC813" i="2"/>
  <c r="BC58" i="2"/>
  <c r="BC806" i="2"/>
  <c r="BC63" i="2"/>
  <c r="BC811" i="2"/>
  <c r="BC808" i="2"/>
  <c r="BC814" i="2"/>
  <c r="BC816" i="2"/>
  <c r="E15" i="1"/>
  <c r="G15" i="1" s="1"/>
  <c r="F47" i="1"/>
  <c r="BF77" i="2"/>
  <c r="BG77" i="2" s="1"/>
  <c r="BA248" i="2" l="1"/>
  <c r="N37" i="2"/>
  <c r="Q37" i="2" s="1"/>
  <c r="R37" i="2" s="1"/>
  <c r="H36" i="2"/>
  <c r="C67" i="2"/>
  <c r="M5" i="2"/>
  <c r="K34" i="2" s="1"/>
  <c r="N34" i="2" s="1"/>
  <c r="Q34" i="2" s="1"/>
  <c r="R34" i="2" s="1"/>
  <c r="E69" i="1"/>
  <c r="F69" i="1" s="1"/>
  <c r="E45" i="1"/>
  <c r="F45" i="1" s="1"/>
  <c r="E63" i="1"/>
  <c r="F63" i="1" s="1"/>
  <c r="E57" i="1"/>
  <c r="F57" i="1" s="1"/>
  <c r="E43" i="1"/>
  <c r="F43" i="1" s="1"/>
  <c r="E70" i="1"/>
  <c r="F70" i="1" s="1"/>
  <c r="E56" i="1"/>
  <c r="F56" i="1" s="1"/>
  <c r="E46" i="1"/>
  <c r="F46" i="1" s="1"/>
  <c r="E44" i="1"/>
  <c r="F44" i="1" s="1"/>
  <c r="E9" i="1"/>
  <c r="E75" i="1"/>
  <c r="F75" i="1" s="1"/>
  <c r="E59" i="1"/>
  <c r="F59" i="1" s="1"/>
  <c r="E73" i="1"/>
  <c r="F73" i="1" s="1"/>
  <c r="C32" i="1"/>
  <c r="E62" i="1"/>
  <c r="F62" i="1" s="1"/>
  <c r="L28" i="1"/>
  <c r="L26" i="1" s="1"/>
  <c r="E74" i="1"/>
  <c r="F74" i="1" s="1"/>
  <c r="E71" i="1"/>
  <c r="F71" i="1" s="1"/>
  <c r="E61" i="1"/>
  <c r="F61" i="1" s="1"/>
  <c r="E58" i="1"/>
  <c r="F58" i="1" s="1"/>
  <c r="E72" i="1"/>
  <c r="F72" i="1" s="1"/>
  <c r="E60" i="1"/>
  <c r="F60" i="1" s="1"/>
  <c r="E55" i="1"/>
  <c r="F55" i="1" s="1"/>
  <c r="AZ96" i="2"/>
  <c r="BA92" i="2"/>
  <c r="BA90" i="2" s="1"/>
  <c r="BA96" i="2" s="1"/>
  <c r="BC219" i="2"/>
  <c r="I3" i="1"/>
  <c r="I4" i="1" s="1"/>
  <c r="E12" i="1"/>
  <c r="G12" i="1" s="1"/>
  <c r="BB93" i="2"/>
  <c r="BC227" i="2"/>
  <c r="BC234" i="2"/>
  <c r="H15" i="1"/>
  <c r="BB248" i="2" l="1"/>
  <c r="E893" i="2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32" i="2"/>
  <c r="E933" i="2" s="1"/>
  <c r="E934" i="2" s="1"/>
  <c r="E935" i="2" s="1"/>
  <c r="E909" i="2"/>
  <c r="BC67" i="2"/>
  <c r="G67" i="2"/>
  <c r="K67" i="2" s="1"/>
  <c r="O67" i="2" s="1"/>
  <c r="S67" i="2" s="1"/>
  <c r="W67" i="2" s="1"/>
  <c r="AA67" i="2" s="1"/>
  <c r="AE67" i="2" s="1"/>
  <c r="AI67" i="2" s="1"/>
  <c r="AM67" i="2" s="1"/>
  <c r="AQ67" i="2" s="1"/>
  <c r="AU67" i="2" s="1"/>
  <c r="AY67" i="2" s="1"/>
  <c r="F48" i="1"/>
  <c r="F64" i="1"/>
  <c r="E78" i="1"/>
  <c r="F21" i="1" s="1"/>
  <c r="G21" i="1" s="1"/>
  <c r="C38" i="1" s="1"/>
  <c r="E38" i="1" s="1"/>
  <c r="F38" i="1" s="1"/>
  <c r="G38" i="1" s="1"/>
  <c r="E48" i="1"/>
  <c r="F18" i="1" s="1"/>
  <c r="G18" i="1" s="1"/>
  <c r="F78" i="1"/>
  <c r="E64" i="1"/>
  <c r="F20" i="1" s="1"/>
  <c r="G20" i="1" s="1"/>
  <c r="C37" i="1" s="1"/>
  <c r="E37" i="1" s="1"/>
  <c r="F37" i="1" s="1"/>
  <c r="G37" i="1" s="1"/>
  <c r="D36" i="1"/>
  <c r="E36" i="1" s="1"/>
  <c r="C10" i="4" s="1"/>
  <c r="L22" i="1"/>
  <c r="L20" i="1" s="1"/>
  <c r="AZ100" i="2"/>
  <c r="BC247" i="2"/>
  <c r="C29" i="1"/>
  <c r="H12" i="1"/>
  <c r="BA100" i="2"/>
  <c r="BC226" i="2"/>
  <c r="E910" i="2" l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4" i="2"/>
  <c r="E925" i="2" s="1"/>
  <c r="E926" i="2" s="1"/>
  <c r="E927" i="2" s="1"/>
  <c r="E928" i="2" s="1"/>
  <c r="E929" i="2" s="1"/>
  <c r="C12" i="4"/>
  <c r="H21" i="1"/>
  <c r="C11" i="4"/>
  <c r="H20" i="1"/>
  <c r="F36" i="1"/>
  <c r="G36" i="1" s="1"/>
  <c r="BB92" i="2"/>
  <c r="BB90" i="2" s="1"/>
  <c r="BC93" i="2"/>
  <c r="BC248" i="2" s="1"/>
  <c r="C35" i="1"/>
  <c r="E35" i="1" s="1"/>
  <c r="F35" i="1" s="1"/>
  <c r="G35" i="1" s="1"/>
  <c r="H18" i="1"/>
  <c r="H6" i="2" l="1"/>
  <c r="BB96" i="2"/>
  <c r="C9" i="4"/>
  <c r="H5" i="2" l="1"/>
  <c r="C6" i="2" s="1"/>
  <c r="K35" i="2"/>
  <c r="N35" i="2" s="1"/>
  <c r="Q35" i="2" s="1"/>
  <c r="R35" i="2" s="1"/>
  <c r="AY102" i="2"/>
  <c r="BB100" i="2"/>
  <c r="AP101" i="2"/>
  <c r="BC96" i="2"/>
  <c r="R2" i="2" l="1"/>
  <c r="K38" i="2"/>
  <c r="N38" i="2" s="1"/>
  <c r="Q38" i="2" s="1"/>
  <c r="R38" i="2" s="1"/>
  <c r="BC92" i="2"/>
  <c r="I2" i="1" s="1"/>
  <c r="D8" i="1" s="1"/>
  <c r="BC90" i="2" l="1"/>
  <c r="F4" i="1"/>
  <c r="F5" i="1" s="1"/>
  <c r="C100" i="2" l="1"/>
  <c r="C102" i="2"/>
  <c r="C101" i="2"/>
  <c r="G4" i="1"/>
  <c r="L7" i="1"/>
  <c r="L6" i="1" s="1"/>
  <c r="L3" i="1" l="1"/>
  <c r="E8" i="1" l="1"/>
  <c r="F8" i="1" s="1"/>
  <c r="E16" i="1" s="1"/>
  <c r="M3" i="1"/>
  <c r="AP68" i="2" l="1"/>
  <c r="AC68" i="2"/>
  <c r="P68" i="2"/>
  <c r="C68" i="2"/>
  <c r="BC384" i="2"/>
  <c r="BC401" i="2" l="1"/>
  <c r="BC410" i="2"/>
  <c r="C70" i="2"/>
  <c r="C66" i="2" s="1"/>
  <c r="F924" i="2" s="1"/>
  <c r="P69" i="2"/>
  <c r="P65" i="2" s="1"/>
  <c r="F933" i="2" s="1"/>
  <c r="AA70" i="2"/>
  <c r="AA66" i="2" s="1"/>
  <c r="F899" i="2" s="1"/>
  <c r="AM70" i="2"/>
  <c r="AM66" i="2" s="1"/>
  <c r="F902" i="2" s="1"/>
  <c r="AP64" i="2"/>
  <c r="P64" i="2"/>
  <c r="O70" i="2"/>
  <c r="O66" i="2" s="1"/>
  <c r="C69" i="2"/>
  <c r="C65" i="2" s="1"/>
  <c r="AC64" i="2"/>
  <c r="C64" i="2"/>
  <c r="AP69" i="2"/>
  <c r="AP65" i="2" s="1"/>
  <c r="F935" i="2" s="1"/>
  <c r="BC68" i="2"/>
  <c r="AC69" i="2"/>
  <c r="AC65" i="2" s="1"/>
  <c r="F909" i="2" l="1"/>
  <c r="BC64" i="2"/>
  <c r="E14" i="1" s="1"/>
  <c r="K36" i="2"/>
  <c r="N36" i="2" s="1"/>
  <c r="Q36" i="2" s="1"/>
  <c r="R36" i="2" s="1"/>
  <c r="F932" i="2"/>
  <c r="F934" i="2"/>
  <c r="F927" i="2"/>
  <c r="P27" i="4"/>
  <c r="AP27" i="4"/>
  <c r="F896" i="2"/>
  <c r="BC70" i="2"/>
  <c r="BC66" i="2" s="1"/>
  <c r="AC27" i="4"/>
  <c r="C27" i="4"/>
  <c r="BC69" i="2"/>
  <c r="BC65" i="2" s="1"/>
  <c r="BF76" i="2"/>
  <c r="BG76" i="2" s="1"/>
  <c r="F893" i="2"/>
  <c r="G14" i="1" l="1"/>
  <c r="C31" i="1" s="1"/>
  <c r="L5" i="1" l="1"/>
  <c r="M5" i="1" s="1"/>
  <c r="H14" i="1"/>
  <c r="BC102" i="2" l="1"/>
  <c r="BC101" i="2"/>
  <c r="BC100" i="2"/>
  <c r="G5" i="1"/>
  <c r="BE6" i="3"/>
  <c r="BE9" i="3"/>
  <c r="BE10" i="3"/>
  <c r="BE7" i="3"/>
  <c r="BE5" i="3"/>
  <c r="BE8" i="3"/>
  <c r="C302" i="3"/>
  <c r="C303" i="3"/>
  <c r="C304" i="3"/>
  <c r="C305" i="3"/>
  <c r="C307" i="3"/>
  <c r="BE4" i="3"/>
  <c r="C301" i="3"/>
  <c r="BE3" i="3"/>
  <c r="C278" i="2" l="1"/>
  <c r="C741" i="2" s="1"/>
  <c r="BD770" i="2"/>
  <c r="C277" i="2"/>
  <c r="C740" i="2" s="1"/>
  <c r="BD769" i="2"/>
  <c r="C271" i="2"/>
  <c r="C734" i="2" s="1"/>
  <c r="BD763" i="2"/>
  <c r="C275" i="2"/>
  <c r="C738" i="2" s="1"/>
  <c r="BD767" i="2"/>
  <c r="C272" i="2"/>
  <c r="C735" i="2" s="1"/>
  <c r="BD764" i="2"/>
  <c r="C274" i="2"/>
  <c r="C737" i="2" s="1"/>
  <c r="BD766" i="2"/>
  <c r="C273" i="2"/>
  <c r="C736" i="2" s="1"/>
  <c r="BD765" i="2"/>
  <c r="C276" i="2"/>
  <c r="C739" i="2" s="1"/>
  <c r="BD768" i="2"/>
  <c r="X798" i="2"/>
  <c r="N804" i="2"/>
  <c r="AM805" i="2"/>
  <c r="U799" i="2"/>
  <c r="T803" i="2"/>
  <c r="J801" i="2"/>
  <c r="AF798" i="2"/>
  <c r="AW802" i="2"/>
  <c r="U804" i="2"/>
  <c r="AX801" i="2"/>
  <c r="AS800" i="2"/>
  <c r="AN798" i="2"/>
  <c r="J803" i="2"/>
  <c r="F800" i="2"/>
  <c r="BB804" i="2"/>
  <c r="D804" i="2"/>
  <c r="T805" i="2"/>
  <c r="AX803" i="2"/>
  <c r="U800" i="2"/>
  <c r="AK799" i="2"/>
  <c r="T801" i="2"/>
  <c r="M799" i="2"/>
  <c r="N799" i="2"/>
  <c r="AO804" i="2"/>
  <c r="AE801" i="2"/>
  <c r="L799" i="2"/>
  <c r="H801" i="2"/>
  <c r="F801" i="2"/>
  <c r="AK802" i="2"/>
  <c r="AF799" i="2"/>
  <c r="T800" i="2"/>
  <c r="AD802" i="2"/>
  <c r="AW804" i="2"/>
  <c r="L798" i="2"/>
  <c r="AF803" i="2"/>
  <c r="AT800" i="2"/>
  <c r="P800" i="2"/>
  <c r="AL804" i="2"/>
  <c r="C800" i="2"/>
  <c r="L800" i="2"/>
  <c r="AG802" i="2"/>
  <c r="AJ799" i="2"/>
  <c r="AJ805" i="2"/>
  <c r="E799" i="2"/>
  <c r="AT805" i="2"/>
  <c r="O802" i="2"/>
  <c r="L803" i="2"/>
  <c r="AN799" i="2"/>
  <c r="M803" i="2"/>
  <c r="J802" i="2"/>
  <c r="AY804" i="2"/>
  <c r="AL805" i="2"/>
  <c r="AO800" i="2"/>
  <c r="V799" i="2"/>
  <c r="AN805" i="2"/>
  <c r="AX802" i="2"/>
  <c r="BB803" i="2"/>
  <c r="V801" i="2"/>
  <c r="Z799" i="2"/>
  <c r="AW798" i="2"/>
  <c r="T798" i="2"/>
  <c r="AM798" i="2"/>
  <c r="AA803" i="2"/>
  <c r="AN801" i="2"/>
  <c r="BB805" i="2"/>
  <c r="F798" i="2"/>
  <c r="E802" i="2"/>
  <c r="AL803" i="2"/>
  <c r="AV804" i="2"/>
  <c r="X803" i="2"/>
  <c r="AR805" i="2"/>
  <c r="X802" i="2"/>
  <c r="Y800" i="2"/>
  <c r="AR799" i="2"/>
  <c r="E800" i="2"/>
  <c r="AG799" i="2"/>
  <c r="AB805" i="2"/>
  <c r="AD799" i="2"/>
  <c r="S802" i="2"/>
  <c r="AK801" i="2"/>
  <c r="W799" i="2"/>
  <c r="AM799" i="2"/>
  <c r="K800" i="2"/>
  <c r="AU802" i="2"/>
  <c r="AW803" i="2"/>
  <c r="V800" i="2"/>
  <c r="AI804" i="2"/>
  <c r="AP799" i="2"/>
  <c r="J805" i="2"/>
  <c r="BA802" i="2"/>
  <c r="P799" i="2"/>
  <c r="AU805" i="2"/>
  <c r="AM802" i="2"/>
  <c r="AQ800" i="2"/>
  <c r="I799" i="2"/>
  <c r="U805" i="2"/>
  <c r="AB800" i="2"/>
  <c r="D802" i="2"/>
  <c r="AP802" i="2"/>
  <c r="AH803" i="2"/>
  <c r="AS799" i="2"/>
  <c r="D800" i="2"/>
  <c r="C801" i="2"/>
  <c r="S798" i="2"/>
  <c r="O799" i="2"/>
  <c r="AE805" i="2"/>
  <c r="AE802" i="2"/>
  <c r="AZ803" i="2"/>
  <c r="U802" i="2"/>
  <c r="L802" i="2"/>
  <c r="AP805" i="2"/>
  <c r="H804" i="2"/>
  <c r="AZ799" i="2"/>
  <c r="AF800" i="2"/>
  <c r="I802" i="2"/>
  <c r="P803" i="2"/>
  <c r="AZ798" i="2"/>
  <c r="Z802" i="2"/>
  <c r="M802" i="2"/>
  <c r="J804" i="2"/>
  <c r="AI801" i="2"/>
  <c r="AU801" i="2"/>
  <c r="AS801" i="2"/>
  <c r="G802" i="2"/>
  <c r="L804" i="2"/>
  <c r="BB798" i="2"/>
  <c r="E798" i="2"/>
  <c r="AC800" i="2"/>
  <c r="AV799" i="2"/>
  <c r="R801" i="2"/>
  <c r="H800" i="2"/>
  <c r="AD800" i="2"/>
  <c r="AC801" i="2"/>
  <c r="C799" i="2"/>
  <c r="AS798" i="2"/>
  <c r="AV798" i="2"/>
  <c r="BA798" i="2"/>
  <c r="AV805" i="2"/>
  <c r="AA805" i="2"/>
  <c r="AG805" i="2"/>
  <c r="I804" i="2"/>
  <c r="AY802" i="2"/>
  <c r="AK804" i="2"/>
  <c r="AA800" i="2"/>
  <c r="BA800" i="2"/>
  <c r="I800" i="2"/>
  <c r="AM801" i="2"/>
  <c r="E803" i="2"/>
  <c r="W805" i="2"/>
  <c r="F803" i="2"/>
  <c r="BA805" i="2"/>
  <c r="AG804" i="2"/>
  <c r="G799" i="2"/>
  <c r="Z798" i="2"/>
  <c r="AB798" i="2"/>
  <c r="AS805" i="2"/>
  <c r="V805" i="2"/>
  <c r="M800" i="2"/>
  <c r="M798" i="2"/>
  <c r="Z801" i="2"/>
  <c r="AB804" i="2"/>
  <c r="AC799" i="2"/>
  <c r="AU798" i="2"/>
  <c r="Y801" i="2"/>
  <c r="Q802" i="2"/>
  <c r="AW800" i="2"/>
  <c r="AE804" i="2"/>
  <c r="I803" i="2"/>
  <c r="AC802" i="2"/>
  <c r="AT802" i="2"/>
  <c r="Q800" i="2"/>
  <c r="AX798" i="2"/>
  <c r="AQ798" i="2"/>
  <c r="AN800" i="2"/>
  <c r="G801" i="2"/>
  <c r="AL802" i="2"/>
  <c r="N802" i="2"/>
  <c r="AZ802" i="2"/>
  <c r="R803" i="2"/>
  <c r="BB801" i="2"/>
  <c r="AQ799" i="2"/>
  <c r="T799" i="2"/>
  <c r="AI800" i="2"/>
  <c r="H805" i="2"/>
  <c r="R802" i="2"/>
  <c r="AG803" i="2"/>
  <c r="O801" i="2"/>
  <c r="Q799" i="2"/>
  <c r="AP804" i="2"/>
  <c r="AO799" i="2"/>
  <c r="AZ804" i="2"/>
  <c r="AY800" i="2"/>
  <c r="AP800" i="2"/>
  <c r="I801" i="2"/>
  <c r="AW799" i="2"/>
  <c r="AE799" i="2"/>
  <c r="S804" i="2"/>
  <c r="AQ803" i="2"/>
  <c r="Z800" i="2"/>
  <c r="AR804" i="2"/>
  <c r="AI803" i="2"/>
  <c r="G803" i="2"/>
  <c r="AH801" i="2"/>
  <c r="D798" i="2"/>
  <c r="S805" i="2"/>
  <c r="AR802" i="2"/>
  <c r="AH800" i="2"/>
  <c r="BB800" i="2"/>
  <c r="AX804" i="2"/>
  <c r="S800" i="2"/>
  <c r="W798" i="2"/>
  <c r="J798" i="2"/>
  <c r="AY798" i="2"/>
  <c r="Q803" i="2"/>
  <c r="G798" i="2"/>
  <c r="AV800" i="2"/>
  <c r="AY805" i="2"/>
  <c r="O800" i="2"/>
  <c r="AW805" i="2"/>
  <c r="I805" i="2"/>
  <c r="AH805" i="2"/>
  <c r="R798" i="2"/>
  <c r="T802" i="2"/>
  <c r="AD803" i="2"/>
  <c r="K799" i="2"/>
  <c r="I798" i="2"/>
  <c r="AA801" i="2"/>
  <c r="D803" i="2"/>
  <c r="AK800" i="2"/>
  <c r="AY801" i="2"/>
  <c r="D805" i="2"/>
  <c r="F799" i="2"/>
  <c r="K801" i="2"/>
  <c r="AS803" i="2"/>
  <c r="AJ801" i="2"/>
  <c r="AL800" i="2"/>
  <c r="X801" i="2"/>
  <c r="AI802" i="2"/>
  <c r="H803" i="2"/>
  <c r="AA798" i="2"/>
  <c r="AW801" i="2"/>
  <c r="BB802" i="2"/>
  <c r="P802" i="2"/>
  <c r="AP801" i="2"/>
  <c r="L801" i="2"/>
  <c r="D799" i="2"/>
  <c r="X805" i="2"/>
  <c r="AF801" i="2"/>
  <c r="W801" i="2"/>
  <c r="AT798" i="2"/>
  <c r="AO798" i="2"/>
  <c r="V803" i="2"/>
  <c r="T804" i="2"/>
  <c r="AL801" i="2"/>
  <c r="Q801" i="2"/>
  <c r="AF802" i="2"/>
  <c r="Q805" i="2"/>
  <c r="AK805" i="2"/>
  <c r="BB799" i="2"/>
  <c r="AS802" i="2"/>
  <c r="AD805" i="2"/>
  <c r="AE798" i="2"/>
  <c r="AD798" i="2"/>
  <c r="AO801" i="2"/>
  <c r="AD804" i="2"/>
  <c r="W800" i="2"/>
  <c r="AQ804" i="2"/>
  <c r="AP803" i="2"/>
  <c r="AT803" i="2"/>
  <c r="AJ800" i="2"/>
  <c r="W803" i="2"/>
  <c r="N800" i="2"/>
  <c r="J800" i="2"/>
  <c r="E804" i="2"/>
  <c r="M804" i="2"/>
  <c r="AN802" i="2"/>
  <c r="AX805" i="2"/>
  <c r="AI805" i="2"/>
  <c r="O803" i="2"/>
  <c r="N805" i="2"/>
  <c r="AU799" i="2"/>
  <c r="AI798" i="2"/>
  <c r="V798" i="2"/>
  <c r="BE23" i="3"/>
  <c r="N798" i="2"/>
  <c r="C798" i="2"/>
  <c r="AR798" i="2"/>
  <c r="Q798" i="2"/>
  <c r="K802" i="2"/>
  <c r="AG798" i="2"/>
  <c r="U798" i="2"/>
  <c r="Z803" i="2"/>
  <c r="AG801" i="2"/>
  <c r="O804" i="2"/>
  <c r="AV802" i="2"/>
  <c r="E805" i="2"/>
  <c r="L805" i="2"/>
  <c r="AJ798" i="2"/>
  <c r="AC798" i="2"/>
  <c r="AL798" i="2"/>
  <c r="V804" i="2"/>
  <c r="W802" i="2"/>
  <c r="S803" i="2"/>
  <c r="AG800" i="2"/>
  <c r="AA799" i="2"/>
  <c r="R804" i="2"/>
  <c r="BA804" i="2"/>
  <c r="AK803" i="2"/>
  <c r="AU800" i="2"/>
  <c r="R805" i="2"/>
  <c r="AU804" i="2"/>
  <c r="AA802" i="2"/>
  <c r="W804" i="2"/>
  <c r="G804" i="2"/>
  <c r="S801" i="2"/>
  <c r="AQ801" i="2"/>
  <c r="AM800" i="2"/>
  <c r="AB799" i="2"/>
  <c r="AR800" i="2"/>
  <c r="AY803" i="2"/>
  <c r="F802" i="2"/>
  <c r="AM804" i="2"/>
  <c r="F804" i="2"/>
  <c r="N803" i="2"/>
  <c r="AC803" i="2"/>
  <c r="AO805" i="2"/>
  <c r="S799" i="2"/>
  <c r="H802" i="2"/>
  <c r="U803" i="2"/>
  <c r="AZ805" i="2"/>
  <c r="AQ805" i="2"/>
  <c r="AJ803" i="2"/>
  <c r="P805" i="2"/>
  <c r="Y805" i="2"/>
  <c r="AV801" i="2"/>
  <c r="BA801" i="2"/>
  <c r="D801" i="2"/>
  <c r="AR801" i="2"/>
  <c r="Z805" i="2"/>
  <c r="K804" i="2"/>
  <c r="AZ801" i="2"/>
  <c r="U801" i="2"/>
  <c r="Q804" i="2"/>
  <c r="AN803" i="2"/>
  <c r="AX799" i="2"/>
  <c r="AR803" i="2"/>
  <c r="Y804" i="2"/>
  <c r="AE803" i="2"/>
  <c r="BA799" i="2"/>
  <c r="AQ802" i="2"/>
  <c r="K803" i="2"/>
  <c r="AB801" i="2"/>
  <c r="G800" i="2"/>
  <c r="R799" i="2"/>
  <c r="AH798" i="2"/>
  <c r="AP798" i="2"/>
  <c r="AK798" i="2"/>
  <c r="Z804" i="2"/>
  <c r="C805" i="2"/>
  <c r="AF804" i="2"/>
  <c r="AM803" i="2"/>
  <c r="P801" i="2"/>
  <c r="M805" i="2"/>
  <c r="X799" i="2"/>
  <c r="M801" i="2"/>
  <c r="J799" i="2"/>
  <c r="P804" i="2"/>
  <c r="AS804" i="2"/>
  <c r="AV803" i="2"/>
  <c r="AH802" i="2"/>
  <c r="AO802" i="2"/>
  <c r="AN804" i="2"/>
  <c r="AH804" i="2"/>
  <c r="AH799" i="2"/>
  <c r="AL799" i="2"/>
  <c r="R800" i="2"/>
  <c r="H799" i="2"/>
  <c r="BA803" i="2"/>
  <c r="V802" i="2"/>
  <c r="AZ800" i="2"/>
  <c r="K805" i="2"/>
  <c r="AT801" i="2"/>
  <c r="C804" i="2"/>
  <c r="C803" i="2"/>
  <c r="AT804" i="2"/>
  <c r="AB802" i="2"/>
  <c r="AJ802" i="2"/>
  <c r="Y803" i="2"/>
  <c r="AX800" i="2"/>
  <c r="AA804" i="2"/>
  <c r="X800" i="2"/>
  <c r="AT799" i="2"/>
  <c r="AI799" i="2"/>
  <c r="AB803" i="2"/>
  <c r="AO803" i="2"/>
  <c r="Y799" i="2"/>
  <c r="O805" i="2"/>
  <c r="AY799" i="2"/>
  <c r="N801" i="2"/>
  <c r="AU803" i="2"/>
  <c r="Y802" i="2"/>
  <c r="X804" i="2"/>
  <c r="AJ804" i="2"/>
  <c r="AF805" i="2"/>
  <c r="AD801" i="2"/>
  <c r="G805" i="2"/>
  <c r="AE800" i="2"/>
  <c r="F805" i="2"/>
  <c r="E801" i="2"/>
  <c r="AC804" i="2"/>
  <c r="AC805" i="2"/>
  <c r="O798" i="2"/>
  <c r="C802" i="2"/>
  <c r="K798" i="2"/>
  <c r="P798" i="2"/>
  <c r="Y798" i="2"/>
  <c r="H798" i="2"/>
  <c r="AL830" i="2" l="1"/>
  <c r="AE830" i="2"/>
  <c r="Z828" i="2"/>
  <c r="T825" i="2"/>
  <c r="AE829" i="2"/>
  <c r="AK831" i="2"/>
  <c r="R831" i="2"/>
  <c r="X830" i="2"/>
  <c r="X825" i="2"/>
  <c r="AB832" i="2"/>
  <c r="F829" i="2"/>
  <c r="AG825" i="2"/>
  <c r="AJ825" i="2"/>
  <c r="S825" i="2"/>
  <c r="AD826" i="2"/>
  <c r="E827" i="2"/>
  <c r="AY830" i="2"/>
  <c r="AY827" i="2"/>
  <c r="V830" i="2"/>
  <c r="AU830" i="2"/>
  <c r="AY831" i="2"/>
  <c r="X832" i="2"/>
  <c r="AC832" i="2"/>
  <c r="U830" i="2"/>
  <c r="S827" i="2"/>
  <c r="AH827" i="2"/>
  <c r="AQ828" i="2"/>
  <c r="I832" i="2"/>
  <c r="H829" i="2"/>
  <c r="G828" i="2"/>
  <c r="AD832" i="2"/>
  <c r="L830" i="2"/>
  <c r="T830" i="2"/>
  <c r="Q829" i="2"/>
  <c r="AJ827" i="2"/>
  <c r="AQ832" i="2"/>
  <c r="I828" i="2"/>
  <c r="AD831" i="2"/>
  <c r="Q828" i="2"/>
  <c r="AR829" i="2"/>
  <c r="AS828" i="2"/>
  <c r="AP832" i="2"/>
  <c r="H831" i="2"/>
  <c r="X829" i="2"/>
  <c r="AJ832" i="2"/>
  <c r="X827" i="2"/>
  <c r="AM828" i="2"/>
  <c r="BC829" i="2"/>
  <c r="AZ828" i="2"/>
  <c r="P827" i="2"/>
  <c r="AS829" i="2"/>
  <c r="J828" i="2"/>
  <c r="U826" i="2"/>
  <c r="AU829" i="2"/>
  <c r="N827" i="2"/>
  <c r="J827" i="2"/>
  <c r="D826" i="2"/>
  <c r="AV828" i="2"/>
  <c r="M829" i="2"/>
  <c r="E829" i="2"/>
  <c r="W827" i="2"/>
  <c r="AS826" i="2"/>
  <c r="AN825" i="2"/>
  <c r="K829" i="2"/>
  <c r="AM831" i="2"/>
  <c r="M826" i="2"/>
  <c r="G827" i="2"/>
  <c r="O831" i="2"/>
  <c r="AG832" i="2"/>
  <c r="AO830" i="2"/>
  <c r="AT829" i="2"/>
  <c r="AS831" i="2"/>
  <c r="AH832" i="2"/>
  <c r="AL828" i="2"/>
  <c r="AL826" i="2"/>
  <c r="W829" i="2"/>
  <c r="AS827" i="2"/>
  <c r="Y832" i="2"/>
  <c r="P828" i="2"/>
  <c r="F825" i="2"/>
  <c r="T829" i="2"/>
  <c r="U827" i="2"/>
  <c r="Y831" i="2"/>
  <c r="BA832" i="2"/>
  <c r="AK827" i="2"/>
  <c r="T827" i="2"/>
  <c r="G830" i="2"/>
  <c r="BB829" i="2"/>
  <c r="K828" i="2"/>
  <c r="I826" i="2"/>
  <c r="L828" i="2"/>
  <c r="AR825" i="2"/>
  <c r="BA826" i="2"/>
  <c r="U832" i="2"/>
  <c r="AV830" i="2"/>
  <c r="L831" i="2"/>
  <c r="O832" i="2"/>
  <c r="BC827" i="2"/>
  <c r="F830" i="2"/>
  <c r="AQ826" i="2"/>
  <c r="E831" i="2"/>
  <c r="O828" i="2"/>
  <c r="P830" i="2"/>
  <c r="AI827" i="2"/>
  <c r="AT825" i="2"/>
  <c r="F827" i="2"/>
  <c r="BC831" i="2"/>
  <c r="AI826" i="2"/>
  <c r="BB826" i="2"/>
  <c r="W831" i="2"/>
  <c r="U831" i="2"/>
  <c r="T832" i="2"/>
  <c r="W832" i="2"/>
  <c r="V829" i="2"/>
  <c r="N830" i="2"/>
  <c r="K830" i="2"/>
  <c r="Z826" i="2"/>
  <c r="AF830" i="2"/>
  <c r="W830" i="2"/>
  <c r="E825" i="2"/>
  <c r="J830" i="2"/>
  <c r="AE827" i="2"/>
  <c r="V832" i="2"/>
  <c r="AX825" i="2"/>
  <c r="AP831" i="2"/>
  <c r="AP830" i="2"/>
  <c r="AP829" i="2"/>
  <c r="G831" i="2"/>
  <c r="AE825" i="2"/>
  <c r="AP825" i="2"/>
  <c r="I830" i="2"/>
  <c r="AB828" i="2"/>
  <c r="H825" i="2"/>
  <c r="AI828" i="2"/>
  <c r="BA831" i="2"/>
  <c r="S830" i="2"/>
  <c r="AF831" i="2"/>
  <c r="AC825" i="2"/>
  <c r="AL831" i="2"/>
  <c r="I827" i="2"/>
  <c r="N829" i="2"/>
  <c r="AF829" i="2"/>
  <c r="J826" i="2"/>
  <c r="L827" i="2"/>
  <c r="AS832" i="2"/>
  <c r="AA826" i="2"/>
  <c r="M830" i="2"/>
  <c r="AG830" i="2"/>
  <c r="O826" i="2"/>
  <c r="AT827" i="2"/>
  <c r="AK830" i="2"/>
  <c r="AZ830" i="2"/>
  <c r="O827" i="2"/>
  <c r="AG828" i="2"/>
  <c r="AM827" i="2"/>
  <c r="R826" i="2"/>
  <c r="AM829" i="2"/>
  <c r="AD827" i="2"/>
  <c r="Q830" i="2"/>
  <c r="AM830" i="2"/>
  <c r="AY829" i="2"/>
  <c r="AX829" i="2"/>
  <c r="Y827" i="2"/>
  <c r="Q831" i="2"/>
  <c r="AR832" i="2"/>
  <c r="BB831" i="2"/>
  <c r="W825" i="2"/>
  <c r="BC826" i="2"/>
  <c r="U829" i="2"/>
  <c r="AA827" i="2"/>
  <c r="H828" i="2"/>
  <c r="BB832" i="2"/>
  <c r="J829" i="2"/>
  <c r="Q826" i="2"/>
  <c r="AO832" i="2"/>
  <c r="V827" i="2"/>
  <c r="AB831" i="2"/>
  <c r="BB830" i="2"/>
  <c r="V828" i="2"/>
  <c r="AC826" i="2"/>
  <c r="P831" i="2"/>
  <c r="AL832" i="2"/>
  <c r="AT830" i="2"/>
  <c r="AR830" i="2"/>
  <c r="AO827" i="2"/>
  <c r="AW832" i="2"/>
  <c r="AG827" i="2"/>
  <c r="AE826" i="2"/>
  <c r="G825" i="2"/>
  <c r="W826" i="2"/>
  <c r="AK826" i="2"/>
  <c r="Z829" i="2"/>
  <c r="N828" i="2"/>
  <c r="BA828" i="2"/>
  <c r="AV826" i="2"/>
  <c r="R832" i="2"/>
  <c r="AI832" i="2"/>
  <c r="T831" i="2"/>
  <c r="AC831" i="2"/>
  <c r="BB825" i="2"/>
  <c r="AT826" i="2"/>
  <c r="K832" i="2"/>
  <c r="BC832" i="2"/>
  <c r="AP827" i="2"/>
  <c r="AH829" i="2"/>
  <c r="Z830" i="2"/>
  <c r="I829" i="2"/>
  <c r="AR828" i="2"/>
  <c r="AQ830" i="2"/>
  <c r="AG829" i="2"/>
  <c r="J832" i="2"/>
  <c r="AF826" i="2"/>
  <c r="AA828" i="2"/>
  <c r="AW825" i="2"/>
  <c r="I831" i="2"/>
  <c r="AH826" i="2"/>
  <c r="AO828" i="2"/>
  <c r="AM832" i="2"/>
  <c r="M827" i="2"/>
  <c r="AK829" i="2"/>
  <c r="N832" i="2"/>
  <c r="AA832" i="2"/>
  <c r="R828" i="2"/>
  <c r="E832" i="2"/>
  <c r="AX826" i="2"/>
  <c r="R827" i="2"/>
  <c r="AN828" i="2"/>
  <c r="AT828" i="2"/>
  <c r="AQ829" i="2"/>
  <c r="AB830" i="2"/>
  <c r="AZ831" i="2"/>
  <c r="D827" i="2"/>
  <c r="AC829" i="2"/>
  <c r="F828" i="2"/>
  <c r="AU831" i="2"/>
  <c r="AI831" i="2"/>
  <c r="E828" i="2"/>
  <c r="AD830" i="2"/>
  <c r="L829" i="2"/>
  <c r="AY832" i="2"/>
  <c r="AX828" i="2"/>
  <c r="AL827" i="2"/>
  <c r="AQ827" i="2"/>
  <c r="AR826" i="2"/>
  <c r="BB827" i="2"/>
  <c r="AD828" i="2"/>
  <c r="AC827" i="2"/>
  <c r="AX830" i="2"/>
  <c r="Z827" i="2"/>
  <c r="Q827" i="2"/>
  <c r="Y825" i="2"/>
  <c r="G832" i="2"/>
  <c r="AG831" i="2"/>
  <c r="BB828" i="2"/>
  <c r="AB829" i="2"/>
  <c r="AO829" i="2"/>
  <c r="AB825" i="2"/>
  <c r="E830" i="2"/>
  <c r="AW827" i="2"/>
  <c r="AZ827" i="2"/>
  <c r="AT832" i="2"/>
  <c r="AB827" i="2"/>
  <c r="K831" i="2"/>
  <c r="BA830" i="2"/>
  <c r="AV829" i="2"/>
  <c r="Y829" i="2"/>
  <c r="AO826" i="2"/>
  <c r="AU827" i="2"/>
  <c r="AO825" i="2"/>
  <c r="AF827" i="2"/>
  <c r="Z831" i="2"/>
  <c r="AV831" i="2"/>
  <c r="N831" i="2"/>
  <c r="H832" i="2"/>
  <c r="AC830" i="2"/>
  <c r="AU828" i="2"/>
  <c r="AI829" i="2"/>
  <c r="AA831" i="2"/>
  <c r="AS830" i="2"/>
  <c r="Z832" i="2"/>
  <c r="AN831" i="2"/>
  <c r="S832" i="2"/>
  <c r="F831" i="2"/>
  <c r="AF825" i="2"/>
  <c r="AU825" i="2"/>
  <c r="AJ829" i="2"/>
  <c r="J825" i="2"/>
  <c r="R830" i="2"/>
  <c r="H830" i="2"/>
  <c r="AP826" i="2"/>
  <c r="BA829" i="2"/>
  <c r="AX827" i="2"/>
  <c r="AA825" i="2"/>
  <c r="AZ829" i="2"/>
  <c r="S828" i="2"/>
  <c r="AA829" i="2"/>
  <c r="AF832" i="2"/>
  <c r="AR827" i="2"/>
  <c r="AN826" i="2"/>
  <c r="Y830" i="2"/>
  <c r="W828" i="2"/>
  <c r="P829" i="2"/>
  <c r="M825" i="2"/>
  <c r="N826" i="2"/>
  <c r="AY828" i="2"/>
  <c r="AT831" i="2"/>
  <c r="F832" i="2"/>
  <c r="K825" i="2"/>
  <c r="AH831" i="2"/>
  <c r="AV832" i="2"/>
  <c r="F826" i="2"/>
  <c r="AW829" i="2"/>
  <c r="AK828" i="2"/>
  <c r="AV825" i="2"/>
  <c r="D828" i="2"/>
  <c r="AK832" i="2"/>
  <c r="K826" i="2"/>
  <c r="S831" i="2"/>
  <c r="E826" i="2"/>
  <c r="AH830" i="2"/>
  <c r="BC825" i="2"/>
  <c r="AG826" i="2"/>
  <c r="H827" i="2"/>
  <c r="AH828" i="2"/>
  <c r="M828" i="2"/>
  <c r="S829" i="2"/>
  <c r="M831" i="2"/>
  <c r="AL829" i="2"/>
  <c r="AC828" i="2"/>
  <c r="AA830" i="2"/>
  <c r="G826" i="2"/>
  <c r="AY825" i="2"/>
  <c r="AI830" i="2"/>
  <c r="V826" i="2"/>
  <c r="AM826" i="2"/>
  <c r="T828" i="2"/>
  <c r="AR831" i="2"/>
  <c r="AX832" i="2"/>
  <c r="N825" i="2"/>
  <c r="AJ831" i="2"/>
  <c r="AN832" i="2"/>
  <c r="AZ826" i="2"/>
  <c r="P832" i="2"/>
  <c r="AN830" i="2"/>
  <c r="X831" i="2"/>
  <c r="AE831" i="2"/>
  <c r="AZ832" i="2"/>
  <c r="AD829" i="2"/>
  <c r="AJ828" i="2"/>
  <c r="U825" i="2"/>
  <c r="AF828" i="2"/>
  <c r="AO831" i="2"/>
  <c r="O830" i="2"/>
  <c r="AP828" i="2"/>
  <c r="AE828" i="2"/>
  <c r="L832" i="2"/>
  <c r="AW830" i="2"/>
  <c r="AY826" i="2"/>
  <c r="Q832" i="2"/>
  <c r="M832" i="2"/>
  <c r="K827" i="2"/>
  <c r="AE832" i="2"/>
  <c r="X828" i="2"/>
  <c r="Y828" i="2"/>
  <c r="L826" i="2"/>
  <c r="AZ825" i="2"/>
  <c r="AJ830" i="2"/>
  <c r="AQ831" i="2"/>
  <c r="O829" i="2"/>
  <c r="R829" i="2"/>
  <c r="H826" i="2"/>
  <c r="J831" i="2"/>
  <c r="AW826" i="2"/>
  <c r="BA825" i="2"/>
  <c r="P826" i="2"/>
  <c r="AN829" i="2"/>
  <c r="X826" i="2"/>
  <c r="AW831" i="2"/>
  <c r="BC830" i="2"/>
  <c r="AU832" i="2"/>
  <c r="AX831" i="2"/>
  <c r="U828" i="2"/>
  <c r="V831" i="2"/>
  <c r="D272" i="2"/>
  <c r="D735" i="2" s="1"/>
  <c r="C786" i="2"/>
  <c r="C296" i="2" s="1"/>
  <c r="D275" i="2"/>
  <c r="D738" i="2" s="1"/>
  <c r="C789" i="2"/>
  <c r="C299" i="2" s="1"/>
  <c r="D271" i="2"/>
  <c r="D734" i="2" s="1"/>
  <c r="C785" i="2"/>
  <c r="C295" i="2" s="1"/>
  <c r="D276" i="2"/>
  <c r="D739" i="2" s="1"/>
  <c r="C790" i="2"/>
  <c r="C300" i="2" s="1"/>
  <c r="D277" i="2"/>
  <c r="D740" i="2" s="1"/>
  <c r="C791" i="2"/>
  <c r="C301" i="2" s="1"/>
  <c r="D274" i="2"/>
  <c r="D737" i="2" s="1"/>
  <c r="C788" i="2"/>
  <c r="C298" i="2" s="1"/>
  <c r="D273" i="2"/>
  <c r="D736" i="2" s="1"/>
  <c r="C787" i="2"/>
  <c r="C297" i="2" s="1"/>
  <c r="D278" i="2"/>
  <c r="D741" i="2" s="1"/>
  <c r="C792" i="2"/>
  <c r="C302" i="2" s="1"/>
  <c r="BD783" i="2"/>
  <c r="C733" i="2"/>
  <c r="AY818" i="2"/>
  <c r="AY819" i="2" s="1"/>
  <c r="G818" i="2"/>
  <c r="G166" i="2" s="1"/>
  <c r="M818" i="2"/>
  <c r="M819" i="2" s="1"/>
  <c r="V818" i="2"/>
  <c r="V170" i="2" s="1"/>
  <c r="BB818" i="2"/>
  <c r="BB165" i="2" s="1"/>
  <c r="BB173" i="2" s="1"/>
  <c r="I818" i="2"/>
  <c r="I250" i="2" s="1"/>
  <c r="I258" i="2" s="1"/>
  <c r="AQ818" i="2"/>
  <c r="AQ167" i="2" s="1"/>
  <c r="T818" i="2"/>
  <c r="T819" i="2" s="1"/>
  <c r="AW818" i="2"/>
  <c r="AW819" i="2" s="1"/>
  <c r="D818" i="2"/>
  <c r="D166" i="2" s="1"/>
  <c r="BC828" i="2"/>
  <c r="BC805" i="2"/>
  <c r="BE770" i="2" s="1"/>
  <c r="D832" i="2"/>
  <c r="D825" i="2"/>
  <c r="BC798" i="2"/>
  <c r="BE763" i="2" s="1"/>
  <c r="C818" i="2"/>
  <c r="C255" i="2" s="1"/>
  <c r="D829" i="2"/>
  <c r="BC802" i="2"/>
  <c r="BE767" i="2" s="1"/>
  <c r="AL825" i="2"/>
  <c r="AK818" i="2"/>
  <c r="AK165" i="2" s="1"/>
  <c r="AK173" i="2" s="1"/>
  <c r="L818" i="2"/>
  <c r="L171" i="2" s="1"/>
  <c r="L179" i="2" s="1"/>
  <c r="P106" i="3"/>
  <c r="F16" i="1" s="1"/>
  <c r="C89" i="2" s="1"/>
  <c r="S826" i="2"/>
  <c r="R818" i="2"/>
  <c r="R819" i="2" s="1"/>
  <c r="AN827" i="2"/>
  <c r="AM818" i="2"/>
  <c r="AM167" i="2" s="1"/>
  <c r="AB826" i="2"/>
  <c r="AA818" i="2"/>
  <c r="AA166" i="2" s="1"/>
  <c r="J818" i="2"/>
  <c r="J168" i="2" s="1"/>
  <c r="AU826" i="2"/>
  <c r="AT818" i="2"/>
  <c r="AT255" i="2" s="1"/>
  <c r="AW828" i="2"/>
  <c r="AV818" i="2"/>
  <c r="AV171" i="2" s="1"/>
  <c r="AV179" i="2" s="1"/>
  <c r="AS825" i="2"/>
  <c r="AR818" i="2"/>
  <c r="AR819" i="2" s="1"/>
  <c r="AV827" i="2"/>
  <c r="AU818" i="2"/>
  <c r="AU167" i="2" s="1"/>
  <c r="BC800" i="2"/>
  <c r="BE765" i="2" s="1"/>
  <c r="T826" i="2"/>
  <c r="S818" i="2"/>
  <c r="S168" i="2" s="1"/>
  <c r="U818" i="2"/>
  <c r="U819" i="2" s="1"/>
  <c r="V825" i="2"/>
  <c r="AO818" i="2"/>
  <c r="AO819" i="2" s="1"/>
  <c r="BC799" i="2"/>
  <c r="BE764" i="2" s="1"/>
  <c r="BA818" i="2"/>
  <c r="BA819" i="2" s="1"/>
  <c r="AD818" i="2"/>
  <c r="AD164" i="2" s="1"/>
  <c r="AD172" i="2" s="1"/>
  <c r="W818" i="2"/>
  <c r="W171" i="2" s="1"/>
  <c r="Z825" i="2"/>
  <c r="Y818" i="2"/>
  <c r="Y170" i="2" s="1"/>
  <c r="BC803" i="2"/>
  <c r="BE768" i="2" s="1"/>
  <c r="D830" i="2"/>
  <c r="Q818" i="2"/>
  <c r="Q166" i="2" s="1"/>
  <c r="R825" i="2"/>
  <c r="AN818" i="2"/>
  <c r="AN819" i="2" s="1"/>
  <c r="Q825" i="2"/>
  <c r="P818" i="2"/>
  <c r="P167" i="2" s="1"/>
  <c r="BC804" i="2"/>
  <c r="BE769" i="2" s="1"/>
  <c r="D831" i="2"/>
  <c r="L825" i="2"/>
  <c r="K818" i="2"/>
  <c r="K168" i="2" s="1"/>
  <c r="AK825" i="2"/>
  <c r="AJ818" i="2"/>
  <c r="AJ171" i="2" s="1"/>
  <c r="AJ179" i="2" s="1"/>
  <c r="N818" i="2"/>
  <c r="N819" i="2" s="1"/>
  <c r="O825" i="2"/>
  <c r="AQ825" i="2"/>
  <c r="AP818" i="2"/>
  <c r="AP170" i="2" s="1"/>
  <c r="AI825" i="2"/>
  <c r="AH818" i="2"/>
  <c r="AH167" i="2" s="1"/>
  <c r="AF818" i="2"/>
  <c r="AF166" i="2" s="1"/>
  <c r="AX818" i="2"/>
  <c r="AX170" i="2" s="1"/>
  <c r="BC801" i="2"/>
  <c r="BE766" i="2" s="1"/>
  <c r="Y826" i="2"/>
  <c r="X818" i="2"/>
  <c r="X255" i="2" s="1"/>
  <c r="X263" i="2" s="1"/>
  <c r="Z818" i="2"/>
  <c r="Z819" i="2" s="1"/>
  <c r="AE818" i="2"/>
  <c r="AE819" i="2" s="1"/>
  <c r="AH825" i="2"/>
  <c r="AG818" i="2"/>
  <c r="AG169" i="2" s="1"/>
  <c r="E818" i="2"/>
  <c r="E168" i="2" s="1"/>
  <c r="AS818" i="2"/>
  <c r="AS254" i="2" s="1"/>
  <c r="AM825" i="2"/>
  <c r="AL818" i="2"/>
  <c r="AL819" i="2" s="1"/>
  <c r="AC818" i="2"/>
  <c r="AC166" i="2" s="1"/>
  <c r="AD825" i="2"/>
  <c r="G829" i="2"/>
  <c r="F818" i="2"/>
  <c r="F170" i="2" s="1"/>
  <c r="O818" i="2"/>
  <c r="O171" i="2" s="1"/>
  <c r="O179" i="2" s="1"/>
  <c r="P825" i="2"/>
  <c r="BA827" i="2"/>
  <c r="AZ818" i="2"/>
  <c r="AZ170" i="2" s="1"/>
  <c r="AZ178" i="2" s="1"/>
  <c r="H818" i="2"/>
  <c r="H819" i="2" s="1"/>
  <c r="I825" i="2"/>
  <c r="AJ826" i="2"/>
  <c r="AI818" i="2"/>
  <c r="AI819" i="2" s="1"/>
  <c r="AB818" i="2"/>
  <c r="AB168" i="2" s="1"/>
  <c r="C263" i="2" l="1"/>
  <c r="AT166" i="2"/>
  <c r="AT174" i="2" s="1"/>
  <c r="K255" i="2"/>
  <c r="K263" i="2" s="1"/>
  <c r="E255" i="2"/>
  <c r="S253" i="2"/>
  <c r="AT251" i="2"/>
  <c r="AT259" i="2" s="1"/>
  <c r="AJ169" i="2"/>
  <c r="P251" i="2"/>
  <c r="AN170" i="2"/>
  <c r="AN178" i="2" s="1"/>
  <c r="AP251" i="2"/>
  <c r="AP259" i="2" s="1"/>
  <c r="AJ256" i="2"/>
  <c r="AJ264" i="2" s="1"/>
  <c r="AP847" i="2"/>
  <c r="AN256" i="2"/>
  <c r="AN264" i="2" s="1"/>
  <c r="AT254" i="2"/>
  <c r="AF249" i="2"/>
  <c r="AF257" i="2" s="1"/>
  <c r="F168" i="2"/>
  <c r="AJ250" i="2"/>
  <c r="H250" i="2"/>
  <c r="W252" i="2"/>
  <c r="U251" i="2"/>
  <c r="AX252" i="2"/>
  <c r="AO255" i="2"/>
  <c r="AN165" i="2"/>
  <c r="AI250" i="2"/>
  <c r="AN249" i="2"/>
  <c r="AQ250" i="2"/>
  <c r="AQ252" i="2"/>
  <c r="AX254" i="2"/>
  <c r="BB250" i="2"/>
  <c r="BB258" i="2" s="1"/>
  <c r="AX255" i="2"/>
  <c r="I256" i="2"/>
  <c r="I264" i="2" s="1"/>
  <c r="AW254" i="2"/>
  <c r="AQ256" i="2"/>
  <c r="AQ264" i="2" s="1"/>
  <c r="F251" i="2"/>
  <c r="F259" i="2" s="1"/>
  <c r="H253" i="2"/>
  <c r="O254" i="2"/>
  <c r="O262" i="2" s="1"/>
  <c r="AD250" i="2"/>
  <c r="AD258" i="2" s="1"/>
  <c r="AH249" i="2"/>
  <c r="AX253" i="2"/>
  <c r="AN168" i="2"/>
  <c r="AW168" i="2"/>
  <c r="H249" i="2"/>
  <c r="H257" i="2" s="1"/>
  <c r="AP254" i="2"/>
  <c r="M256" i="2"/>
  <c r="M264" i="2" s="1"/>
  <c r="T168" i="2"/>
  <c r="L253" i="2"/>
  <c r="AS251" i="2"/>
  <c r="Z256" i="2"/>
  <c r="AF251" i="2"/>
  <c r="AD254" i="2"/>
  <c r="BA255" i="2"/>
  <c r="AK250" i="2"/>
  <c r="AK258" i="2" s="1"/>
  <c r="AT167" i="2"/>
  <c r="T249" i="2"/>
  <c r="T257" i="2" s="1"/>
  <c r="H170" i="2"/>
  <c r="H178" i="2" s="1"/>
  <c r="I167" i="2"/>
  <c r="I251" i="2"/>
  <c r="G249" i="2"/>
  <c r="AF253" i="2"/>
  <c r="AQ254" i="2"/>
  <c r="AQ262" i="2" s="1"/>
  <c r="AK254" i="2"/>
  <c r="AT253" i="2"/>
  <c r="AN250" i="2"/>
  <c r="AS255" i="2"/>
  <c r="AT165" i="2"/>
  <c r="AP253" i="2"/>
  <c r="AW250" i="2"/>
  <c r="AW258" i="2" s="1"/>
  <c r="AD249" i="2"/>
  <c r="AD257" i="2" s="1"/>
  <c r="AS250" i="2"/>
  <c r="AS258" i="2" s="1"/>
  <c r="T251" i="2"/>
  <c r="AN254" i="2"/>
  <c r="AE171" i="2"/>
  <c r="AE179" i="2" s="1"/>
  <c r="U167" i="2"/>
  <c r="N165" i="2"/>
  <c r="N173" i="2" s="1"/>
  <c r="O250" i="2"/>
  <c r="R252" i="2"/>
  <c r="N250" i="2"/>
  <c r="N258" i="2" s="1"/>
  <c r="AZ250" i="2"/>
  <c r="O255" i="2"/>
  <c r="O263" i="2" s="1"/>
  <c r="Z249" i="2"/>
  <c r="Z257" i="2" s="1"/>
  <c r="AG256" i="2"/>
  <c r="AG264" i="2" s="1"/>
  <c r="S170" i="2"/>
  <c r="S178" i="2" s="1"/>
  <c r="Q165" i="2"/>
  <c r="Q173" i="2" s="1"/>
  <c r="N847" i="2"/>
  <c r="AV250" i="2"/>
  <c r="U256" i="2"/>
  <c r="U264" i="2" s="1"/>
  <c r="U249" i="2"/>
  <c r="U257" i="2" s="1"/>
  <c r="AW251" i="2"/>
  <c r="AZ254" i="2"/>
  <c r="M251" i="2"/>
  <c r="M253" i="2"/>
  <c r="AW249" i="2"/>
  <c r="AW257" i="2" s="1"/>
  <c r="AW256" i="2"/>
  <c r="AW264" i="2" s="1"/>
  <c r="AP256" i="2"/>
  <c r="M252" i="2"/>
  <c r="E253" i="2"/>
  <c r="J252" i="2"/>
  <c r="AE167" i="2"/>
  <c r="O164" i="2"/>
  <c r="H168" i="2"/>
  <c r="T165" i="2"/>
  <c r="G250" i="2"/>
  <c r="AA249" i="2"/>
  <c r="AN252" i="2"/>
  <c r="AO250" i="2"/>
  <c r="AO258" i="2" s="1"/>
  <c r="V254" i="2"/>
  <c r="Q251" i="2"/>
  <c r="AK255" i="2"/>
  <c r="AA251" i="2"/>
  <c r="S254" i="2"/>
  <c r="S262" i="2" s="1"/>
  <c r="AS249" i="2"/>
  <c r="F249" i="2"/>
  <c r="F257" i="2" s="1"/>
  <c r="J256" i="2"/>
  <c r="BA256" i="2"/>
  <c r="BA264" i="2" s="1"/>
  <c r="R249" i="2"/>
  <c r="R257" i="2" s="1"/>
  <c r="V256" i="2"/>
  <c r="BB169" i="2"/>
  <c r="N845" i="2"/>
  <c r="N846" i="2" s="1"/>
  <c r="N249" i="2"/>
  <c r="N257" i="2" s="1"/>
  <c r="Z171" i="2"/>
  <c r="AJ165" i="2"/>
  <c r="N255" i="2"/>
  <c r="AJ251" i="2"/>
  <c r="U168" i="2"/>
  <c r="O251" i="2"/>
  <c r="J253" i="2"/>
  <c r="AE251" i="2"/>
  <c r="C251" i="2"/>
  <c r="AZ252" i="2"/>
  <c r="AZ249" i="2"/>
  <c r="AZ257" i="2" s="1"/>
  <c r="P166" i="2"/>
  <c r="Q171" i="2"/>
  <c r="F169" i="2"/>
  <c r="F177" i="2" s="1"/>
  <c r="Q253" i="2"/>
  <c r="C254" i="2"/>
  <c r="Z252" i="2"/>
  <c r="G254" i="2"/>
  <c r="G262" i="2" s="1"/>
  <c r="J254" i="2"/>
  <c r="AQ255" i="2"/>
  <c r="AQ263" i="2" s="1"/>
  <c r="AE255" i="2"/>
  <c r="AE263" i="2" s="1"/>
  <c r="BB252" i="2"/>
  <c r="AJ253" i="2"/>
  <c r="M249" i="2"/>
  <c r="M257" i="2" s="1"/>
  <c r="AA255" i="2"/>
  <c r="AA263" i="2" s="1"/>
  <c r="S255" i="2"/>
  <c r="S263" i="2" s="1"/>
  <c r="G252" i="2"/>
  <c r="R255" i="2"/>
  <c r="N253" i="2"/>
  <c r="AE252" i="2"/>
  <c r="Q254" i="2"/>
  <c r="M254" i="2"/>
  <c r="S252" i="2"/>
  <c r="AZ255" i="2"/>
  <c r="AZ263" i="2" s="1"/>
  <c r="U250" i="2"/>
  <c r="U258" i="2" s="1"/>
  <c r="V249" i="2"/>
  <c r="U252" i="2"/>
  <c r="J251" i="2"/>
  <c r="J259" i="2" s="1"/>
  <c r="S256" i="2"/>
  <c r="S264" i="2" s="1"/>
  <c r="M250" i="2"/>
  <c r="M258" i="2" s="1"/>
  <c r="C249" i="2"/>
  <c r="U253" i="2"/>
  <c r="N252" i="2"/>
  <c r="N251" i="2"/>
  <c r="N259" i="2" s="1"/>
  <c r="Z167" i="2"/>
  <c r="O253" i="2"/>
  <c r="AJ249" i="2"/>
  <c r="AJ257" i="2" s="1"/>
  <c r="N256" i="2"/>
  <c r="M255" i="2"/>
  <c r="O256" i="2"/>
  <c r="O264" i="2" s="1"/>
  <c r="AG251" i="2"/>
  <c r="F253" i="2"/>
  <c r="V252" i="2"/>
  <c r="AM255" i="2"/>
  <c r="AM263" i="2" s="1"/>
  <c r="V255" i="2"/>
  <c r="F255" i="2"/>
  <c r="AM249" i="2"/>
  <c r="AM256" i="2"/>
  <c r="AM264" i="2" s="1"/>
  <c r="BB256" i="2"/>
  <c r="AJ255" i="2"/>
  <c r="AJ263" i="2" s="1"/>
  <c r="Q164" i="2"/>
  <c r="Q172" i="2" s="1"/>
  <c r="U255" i="2"/>
  <c r="AM250" i="2"/>
  <c r="Z255" i="2"/>
  <c r="C256" i="2"/>
  <c r="C250" i="2"/>
  <c r="BB255" i="2"/>
  <c r="AA250" i="2"/>
  <c r="S249" i="2"/>
  <c r="V251" i="2"/>
  <c r="V259" i="2" s="1"/>
  <c r="Z250" i="2"/>
  <c r="Z258" i="2" s="1"/>
  <c r="BB253" i="2"/>
  <c r="U254" i="2"/>
  <c r="BA168" i="2"/>
  <c r="I255" i="2"/>
  <c r="I254" i="2"/>
  <c r="S250" i="2"/>
  <c r="AZ253" i="2"/>
  <c r="AS256" i="2"/>
  <c r="AS264" i="2" s="1"/>
  <c r="I252" i="2"/>
  <c r="H251" i="2"/>
  <c r="J255" i="2"/>
  <c r="Q252" i="2"/>
  <c r="AS252" i="2"/>
  <c r="C253" i="2"/>
  <c r="O249" i="2"/>
  <c r="C252" i="2"/>
  <c r="V250" i="2"/>
  <c r="V258" i="2" s="1"/>
  <c r="AZ251" i="2"/>
  <c r="X169" i="2"/>
  <c r="Y250" i="2"/>
  <c r="Y258" i="2" s="1"/>
  <c r="AC255" i="2"/>
  <c r="AB250" i="2"/>
  <c r="BB845" i="2"/>
  <c r="BB846" i="2" s="1"/>
  <c r="AB165" i="2"/>
  <c r="BA165" i="2"/>
  <c r="BA173" i="2" s="1"/>
  <c r="AI171" i="2"/>
  <c r="AI166" i="2"/>
  <c r="AD256" i="2"/>
  <c r="AD252" i="2"/>
  <c r="AL255" i="2"/>
  <c r="P253" i="2"/>
  <c r="Y254" i="2"/>
  <c r="AY253" i="2"/>
  <c r="D256" i="2"/>
  <c r="D264" i="2" s="1"/>
  <c r="X249" i="2"/>
  <c r="X257" i="2" s="1"/>
  <c r="L250" i="2"/>
  <c r="AI251" i="2"/>
  <c r="R250" i="2"/>
  <c r="R258" i="2" s="1"/>
  <c r="P255" i="2"/>
  <c r="P263" i="2" s="1"/>
  <c r="Y249" i="2"/>
  <c r="Y257" i="2" s="1"/>
  <c r="AU256" i="2"/>
  <c r="AU264" i="2" s="1"/>
  <c r="L252" i="2"/>
  <c r="AK256" i="2"/>
  <c r="AK264" i="2" s="1"/>
  <c r="AV253" i="2"/>
  <c r="AS253" i="2"/>
  <c r="AC169" i="2"/>
  <c r="AR250" i="2"/>
  <c r="X250" i="2"/>
  <c r="AR249" i="2"/>
  <c r="AR257" i="2" s="1"/>
  <c r="Y253" i="2"/>
  <c r="AC251" i="2"/>
  <c r="AB171" i="2"/>
  <c r="AU252" i="2"/>
  <c r="AU253" i="2"/>
  <c r="AB256" i="2"/>
  <c r="Y252" i="2"/>
  <c r="L256" i="2"/>
  <c r="L264" i="2" s="1"/>
  <c r="AC252" i="2"/>
  <c r="AC250" i="2"/>
  <c r="AC258" i="2" s="1"/>
  <c r="AG847" i="2"/>
  <c r="AC253" i="2"/>
  <c r="L251" i="2"/>
  <c r="Y256" i="2"/>
  <c r="Y264" i="2" s="1"/>
  <c r="AF254" i="2"/>
  <c r="AF256" i="2"/>
  <c r="AF264" i="2" s="1"/>
  <c r="AK164" i="2"/>
  <c r="AK172" i="2" s="1"/>
  <c r="AK168" i="2"/>
  <c r="AT845" i="2"/>
  <c r="AT846" i="2" s="1"/>
  <c r="AV251" i="2"/>
  <c r="AY252" i="2"/>
  <c r="D255" i="2"/>
  <c r="L254" i="2"/>
  <c r="AV252" i="2"/>
  <c r="BA249" i="2"/>
  <c r="BA257" i="2" s="1"/>
  <c r="D251" i="2"/>
  <c r="P250" i="2"/>
  <c r="T254" i="2"/>
  <c r="AZ845" i="2"/>
  <c r="AZ846" i="2" s="1"/>
  <c r="AP255" i="2"/>
  <c r="D249" i="2"/>
  <c r="D257" i="2" s="1"/>
  <c r="AH254" i="2"/>
  <c r="AB255" i="2"/>
  <c r="AB263" i="2" s="1"/>
  <c r="E249" i="2"/>
  <c r="K252" i="2"/>
  <c r="E250" i="2"/>
  <c r="E258" i="2" s="1"/>
  <c r="L170" i="2"/>
  <c r="L178" i="2" s="1"/>
  <c r="U169" i="2"/>
  <c r="BB254" i="2"/>
  <c r="AX250" i="2"/>
  <c r="AX256" i="2"/>
  <c r="I249" i="2"/>
  <c r="I257" i="2" s="1"/>
  <c r="AH253" i="2"/>
  <c r="W253" i="2"/>
  <c r="AP250" i="2"/>
  <c r="AP258" i="2" s="1"/>
  <c r="AO252" i="2"/>
  <c r="T255" i="2"/>
  <c r="T263" i="2" s="1"/>
  <c r="W251" i="2"/>
  <c r="AG250" i="2"/>
  <c r="AG258" i="2" s="1"/>
  <c r="AY255" i="2"/>
  <c r="AY263" i="2" s="1"/>
  <c r="AC256" i="2"/>
  <c r="AC264" i="2" s="1"/>
  <c r="R253" i="2"/>
  <c r="AN251" i="2"/>
  <c r="AU249" i="2"/>
  <c r="J249" i="2"/>
  <c r="J257" i="2" s="1"/>
  <c r="AR251" i="2"/>
  <c r="AP249" i="2"/>
  <c r="AP257" i="2" s="1"/>
  <c r="BA253" i="2"/>
  <c r="I253" i="2"/>
  <c r="AK252" i="2"/>
  <c r="AK253" i="2"/>
  <c r="X167" i="2"/>
  <c r="Z164" i="2"/>
  <c r="Z172" i="2" s="1"/>
  <c r="BB171" i="2"/>
  <c r="P165" i="2"/>
  <c r="Z165" i="2"/>
  <c r="Z173" i="2" s="1"/>
  <c r="U171" i="2"/>
  <c r="U179" i="2" s="1"/>
  <c r="H171" i="2"/>
  <c r="H179" i="2" s="1"/>
  <c r="AV255" i="2"/>
  <c r="AV263" i="2" s="1"/>
  <c r="AY249" i="2"/>
  <c r="AK249" i="2"/>
  <c r="AK257" i="2" s="1"/>
  <c r="AN253" i="2"/>
  <c r="W255" i="2"/>
  <c r="W263" i="2" s="1"/>
  <c r="AO256" i="2"/>
  <c r="BB251" i="2"/>
  <c r="BB259" i="2" s="1"/>
  <c r="AQ251" i="2"/>
  <c r="AI253" i="2"/>
  <c r="AT252" i="2"/>
  <c r="BA252" i="2"/>
  <c r="D252" i="2"/>
  <c r="AR252" i="2"/>
  <c r="AV249" i="2"/>
  <c r="K251" i="2"/>
  <c r="AA252" i="2"/>
  <c r="AO253" i="2"/>
  <c r="Q249" i="2"/>
  <c r="Q257" i="2" s="1"/>
  <c r="K253" i="2"/>
  <c r="G255" i="2"/>
  <c r="G263" i="2" s="1"/>
  <c r="H255" i="2"/>
  <c r="H263" i="2" s="1"/>
  <c r="AA254" i="2"/>
  <c r="AA262" i="2" s="1"/>
  <c r="F252" i="2"/>
  <c r="AH256" i="2"/>
  <c r="S251" i="2"/>
  <c r="Z251" i="2"/>
  <c r="Z259" i="2" s="1"/>
  <c r="AF252" i="2"/>
  <c r="AM251" i="2"/>
  <c r="AZ256" i="2"/>
  <c r="AZ264" i="2" s="1"/>
  <c r="Q255" i="2"/>
  <c r="AT250" i="2"/>
  <c r="BB249" i="2"/>
  <c r="BB257" i="2" s="1"/>
  <c r="AA256" i="2"/>
  <c r="AA264" i="2" s="1"/>
  <c r="P254" i="2"/>
  <c r="R251" i="2"/>
  <c r="R259" i="2" s="1"/>
  <c r="BB847" i="2"/>
  <c r="AC249" i="2"/>
  <c r="AL250" i="2"/>
  <c r="AL258" i="2" s="1"/>
  <c r="BA251" i="2"/>
  <c r="AU255" i="2"/>
  <c r="AU263" i="2" s="1"/>
  <c r="AI252" i="2"/>
  <c r="AF250" i="2"/>
  <c r="L255" i="2"/>
  <c r="L263" i="2" s="1"/>
  <c r="X251" i="2"/>
  <c r="T164" i="2"/>
  <c r="T172" i="2" s="1"/>
  <c r="T171" i="2"/>
  <c r="T179" i="2" s="1"/>
  <c r="T252" i="2"/>
  <c r="AD251" i="2"/>
  <c r="AD259" i="2" s="1"/>
  <c r="T250" i="2"/>
  <c r="AY251" i="2"/>
  <c r="R254" i="2"/>
  <c r="K254" i="2"/>
  <c r="AL251" i="2"/>
  <c r="AL259" i="2" s="1"/>
  <c r="P249" i="2"/>
  <c r="W845" i="2"/>
  <c r="W846" i="2" s="1"/>
  <c r="AW255" i="2"/>
  <c r="AR254" i="2"/>
  <c r="X256" i="2"/>
  <c r="X264" i="2" s="1"/>
  <c r="AD253" i="2"/>
  <c r="AW252" i="2"/>
  <c r="AI256" i="2"/>
  <c r="Y255" i="2"/>
  <c r="T167" i="2"/>
  <c r="AI254" i="2"/>
  <c r="AI262" i="2" s="1"/>
  <c r="AG249" i="2"/>
  <c r="AG257" i="2" s="1"/>
  <c r="AL249" i="2"/>
  <c r="AL257" i="2" s="1"/>
  <c r="AU250" i="2"/>
  <c r="I170" i="2"/>
  <c r="U165" i="2"/>
  <c r="U173" i="2" s="1"/>
  <c r="AA847" i="2"/>
  <c r="AJ164" i="2"/>
  <c r="AJ172" i="2" s="1"/>
  <c r="AW167" i="2"/>
  <c r="AY170" i="2"/>
  <c r="AY178" i="2" s="1"/>
  <c r="AE165" i="2"/>
  <c r="X166" i="2"/>
  <c r="H167" i="2"/>
  <c r="AY847" i="2"/>
  <c r="W250" i="2"/>
  <c r="K250" i="2"/>
  <c r="AV254" i="2"/>
  <c r="AA253" i="2"/>
  <c r="BA250" i="2"/>
  <c r="BA258" i="2" s="1"/>
  <c r="AH250" i="2"/>
  <c r="AH258" i="2" s="1"/>
  <c r="F250" i="2"/>
  <c r="AE256" i="2"/>
  <c r="AE264" i="2" s="1"/>
  <c r="AT249" i="2"/>
  <c r="AT257" i="2" s="1"/>
  <c r="AB254" i="2"/>
  <c r="AN255" i="2"/>
  <c r="AN263" i="2" s="1"/>
  <c r="AH255" i="2"/>
  <c r="P252" i="2"/>
  <c r="AE250" i="2"/>
  <c r="H254" i="2"/>
  <c r="N254" i="2"/>
  <c r="AC254" i="2"/>
  <c r="AQ253" i="2"/>
  <c r="E254" i="2"/>
  <c r="E251" i="2"/>
  <c r="G253" i="2"/>
  <c r="Q256" i="2"/>
  <c r="D250" i="2"/>
  <c r="AJ252" i="2"/>
  <c r="E256" i="2"/>
  <c r="E264" i="2" s="1"/>
  <c r="G251" i="2"/>
  <c r="J250" i="2"/>
  <c r="V253" i="2"/>
  <c r="AU254" i="2"/>
  <c r="F254" i="2"/>
  <c r="F262" i="2" s="1"/>
  <c r="O252" i="2"/>
  <c r="AG255" i="2"/>
  <c r="AO251" i="2"/>
  <c r="X253" i="2"/>
  <c r="AB251" i="2"/>
  <c r="R256" i="2"/>
  <c r="AB249" i="2"/>
  <c r="AB257" i="2" s="1"/>
  <c r="Y251" i="2"/>
  <c r="D253" i="2"/>
  <c r="AB252" i="2"/>
  <c r="AI169" i="2"/>
  <c r="AI177" i="2" s="1"/>
  <c r="L249" i="2"/>
  <c r="L257" i="2" s="1"/>
  <c r="AL254" i="2"/>
  <c r="AR255" i="2"/>
  <c r="AR263" i="2" s="1"/>
  <c r="BA254" i="2"/>
  <c r="E845" i="2"/>
  <c r="E846" i="2" s="1"/>
  <c r="AU251" i="2"/>
  <c r="AH251" i="2"/>
  <c r="AH259" i="2" s="1"/>
  <c r="W256" i="2"/>
  <c r="W249" i="2"/>
  <c r="K249" i="2"/>
  <c r="AY164" i="2"/>
  <c r="AY256" i="2"/>
  <c r="AY264" i="2" s="1"/>
  <c r="AR253" i="2"/>
  <c r="H252" i="2"/>
  <c r="AT256" i="2"/>
  <c r="P256" i="2"/>
  <c r="P264" i="2" s="1"/>
  <c r="AL252" i="2"/>
  <c r="X254" i="2"/>
  <c r="AD255" i="2"/>
  <c r="AL256" i="2"/>
  <c r="AH252" i="2"/>
  <c r="D254" i="2"/>
  <c r="AK251" i="2"/>
  <c r="AV256" i="2"/>
  <c r="AV264" i="2" s="1"/>
  <c r="AL253" i="2"/>
  <c r="AY254" i="2"/>
  <c r="T256" i="2"/>
  <c r="T264" i="2" s="1"/>
  <c r="AV165" i="2"/>
  <c r="AN169" i="2"/>
  <c r="AR256" i="2"/>
  <c r="AR264" i="2" s="1"/>
  <c r="AT171" i="2"/>
  <c r="N169" i="2"/>
  <c r="AW166" i="2"/>
  <c r="AJ168" i="2"/>
  <c r="O170" i="2"/>
  <c r="O178" i="2" s="1"/>
  <c r="N170" i="2"/>
  <c r="AM253" i="2"/>
  <c r="X252" i="2"/>
  <c r="K256" i="2"/>
  <c r="K264" i="2" s="1"/>
  <c r="AE254" i="2"/>
  <c r="AE262" i="2" s="1"/>
  <c r="AM252" i="2"/>
  <c r="Z254" i="2"/>
  <c r="Z253" i="2"/>
  <c r="AE249" i="2"/>
  <c r="G256" i="2"/>
  <c r="G264" i="2" s="1"/>
  <c r="F256" i="2"/>
  <c r="E252" i="2"/>
  <c r="AY250" i="2"/>
  <c r="AP252" i="2"/>
  <c r="AE253" i="2"/>
  <c r="AO249" i="2"/>
  <c r="AO257" i="2" s="1"/>
  <c r="AO254" i="2"/>
  <c r="AF255" i="2"/>
  <c r="AF263" i="2" s="1"/>
  <c r="AM254" i="2"/>
  <c r="AM262" i="2" s="1"/>
  <c r="AB253" i="2"/>
  <c r="H256" i="2"/>
  <c r="H264" i="2" s="1"/>
  <c r="AI255" i="2"/>
  <c r="AI263" i="2" s="1"/>
  <c r="AX249" i="2"/>
  <c r="AX257" i="2" s="1"/>
  <c r="AG252" i="2"/>
  <c r="AI249" i="2"/>
  <c r="W254" i="2"/>
  <c r="W262" i="2" s="1"/>
  <c r="AJ254" i="2"/>
  <c r="AX251" i="2"/>
  <c r="AX259" i="2" s="1"/>
  <c r="AW253" i="2"/>
  <c r="AQ249" i="2"/>
  <c r="AG254" i="2"/>
  <c r="T253" i="2"/>
  <c r="Q250" i="2"/>
  <c r="Q258" i="2" s="1"/>
  <c r="AG253" i="2"/>
  <c r="AX845" i="2"/>
  <c r="AX846" i="2" s="1"/>
  <c r="J845" i="2"/>
  <c r="J846" i="2" s="1"/>
  <c r="AM171" i="2"/>
  <c r="AM179" i="2" s="1"/>
  <c r="H169" i="2"/>
  <c r="V168" i="2"/>
  <c r="Q169" i="2"/>
  <c r="S164" i="2"/>
  <c r="AL169" i="2"/>
  <c r="N167" i="2"/>
  <c r="N168" i="2"/>
  <c r="K845" i="2"/>
  <c r="K846" i="2" s="1"/>
  <c r="H164" i="2"/>
  <c r="H172" i="2" s="1"/>
  <c r="M164" i="2"/>
  <c r="M172" i="2" s="1"/>
  <c r="Z170" i="2"/>
  <c r="AE166" i="2"/>
  <c r="AP166" i="2"/>
  <c r="AP174" i="2" s="1"/>
  <c r="F845" i="2"/>
  <c r="F846" i="2" s="1"/>
  <c r="AL171" i="2"/>
  <c r="M167" i="2"/>
  <c r="AY169" i="2"/>
  <c r="AR164" i="2"/>
  <c r="AR172" i="2" s="1"/>
  <c r="T166" i="2"/>
  <c r="AR845" i="2"/>
  <c r="AR846" i="2" s="1"/>
  <c r="AL168" i="2"/>
  <c r="R170" i="2"/>
  <c r="AM165" i="2"/>
  <c r="M169" i="2"/>
  <c r="U847" i="2"/>
  <c r="AZ847" i="2"/>
  <c r="AL165" i="2"/>
  <c r="AL173" i="2" s="1"/>
  <c r="AH171" i="2"/>
  <c r="M168" i="2"/>
  <c r="AO845" i="2"/>
  <c r="AO846" i="2" s="1"/>
  <c r="M171" i="2"/>
  <c r="M179" i="2" s="1"/>
  <c r="AR166" i="2"/>
  <c r="AF171" i="2"/>
  <c r="AF179" i="2" s="1"/>
  <c r="AP845" i="2"/>
  <c r="AP846" i="2" s="1"/>
  <c r="AL166" i="2"/>
  <c r="AL174" i="2" s="1"/>
  <c r="H166" i="2"/>
  <c r="AR168" i="2"/>
  <c r="BA166" i="2"/>
  <c r="BA169" i="2"/>
  <c r="L169" i="2"/>
  <c r="E847" i="2"/>
  <c r="Q168" i="2"/>
  <c r="AI165" i="2"/>
  <c r="AI167" i="2"/>
  <c r="AI170" i="2"/>
  <c r="AI178" i="2" s="1"/>
  <c r="AU164" i="2"/>
  <c r="M165" i="2"/>
  <c r="M173" i="2" s="1"/>
  <c r="AV167" i="2"/>
  <c r="BA167" i="2"/>
  <c r="AN166" i="2"/>
  <c r="M847" i="2"/>
  <c r="AK170" i="2"/>
  <c r="W847" i="2"/>
  <c r="AR167" i="2"/>
  <c r="AC165" i="2"/>
  <c r="AC173" i="2" s="1"/>
  <c r="AV170" i="2"/>
  <c r="AV178" i="2" s="1"/>
  <c r="R167" i="2"/>
  <c r="T170" i="2"/>
  <c r="T178" i="2" s="1"/>
  <c r="AY167" i="2"/>
  <c r="N164" i="2"/>
  <c r="N172" i="2" s="1"/>
  <c r="AY171" i="2"/>
  <c r="AY179" i="2" s="1"/>
  <c r="AV168" i="2"/>
  <c r="AY168" i="2"/>
  <c r="AI168" i="2"/>
  <c r="AY166" i="2"/>
  <c r="AW165" i="2"/>
  <c r="AW173" i="2" s="1"/>
  <c r="BA164" i="2"/>
  <c r="BA172" i="2" s="1"/>
  <c r="AN171" i="2"/>
  <c r="AN179" i="2" s="1"/>
  <c r="V164" i="2"/>
  <c r="AR171" i="2"/>
  <c r="AR179" i="2" s="1"/>
  <c r="AE170" i="2"/>
  <c r="AE178" i="2" s="1"/>
  <c r="AE169" i="2"/>
  <c r="AE177" i="2" s="1"/>
  <c r="AL170" i="2"/>
  <c r="M166" i="2"/>
  <c r="AR165" i="2"/>
  <c r="AX169" i="2"/>
  <c r="R171" i="2"/>
  <c r="AO166" i="2"/>
  <c r="R166" i="2"/>
  <c r="R174" i="2" s="1"/>
  <c r="AT847" i="2"/>
  <c r="U170" i="2"/>
  <c r="AW171" i="2"/>
  <c r="AW179" i="2" s="1"/>
  <c r="AH168" i="2"/>
  <c r="AC847" i="2"/>
  <c r="AO168" i="2"/>
  <c r="AF845" i="2"/>
  <c r="AF846" i="2" s="1"/>
  <c r="AP165" i="2"/>
  <c r="AP173" i="2" s="1"/>
  <c r="AL167" i="2"/>
  <c r="AG845" i="2"/>
  <c r="AG846" i="2" s="1"/>
  <c r="Y165" i="2"/>
  <c r="Y173" i="2" s="1"/>
  <c r="Y164" i="2"/>
  <c r="Y172" i="2" s="1"/>
  <c r="Y166" i="2"/>
  <c r="AZ165" i="2"/>
  <c r="X847" i="2"/>
  <c r="X845" i="2"/>
  <c r="X846" i="2" s="1"/>
  <c r="BD788" i="2"/>
  <c r="AX167" i="2"/>
  <c r="E170" i="2"/>
  <c r="G168" i="2"/>
  <c r="AG819" i="2"/>
  <c r="AG168" i="2"/>
  <c r="AG167" i="2"/>
  <c r="AG171" i="2"/>
  <c r="AG179" i="2" s="1"/>
  <c r="AG166" i="2"/>
  <c r="AG170" i="2"/>
  <c r="AG164" i="2"/>
  <c r="AG172" i="2" s="1"/>
  <c r="AC845" i="2"/>
  <c r="AC846" i="2" s="1"/>
  <c r="AZ166" i="2"/>
  <c r="AE845" i="2"/>
  <c r="AE846" i="2" s="1"/>
  <c r="E169" i="2"/>
  <c r="AR847" i="2"/>
  <c r="AS819" i="2"/>
  <c r="AS168" i="2"/>
  <c r="AS167" i="2"/>
  <c r="AS169" i="2"/>
  <c r="AS165" i="2"/>
  <c r="AS173" i="2" s="1"/>
  <c r="AS166" i="2"/>
  <c r="AX819" i="2"/>
  <c r="AX166" i="2"/>
  <c r="AX174" i="2" s="1"/>
  <c r="AX171" i="2"/>
  <c r="AX165" i="2"/>
  <c r="AX168" i="2"/>
  <c r="AX164" i="2"/>
  <c r="AX172" i="2" s="1"/>
  <c r="C169" i="2"/>
  <c r="C170" i="2"/>
  <c r="C171" i="2"/>
  <c r="C167" i="2"/>
  <c r="AF819" i="2"/>
  <c r="AF164" i="2"/>
  <c r="AF172" i="2" s="1"/>
  <c r="AF167" i="2"/>
  <c r="AF169" i="2"/>
  <c r="AF170" i="2"/>
  <c r="AF178" i="2" s="1"/>
  <c r="AA845" i="2"/>
  <c r="AA846" i="2" s="1"/>
  <c r="P819" i="2"/>
  <c r="P170" i="2"/>
  <c r="P178" i="2" s="1"/>
  <c r="P171" i="2"/>
  <c r="P179" i="2" s="1"/>
  <c r="P169" i="2"/>
  <c r="F847" i="2"/>
  <c r="U845" i="2"/>
  <c r="U846" i="2" s="1"/>
  <c r="J165" i="2"/>
  <c r="AX847" i="2"/>
  <c r="C165" i="2"/>
  <c r="AP167" i="2"/>
  <c r="L819" i="2"/>
  <c r="L168" i="2"/>
  <c r="L164" i="2"/>
  <c r="L172" i="2" s="1"/>
  <c r="L165" i="2"/>
  <c r="L167" i="2"/>
  <c r="L166" i="2"/>
  <c r="AQ170" i="2"/>
  <c r="AQ178" i="2" s="1"/>
  <c r="P164" i="2"/>
  <c r="P168" i="2"/>
  <c r="K819" i="2"/>
  <c r="K170" i="2"/>
  <c r="K178" i="2" s="1"/>
  <c r="K164" i="2"/>
  <c r="K169" i="2"/>
  <c r="K167" i="2"/>
  <c r="K166" i="2"/>
  <c r="Y819" i="2"/>
  <c r="Y171" i="2"/>
  <c r="Y179" i="2" s="1"/>
  <c r="Y169" i="2"/>
  <c r="Y167" i="2"/>
  <c r="G819" i="2"/>
  <c r="G170" i="2"/>
  <c r="G178" i="2" s="1"/>
  <c r="G167" i="2"/>
  <c r="G171" i="2"/>
  <c r="G179" i="2" s="1"/>
  <c r="J819" i="2"/>
  <c r="J167" i="2"/>
  <c r="J164" i="2"/>
  <c r="J172" i="2" s="1"/>
  <c r="J170" i="2"/>
  <c r="AZ819" i="2"/>
  <c r="AZ169" i="2"/>
  <c r="AZ168" i="2"/>
  <c r="AZ171" i="2"/>
  <c r="AZ179" i="2" s="1"/>
  <c r="AZ167" i="2"/>
  <c r="E819" i="2"/>
  <c r="E166" i="2"/>
  <c r="E167" i="2"/>
  <c r="E171" i="2"/>
  <c r="E179" i="2" s="1"/>
  <c r="E164" i="2"/>
  <c r="W819" i="2"/>
  <c r="W167" i="2"/>
  <c r="W169" i="2"/>
  <c r="W177" i="2" s="1"/>
  <c r="W168" i="2"/>
  <c r="W164" i="2"/>
  <c r="AA819" i="2"/>
  <c r="AA164" i="2"/>
  <c r="AA165" i="2"/>
  <c r="AA170" i="2"/>
  <c r="AA178" i="2" s="1"/>
  <c r="AA169" i="2"/>
  <c r="AA177" i="2" s="1"/>
  <c r="AA167" i="2"/>
  <c r="W166" i="2"/>
  <c r="AD819" i="2"/>
  <c r="AD169" i="2"/>
  <c r="AD165" i="2"/>
  <c r="AD173" i="2" s="1"/>
  <c r="AD167" i="2"/>
  <c r="AF847" i="2"/>
  <c r="J169" i="2"/>
  <c r="AH819" i="2"/>
  <c r="AH165" i="2"/>
  <c r="AH173" i="2" s="1"/>
  <c r="AH170" i="2"/>
  <c r="AU819" i="2"/>
  <c r="AU169" i="2"/>
  <c r="AU165" i="2"/>
  <c r="AU166" i="2"/>
  <c r="AU168" i="2"/>
  <c r="AM819" i="2"/>
  <c r="AM166" i="2"/>
  <c r="AM170" i="2"/>
  <c r="AM178" i="2" s="1"/>
  <c r="AM169" i="2"/>
  <c r="AM177" i="2" s="1"/>
  <c r="AQ819" i="2"/>
  <c r="AQ171" i="2"/>
  <c r="AQ179" i="2" s="1"/>
  <c r="AQ169" i="2"/>
  <c r="AQ177" i="2" s="1"/>
  <c r="AQ166" i="2"/>
  <c r="G165" i="2"/>
  <c r="K165" i="2"/>
  <c r="AH169" i="2"/>
  <c r="I819" i="2"/>
  <c r="I165" i="2"/>
  <c r="I173" i="2" s="1"/>
  <c r="I171" i="2"/>
  <c r="I179" i="2" s="1"/>
  <c r="I166" i="2"/>
  <c r="BD791" i="2"/>
  <c r="W165" i="2"/>
  <c r="AD170" i="2"/>
  <c r="AA168" i="2"/>
  <c r="C166" i="2"/>
  <c r="AF168" i="2"/>
  <c r="I168" i="2"/>
  <c r="AD166" i="2"/>
  <c r="AD174" i="2" s="1"/>
  <c r="AQ164" i="2"/>
  <c r="BB819" i="2"/>
  <c r="BB168" i="2"/>
  <c r="BB170" i="2"/>
  <c r="BB164" i="2"/>
  <c r="BB172" i="2" s="1"/>
  <c r="AY845" i="2"/>
  <c r="AY846" i="2" s="1"/>
  <c r="E165" i="2"/>
  <c r="E173" i="2" s="1"/>
  <c r="C164" i="2"/>
  <c r="AB819" i="2"/>
  <c r="AB170" i="2"/>
  <c r="AB178" i="2" s="1"/>
  <c r="AB166" i="2"/>
  <c r="AB164" i="2"/>
  <c r="AB172" i="2" s="1"/>
  <c r="AB169" i="2"/>
  <c r="BC845" i="2"/>
  <c r="BC846" i="2" s="1"/>
  <c r="AM168" i="2"/>
  <c r="W170" i="2"/>
  <c r="W178" i="2" s="1"/>
  <c r="F165" i="2"/>
  <c r="AP169" i="2"/>
  <c r="J171" i="2"/>
  <c r="I169" i="2"/>
  <c r="AV819" i="2"/>
  <c r="AV166" i="2"/>
  <c r="V819" i="2"/>
  <c r="V169" i="2"/>
  <c r="V166" i="2"/>
  <c r="V174" i="2" s="1"/>
  <c r="V171" i="2"/>
  <c r="V165" i="2"/>
  <c r="V173" i="2" s="1"/>
  <c r="K847" i="2"/>
  <c r="AU171" i="2"/>
  <c r="AU179" i="2" s="1"/>
  <c r="BB167" i="2"/>
  <c r="AS164" i="2"/>
  <c r="BB166" i="2"/>
  <c r="BB174" i="2" s="1"/>
  <c r="AC819" i="2"/>
  <c r="AC167" i="2"/>
  <c r="AC168" i="2"/>
  <c r="AC171" i="2"/>
  <c r="AC179" i="2" s="1"/>
  <c r="AC170" i="2"/>
  <c r="Q819" i="2"/>
  <c r="Q167" i="2"/>
  <c r="Q170" i="2"/>
  <c r="S819" i="2"/>
  <c r="S171" i="2"/>
  <c r="S179" i="2" s="1"/>
  <c r="S165" i="2"/>
  <c r="S167" i="2"/>
  <c r="S166" i="2"/>
  <c r="AD171" i="2"/>
  <c r="AE847" i="2"/>
  <c r="AJ819" i="2"/>
  <c r="AJ170" i="2"/>
  <c r="AJ178" i="2" s="1"/>
  <c r="AJ167" i="2"/>
  <c r="AJ166" i="2"/>
  <c r="AT819" i="2"/>
  <c r="AT170" i="2"/>
  <c r="AT164" i="2"/>
  <c r="AT172" i="2" s="1"/>
  <c r="AT168" i="2"/>
  <c r="AT169" i="2"/>
  <c r="AK819" i="2"/>
  <c r="AK169" i="2"/>
  <c r="AK171" i="2"/>
  <c r="AK179" i="2" s="1"/>
  <c r="AK166" i="2"/>
  <c r="AK167" i="2"/>
  <c r="D819" i="2"/>
  <c r="D170" i="2"/>
  <c r="D165" i="2"/>
  <c r="D168" i="2"/>
  <c r="D169" i="2"/>
  <c r="D164" i="2"/>
  <c r="D172" i="2" s="1"/>
  <c r="D171" i="2"/>
  <c r="D179" i="2" s="1"/>
  <c r="AZ164" i="2"/>
  <c r="AZ172" i="2" s="1"/>
  <c r="K171" i="2"/>
  <c r="K179" i="2" s="1"/>
  <c r="AB167" i="2"/>
  <c r="C168" i="2"/>
  <c r="V167" i="2"/>
  <c r="I164" i="2"/>
  <c r="I172" i="2" s="1"/>
  <c r="AC164" i="2"/>
  <c r="AO847" i="2"/>
  <c r="AQ165" i="2"/>
  <c r="D167" i="2"/>
  <c r="AV164" i="2"/>
  <c r="AH166" i="2"/>
  <c r="AH174" i="2" s="1"/>
  <c r="H847" i="2"/>
  <c r="H845" i="2"/>
  <c r="H846" i="2" s="1"/>
  <c r="AS170" i="2"/>
  <c r="O819" i="2"/>
  <c r="O168" i="2"/>
  <c r="O165" i="2"/>
  <c r="O167" i="2"/>
  <c r="O166" i="2"/>
  <c r="O169" i="2"/>
  <c r="O177" i="2" s="1"/>
  <c r="AH164" i="2"/>
  <c r="AD168" i="2"/>
  <c r="F819" i="2"/>
  <c r="F167" i="2"/>
  <c r="F171" i="2"/>
  <c r="F166" i="2"/>
  <c r="F174" i="2" s="1"/>
  <c r="F164" i="2"/>
  <c r="F172" i="2" s="1"/>
  <c r="AP819" i="2"/>
  <c r="AP164" i="2"/>
  <c r="AP172" i="2" s="1"/>
  <c r="AP171" i="2"/>
  <c r="AP168" i="2"/>
  <c r="G169" i="2"/>
  <c r="G177" i="2" s="1"/>
  <c r="AS171" i="2"/>
  <c r="AS179" i="2" s="1"/>
  <c r="AG165" i="2"/>
  <c r="AG173" i="2" s="1"/>
  <c r="AV169" i="2"/>
  <c r="M845" i="2"/>
  <c r="M846" i="2" s="1"/>
  <c r="X819" i="2"/>
  <c r="X170" i="2"/>
  <c r="X178" i="2" s="1"/>
  <c r="X165" i="2"/>
  <c r="X171" i="2"/>
  <c r="X179" i="2" s="1"/>
  <c r="J166" i="2"/>
  <c r="J174" i="2" s="1"/>
  <c r="AF165" i="2"/>
  <c r="J847" i="2"/>
  <c r="AU170" i="2"/>
  <c r="AU178" i="2" s="1"/>
  <c r="X168" i="2"/>
  <c r="X164" i="2"/>
  <c r="X172" i="2" s="1"/>
  <c r="Y168" i="2"/>
  <c r="G164" i="2"/>
  <c r="AM164" i="2"/>
  <c r="AQ168" i="2"/>
  <c r="S169" i="2"/>
  <c r="S177" i="2" s="1"/>
  <c r="AA171" i="2"/>
  <c r="AA179" i="2" s="1"/>
  <c r="R168" i="2"/>
  <c r="AW169" i="2"/>
  <c r="BA171" i="2"/>
  <c r="BA179" i="2" s="1"/>
  <c r="BA170" i="2"/>
  <c r="AO169" i="2"/>
  <c r="N171" i="2"/>
  <c r="R164" i="2"/>
  <c r="R172" i="2" s="1"/>
  <c r="AO170" i="2"/>
  <c r="AO165" i="2"/>
  <c r="AO173" i="2" s="1"/>
  <c r="AR169" i="2"/>
  <c r="M170" i="2"/>
  <c r="AN164" i="2"/>
  <c r="AN167" i="2"/>
  <c r="N166" i="2"/>
  <c r="N174" i="2" s="1"/>
  <c r="AE168" i="2"/>
  <c r="R169" i="2"/>
  <c r="AO164" i="2"/>
  <c r="AO172" i="2" s="1"/>
  <c r="H165" i="2"/>
  <c r="AR170" i="2"/>
  <c r="AR178" i="2" s="1"/>
  <c r="AI164" i="2"/>
  <c r="AW170" i="2"/>
  <c r="AO167" i="2"/>
  <c r="AY165" i="2"/>
  <c r="Z169" i="2"/>
  <c r="Z168" i="2"/>
  <c r="AE164" i="2"/>
  <c r="U164" i="2"/>
  <c r="U172" i="2" s="1"/>
  <c r="U166" i="2"/>
  <c r="Z166" i="2"/>
  <c r="Z174" i="2" s="1"/>
  <c r="AW164" i="2"/>
  <c r="AW172" i="2" s="1"/>
  <c r="AL164" i="2"/>
  <c r="AL172" i="2" s="1"/>
  <c r="AO171" i="2"/>
  <c r="T169" i="2"/>
  <c r="R165" i="2"/>
  <c r="R173" i="2" s="1"/>
  <c r="BD792" i="2"/>
  <c r="BD787" i="2"/>
  <c r="BD790" i="2"/>
  <c r="BD786" i="2"/>
  <c r="BD785" i="2"/>
  <c r="BD789" i="2"/>
  <c r="E276" i="2"/>
  <c r="E739" i="2" s="1"/>
  <c r="D790" i="2"/>
  <c r="D300" i="2" s="1"/>
  <c r="C793" i="2"/>
  <c r="E271" i="2"/>
  <c r="E734" i="2" s="1"/>
  <c r="D785" i="2"/>
  <c r="D295" i="2" s="1"/>
  <c r="E278" i="2"/>
  <c r="E741" i="2" s="1"/>
  <c r="D792" i="2"/>
  <c r="D302" i="2" s="1"/>
  <c r="E275" i="2"/>
  <c r="E738" i="2" s="1"/>
  <c r="D789" i="2"/>
  <c r="D299" i="2" s="1"/>
  <c r="E274" i="2"/>
  <c r="E737" i="2" s="1"/>
  <c r="D788" i="2"/>
  <c r="D298" i="2" s="1"/>
  <c r="E277" i="2"/>
  <c r="E740" i="2" s="1"/>
  <c r="D791" i="2"/>
  <c r="D301" i="2" s="1"/>
  <c r="E273" i="2"/>
  <c r="E736" i="2" s="1"/>
  <c r="D787" i="2"/>
  <c r="D297" i="2" s="1"/>
  <c r="E272" i="2"/>
  <c r="E735" i="2" s="1"/>
  <c r="D786" i="2"/>
  <c r="D296" i="2" s="1"/>
  <c r="BD830" i="2"/>
  <c r="BD829" i="2"/>
  <c r="BD832" i="2"/>
  <c r="BD831" i="2"/>
  <c r="BD827" i="2"/>
  <c r="BD825" i="2"/>
  <c r="BD826" i="2"/>
  <c r="BD828" i="2"/>
  <c r="D733" i="2"/>
  <c r="BC847" i="2"/>
  <c r="BA845" i="2"/>
  <c r="BA846" i="2" s="1"/>
  <c r="BA847" i="2"/>
  <c r="AB845" i="2"/>
  <c r="AB846" i="2" s="1"/>
  <c r="AB847" i="2"/>
  <c r="AS847" i="2"/>
  <c r="AS845" i="2"/>
  <c r="AS846" i="2" s="1"/>
  <c r="AH847" i="2"/>
  <c r="AH845" i="2"/>
  <c r="AH846" i="2" s="1"/>
  <c r="AL847" i="2"/>
  <c r="AL845" i="2"/>
  <c r="AL846" i="2" s="1"/>
  <c r="AQ847" i="2"/>
  <c r="AQ845" i="2"/>
  <c r="AQ846" i="2" s="1"/>
  <c r="C819" i="2"/>
  <c r="BC818" i="2"/>
  <c r="Y845" i="2"/>
  <c r="Y846" i="2" s="1"/>
  <c r="Y847" i="2"/>
  <c r="AV847" i="2"/>
  <c r="AV845" i="2"/>
  <c r="AV846" i="2" s="1"/>
  <c r="L847" i="2"/>
  <c r="L845" i="2"/>
  <c r="L846" i="2" s="1"/>
  <c r="Z847" i="2"/>
  <c r="Z845" i="2"/>
  <c r="Z846" i="2" s="1"/>
  <c r="G845" i="2"/>
  <c r="G846" i="2" s="1"/>
  <c r="G847" i="2"/>
  <c r="AD847" i="2"/>
  <c r="AD845" i="2"/>
  <c r="AD846" i="2" s="1"/>
  <c r="AI847" i="2"/>
  <c r="AI845" i="2"/>
  <c r="AI846" i="2" s="1"/>
  <c r="Q847" i="2"/>
  <c r="Q845" i="2"/>
  <c r="Q846" i="2" s="1"/>
  <c r="AW845" i="2"/>
  <c r="AW846" i="2" s="1"/>
  <c r="AW847" i="2"/>
  <c r="O847" i="2"/>
  <c r="O845" i="2"/>
  <c r="O846" i="2" s="1"/>
  <c r="V845" i="2"/>
  <c r="V846" i="2" s="1"/>
  <c r="V847" i="2"/>
  <c r="AU847" i="2"/>
  <c r="AU845" i="2"/>
  <c r="AU846" i="2" s="1"/>
  <c r="AK847" i="2"/>
  <c r="AK845" i="2"/>
  <c r="AK846" i="2" s="1"/>
  <c r="T845" i="2"/>
  <c r="T846" i="2" s="1"/>
  <c r="T847" i="2"/>
  <c r="AJ845" i="2"/>
  <c r="AJ846" i="2" s="1"/>
  <c r="AJ847" i="2"/>
  <c r="I847" i="2"/>
  <c r="I845" i="2"/>
  <c r="I846" i="2" s="1"/>
  <c r="AN845" i="2"/>
  <c r="AN846" i="2" s="1"/>
  <c r="AN847" i="2"/>
  <c r="AM847" i="2"/>
  <c r="AM845" i="2"/>
  <c r="AM846" i="2" s="1"/>
  <c r="R847" i="2"/>
  <c r="R845" i="2"/>
  <c r="R846" i="2" s="1"/>
  <c r="D845" i="2"/>
  <c r="D847" i="2"/>
  <c r="P845" i="2"/>
  <c r="P846" i="2" s="1"/>
  <c r="P847" i="2"/>
  <c r="S845" i="2"/>
  <c r="S846" i="2" s="1"/>
  <c r="S847" i="2"/>
  <c r="L34" i="1"/>
  <c r="F17" i="1"/>
  <c r="G17" i="1" s="1"/>
  <c r="H17" i="1" s="1"/>
  <c r="G16" i="1"/>
  <c r="L36" i="1"/>
  <c r="L38" i="1" s="1"/>
  <c r="C34" i="1" s="1"/>
  <c r="E34" i="1" s="1"/>
  <c r="L4" i="1"/>
  <c r="L19" i="1"/>
  <c r="L17" i="1" s="1"/>
  <c r="L11" i="1" s="1"/>
  <c r="BC255" i="2" l="1"/>
  <c r="C262" i="2"/>
  <c r="BC254" i="2"/>
  <c r="BC253" i="2"/>
  <c r="BC251" i="2"/>
  <c r="BC252" i="2"/>
  <c r="BC250" i="2"/>
  <c r="C264" i="2"/>
  <c r="BC256" i="2"/>
  <c r="BC819" i="2"/>
  <c r="BC170" i="2"/>
  <c r="C178" i="2"/>
  <c r="C177" i="2"/>
  <c r="BC169" i="2"/>
  <c r="BC164" i="2"/>
  <c r="BC165" i="2"/>
  <c r="BC166" i="2"/>
  <c r="BC171" i="2"/>
  <c r="C179" i="2"/>
  <c r="BC168" i="2"/>
  <c r="BC167" i="2"/>
  <c r="C616" i="2"/>
  <c r="C624" i="2" s="1"/>
  <c r="BD793" i="2"/>
  <c r="C614" i="2"/>
  <c r="C622" i="2" s="1"/>
  <c r="C630" i="2" s="1"/>
  <c r="C638" i="2" s="1"/>
  <c r="C617" i="2"/>
  <c r="C625" i="2" s="1"/>
  <c r="C612" i="2"/>
  <c r="C744" i="2" s="1"/>
  <c r="C610" i="2"/>
  <c r="C742" i="2" s="1"/>
  <c r="C611" i="2"/>
  <c r="C619" i="2" s="1"/>
  <c r="C627" i="2" s="1"/>
  <c r="C635" i="2" s="1"/>
  <c r="C615" i="2"/>
  <c r="C623" i="2" s="1"/>
  <c r="F273" i="2"/>
  <c r="F736" i="2" s="1"/>
  <c r="E787" i="2"/>
  <c r="E297" i="2" s="1"/>
  <c r="F277" i="2"/>
  <c r="F740" i="2" s="1"/>
  <c r="E791" i="2"/>
  <c r="E301" i="2" s="1"/>
  <c r="F272" i="2"/>
  <c r="F735" i="2" s="1"/>
  <c r="E786" i="2"/>
  <c r="E296" i="2" s="1"/>
  <c r="F278" i="2"/>
  <c r="F741" i="2" s="1"/>
  <c r="E792" i="2"/>
  <c r="E302" i="2" s="1"/>
  <c r="F274" i="2"/>
  <c r="F737" i="2" s="1"/>
  <c r="E788" i="2"/>
  <c r="E298" i="2" s="1"/>
  <c r="D793" i="2"/>
  <c r="D617" i="2" s="1"/>
  <c r="F276" i="2"/>
  <c r="F739" i="2" s="1"/>
  <c r="E790" i="2"/>
  <c r="E300" i="2" s="1"/>
  <c r="F271" i="2"/>
  <c r="F734" i="2" s="1"/>
  <c r="E785" i="2"/>
  <c r="E295" i="2" s="1"/>
  <c r="F275" i="2"/>
  <c r="F738" i="2" s="1"/>
  <c r="E789" i="2"/>
  <c r="E299" i="2" s="1"/>
  <c r="C613" i="2"/>
  <c r="E733" i="2"/>
  <c r="L31" i="1"/>
  <c r="C442" i="2"/>
  <c r="L2" i="1"/>
  <c r="M2" i="1" s="1"/>
  <c r="M4" i="1"/>
  <c r="BF75" i="2"/>
  <c r="BG75" i="2" s="1"/>
  <c r="BD847" i="2"/>
  <c r="BD845" i="2"/>
  <c r="D846" i="2"/>
  <c r="BD846" i="2" s="1"/>
  <c r="BC89" i="2"/>
  <c r="C99" i="2"/>
  <c r="C105" i="2" s="1"/>
  <c r="C97" i="2"/>
  <c r="C103" i="2" s="1"/>
  <c r="C61" i="2"/>
  <c r="D89" i="2"/>
  <c r="C98" i="2"/>
  <c r="C104" i="2" s="1"/>
  <c r="C62" i="2"/>
  <c r="C8" i="4"/>
  <c r="F34" i="1"/>
  <c r="G34" i="1" s="1"/>
  <c r="D437" i="2"/>
  <c r="C444" i="2"/>
  <c r="C33" i="1"/>
  <c r="H16" i="1"/>
  <c r="L18" i="1"/>
  <c r="C443" i="2"/>
  <c r="C654" i="2" l="1"/>
  <c r="C646" i="2"/>
  <c r="C651" i="2"/>
  <c r="C643" i="2"/>
  <c r="C618" i="2"/>
  <c r="C626" i="2" s="1"/>
  <c r="C634" i="2" s="1"/>
  <c r="C746" i="2"/>
  <c r="C755" i="2" s="1"/>
  <c r="C748" i="2"/>
  <c r="C757" i="2" s="1"/>
  <c r="C751" i="2"/>
  <c r="C753" i="2"/>
  <c r="C620" i="2"/>
  <c r="C628" i="2" s="1"/>
  <c r="C636" i="2" s="1"/>
  <c r="C743" i="2"/>
  <c r="C749" i="2"/>
  <c r="D616" i="2"/>
  <c r="D748" i="2" s="1"/>
  <c r="C747" i="2"/>
  <c r="C438" i="2"/>
  <c r="D613" i="2"/>
  <c r="D745" i="2" s="1"/>
  <c r="D754" i="2" s="1"/>
  <c r="D625" i="2"/>
  <c r="D749" i="2"/>
  <c r="D758" i="2" s="1"/>
  <c r="C441" i="2"/>
  <c r="C621" i="2"/>
  <c r="C629" i="2" s="1"/>
  <c r="C637" i="2" s="1"/>
  <c r="C745" i="2"/>
  <c r="D614" i="2"/>
  <c r="D610" i="2"/>
  <c r="D615" i="2"/>
  <c r="G275" i="2"/>
  <c r="G738" i="2" s="1"/>
  <c r="F789" i="2"/>
  <c r="F299" i="2" s="1"/>
  <c r="G276" i="2"/>
  <c r="G739" i="2" s="1"/>
  <c r="F790" i="2"/>
  <c r="F300" i="2" s="1"/>
  <c r="G272" i="2"/>
  <c r="G735" i="2" s="1"/>
  <c r="F786" i="2"/>
  <c r="F296" i="2" s="1"/>
  <c r="G277" i="2"/>
  <c r="G740" i="2" s="1"/>
  <c r="F791" i="2"/>
  <c r="F301" i="2" s="1"/>
  <c r="G274" i="2"/>
  <c r="G737" i="2" s="1"/>
  <c r="F788" i="2"/>
  <c r="F298" i="2" s="1"/>
  <c r="E793" i="2"/>
  <c r="G271" i="2"/>
  <c r="G734" i="2" s="1"/>
  <c r="F785" i="2"/>
  <c r="F295" i="2" s="1"/>
  <c r="G278" i="2"/>
  <c r="G741" i="2" s="1"/>
  <c r="F792" i="2"/>
  <c r="F302" i="2" s="1"/>
  <c r="D611" i="2"/>
  <c r="D612" i="2"/>
  <c r="G273" i="2"/>
  <c r="G736" i="2" s="1"/>
  <c r="F787" i="2"/>
  <c r="F297" i="2" s="1"/>
  <c r="F733" i="2"/>
  <c r="D924" i="2"/>
  <c r="C893" i="2"/>
  <c r="C416" i="2"/>
  <c r="C424" i="2"/>
  <c r="C450" i="2" s="1"/>
  <c r="D444" i="2"/>
  <c r="D909" i="2"/>
  <c r="C425" i="2"/>
  <c r="C451" i="2" s="1"/>
  <c r="C417" i="2"/>
  <c r="BC98" i="2"/>
  <c r="BC104" i="2" s="1"/>
  <c r="BC97" i="2"/>
  <c r="BC103" i="2" s="1"/>
  <c r="BC99" i="2"/>
  <c r="BC105" i="2" s="1"/>
  <c r="C415" i="2"/>
  <c r="C423" i="2"/>
  <c r="D419" i="2"/>
  <c r="D411" i="2"/>
  <c r="E89" i="2"/>
  <c r="D61" i="2"/>
  <c r="D910" i="2" s="1"/>
  <c r="D97" i="2"/>
  <c r="D103" i="2" s="1"/>
  <c r="C418" i="2"/>
  <c r="C426" i="2"/>
  <c r="C452" i="2" s="1"/>
  <c r="C420" i="2"/>
  <c r="C412" i="2"/>
  <c r="C662" i="2" l="1"/>
  <c r="C686" i="2" s="1"/>
  <c r="C283" i="2"/>
  <c r="C659" i="2"/>
  <c r="C683" i="2" s="1"/>
  <c r="C280" i="2"/>
  <c r="C652" i="2"/>
  <c r="C644" i="2"/>
  <c r="C650" i="2"/>
  <c r="C279" i="2" s="1"/>
  <c r="C642" i="2"/>
  <c r="C653" i="2"/>
  <c r="C645" i="2"/>
  <c r="C411" i="2"/>
  <c r="C419" i="2"/>
  <c r="D445" i="2"/>
  <c r="C413" i="2"/>
  <c r="D621" i="2"/>
  <c r="D629" i="2" s="1"/>
  <c r="D637" i="2" s="1"/>
  <c r="C437" i="2"/>
  <c r="E613" i="2"/>
  <c r="E621" i="2" s="1"/>
  <c r="E629" i="2" s="1"/>
  <c r="E637" i="2" s="1"/>
  <c r="C446" i="2"/>
  <c r="C439" i="2"/>
  <c r="D757" i="2"/>
  <c r="C421" i="2"/>
  <c r="D624" i="2"/>
  <c r="D632" i="2" s="1"/>
  <c r="D640" i="2" s="1"/>
  <c r="C752" i="2"/>
  <c r="C756" i="2"/>
  <c r="C758" i="2"/>
  <c r="C750" i="2"/>
  <c r="C754" i="2"/>
  <c r="E610" i="2"/>
  <c r="E618" i="2" s="1"/>
  <c r="E626" i="2" s="1"/>
  <c r="E634" i="2" s="1"/>
  <c r="D619" i="2"/>
  <c r="D627" i="2" s="1"/>
  <c r="D635" i="2" s="1"/>
  <c r="D743" i="2"/>
  <c r="D752" i="2" s="1"/>
  <c r="D623" i="2"/>
  <c r="D631" i="2" s="1"/>
  <c r="D639" i="2" s="1"/>
  <c r="D747" i="2"/>
  <c r="D756" i="2" s="1"/>
  <c r="D618" i="2"/>
  <c r="D742" i="2"/>
  <c r="D622" i="2"/>
  <c r="D630" i="2" s="1"/>
  <c r="D638" i="2" s="1"/>
  <c r="D746" i="2"/>
  <c r="C422" i="2"/>
  <c r="C449" i="2"/>
  <c r="C414" i="2"/>
  <c r="D620" i="2"/>
  <c r="D628" i="2" s="1"/>
  <c r="D636" i="2" s="1"/>
  <c r="D744" i="2"/>
  <c r="C440" i="2"/>
  <c r="E611" i="2"/>
  <c r="E616" i="2"/>
  <c r="H278" i="2"/>
  <c r="H741" i="2" s="1"/>
  <c r="G792" i="2"/>
  <c r="G302" i="2" s="1"/>
  <c r="F793" i="2"/>
  <c r="F617" i="2" s="1"/>
  <c r="E612" i="2"/>
  <c r="H277" i="2"/>
  <c r="H740" i="2" s="1"/>
  <c r="G791" i="2"/>
  <c r="G301" i="2" s="1"/>
  <c r="H271" i="2"/>
  <c r="H734" i="2" s="1"/>
  <c r="G785" i="2"/>
  <c r="G295" i="2" s="1"/>
  <c r="E615" i="2"/>
  <c r="E617" i="2"/>
  <c r="H276" i="2"/>
  <c r="H739" i="2" s="1"/>
  <c r="G790" i="2"/>
  <c r="G300" i="2" s="1"/>
  <c r="H273" i="2"/>
  <c r="H736" i="2" s="1"/>
  <c r="G787" i="2"/>
  <c r="G297" i="2" s="1"/>
  <c r="H274" i="2"/>
  <c r="H737" i="2" s="1"/>
  <c r="G788" i="2"/>
  <c r="G298" i="2" s="1"/>
  <c r="E614" i="2"/>
  <c r="H275" i="2"/>
  <c r="H738" i="2" s="1"/>
  <c r="G789" i="2"/>
  <c r="G299" i="2" s="1"/>
  <c r="H272" i="2"/>
  <c r="H735" i="2" s="1"/>
  <c r="G786" i="2"/>
  <c r="G296" i="2" s="1"/>
  <c r="G733" i="2"/>
  <c r="D666" i="2"/>
  <c r="D287" i="2" s="1"/>
  <c r="D303" i="2" s="1"/>
  <c r="C673" i="2"/>
  <c r="C294" i="2" s="1"/>
  <c r="C310" i="2" s="1"/>
  <c r="C672" i="2"/>
  <c r="C293" i="2" s="1"/>
  <c r="C309" i="2" s="1"/>
  <c r="F89" i="2"/>
  <c r="E97" i="2"/>
  <c r="E103" i="2" s="1"/>
  <c r="E61" i="2"/>
  <c r="D911" i="2" s="1"/>
  <c r="C667" i="2"/>
  <c r="C670" i="2"/>
  <c r="E438" i="2"/>
  <c r="D418" i="2"/>
  <c r="D426" i="2"/>
  <c r="D452" i="2" s="1"/>
  <c r="F437" i="2"/>
  <c r="E444" i="2"/>
  <c r="C671" i="2"/>
  <c r="C292" i="2" s="1"/>
  <c r="C308" i="2" s="1"/>
  <c r="C661" i="2" l="1"/>
  <c r="C685" i="2" s="1"/>
  <c r="C709" i="2" s="1"/>
  <c r="C282" i="2"/>
  <c r="C678" i="2"/>
  <c r="C176" i="2" s="1"/>
  <c r="C291" i="2"/>
  <c r="C307" i="2" s="1"/>
  <c r="C660" i="2"/>
  <c r="C684" i="2" s="1"/>
  <c r="C692" i="2" s="1"/>
  <c r="C281" i="2"/>
  <c r="C675" i="2"/>
  <c r="C173" i="2" s="1"/>
  <c r="C288" i="2"/>
  <c r="C304" i="2" s="1"/>
  <c r="C658" i="2"/>
  <c r="C682" i="2" s="1"/>
  <c r="C690" i="2" s="1"/>
  <c r="C669" i="2"/>
  <c r="C666" i="2"/>
  <c r="C668" i="2"/>
  <c r="C428" i="2" a="1"/>
  <c r="C428" i="2" s="1"/>
  <c r="D417" i="2"/>
  <c r="D648" i="2"/>
  <c r="D652" i="2"/>
  <c r="D644" i="2"/>
  <c r="E653" i="2"/>
  <c r="E645" i="2"/>
  <c r="E650" i="2"/>
  <c r="E642" i="2"/>
  <c r="D653" i="2"/>
  <c r="D645" i="2"/>
  <c r="D655" i="2"/>
  <c r="D647" i="2"/>
  <c r="D651" i="2"/>
  <c r="D643" i="2"/>
  <c r="D654" i="2"/>
  <c r="D646" i="2"/>
  <c r="C445" i="2"/>
  <c r="D440" i="2"/>
  <c r="D414" i="2"/>
  <c r="D422" i="2"/>
  <c r="E745" i="2"/>
  <c r="E754" i="2" s="1"/>
  <c r="C447" i="2"/>
  <c r="C427" i="2"/>
  <c r="C74" i="2" s="1"/>
  <c r="C71" i="2" s="1"/>
  <c r="C83" i="2" s="1"/>
  <c r="F610" i="2"/>
  <c r="F618" i="2" s="1"/>
  <c r="D751" i="2"/>
  <c r="D753" i="2"/>
  <c r="D656" i="2"/>
  <c r="D443" i="2"/>
  <c r="D755" i="2"/>
  <c r="E742" i="2"/>
  <c r="E751" i="2" s="1"/>
  <c r="D425" i="2"/>
  <c r="C448" i="2"/>
  <c r="E411" i="2"/>
  <c r="D438" i="2"/>
  <c r="E419" i="2"/>
  <c r="D412" i="2"/>
  <c r="D442" i="2"/>
  <c r="D424" i="2"/>
  <c r="D416" i="2"/>
  <c r="D423" i="2"/>
  <c r="D415" i="2"/>
  <c r="E440" i="2"/>
  <c r="D420" i="2"/>
  <c r="E620" i="2"/>
  <c r="E628" i="2" s="1"/>
  <c r="E636" i="2" s="1"/>
  <c r="E744" i="2"/>
  <c r="E753" i="2" s="1"/>
  <c r="E624" i="2"/>
  <c r="E632" i="2" s="1"/>
  <c r="E640" i="2" s="1"/>
  <c r="E748" i="2"/>
  <c r="E619" i="2"/>
  <c r="E743" i="2"/>
  <c r="D441" i="2"/>
  <c r="D750" i="2"/>
  <c r="F625" i="2"/>
  <c r="F633" i="2" s="1"/>
  <c r="F641" i="2" s="1"/>
  <c r="F749" i="2"/>
  <c r="F758" i="2" s="1"/>
  <c r="D413" i="2"/>
  <c r="D421" i="2"/>
  <c r="E625" i="2"/>
  <c r="E749" i="2"/>
  <c r="E437" i="2"/>
  <c r="E622" i="2"/>
  <c r="E630" i="2" s="1"/>
  <c r="E638" i="2" s="1"/>
  <c r="E746" i="2"/>
  <c r="E755" i="2" s="1"/>
  <c r="E623" i="2"/>
  <c r="E631" i="2" s="1"/>
  <c r="E639" i="2" s="1"/>
  <c r="E647" i="2" s="1"/>
  <c r="E747" i="2"/>
  <c r="E756" i="2" s="1"/>
  <c r="D439" i="2"/>
  <c r="F614" i="2"/>
  <c r="F615" i="2"/>
  <c r="F616" i="2"/>
  <c r="F613" i="2"/>
  <c r="F612" i="2"/>
  <c r="I277" i="2"/>
  <c r="I740" i="2" s="1"/>
  <c r="H791" i="2"/>
  <c r="H301" i="2" s="1"/>
  <c r="I274" i="2"/>
  <c r="I737" i="2" s="1"/>
  <c r="H788" i="2"/>
  <c r="H298" i="2" s="1"/>
  <c r="I273" i="2"/>
  <c r="I736" i="2" s="1"/>
  <c r="H787" i="2"/>
  <c r="H297" i="2" s="1"/>
  <c r="I275" i="2"/>
  <c r="I738" i="2" s="1"/>
  <c r="H789" i="2"/>
  <c r="H299" i="2" s="1"/>
  <c r="I272" i="2"/>
  <c r="I735" i="2" s="1"/>
  <c r="H786" i="2"/>
  <c r="H296" i="2" s="1"/>
  <c r="I276" i="2"/>
  <c r="I739" i="2" s="1"/>
  <c r="H790" i="2"/>
  <c r="H300" i="2" s="1"/>
  <c r="I278" i="2"/>
  <c r="I741" i="2" s="1"/>
  <c r="H792" i="2"/>
  <c r="H302" i="2" s="1"/>
  <c r="G793" i="2"/>
  <c r="G616" i="2" s="1"/>
  <c r="I271" i="2"/>
  <c r="I734" i="2" s="1"/>
  <c r="H785" i="2"/>
  <c r="H295" i="2" s="1"/>
  <c r="F611" i="2"/>
  <c r="H733" i="2"/>
  <c r="C695" i="2"/>
  <c r="C711" i="2"/>
  <c r="C707" i="2"/>
  <c r="C691" i="2"/>
  <c r="D673" i="2"/>
  <c r="D294" i="2" s="1"/>
  <c r="D310" i="2" s="1"/>
  <c r="E414" i="2"/>
  <c r="E422" i="2"/>
  <c r="E420" i="2"/>
  <c r="E446" i="2" s="1"/>
  <c r="E412" i="2"/>
  <c r="F439" i="2"/>
  <c r="F442" i="2"/>
  <c r="E418" i="2"/>
  <c r="E426" i="2"/>
  <c r="E452" i="2" s="1"/>
  <c r="C697" i="2"/>
  <c r="C713" i="2"/>
  <c r="F411" i="2"/>
  <c r="F419" i="2"/>
  <c r="D690" i="2"/>
  <c r="D706" i="2"/>
  <c r="G89" i="2"/>
  <c r="F61" i="2"/>
  <c r="D912" i="2" s="1"/>
  <c r="F97" i="2"/>
  <c r="F103" i="2" s="1"/>
  <c r="C694" i="2"/>
  <c r="C710" i="2"/>
  <c r="C712" i="2"/>
  <c r="C696" i="2"/>
  <c r="C261" i="2" l="1"/>
  <c r="C693" i="2"/>
  <c r="C81" i="2" s="1"/>
  <c r="E661" i="2"/>
  <c r="E685" i="2" s="1"/>
  <c r="E282" i="2"/>
  <c r="D662" i="2"/>
  <c r="D686" i="2" s="1"/>
  <c r="D710" i="2" s="1"/>
  <c r="D283" i="2"/>
  <c r="D660" i="2"/>
  <c r="D684" i="2" s="1"/>
  <c r="D692" i="2" s="1"/>
  <c r="D281" i="2"/>
  <c r="D664" i="2"/>
  <c r="D688" i="2" s="1"/>
  <c r="D696" i="2" s="1"/>
  <c r="D285" i="2"/>
  <c r="C258" i="2"/>
  <c r="D659" i="2"/>
  <c r="D683" i="2" s="1"/>
  <c r="D691" i="2" s="1"/>
  <c r="D280" i="2"/>
  <c r="D663" i="2"/>
  <c r="D687" i="2" s="1"/>
  <c r="D695" i="2" s="1"/>
  <c r="D284" i="2"/>
  <c r="D667" i="2"/>
  <c r="D661" i="2"/>
  <c r="D685" i="2" s="1"/>
  <c r="D693" i="2" s="1"/>
  <c r="D282" i="2"/>
  <c r="C676" i="2"/>
  <c r="C289" i="2"/>
  <c r="C305" i="2" s="1"/>
  <c r="C674" i="2"/>
  <c r="C287" i="2"/>
  <c r="C303" i="2" s="1"/>
  <c r="C708" i="2"/>
  <c r="C716" i="2" s="1"/>
  <c r="E658" i="2"/>
  <c r="E682" i="2" s="1"/>
  <c r="E706" i="2" s="1"/>
  <c r="E279" i="2"/>
  <c r="C706" i="2"/>
  <c r="C714" i="2" s="1"/>
  <c r="C677" i="2"/>
  <c r="C290" i="2"/>
  <c r="C306" i="2" s="1"/>
  <c r="D428" i="2" a="1"/>
  <c r="D428" i="2" s="1"/>
  <c r="D670" i="2"/>
  <c r="D671" i="2"/>
  <c r="D668" i="2"/>
  <c r="E656" i="2"/>
  <c r="E648" i="2"/>
  <c r="D669" i="2"/>
  <c r="E654" i="2"/>
  <c r="E646" i="2"/>
  <c r="E652" i="2"/>
  <c r="E644" i="2"/>
  <c r="F657" i="2"/>
  <c r="F649" i="2"/>
  <c r="E666" i="2"/>
  <c r="C453" i="2"/>
  <c r="D448" i="2"/>
  <c r="F445" i="2"/>
  <c r="D427" i="2"/>
  <c r="D74" i="2" s="1"/>
  <c r="D71" i="2" s="1"/>
  <c r="F742" i="2"/>
  <c r="F751" i="2" s="1"/>
  <c r="D672" i="2"/>
  <c r="E758" i="2"/>
  <c r="E757" i="2"/>
  <c r="E421" i="2"/>
  <c r="E413" i="2"/>
  <c r="G610" i="2"/>
  <c r="G618" i="2" s="1"/>
  <c r="G626" i="2" s="1"/>
  <c r="G634" i="2" s="1"/>
  <c r="D450" i="2"/>
  <c r="D451" i="2"/>
  <c r="D759" i="2"/>
  <c r="E752" i="2"/>
  <c r="E445" i="2"/>
  <c r="D446" i="2"/>
  <c r="F444" i="2"/>
  <c r="E750" i="2"/>
  <c r="E448" i="2"/>
  <c r="D447" i="2"/>
  <c r="E439" i="2"/>
  <c r="E425" i="2"/>
  <c r="E417" i="2"/>
  <c r="D449" i="2"/>
  <c r="E655" i="2"/>
  <c r="E442" i="2"/>
  <c r="E443" i="2"/>
  <c r="G624" i="2"/>
  <c r="G748" i="2"/>
  <c r="G757" i="2" s="1"/>
  <c r="E415" i="2"/>
  <c r="F620" i="2"/>
  <c r="F744" i="2"/>
  <c r="F753" i="2" s="1"/>
  <c r="E416" i="2"/>
  <c r="E423" i="2"/>
  <c r="F621" i="2"/>
  <c r="F629" i="2" s="1"/>
  <c r="F637" i="2" s="1"/>
  <c r="F745" i="2"/>
  <c r="F624" i="2"/>
  <c r="F632" i="2" s="1"/>
  <c r="F640" i="2" s="1"/>
  <c r="F748" i="2"/>
  <c r="F757" i="2" s="1"/>
  <c r="F619" i="2"/>
  <c r="F627" i="2" s="1"/>
  <c r="F635" i="2" s="1"/>
  <c r="F743" i="2"/>
  <c r="F752" i="2" s="1"/>
  <c r="F623" i="2"/>
  <c r="F747" i="2"/>
  <c r="F622" i="2"/>
  <c r="F630" i="2" s="1"/>
  <c r="F638" i="2" s="1"/>
  <c r="F746" i="2"/>
  <c r="E424" i="2"/>
  <c r="E441" i="2"/>
  <c r="G611" i="2"/>
  <c r="G612" i="2"/>
  <c r="J278" i="2"/>
  <c r="J741" i="2" s="1"/>
  <c r="I792" i="2"/>
  <c r="I302" i="2" s="1"/>
  <c r="J271" i="2"/>
  <c r="J734" i="2" s="1"/>
  <c r="I785" i="2"/>
  <c r="I295" i="2" s="1"/>
  <c r="G617" i="2"/>
  <c r="J274" i="2"/>
  <c r="J737" i="2" s="1"/>
  <c r="I788" i="2"/>
  <c r="I298" i="2" s="1"/>
  <c r="J276" i="2"/>
  <c r="J739" i="2" s="1"/>
  <c r="I790" i="2"/>
  <c r="I300" i="2" s="1"/>
  <c r="J277" i="2"/>
  <c r="J740" i="2" s="1"/>
  <c r="I791" i="2"/>
  <c r="I301" i="2" s="1"/>
  <c r="G615" i="2"/>
  <c r="J272" i="2"/>
  <c r="J735" i="2" s="1"/>
  <c r="I786" i="2"/>
  <c r="I296" i="2" s="1"/>
  <c r="G614" i="2"/>
  <c r="J273" i="2"/>
  <c r="J736" i="2" s="1"/>
  <c r="I787" i="2"/>
  <c r="I297" i="2" s="1"/>
  <c r="G613" i="2"/>
  <c r="H793" i="2"/>
  <c r="H617" i="2" s="1"/>
  <c r="J275" i="2"/>
  <c r="J738" i="2" s="1"/>
  <c r="I789" i="2"/>
  <c r="I299" i="2" s="1"/>
  <c r="I733" i="2"/>
  <c r="G61" i="2"/>
  <c r="D913" i="2" s="1"/>
  <c r="G99" i="2"/>
  <c r="G105" i="2" s="1"/>
  <c r="G97" i="2"/>
  <c r="G103" i="2" s="1"/>
  <c r="G62" i="2"/>
  <c r="H89" i="2"/>
  <c r="C720" i="2"/>
  <c r="H437" i="2"/>
  <c r="E669" i="2"/>
  <c r="C721" i="2"/>
  <c r="G442" i="2"/>
  <c r="G444" i="2"/>
  <c r="F426" i="2"/>
  <c r="F418" i="2"/>
  <c r="C715" i="2"/>
  <c r="E673" i="2"/>
  <c r="E294" i="2" s="1"/>
  <c r="E310" i="2" s="1"/>
  <c r="G443" i="2"/>
  <c r="E667" i="2"/>
  <c r="E288" i="2" s="1"/>
  <c r="E304" i="2" s="1"/>
  <c r="F413" i="2"/>
  <c r="F421" i="2"/>
  <c r="F447" i="2" s="1"/>
  <c r="D714" i="2"/>
  <c r="D697" i="2"/>
  <c r="D713" i="2"/>
  <c r="C719" i="2"/>
  <c r="C718" i="2"/>
  <c r="F666" i="2"/>
  <c r="F287" i="2" s="1"/>
  <c r="F303" i="2" s="1"/>
  <c r="F424" i="2"/>
  <c r="F450" i="2" s="1"/>
  <c r="F416" i="2"/>
  <c r="D708" i="2" l="1"/>
  <c r="D716" i="2" s="1"/>
  <c r="D694" i="2"/>
  <c r="D718" i="2" s="1"/>
  <c r="C717" i="2"/>
  <c r="C722" i="2" s="1"/>
  <c r="D709" i="2"/>
  <c r="D717" i="2" s="1"/>
  <c r="D712" i="2"/>
  <c r="D720" i="2" s="1"/>
  <c r="D711" i="2"/>
  <c r="D719" i="2" s="1"/>
  <c r="D707" i="2"/>
  <c r="D715" i="2" s="1"/>
  <c r="E690" i="2"/>
  <c r="E714" i="2" s="1"/>
  <c r="E664" i="2"/>
  <c r="E688" i="2" s="1"/>
  <c r="E712" i="2" s="1"/>
  <c r="E285" i="2"/>
  <c r="D676" i="2"/>
  <c r="D174" i="2" s="1"/>
  <c r="D289" i="2"/>
  <c r="D305" i="2" s="1"/>
  <c r="D679" i="2"/>
  <c r="D177" i="2" s="1"/>
  <c r="D292" i="2"/>
  <c r="D308" i="2" s="1"/>
  <c r="E674" i="2"/>
  <c r="E257" i="2" s="1"/>
  <c r="E287" i="2"/>
  <c r="E303" i="2" s="1"/>
  <c r="F665" i="2"/>
  <c r="F689" i="2" s="1"/>
  <c r="F286" i="2"/>
  <c r="D675" i="2"/>
  <c r="D288" i="2"/>
  <c r="D304" i="2" s="1"/>
  <c r="C175" i="2"/>
  <c r="C260" i="2"/>
  <c r="E660" i="2"/>
  <c r="E684" i="2" s="1"/>
  <c r="E692" i="2" s="1"/>
  <c r="E281" i="2"/>
  <c r="C172" i="2"/>
  <c r="C257" i="2"/>
  <c r="D680" i="2"/>
  <c r="D263" i="2" s="1"/>
  <c r="D293" i="2"/>
  <c r="D309" i="2" s="1"/>
  <c r="C174" i="2"/>
  <c r="C259" i="2"/>
  <c r="D678" i="2"/>
  <c r="D291" i="2"/>
  <c r="D307" i="2" s="1"/>
  <c r="E663" i="2"/>
  <c r="E687" i="2" s="1"/>
  <c r="E711" i="2" s="1"/>
  <c r="E284" i="2"/>
  <c r="E677" i="2"/>
  <c r="E260" i="2" s="1"/>
  <c r="E290" i="2"/>
  <c r="E306" i="2" s="1"/>
  <c r="C311" i="2"/>
  <c r="C312" i="2" s="1"/>
  <c r="E662" i="2"/>
  <c r="E686" i="2" s="1"/>
  <c r="E710" i="2" s="1"/>
  <c r="E283" i="2"/>
  <c r="D677" i="2"/>
  <c r="D290" i="2"/>
  <c r="D306" i="2" s="1"/>
  <c r="E428" i="2" a="1"/>
  <c r="E428" i="2" s="1"/>
  <c r="E672" i="2"/>
  <c r="E670" i="2"/>
  <c r="G650" i="2"/>
  <c r="G642" i="2"/>
  <c r="F656" i="2"/>
  <c r="F672" i="2" s="1"/>
  <c r="F648" i="2"/>
  <c r="F654" i="2"/>
  <c r="F646" i="2"/>
  <c r="E668" i="2"/>
  <c r="F422" i="2"/>
  <c r="F645" i="2"/>
  <c r="F651" i="2"/>
  <c r="F643" i="2"/>
  <c r="E427" i="2"/>
  <c r="E74" i="2" s="1"/>
  <c r="E71" i="2" s="1"/>
  <c r="F452" i="2"/>
  <c r="E759" i="2"/>
  <c r="F754" i="2"/>
  <c r="G742" i="2"/>
  <c r="F755" i="2"/>
  <c r="E447" i="2"/>
  <c r="F756" i="2"/>
  <c r="D453" i="2"/>
  <c r="G411" i="2"/>
  <c r="E449" i="2"/>
  <c r="F750" i="2"/>
  <c r="F414" i="2"/>
  <c r="E451" i="2"/>
  <c r="F425" i="2"/>
  <c r="E671" i="2"/>
  <c r="F417" i="2"/>
  <c r="F438" i="2"/>
  <c r="F443" i="2"/>
  <c r="G623" i="2"/>
  <c r="G747" i="2"/>
  <c r="G756" i="2" s="1"/>
  <c r="H625" i="2"/>
  <c r="H749" i="2"/>
  <c r="H758" i="2" s="1"/>
  <c r="F415" i="2"/>
  <c r="F653" i="2"/>
  <c r="F440" i="2"/>
  <c r="G437" i="2"/>
  <c r="F441" i="2"/>
  <c r="G621" i="2"/>
  <c r="G629" i="2" s="1"/>
  <c r="G637" i="2" s="1"/>
  <c r="G745" i="2"/>
  <c r="G754" i="2" s="1"/>
  <c r="G619" i="2"/>
  <c r="G627" i="2" s="1"/>
  <c r="G635" i="2" s="1"/>
  <c r="G743" i="2"/>
  <c r="G752" i="2" s="1"/>
  <c r="F423" i="2"/>
  <c r="G625" i="2"/>
  <c r="G749" i="2"/>
  <c r="F412" i="2"/>
  <c r="E450" i="2"/>
  <c r="G419" i="2"/>
  <c r="G620" i="2"/>
  <c r="G628" i="2" s="1"/>
  <c r="G636" i="2" s="1"/>
  <c r="G744" i="2"/>
  <c r="F420" i="2"/>
  <c r="G622" i="2"/>
  <c r="G630" i="2" s="1"/>
  <c r="G638" i="2" s="1"/>
  <c r="G746" i="2"/>
  <c r="G755" i="2" s="1"/>
  <c r="H610" i="2"/>
  <c r="H615" i="2"/>
  <c r="H612" i="2"/>
  <c r="H613" i="2"/>
  <c r="K277" i="2"/>
  <c r="K740" i="2" s="1"/>
  <c r="J791" i="2"/>
  <c r="J301" i="2" s="1"/>
  <c r="K271" i="2"/>
  <c r="K734" i="2" s="1"/>
  <c r="J785" i="2"/>
  <c r="J295" i="2" s="1"/>
  <c r="H611" i="2"/>
  <c r="K273" i="2"/>
  <c r="K736" i="2" s="1"/>
  <c r="J787" i="2"/>
  <c r="J297" i="2" s="1"/>
  <c r="H616" i="2"/>
  <c r="K272" i="2"/>
  <c r="K735" i="2" s="1"/>
  <c r="J786" i="2"/>
  <c r="J296" i="2" s="1"/>
  <c r="K278" i="2"/>
  <c r="K741" i="2" s="1"/>
  <c r="J792" i="2"/>
  <c r="J302" i="2" s="1"/>
  <c r="K274" i="2"/>
  <c r="K737" i="2" s="1"/>
  <c r="J788" i="2"/>
  <c r="J298" i="2" s="1"/>
  <c r="K275" i="2"/>
  <c r="K738" i="2" s="1"/>
  <c r="J789" i="2"/>
  <c r="J299" i="2" s="1"/>
  <c r="I793" i="2"/>
  <c r="I613" i="2" s="1"/>
  <c r="H614" i="2"/>
  <c r="K276" i="2"/>
  <c r="K739" i="2" s="1"/>
  <c r="J790" i="2"/>
  <c r="J300" i="2" s="1"/>
  <c r="J733" i="2"/>
  <c r="E697" i="2"/>
  <c r="E713" i="2"/>
  <c r="E709" i="2"/>
  <c r="E693" i="2"/>
  <c r="D925" i="2"/>
  <c r="C894" i="2"/>
  <c r="H411" i="2"/>
  <c r="H419" i="2"/>
  <c r="I437" i="2"/>
  <c r="G418" i="2"/>
  <c r="G426" i="2"/>
  <c r="G452" i="2" s="1"/>
  <c r="F668" i="2"/>
  <c r="F289" i="2" s="1"/>
  <c r="F305" i="2" s="1"/>
  <c r="E691" i="2"/>
  <c r="E707" i="2"/>
  <c r="H444" i="2"/>
  <c r="H443" i="2"/>
  <c r="G424" i="2"/>
  <c r="G450" i="2" s="1"/>
  <c r="G416" i="2"/>
  <c r="F690" i="2"/>
  <c r="F706" i="2"/>
  <c r="G417" i="2"/>
  <c r="G425" i="2"/>
  <c r="G451" i="2" s="1"/>
  <c r="D721" i="2"/>
  <c r="F673" i="2"/>
  <c r="F671" i="2"/>
  <c r="F292" i="2" s="1"/>
  <c r="F308" i="2" s="1"/>
  <c r="H61" i="2"/>
  <c r="I89" i="2"/>
  <c r="H97" i="2"/>
  <c r="H103" i="2" s="1"/>
  <c r="D81" i="2" l="1"/>
  <c r="E696" i="2"/>
  <c r="E720" i="2" s="1"/>
  <c r="E694" i="2"/>
  <c r="E718" i="2" s="1"/>
  <c r="C180" i="2"/>
  <c r="C181" i="2" s="1"/>
  <c r="C88" i="2" s="1"/>
  <c r="D178" i="2"/>
  <c r="D259" i="2"/>
  <c r="F680" i="2"/>
  <c r="F263" i="2" s="1"/>
  <c r="F293" i="2"/>
  <c r="F309" i="2" s="1"/>
  <c r="C265" i="2"/>
  <c r="C266" i="2" s="1"/>
  <c r="E680" i="2"/>
  <c r="E293" i="2"/>
  <c r="E309" i="2" s="1"/>
  <c r="F681" i="2"/>
  <c r="F264" i="2" s="1"/>
  <c r="F294" i="2"/>
  <c r="F310" i="2" s="1"/>
  <c r="E708" i="2"/>
  <c r="E716" i="2" s="1"/>
  <c r="F661" i="2"/>
  <c r="F685" i="2" s="1"/>
  <c r="F709" i="2" s="1"/>
  <c r="F282" i="2"/>
  <c r="E175" i="2"/>
  <c r="D262" i="2"/>
  <c r="E676" i="2"/>
  <c r="E174" i="2" s="1"/>
  <c r="E289" i="2"/>
  <c r="E305" i="2" s="1"/>
  <c r="D261" i="2"/>
  <c r="D176" i="2"/>
  <c r="E695" i="2"/>
  <c r="E719" i="2" s="1"/>
  <c r="D311" i="2"/>
  <c r="G658" i="2"/>
  <c r="G682" i="2" s="1"/>
  <c r="G690" i="2" s="1"/>
  <c r="G279" i="2"/>
  <c r="E172" i="2"/>
  <c r="D175" i="2"/>
  <c r="D260" i="2"/>
  <c r="D173" i="2"/>
  <c r="D258" i="2"/>
  <c r="F664" i="2"/>
  <c r="F688" i="2" s="1"/>
  <c r="F696" i="2" s="1"/>
  <c r="F285" i="2"/>
  <c r="E678" i="2"/>
  <c r="E176" i="2" s="1"/>
  <c r="E291" i="2"/>
  <c r="E307" i="2" s="1"/>
  <c r="E679" i="2"/>
  <c r="E262" i="2" s="1"/>
  <c r="E292" i="2"/>
  <c r="E308" i="2" s="1"/>
  <c r="F659" i="2"/>
  <c r="F683" i="2" s="1"/>
  <c r="F691" i="2" s="1"/>
  <c r="F280" i="2"/>
  <c r="F662" i="2"/>
  <c r="F686" i="2" s="1"/>
  <c r="F694" i="2" s="1"/>
  <c r="F283" i="2"/>
  <c r="F670" i="2"/>
  <c r="F428" i="2" a="1"/>
  <c r="F428" i="2" s="1"/>
  <c r="G420" i="2"/>
  <c r="G643" i="2"/>
  <c r="G654" i="2"/>
  <c r="G646" i="2"/>
  <c r="G653" i="2"/>
  <c r="G645" i="2"/>
  <c r="G652" i="2"/>
  <c r="G644" i="2"/>
  <c r="F448" i="2"/>
  <c r="F667" i="2"/>
  <c r="G666" i="2"/>
  <c r="F427" i="2"/>
  <c r="F74" i="2" s="1"/>
  <c r="F71" i="2" s="1"/>
  <c r="H445" i="2"/>
  <c r="F669" i="2"/>
  <c r="F451" i="2"/>
  <c r="G753" i="2"/>
  <c r="G758" i="2"/>
  <c r="G751" i="2"/>
  <c r="F759" i="2"/>
  <c r="G445" i="2"/>
  <c r="E453" i="2"/>
  <c r="I617" i="2"/>
  <c r="I625" i="2" s="1"/>
  <c r="G412" i="2"/>
  <c r="G750" i="2"/>
  <c r="G413" i="2"/>
  <c r="H622" i="2"/>
  <c r="H630" i="2" s="1"/>
  <c r="H638" i="2" s="1"/>
  <c r="H746" i="2"/>
  <c r="H755" i="2" s="1"/>
  <c r="H619" i="2"/>
  <c r="H627" i="2" s="1"/>
  <c r="H635" i="2" s="1"/>
  <c r="H743" i="2"/>
  <c r="G414" i="2"/>
  <c r="H624" i="2"/>
  <c r="H748" i="2"/>
  <c r="G440" i="2"/>
  <c r="H621" i="2"/>
  <c r="H629" i="2" s="1"/>
  <c r="H637" i="2" s="1"/>
  <c r="H745" i="2"/>
  <c r="H620" i="2"/>
  <c r="H628" i="2" s="1"/>
  <c r="H636" i="2" s="1"/>
  <c r="H744" i="2"/>
  <c r="H753" i="2" s="1"/>
  <c r="G422" i="2"/>
  <c r="G421" i="2"/>
  <c r="I621" i="2"/>
  <c r="I629" i="2" s="1"/>
  <c r="I637" i="2" s="1"/>
  <c r="I745" i="2"/>
  <c r="I754" i="2" s="1"/>
  <c r="F446" i="2"/>
  <c r="G439" i="2"/>
  <c r="F449" i="2"/>
  <c r="H623" i="2"/>
  <c r="H631" i="2" s="1"/>
  <c r="H639" i="2" s="1"/>
  <c r="H747" i="2"/>
  <c r="H756" i="2" s="1"/>
  <c r="G423" i="2"/>
  <c r="G415" i="2"/>
  <c r="H618" i="2"/>
  <c r="H742" i="2"/>
  <c r="H751" i="2" s="1"/>
  <c r="G441" i="2"/>
  <c r="G651" i="2"/>
  <c r="G438" i="2"/>
  <c r="I610" i="2"/>
  <c r="I612" i="2"/>
  <c r="I614" i="2"/>
  <c r="I616" i="2"/>
  <c r="I615" i="2"/>
  <c r="I611" i="2"/>
  <c r="L273" i="2"/>
  <c r="L736" i="2" s="1"/>
  <c r="K787" i="2"/>
  <c r="K297" i="2" s="1"/>
  <c r="L275" i="2"/>
  <c r="L738" i="2" s="1"/>
  <c r="K789" i="2"/>
  <c r="K299" i="2" s="1"/>
  <c r="L271" i="2"/>
  <c r="L734" i="2" s="1"/>
  <c r="K785" i="2"/>
  <c r="K295" i="2" s="1"/>
  <c r="L276" i="2"/>
  <c r="L739" i="2" s="1"/>
  <c r="K790" i="2"/>
  <c r="K300" i="2" s="1"/>
  <c r="L277" i="2"/>
  <c r="L740" i="2" s="1"/>
  <c r="K791" i="2"/>
  <c r="K301" i="2" s="1"/>
  <c r="L274" i="2"/>
  <c r="L737" i="2" s="1"/>
  <c r="K788" i="2"/>
  <c r="K298" i="2" s="1"/>
  <c r="J793" i="2"/>
  <c r="J616" i="2" s="1"/>
  <c r="L278" i="2"/>
  <c r="L741" i="2" s="1"/>
  <c r="K792" i="2"/>
  <c r="K302" i="2" s="1"/>
  <c r="L272" i="2"/>
  <c r="L735" i="2" s="1"/>
  <c r="K786" i="2"/>
  <c r="K296" i="2" s="1"/>
  <c r="D312" i="2"/>
  <c r="E312" i="2" s="1"/>
  <c r="F312" i="2" s="1"/>
  <c r="G312" i="2" s="1"/>
  <c r="H312" i="2" s="1"/>
  <c r="I312" i="2" s="1"/>
  <c r="J312" i="2" s="1"/>
  <c r="K312" i="2" s="1"/>
  <c r="L312" i="2" s="1"/>
  <c r="M312" i="2" s="1"/>
  <c r="N312" i="2" s="1"/>
  <c r="O312" i="2" s="1"/>
  <c r="P312" i="2" s="1"/>
  <c r="Q312" i="2" s="1"/>
  <c r="R312" i="2" s="1"/>
  <c r="S312" i="2" s="1"/>
  <c r="T312" i="2" s="1"/>
  <c r="U312" i="2" s="1"/>
  <c r="V312" i="2" s="1"/>
  <c r="W312" i="2" s="1"/>
  <c r="X312" i="2" s="1"/>
  <c r="Y312" i="2" s="1"/>
  <c r="Z312" i="2" s="1"/>
  <c r="AA312" i="2" s="1"/>
  <c r="AB312" i="2" s="1"/>
  <c r="AC312" i="2" s="1"/>
  <c r="AD312" i="2" s="1"/>
  <c r="AE312" i="2" s="1"/>
  <c r="AF312" i="2" s="1"/>
  <c r="AG312" i="2" s="1"/>
  <c r="AH312" i="2" s="1"/>
  <c r="AI312" i="2" s="1"/>
  <c r="AJ312" i="2" s="1"/>
  <c r="AK312" i="2" s="1"/>
  <c r="AL312" i="2" s="1"/>
  <c r="AM312" i="2" s="1"/>
  <c r="AN312" i="2" s="1"/>
  <c r="AO312" i="2" s="1"/>
  <c r="AP312" i="2" s="1"/>
  <c r="AQ312" i="2" s="1"/>
  <c r="AR312" i="2" s="1"/>
  <c r="AS312" i="2" s="1"/>
  <c r="AT312" i="2" s="1"/>
  <c r="AU312" i="2" s="1"/>
  <c r="AV312" i="2" s="1"/>
  <c r="AW312" i="2" s="1"/>
  <c r="AX312" i="2" s="1"/>
  <c r="AY312" i="2" s="1"/>
  <c r="AZ312" i="2" s="1"/>
  <c r="BA312" i="2" s="1"/>
  <c r="BB312" i="2" s="1"/>
  <c r="C318" i="2"/>
  <c r="K733" i="2"/>
  <c r="E717" i="2"/>
  <c r="I411" i="2"/>
  <c r="I419" i="2"/>
  <c r="H417" i="2"/>
  <c r="H425" i="2"/>
  <c r="H451" i="2" s="1"/>
  <c r="E721" i="2"/>
  <c r="G673" i="2"/>
  <c r="G294" i="2" s="1"/>
  <c r="G310" i="2" s="1"/>
  <c r="I444" i="2"/>
  <c r="D722" i="2"/>
  <c r="I97" i="2"/>
  <c r="I103" i="2" s="1"/>
  <c r="I61" i="2"/>
  <c r="D915" i="2" s="1"/>
  <c r="J89" i="2"/>
  <c r="D914" i="2"/>
  <c r="G672" i="2"/>
  <c r="G293" i="2" s="1"/>
  <c r="G309" i="2" s="1"/>
  <c r="H426" i="2"/>
  <c r="H452" i="2" s="1"/>
  <c r="H418" i="2"/>
  <c r="I438" i="2"/>
  <c r="F695" i="2"/>
  <c r="F711" i="2"/>
  <c r="F714" i="2"/>
  <c r="F697" i="2"/>
  <c r="F713" i="2"/>
  <c r="G671" i="2"/>
  <c r="G292" i="2" s="1"/>
  <c r="G308" i="2" s="1"/>
  <c r="E715" i="2"/>
  <c r="H666" i="2"/>
  <c r="H287" i="2" s="1"/>
  <c r="H303" i="2" s="1"/>
  <c r="F692" i="2"/>
  <c r="F708" i="2"/>
  <c r="J437" i="2"/>
  <c r="C182" i="2" l="1"/>
  <c r="F710" i="2"/>
  <c r="F718" i="2" s="1"/>
  <c r="C267" i="2"/>
  <c r="D180" i="2"/>
  <c r="D181" i="2" s="1"/>
  <c r="D88" i="2" s="1"/>
  <c r="F712" i="2"/>
  <c r="F720" i="2" s="1"/>
  <c r="G446" i="2"/>
  <c r="D265" i="2"/>
  <c r="D266" i="2" s="1"/>
  <c r="E177" i="2"/>
  <c r="C268" i="2"/>
  <c r="E261" i="2"/>
  <c r="F693" i="2"/>
  <c r="F717" i="2" s="1"/>
  <c r="G706" i="2"/>
  <c r="G714" i="2" s="1"/>
  <c r="F179" i="2"/>
  <c r="E178" i="2"/>
  <c r="E263" i="2"/>
  <c r="G662" i="2"/>
  <c r="G686" i="2" s="1"/>
  <c r="G710" i="2" s="1"/>
  <c r="G283" i="2"/>
  <c r="F707" i="2"/>
  <c r="F715" i="2" s="1"/>
  <c r="F677" i="2"/>
  <c r="F175" i="2" s="1"/>
  <c r="F290" i="2"/>
  <c r="F306" i="2" s="1"/>
  <c r="E81" i="2"/>
  <c r="F675" i="2"/>
  <c r="F173" i="2" s="1"/>
  <c r="F288" i="2"/>
  <c r="F304" i="2" s="1"/>
  <c r="E311" i="2"/>
  <c r="G659" i="2"/>
  <c r="G683" i="2" s="1"/>
  <c r="G707" i="2" s="1"/>
  <c r="G280" i="2"/>
  <c r="C91" i="2"/>
  <c r="B85" i="2" s="1"/>
  <c r="F678" i="2"/>
  <c r="F261" i="2" s="1"/>
  <c r="F291" i="2"/>
  <c r="F307" i="2" s="1"/>
  <c r="G660" i="2"/>
  <c r="G684" i="2" s="1"/>
  <c r="G708" i="2" s="1"/>
  <c r="G281" i="2"/>
  <c r="G661" i="2"/>
  <c r="G685" i="2" s="1"/>
  <c r="G709" i="2" s="1"/>
  <c r="G282" i="2"/>
  <c r="G674" i="2"/>
  <c r="G257" i="2" s="1"/>
  <c r="G287" i="2"/>
  <c r="G303" i="2" s="1"/>
  <c r="F178" i="2"/>
  <c r="E259" i="2"/>
  <c r="G428" i="2" a="1"/>
  <c r="G428" i="2" s="1"/>
  <c r="G670" i="2"/>
  <c r="G669" i="2"/>
  <c r="G668" i="2"/>
  <c r="H653" i="2"/>
  <c r="H669" i="2" s="1"/>
  <c r="H645" i="2"/>
  <c r="H652" i="2"/>
  <c r="H668" i="2" s="1"/>
  <c r="H644" i="2"/>
  <c r="H655" i="2"/>
  <c r="H647" i="2"/>
  <c r="H651" i="2"/>
  <c r="H643" i="2"/>
  <c r="I653" i="2"/>
  <c r="I645" i="2"/>
  <c r="H654" i="2"/>
  <c r="H646" i="2"/>
  <c r="G427" i="2"/>
  <c r="G74" i="2" s="1"/>
  <c r="G71" i="2" s="1"/>
  <c r="I445" i="2"/>
  <c r="H421" i="2"/>
  <c r="H413" i="2"/>
  <c r="H757" i="2"/>
  <c r="H754" i="2"/>
  <c r="G759" i="2"/>
  <c r="H752" i="2"/>
  <c r="I749" i="2"/>
  <c r="H441" i="2"/>
  <c r="H415" i="2"/>
  <c r="H439" i="2"/>
  <c r="G449" i="2"/>
  <c r="I440" i="2"/>
  <c r="G667" i="2"/>
  <c r="H438" i="2"/>
  <c r="H412" i="2"/>
  <c r="H420" i="2"/>
  <c r="H423" i="2"/>
  <c r="G448" i="2"/>
  <c r="H414" i="2"/>
  <c r="G447" i="2"/>
  <c r="F453" i="2"/>
  <c r="H416" i="2"/>
  <c r="J624" i="2"/>
  <c r="J632" i="2" s="1"/>
  <c r="J640" i="2" s="1"/>
  <c r="J748" i="2"/>
  <c r="J757" i="2" s="1"/>
  <c r="I620" i="2"/>
  <c r="I628" i="2" s="1"/>
  <c r="I636" i="2" s="1"/>
  <c r="I744" i="2"/>
  <c r="I753" i="2" s="1"/>
  <c r="H424" i="2"/>
  <c r="H442" i="2"/>
  <c r="I619" i="2"/>
  <c r="I743" i="2"/>
  <c r="I752" i="2" s="1"/>
  <c r="H750" i="2"/>
  <c r="I623" i="2"/>
  <c r="I631" i="2" s="1"/>
  <c r="I639" i="2" s="1"/>
  <c r="I747" i="2"/>
  <c r="I756" i="2" s="1"/>
  <c r="I624" i="2"/>
  <c r="I632" i="2" s="1"/>
  <c r="I640" i="2" s="1"/>
  <c r="I748" i="2"/>
  <c r="I757" i="2" s="1"/>
  <c r="I622" i="2"/>
  <c r="I630" i="2" s="1"/>
  <c r="I638" i="2" s="1"/>
  <c r="I746" i="2"/>
  <c r="I755" i="2" s="1"/>
  <c r="H440" i="2"/>
  <c r="I618" i="2"/>
  <c r="I742" i="2"/>
  <c r="I751" i="2" s="1"/>
  <c r="H422" i="2"/>
  <c r="J611" i="2"/>
  <c r="J615" i="2"/>
  <c r="J610" i="2"/>
  <c r="M272" i="2"/>
  <c r="M735" i="2" s="1"/>
  <c r="L786" i="2"/>
  <c r="L296" i="2" s="1"/>
  <c r="M277" i="2"/>
  <c r="M740" i="2" s="1"/>
  <c r="L791" i="2"/>
  <c r="L301" i="2" s="1"/>
  <c r="K793" i="2"/>
  <c r="K615" i="2" s="1"/>
  <c r="M274" i="2"/>
  <c r="M737" i="2" s="1"/>
  <c r="L788" i="2"/>
  <c r="L298" i="2" s="1"/>
  <c r="M275" i="2"/>
  <c r="M738" i="2" s="1"/>
  <c r="L789" i="2"/>
  <c r="L299" i="2" s="1"/>
  <c r="J613" i="2"/>
  <c r="J614" i="2"/>
  <c r="M278" i="2"/>
  <c r="M741" i="2" s="1"/>
  <c r="L792" i="2"/>
  <c r="L302" i="2" s="1"/>
  <c r="J617" i="2"/>
  <c r="M276" i="2"/>
  <c r="M739" i="2" s="1"/>
  <c r="L790" i="2"/>
  <c r="L300" i="2" s="1"/>
  <c r="M271" i="2"/>
  <c r="M734" i="2" s="1"/>
  <c r="L785" i="2"/>
  <c r="L295" i="2" s="1"/>
  <c r="J612" i="2"/>
  <c r="M273" i="2"/>
  <c r="M736" i="2" s="1"/>
  <c r="L787" i="2"/>
  <c r="L297" i="2" s="1"/>
  <c r="D33" i="1"/>
  <c r="E33" i="1" s="1"/>
  <c r="D848" i="2"/>
  <c r="L733" i="2"/>
  <c r="J411" i="2"/>
  <c r="J419" i="2"/>
  <c r="F721" i="2"/>
  <c r="H673" i="2"/>
  <c r="H294" i="2" s="1"/>
  <c r="H310" i="2" s="1"/>
  <c r="I414" i="2"/>
  <c r="I422" i="2"/>
  <c r="J439" i="2"/>
  <c r="I666" i="2"/>
  <c r="I287" i="2" s="1"/>
  <c r="I303" i="2" s="1"/>
  <c r="G712" i="2"/>
  <c r="G696" i="2"/>
  <c r="F716" i="2"/>
  <c r="J61" i="2"/>
  <c r="D916" i="2" s="1"/>
  <c r="K89" i="2"/>
  <c r="J97" i="2"/>
  <c r="J103" i="2" s="1"/>
  <c r="G695" i="2"/>
  <c r="G711" i="2"/>
  <c r="H690" i="2"/>
  <c r="H706" i="2"/>
  <c r="G697" i="2"/>
  <c r="G713" i="2"/>
  <c r="H672" i="2"/>
  <c r="H293" i="2" s="1"/>
  <c r="H309" i="2" s="1"/>
  <c r="F719" i="2"/>
  <c r="I412" i="2"/>
  <c r="I420" i="2"/>
  <c r="I446" i="2" s="1"/>
  <c r="E722" i="2"/>
  <c r="I418" i="2"/>
  <c r="I426" i="2"/>
  <c r="I452" i="2" s="1"/>
  <c r="D182" i="2" l="1"/>
  <c r="D267" i="2"/>
  <c r="F260" i="2"/>
  <c r="D268" i="2"/>
  <c r="F81" i="2"/>
  <c r="G693" i="2"/>
  <c r="G717" i="2" s="1"/>
  <c r="E180" i="2"/>
  <c r="E181" i="2" s="1"/>
  <c r="E182" i="2" s="1"/>
  <c r="D91" i="2"/>
  <c r="G692" i="2"/>
  <c r="G716" i="2" s="1"/>
  <c r="F258" i="2"/>
  <c r="G691" i="2"/>
  <c r="G715" i="2" s="1"/>
  <c r="H663" i="2"/>
  <c r="H687" i="2" s="1"/>
  <c r="H711" i="2" s="1"/>
  <c r="H284" i="2"/>
  <c r="H676" i="2"/>
  <c r="H174" i="2" s="1"/>
  <c r="H289" i="2"/>
  <c r="H305" i="2" s="1"/>
  <c r="H677" i="2"/>
  <c r="H260" i="2" s="1"/>
  <c r="H290" i="2"/>
  <c r="H306" i="2" s="1"/>
  <c r="H661" i="2"/>
  <c r="H685" i="2" s="1"/>
  <c r="H709" i="2" s="1"/>
  <c r="H282" i="2"/>
  <c r="I661" i="2"/>
  <c r="I685" i="2" s="1"/>
  <c r="I282" i="2"/>
  <c r="C269" i="2"/>
  <c r="G677" i="2"/>
  <c r="G290" i="2"/>
  <c r="G306" i="2" s="1"/>
  <c r="H659" i="2"/>
  <c r="H683" i="2" s="1"/>
  <c r="H691" i="2" s="1"/>
  <c r="H280" i="2"/>
  <c r="G678" i="2"/>
  <c r="G291" i="2"/>
  <c r="G307" i="2" s="1"/>
  <c r="H660" i="2"/>
  <c r="H684" i="2" s="1"/>
  <c r="H708" i="2" s="1"/>
  <c r="H281" i="2"/>
  <c r="G675" i="2"/>
  <c r="G173" i="2" s="1"/>
  <c r="G288" i="2"/>
  <c r="G304" i="2" s="1"/>
  <c r="H662" i="2"/>
  <c r="H686" i="2" s="1"/>
  <c r="H710" i="2" s="1"/>
  <c r="H283" i="2"/>
  <c r="G172" i="2"/>
  <c r="G694" i="2"/>
  <c r="G718" i="2" s="1"/>
  <c r="G676" i="2"/>
  <c r="G289" i="2"/>
  <c r="G305" i="2" s="1"/>
  <c r="F311" i="2"/>
  <c r="E265" i="2"/>
  <c r="E266" i="2" s="1"/>
  <c r="F176" i="2"/>
  <c r="F180" i="2" s="1"/>
  <c r="F181" i="2" s="1"/>
  <c r="H428" i="2" a="1"/>
  <c r="H428" i="2" s="1"/>
  <c r="H670" i="2"/>
  <c r="H667" i="2"/>
  <c r="I413" i="2"/>
  <c r="I644" i="2"/>
  <c r="I654" i="2"/>
  <c r="I646" i="2"/>
  <c r="J656" i="2"/>
  <c r="J648" i="2"/>
  <c r="I656" i="2"/>
  <c r="I648" i="2"/>
  <c r="I655" i="2"/>
  <c r="I647" i="2"/>
  <c r="H671" i="2"/>
  <c r="J445" i="2"/>
  <c r="H427" i="2"/>
  <c r="H74" i="2" s="1"/>
  <c r="H71" i="2" s="1"/>
  <c r="H447" i="2"/>
  <c r="H759" i="2"/>
  <c r="H446" i="2"/>
  <c r="H449" i="2"/>
  <c r="I758" i="2"/>
  <c r="I759" i="2" s="1"/>
  <c r="I448" i="2"/>
  <c r="G453" i="2"/>
  <c r="H448" i="2"/>
  <c r="I416" i="2"/>
  <c r="I442" i="2"/>
  <c r="H450" i="2"/>
  <c r="I750" i="2"/>
  <c r="I417" i="2"/>
  <c r="J618" i="2"/>
  <c r="J742" i="2"/>
  <c r="J751" i="2" s="1"/>
  <c r="J619" i="2"/>
  <c r="J627" i="2" s="1"/>
  <c r="J635" i="2" s="1"/>
  <c r="J743" i="2"/>
  <c r="J752" i="2" s="1"/>
  <c r="I441" i="2"/>
  <c r="J621" i="2"/>
  <c r="J629" i="2" s="1"/>
  <c r="J637" i="2" s="1"/>
  <c r="J745" i="2"/>
  <c r="I415" i="2"/>
  <c r="K623" i="2"/>
  <c r="K631" i="2" s="1"/>
  <c r="K639" i="2" s="1"/>
  <c r="K747" i="2"/>
  <c r="K756" i="2" s="1"/>
  <c r="I443" i="2"/>
  <c r="I424" i="2"/>
  <c r="J622" i="2"/>
  <c r="J630" i="2" s="1"/>
  <c r="J638" i="2" s="1"/>
  <c r="J746" i="2"/>
  <c r="J755" i="2" s="1"/>
  <c r="I652" i="2"/>
  <c r="I439" i="2"/>
  <c r="J623" i="2"/>
  <c r="J631" i="2" s="1"/>
  <c r="J639" i="2" s="1"/>
  <c r="J747" i="2"/>
  <c r="J756" i="2" s="1"/>
  <c r="I423" i="2"/>
  <c r="J620" i="2"/>
  <c r="J744" i="2"/>
  <c r="J753" i="2" s="1"/>
  <c r="J443" i="2"/>
  <c r="I421" i="2"/>
  <c r="I425" i="2"/>
  <c r="J625" i="2"/>
  <c r="J633" i="2" s="1"/>
  <c r="J641" i="2" s="1"/>
  <c r="J749" i="2"/>
  <c r="J758" i="2" s="1"/>
  <c r="K610" i="2"/>
  <c r="K612" i="2"/>
  <c r="N274" i="2"/>
  <c r="N737" i="2" s="1"/>
  <c r="M788" i="2"/>
  <c r="M298" i="2" s="1"/>
  <c r="K617" i="2"/>
  <c r="L793" i="2"/>
  <c r="L613" i="2" s="1"/>
  <c r="N275" i="2"/>
  <c r="N738" i="2" s="1"/>
  <c r="M789" i="2"/>
  <c r="M299" i="2" s="1"/>
  <c r="N276" i="2"/>
  <c r="N739" i="2" s="1"/>
  <c r="M790" i="2"/>
  <c r="M300" i="2" s="1"/>
  <c r="K614" i="2"/>
  <c r="N277" i="2"/>
  <c r="N740" i="2" s="1"/>
  <c r="M791" i="2"/>
  <c r="M301" i="2" s="1"/>
  <c r="N272" i="2"/>
  <c r="N735" i="2" s="1"/>
  <c r="M786" i="2"/>
  <c r="M296" i="2" s="1"/>
  <c r="K613" i="2"/>
  <c r="N271" i="2"/>
  <c r="N734" i="2" s="1"/>
  <c r="M785" i="2"/>
  <c r="M295" i="2" s="1"/>
  <c r="N273" i="2"/>
  <c r="N736" i="2" s="1"/>
  <c r="M787" i="2"/>
  <c r="M297" i="2" s="1"/>
  <c r="N278" i="2"/>
  <c r="N741" i="2" s="1"/>
  <c r="M792" i="2"/>
  <c r="M302" i="2" s="1"/>
  <c r="K616" i="2"/>
  <c r="K611" i="2"/>
  <c r="C7" i="4"/>
  <c r="F33" i="1"/>
  <c r="G33" i="1" s="1"/>
  <c r="M733" i="2"/>
  <c r="I673" i="2"/>
  <c r="I294" i="2" s="1"/>
  <c r="I310" i="2" s="1"/>
  <c r="I669" i="2"/>
  <c r="L89" i="2"/>
  <c r="K61" i="2"/>
  <c r="D917" i="2" s="1"/>
  <c r="K62" i="2"/>
  <c r="K99" i="2"/>
  <c r="K105" i="2" s="1"/>
  <c r="K97" i="2"/>
  <c r="K103" i="2" s="1"/>
  <c r="J666" i="2"/>
  <c r="J287" i="2" s="1"/>
  <c r="J303" i="2" s="1"/>
  <c r="I690" i="2"/>
  <c r="I706" i="2"/>
  <c r="G721" i="2"/>
  <c r="G719" i="2"/>
  <c r="I667" i="2"/>
  <c r="I288" i="2" s="1"/>
  <c r="I304" i="2" s="1"/>
  <c r="G720" i="2"/>
  <c r="J413" i="2"/>
  <c r="J421" i="2"/>
  <c r="J447" i="2" s="1"/>
  <c r="K444" i="2"/>
  <c r="L437" i="2"/>
  <c r="H696" i="2"/>
  <c r="H712" i="2"/>
  <c r="H697" i="2"/>
  <c r="H713" i="2"/>
  <c r="J417" i="2"/>
  <c r="J425" i="2"/>
  <c r="H714" i="2"/>
  <c r="K443" i="2"/>
  <c r="F722" i="2"/>
  <c r="E88" i="2" l="1"/>
  <c r="F265" i="2"/>
  <c r="F266" i="2" s="1"/>
  <c r="F91" i="2" s="1"/>
  <c r="E267" i="2"/>
  <c r="H693" i="2"/>
  <c r="H717" i="2" s="1"/>
  <c r="E268" i="2"/>
  <c r="G81" i="2"/>
  <c r="H695" i="2"/>
  <c r="H719" i="2" s="1"/>
  <c r="G311" i="2"/>
  <c r="G258" i="2"/>
  <c r="F88" i="2"/>
  <c r="F182" i="2"/>
  <c r="H175" i="2"/>
  <c r="H694" i="2"/>
  <c r="H718" i="2" s="1"/>
  <c r="H259" i="2"/>
  <c r="H707" i="2"/>
  <c r="H715" i="2" s="1"/>
  <c r="G174" i="2"/>
  <c r="G259" i="2"/>
  <c r="I663" i="2"/>
  <c r="I687" i="2" s="1"/>
  <c r="I695" i="2" s="1"/>
  <c r="I284" i="2"/>
  <c r="I664" i="2"/>
  <c r="I688" i="2" s="1"/>
  <c r="I696" i="2" s="1"/>
  <c r="I285" i="2"/>
  <c r="G260" i="2"/>
  <c r="G175" i="2"/>
  <c r="I660" i="2"/>
  <c r="I684" i="2" s="1"/>
  <c r="I708" i="2" s="1"/>
  <c r="I281" i="2"/>
  <c r="J664" i="2"/>
  <c r="J688" i="2" s="1"/>
  <c r="J285" i="2"/>
  <c r="I662" i="2"/>
  <c r="I686" i="2" s="1"/>
  <c r="I710" i="2" s="1"/>
  <c r="I283" i="2"/>
  <c r="I677" i="2"/>
  <c r="I175" i="2" s="1"/>
  <c r="I290" i="2"/>
  <c r="I306" i="2" s="1"/>
  <c r="H692" i="2"/>
  <c r="H716" i="2" s="1"/>
  <c r="E91" i="2"/>
  <c r="H675" i="2"/>
  <c r="H173" i="2" s="1"/>
  <c r="H288" i="2"/>
  <c r="H304" i="2" s="1"/>
  <c r="H679" i="2"/>
  <c r="H177" i="2" s="1"/>
  <c r="H292" i="2"/>
  <c r="H308" i="2" s="1"/>
  <c r="H678" i="2"/>
  <c r="H291" i="2"/>
  <c r="H307" i="2" s="1"/>
  <c r="G176" i="2"/>
  <c r="G261" i="2"/>
  <c r="I428" i="2" a="1"/>
  <c r="I428" i="2" s="1"/>
  <c r="I670" i="2"/>
  <c r="J651" i="2"/>
  <c r="J643" i="2"/>
  <c r="I671" i="2"/>
  <c r="J654" i="2"/>
  <c r="J646" i="2"/>
  <c r="K655" i="2"/>
  <c r="K647" i="2"/>
  <c r="J657" i="2"/>
  <c r="J649" i="2"/>
  <c r="J653" i="2"/>
  <c r="J645" i="2"/>
  <c r="I672" i="2"/>
  <c r="J424" i="2"/>
  <c r="J647" i="2"/>
  <c r="I427" i="2"/>
  <c r="I74" i="2" s="1"/>
  <c r="I71" i="2" s="1"/>
  <c r="I450" i="2"/>
  <c r="H453" i="2"/>
  <c r="J754" i="2"/>
  <c r="J759" i="2" s="1"/>
  <c r="J438" i="2"/>
  <c r="J426" i="2"/>
  <c r="J416" i="2"/>
  <c r="J418" i="2"/>
  <c r="J415" i="2"/>
  <c r="J412" i="2"/>
  <c r="J441" i="2"/>
  <c r="J444" i="2"/>
  <c r="I668" i="2"/>
  <c r="I447" i="2"/>
  <c r="J423" i="2"/>
  <c r="J420" i="2"/>
  <c r="J440" i="2"/>
  <c r="I449" i="2"/>
  <c r="K625" i="2"/>
  <c r="K749" i="2"/>
  <c r="K758" i="2" s="1"/>
  <c r="K620" i="2"/>
  <c r="K628" i="2" s="1"/>
  <c r="K636" i="2" s="1"/>
  <c r="K744" i="2"/>
  <c r="K753" i="2" s="1"/>
  <c r="K622" i="2"/>
  <c r="K630" i="2" s="1"/>
  <c r="K638" i="2" s="1"/>
  <c r="K746" i="2"/>
  <c r="K755" i="2" s="1"/>
  <c r="K619" i="2"/>
  <c r="K627" i="2" s="1"/>
  <c r="K635" i="2" s="1"/>
  <c r="K743" i="2"/>
  <c r="K752" i="2" s="1"/>
  <c r="K442" i="2"/>
  <c r="K618" i="2"/>
  <c r="K626" i="2" s="1"/>
  <c r="K634" i="2" s="1"/>
  <c r="K642" i="2" s="1"/>
  <c r="K742" i="2"/>
  <c r="K751" i="2" s="1"/>
  <c r="J414" i="2"/>
  <c r="L621" i="2"/>
  <c r="L629" i="2" s="1"/>
  <c r="L637" i="2" s="1"/>
  <c r="L745" i="2"/>
  <c r="L754" i="2" s="1"/>
  <c r="J422" i="2"/>
  <c r="J750" i="2"/>
  <c r="J451" i="2"/>
  <c r="K624" i="2"/>
  <c r="K748" i="2"/>
  <c r="K757" i="2" s="1"/>
  <c r="J655" i="2"/>
  <c r="J442" i="2"/>
  <c r="K621" i="2"/>
  <c r="K629" i="2" s="1"/>
  <c r="K637" i="2" s="1"/>
  <c r="K745" i="2"/>
  <c r="K754" i="2" s="1"/>
  <c r="I451" i="2"/>
  <c r="L610" i="2"/>
  <c r="L615" i="2"/>
  <c r="L614" i="2"/>
  <c r="O271" i="2"/>
  <c r="O734" i="2" s="1"/>
  <c r="N785" i="2"/>
  <c r="N295" i="2" s="1"/>
  <c r="O276" i="2"/>
  <c r="O739" i="2" s="1"/>
  <c r="N790" i="2"/>
  <c r="N300" i="2" s="1"/>
  <c r="L616" i="2"/>
  <c r="O277" i="2"/>
  <c r="O740" i="2" s="1"/>
  <c r="N791" i="2"/>
  <c r="N301" i="2" s="1"/>
  <c r="L611" i="2"/>
  <c r="L617" i="2"/>
  <c r="O272" i="2"/>
  <c r="O735" i="2" s="1"/>
  <c r="N786" i="2"/>
  <c r="N296" i="2" s="1"/>
  <c r="O274" i="2"/>
  <c r="O737" i="2" s="1"/>
  <c r="N788" i="2"/>
  <c r="N298" i="2" s="1"/>
  <c r="O275" i="2"/>
  <c r="O738" i="2" s="1"/>
  <c r="N789" i="2"/>
  <c r="N299" i="2" s="1"/>
  <c r="O278" i="2"/>
  <c r="O741" i="2" s="1"/>
  <c r="N792" i="2"/>
  <c r="N302" i="2" s="1"/>
  <c r="L612" i="2"/>
  <c r="O273" i="2"/>
  <c r="O736" i="2" s="1"/>
  <c r="N787" i="2"/>
  <c r="N297" i="2" s="1"/>
  <c r="M793" i="2"/>
  <c r="M614" i="2" s="1"/>
  <c r="N733" i="2"/>
  <c r="G722" i="2"/>
  <c r="H720" i="2"/>
  <c r="D926" i="2"/>
  <c r="C895" i="2"/>
  <c r="K416" i="2"/>
  <c r="K424" i="2"/>
  <c r="I709" i="2"/>
  <c r="I693" i="2"/>
  <c r="J672" i="2"/>
  <c r="I714" i="2"/>
  <c r="L97" i="2"/>
  <c r="L103" i="2" s="1"/>
  <c r="M89" i="2"/>
  <c r="L61" i="2"/>
  <c r="D918" i="2" s="1"/>
  <c r="I691" i="2"/>
  <c r="I707" i="2"/>
  <c r="L443" i="2"/>
  <c r="K425" i="2"/>
  <c r="K451" i="2" s="1"/>
  <c r="K417" i="2"/>
  <c r="L444" i="2"/>
  <c r="J690" i="2"/>
  <c r="J706" i="2"/>
  <c r="M437" i="2"/>
  <c r="L419" i="2"/>
  <c r="L411" i="2"/>
  <c r="K426" i="2"/>
  <c r="K452" i="2" s="1"/>
  <c r="K418" i="2"/>
  <c r="H721" i="2"/>
  <c r="I713" i="2"/>
  <c r="I697" i="2"/>
  <c r="J668" i="2"/>
  <c r="J289" i="2" s="1"/>
  <c r="J305" i="2" s="1"/>
  <c r="F267" i="2" l="1"/>
  <c r="F268" i="2"/>
  <c r="J450" i="2"/>
  <c r="I712" i="2"/>
  <c r="I720" i="2" s="1"/>
  <c r="I711" i="2"/>
  <c r="I719" i="2" s="1"/>
  <c r="G180" i="2"/>
  <c r="G181" i="2" s="1"/>
  <c r="G88" i="2" s="1"/>
  <c r="I260" i="2"/>
  <c r="I694" i="2"/>
  <c r="I718" i="2" s="1"/>
  <c r="J662" i="2"/>
  <c r="J686" i="2" s="1"/>
  <c r="J694" i="2" s="1"/>
  <c r="J283" i="2"/>
  <c r="I679" i="2"/>
  <c r="I292" i="2"/>
  <c r="I308" i="2" s="1"/>
  <c r="H81" i="2"/>
  <c r="J659" i="2"/>
  <c r="J683" i="2" s="1"/>
  <c r="J707" i="2" s="1"/>
  <c r="J280" i="2"/>
  <c r="I678" i="2"/>
  <c r="I291" i="2"/>
  <c r="I307" i="2" s="1"/>
  <c r="J665" i="2"/>
  <c r="J689" i="2" s="1"/>
  <c r="J713" i="2" s="1"/>
  <c r="J286" i="2"/>
  <c r="H262" i="2"/>
  <c r="H311" i="2"/>
  <c r="J663" i="2"/>
  <c r="J687" i="2" s="1"/>
  <c r="J711" i="2" s="1"/>
  <c r="J284" i="2"/>
  <c r="J680" i="2"/>
  <c r="J263" i="2" s="1"/>
  <c r="J293" i="2"/>
  <c r="J309" i="2" s="1"/>
  <c r="I676" i="2"/>
  <c r="I174" i="2" s="1"/>
  <c r="I289" i="2"/>
  <c r="I305" i="2" s="1"/>
  <c r="I680" i="2"/>
  <c r="I263" i="2" s="1"/>
  <c r="I293" i="2"/>
  <c r="I309" i="2" s="1"/>
  <c r="J661" i="2"/>
  <c r="J685" i="2" s="1"/>
  <c r="J693" i="2" s="1"/>
  <c r="J282" i="2"/>
  <c r="H258" i="2"/>
  <c r="I692" i="2"/>
  <c r="K663" i="2"/>
  <c r="K687" i="2" s="1"/>
  <c r="K284" i="2"/>
  <c r="G265" i="2"/>
  <c r="G266" i="2" s="1"/>
  <c r="G268" i="2" s="1"/>
  <c r="H176" i="2"/>
  <c r="H180" i="2" s="1"/>
  <c r="H181" i="2" s="1"/>
  <c r="H88" i="2" s="1"/>
  <c r="H261" i="2"/>
  <c r="J670" i="2"/>
  <c r="J428" i="2" a="1"/>
  <c r="J428" i="2" s="1"/>
  <c r="J667" i="2"/>
  <c r="M610" i="2"/>
  <c r="M742" i="2" s="1"/>
  <c r="M751" i="2" s="1"/>
  <c r="K651" i="2"/>
  <c r="K643" i="2"/>
  <c r="L653" i="2"/>
  <c r="L645" i="2"/>
  <c r="J669" i="2"/>
  <c r="J673" i="2"/>
  <c r="K654" i="2"/>
  <c r="K646" i="2"/>
  <c r="K653" i="2"/>
  <c r="K645" i="2"/>
  <c r="K652" i="2"/>
  <c r="K644" i="2"/>
  <c r="J452" i="2"/>
  <c r="J446" i="2"/>
  <c r="J427" i="2"/>
  <c r="J74" i="2" s="1"/>
  <c r="J71" i="2" s="1"/>
  <c r="L445" i="2"/>
  <c r="L440" i="2"/>
  <c r="K421" i="2"/>
  <c r="J449" i="2"/>
  <c r="K759" i="2"/>
  <c r="I453" i="2"/>
  <c r="K750" i="2"/>
  <c r="K422" i="2"/>
  <c r="K439" i="2"/>
  <c r="K441" i="2"/>
  <c r="J448" i="2"/>
  <c r="K440" i="2"/>
  <c r="L623" i="2"/>
  <c r="L631" i="2" s="1"/>
  <c r="L639" i="2" s="1"/>
  <c r="L747" i="2"/>
  <c r="L756" i="2" s="1"/>
  <c r="L625" i="2"/>
  <c r="L749" i="2"/>
  <c r="L758" i="2" s="1"/>
  <c r="L619" i="2"/>
  <c r="L627" i="2" s="1"/>
  <c r="L635" i="2" s="1"/>
  <c r="L743" i="2"/>
  <c r="L752" i="2" s="1"/>
  <c r="J671" i="2"/>
  <c r="L620" i="2"/>
  <c r="L628" i="2" s="1"/>
  <c r="L636" i="2" s="1"/>
  <c r="L744" i="2"/>
  <c r="L753" i="2" s="1"/>
  <c r="K438" i="2"/>
  <c r="K412" i="2"/>
  <c r="K423" i="2"/>
  <c r="K415" i="2"/>
  <c r="M622" i="2"/>
  <c r="M630" i="2" s="1"/>
  <c r="M638" i="2" s="1"/>
  <c r="M746" i="2"/>
  <c r="M755" i="2" s="1"/>
  <c r="L622" i="2"/>
  <c r="L630" i="2" s="1"/>
  <c r="L638" i="2" s="1"/>
  <c r="L746" i="2"/>
  <c r="L755" i="2" s="1"/>
  <c r="K650" i="2"/>
  <c r="K279" i="2" s="1"/>
  <c r="K437" i="2"/>
  <c r="K419" i="2"/>
  <c r="K450" i="2"/>
  <c r="K411" i="2"/>
  <c r="L624" i="2"/>
  <c r="L748" i="2"/>
  <c r="L757" i="2" s="1"/>
  <c r="L618" i="2"/>
  <c r="L742" i="2"/>
  <c r="L751" i="2" s="1"/>
  <c r="K420" i="2"/>
  <c r="K414" i="2"/>
  <c r="K413" i="2"/>
  <c r="M615" i="2"/>
  <c r="M611" i="2"/>
  <c r="M617" i="2"/>
  <c r="M612" i="2"/>
  <c r="P277" i="2"/>
  <c r="P740" i="2" s="1"/>
  <c r="O791" i="2"/>
  <c r="O301" i="2" s="1"/>
  <c r="P276" i="2"/>
  <c r="P739" i="2" s="1"/>
  <c r="O790" i="2"/>
  <c r="O300" i="2" s="1"/>
  <c r="N793" i="2"/>
  <c r="N612" i="2" s="1"/>
  <c r="P272" i="2"/>
  <c r="P735" i="2" s="1"/>
  <c r="O786" i="2"/>
  <c r="O296" i="2" s="1"/>
  <c r="P278" i="2"/>
  <c r="P741" i="2" s="1"/>
  <c r="O792" i="2"/>
  <c r="O302" i="2" s="1"/>
  <c r="P275" i="2"/>
  <c r="P738" i="2" s="1"/>
  <c r="O789" i="2"/>
  <c r="O299" i="2" s="1"/>
  <c r="P274" i="2"/>
  <c r="P737" i="2" s="1"/>
  <c r="O788" i="2"/>
  <c r="O298" i="2" s="1"/>
  <c r="P271" i="2"/>
  <c r="P734" i="2" s="1"/>
  <c r="O785" i="2"/>
  <c r="O295" i="2" s="1"/>
  <c r="P273" i="2"/>
  <c r="P736" i="2" s="1"/>
  <c r="O787" i="2"/>
  <c r="O297" i="2" s="1"/>
  <c r="M613" i="2"/>
  <c r="M616" i="2"/>
  <c r="O733" i="2"/>
  <c r="I717" i="2"/>
  <c r="H722" i="2"/>
  <c r="I715" i="2"/>
  <c r="K671" i="2"/>
  <c r="J692" i="2"/>
  <c r="J708" i="2"/>
  <c r="L425" i="2"/>
  <c r="L451" i="2" s="1"/>
  <c r="L417" i="2"/>
  <c r="L666" i="2"/>
  <c r="L287" i="2" s="1"/>
  <c r="L303" i="2" s="1"/>
  <c r="I721" i="2"/>
  <c r="M444" i="2"/>
  <c r="N437" i="2"/>
  <c r="J712" i="2"/>
  <c r="J696" i="2"/>
  <c r="M97" i="2"/>
  <c r="M103" i="2" s="1"/>
  <c r="N89" i="2"/>
  <c r="M61" i="2"/>
  <c r="D919" i="2" s="1"/>
  <c r="L422" i="2"/>
  <c r="L414" i="2"/>
  <c r="J714" i="2"/>
  <c r="K673" i="2"/>
  <c r="K294" i="2" s="1"/>
  <c r="K310" i="2" s="1"/>
  <c r="L418" i="2"/>
  <c r="L426" i="2"/>
  <c r="L452" i="2" s="1"/>
  <c r="M438" i="2"/>
  <c r="M411" i="2"/>
  <c r="M419" i="2"/>
  <c r="K672" i="2"/>
  <c r="K293" i="2" s="1"/>
  <c r="K309" i="2" s="1"/>
  <c r="G182" i="2" l="1"/>
  <c r="I81" i="2"/>
  <c r="I178" i="2"/>
  <c r="M618" i="2"/>
  <c r="J710" i="2"/>
  <c r="I716" i="2"/>
  <c r="I722" i="2" s="1"/>
  <c r="J178" i="2"/>
  <c r="J709" i="2"/>
  <c r="J717" i="2" s="1"/>
  <c r="J691" i="2"/>
  <c r="J715" i="2" s="1"/>
  <c r="I259" i="2"/>
  <c r="H182" i="2"/>
  <c r="K661" i="2"/>
  <c r="K685" i="2" s="1"/>
  <c r="K709" i="2" s="1"/>
  <c r="K282" i="2"/>
  <c r="I176" i="2"/>
  <c r="I261" i="2"/>
  <c r="J681" i="2"/>
  <c r="J179" i="2" s="1"/>
  <c r="J294" i="2"/>
  <c r="J310" i="2" s="1"/>
  <c r="J677" i="2"/>
  <c r="J175" i="2" s="1"/>
  <c r="J290" i="2"/>
  <c r="J306" i="2" s="1"/>
  <c r="K679" i="2"/>
  <c r="K177" i="2" s="1"/>
  <c r="K292" i="2"/>
  <c r="K308" i="2" s="1"/>
  <c r="I262" i="2"/>
  <c r="I177" i="2"/>
  <c r="J679" i="2"/>
  <c r="J177" i="2" s="1"/>
  <c r="J292" i="2"/>
  <c r="J308" i="2" s="1"/>
  <c r="G91" i="2"/>
  <c r="G267" i="2"/>
  <c r="L661" i="2"/>
  <c r="L685" i="2" s="1"/>
  <c r="L282" i="2"/>
  <c r="J697" i="2"/>
  <c r="J721" i="2" s="1"/>
  <c r="J678" i="2"/>
  <c r="J176" i="2" s="1"/>
  <c r="J291" i="2"/>
  <c r="J307" i="2" s="1"/>
  <c r="K662" i="2"/>
  <c r="K686" i="2" s="1"/>
  <c r="K710" i="2" s="1"/>
  <c r="K283" i="2"/>
  <c r="I311" i="2"/>
  <c r="K659" i="2"/>
  <c r="K683" i="2" s="1"/>
  <c r="K691" i="2" s="1"/>
  <c r="K280" i="2"/>
  <c r="J695" i="2"/>
  <c r="J719" i="2" s="1"/>
  <c r="K660" i="2"/>
  <c r="K684" i="2" s="1"/>
  <c r="K708" i="2" s="1"/>
  <c r="K281" i="2"/>
  <c r="J675" i="2"/>
  <c r="J288" i="2"/>
  <c r="J304" i="2" s="1"/>
  <c r="H265" i="2"/>
  <c r="H266" i="2" s="1"/>
  <c r="K428" i="2" a="1"/>
  <c r="K428" i="2" s="1"/>
  <c r="K667" i="2"/>
  <c r="L655" i="2"/>
  <c r="L671" i="2" s="1"/>
  <c r="L647" i="2"/>
  <c r="K669" i="2"/>
  <c r="K668" i="2"/>
  <c r="L652" i="2"/>
  <c r="L644" i="2"/>
  <c r="J264" i="2"/>
  <c r="M654" i="2"/>
  <c r="M646" i="2"/>
  <c r="L654" i="2"/>
  <c r="L646" i="2"/>
  <c r="K670" i="2"/>
  <c r="L651" i="2"/>
  <c r="L667" i="2" s="1"/>
  <c r="L643" i="2"/>
  <c r="L448" i="2"/>
  <c r="M445" i="2"/>
  <c r="K445" i="2"/>
  <c r="K427" i="2"/>
  <c r="K74" i="2" s="1"/>
  <c r="K71" i="2" s="1"/>
  <c r="K449" i="2"/>
  <c r="K448" i="2"/>
  <c r="J453" i="2"/>
  <c r="L442" i="2"/>
  <c r="K447" i="2"/>
  <c r="L759" i="2"/>
  <c r="L424" i="2"/>
  <c r="L412" i="2"/>
  <c r="L420" i="2"/>
  <c r="K446" i="2"/>
  <c r="L438" i="2"/>
  <c r="M441" i="2"/>
  <c r="L750" i="2"/>
  <c r="M623" i="2"/>
  <c r="M631" i="2" s="1"/>
  <c r="M639" i="2" s="1"/>
  <c r="M747" i="2"/>
  <c r="M756" i="2" s="1"/>
  <c r="K658" i="2"/>
  <c r="K682" i="2" s="1"/>
  <c r="K666" i="2"/>
  <c r="L415" i="2"/>
  <c r="M620" i="2"/>
  <c r="M628" i="2" s="1"/>
  <c r="M636" i="2" s="1"/>
  <c r="M744" i="2"/>
  <c r="M753" i="2" s="1"/>
  <c r="L413" i="2"/>
  <c r="L439" i="2"/>
  <c r="L421" i="2"/>
  <c r="M624" i="2"/>
  <c r="M632" i="2" s="1"/>
  <c r="M640" i="2" s="1"/>
  <c r="M748" i="2"/>
  <c r="M757" i="2" s="1"/>
  <c r="L441" i="2"/>
  <c r="M621" i="2"/>
  <c r="M629" i="2" s="1"/>
  <c r="M637" i="2" s="1"/>
  <c r="M745" i="2"/>
  <c r="M754" i="2" s="1"/>
  <c r="L423" i="2"/>
  <c r="M625" i="2"/>
  <c r="M749" i="2"/>
  <c r="M758" i="2" s="1"/>
  <c r="L416" i="2"/>
  <c r="N620" i="2"/>
  <c r="N744" i="2"/>
  <c r="N753" i="2" s="1"/>
  <c r="M619" i="2"/>
  <c r="M743" i="2"/>
  <c r="M752" i="2" s="1"/>
  <c r="N610" i="2"/>
  <c r="N616" i="2"/>
  <c r="Q272" i="2"/>
  <c r="Q735" i="2" s="1"/>
  <c r="P786" i="2"/>
  <c r="P296" i="2" s="1"/>
  <c r="O793" i="2"/>
  <c r="O613" i="2" s="1"/>
  <c r="Q274" i="2"/>
  <c r="Q737" i="2" s="1"/>
  <c r="P788" i="2"/>
  <c r="P298" i="2" s="1"/>
  <c r="Q276" i="2"/>
  <c r="Q739" i="2" s="1"/>
  <c r="P790" i="2"/>
  <c r="P300" i="2" s="1"/>
  <c r="Q273" i="2"/>
  <c r="Q736" i="2" s="1"/>
  <c r="P787" i="2"/>
  <c r="P297" i="2" s="1"/>
  <c r="N615" i="2"/>
  <c r="Q275" i="2"/>
  <c r="Q738" i="2" s="1"/>
  <c r="P789" i="2"/>
  <c r="P299" i="2" s="1"/>
  <c r="N617" i="2"/>
  <c r="N611" i="2"/>
  <c r="Q271" i="2"/>
  <c r="Q734" i="2" s="1"/>
  <c r="P785" i="2"/>
  <c r="P295" i="2" s="1"/>
  <c r="N613" i="2"/>
  <c r="N614" i="2"/>
  <c r="Q278" i="2"/>
  <c r="Q741" i="2" s="1"/>
  <c r="P792" i="2"/>
  <c r="P302" i="2" s="1"/>
  <c r="Q277" i="2"/>
  <c r="Q740" i="2" s="1"/>
  <c r="P791" i="2"/>
  <c r="P301" i="2" s="1"/>
  <c r="P733" i="2"/>
  <c r="J718" i="2"/>
  <c r="K712" i="2"/>
  <c r="K696" i="2"/>
  <c r="L669" i="2"/>
  <c r="M666" i="2"/>
  <c r="M287" i="2" s="1"/>
  <c r="M303" i="2" s="1"/>
  <c r="L672" i="2"/>
  <c r="L293" i="2" s="1"/>
  <c r="L309" i="2" s="1"/>
  <c r="M412" i="2"/>
  <c r="M420" i="2"/>
  <c r="M446" i="2" s="1"/>
  <c r="N438" i="2"/>
  <c r="N97" i="2"/>
  <c r="N103" i="2" s="1"/>
  <c r="O89" i="2"/>
  <c r="N61" i="2"/>
  <c r="D920" i="2" s="1"/>
  <c r="M418" i="2"/>
  <c r="M426" i="2"/>
  <c r="M452" i="2" s="1"/>
  <c r="L690" i="2"/>
  <c r="L706" i="2"/>
  <c r="J716" i="2"/>
  <c r="K695" i="2"/>
  <c r="K711" i="2"/>
  <c r="N419" i="2"/>
  <c r="N411" i="2"/>
  <c r="N439" i="2"/>
  <c r="M423" i="2"/>
  <c r="M415" i="2"/>
  <c r="L673" i="2"/>
  <c r="L294" i="2" s="1"/>
  <c r="L310" i="2" s="1"/>
  <c r="J720" i="2"/>
  <c r="K697" i="2"/>
  <c r="K713" i="2"/>
  <c r="I180" i="2" l="1"/>
  <c r="I181" i="2" s="1"/>
  <c r="I182" i="2" s="1"/>
  <c r="I265" i="2"/>
  <c r="I266" i="2" s="1"/>
  <c r="I91" i="2" s="1"/>
  <c r="K693" i="2"/>
  <c r="K717" i="2" s="1"/>
  <c r="K707" i="2"/>
  <c r="K715" i="2" s="1"/>
  <c r="J262" i="2"/>
  <c r="K694" i="2"/>
  <c r="K718" i="2" s="1"/>
  <c r="H267" i="2"/>
  <c r="H91" i="2"/>
  <c r="H268" i="2"/>
  <c r="L660" i="2"/>
  <c r="L684" i="2" s="1"/>
  <c r="L692" i="2" s="1"/>
  <c r="L281" i="2"/>
  <c r="J258" i="2"/>
  <c r="J173" i="2"/>
  <c r="J180" i="2" s="1"/>
  <c r="J181" i="2" s="1"/>
  <c r="L663" i="2"/>
  <c r="L687" i="2" s="1"/>
  <c r="L695" i="2" s="1"/>
  <c r="L284" i="2"/>
  <c r="J260" i="2"/>
  <c r="K675" i="2"/>
  <c r="K288" i="2"/>
  <c r="K304" i="2" s="1"/>
  <c r="J311" i="2"/>
  <c r="K262" i="2"/>
  <c r="L662" i="2"/>
  <c r="L686" i="2" s="1"/>
  <c r="L694" i="2" s="1"/>
  <c r="L283" i="2"/>
  <c r="M662" i="2"/>
  <c r="M686" i="2" s="1"/>
  <c r="M283" i="2"/>
  <c r="L679" i="2"/>
  <c r="L177" i="2" s="1"/>
  <c r="L292" i="2"/>
  <c r="L308" i="2" s="1"/>
  <c r="J81" i="2"/>
  <c r="K676" i="2"/>
  <c r="K174" i="2" s="1"/>
  <c r="K289" i="2"/>
  <c r="K305" i="2" s="1"/>
  <c r="L675" i="2"/>
  <c r="L258" i="2" s="1"/>
  <c r="L288" i="2"/>
  <c r="L304" i="2" s="1"/>
  <c r="K677" i="2"/>
  <c r="K290" i="2"/>
  <c r="K306" i="2" s="1"/>
  <c r="L677" i="2"/>
  <c r="L175" i="2" s="1"/>
  <c r="L290" i="2"/>
  <c r="L306" i="2" s="1"/>
  <c r="L659" i="2"/>
  <c r="L683" i="2" s="1"/>
  <c r="L707" i="2" s="1"/>
  <c r="L280" i="2"/>
  <c r="K678" i="2"/>
  <c r="K176" i="2" s="1"/>
  <c r="K291" i="2"/>
  <c r="K307" i="2" s="1"/>
  <c r="K692" i="2"/>
  <c r="K716" i="2" s="1"/>
  <c r="K674" i="2"/>
  <c r="K257" i="2" s="1"/>
  <c r="K287" i="2"/>
  <c r="K303" i="2" s="1"/>
  <c r="J261" i="2"/>
  <c r="L428" i="2" a="1"/>
  <c r="L428" i="2" s="1"/>
  <c r="L668" i="2"/>
  <c r="M416" i="2"/>
  <c r="M647" i="2"/>
  <c r="M652" i="2"/>
  <c r="M644" i="2"/>
  <c r="M653" i="2"/>
  <c r="M645" i="2"/>
  <c r="M425" i="2"/>
  <c r="M648" i="2"/>
  <c r="L670" i="2"/>
  <c r="L427" i="2"/>
  <c r="L74" i="2" s="1"/>
  <c r="L71" i="2" s="1"/>
  <c r="K453" i="2"/>
  <c r="L450" i="2"/>
  <c r="N445" i="2"/>
  <c r="L447" i="2"/>
  <c r="M759" i="2"/>
  <c r="L446" i="2"/>
  <c r="M449" i="2"/>
  <c r="M750" i="2"/>
  <c r="M424" i="2"/>
  <c r="L449" i="2"/>
  <c r="M414" i="2"/>
  <c r="M422" i="2"/>
  <c r="M440" i="2"/>
  <c r="O615" i="2"/>
  <c r="O747" i="2" s="1"/>
  <c r="O756" i="2" s="1"/>
  <c r="N625" i="2"/>
  <c r="N633" i="2" s="1"/>
  <c r="N641" i="2" s="1"/>
  <c r="N749" i="2"/>
  <c r="N758" i="2" s="1"/>
  <c r="N624" i="2"/>
  <c r="N632" i="2" s="1"/>
  <c r="N640" i="2" s="1"/>
  <c r="N748" i="2"/>
  <c r="N757" i="2" s="1"/>
  <c r="M413" i="2"/>
  <c r="N623" i="2"/>
  <c r="N631" i="2" s="1"/>
  <c r="N639" i="2" s="1"/>
  <c r="N747" i="2"/>
  <c r="N756" i="2" s="1"/>
  <c r="N618" i="2"/>
  <c r="N742" i="2"/>
  <c r="N751" i="2" s="1"/>
  <c r="M421" i="2"/>
  <c r="K690" i="2"/>
  <c r="K706" i="2"/>
  <c r="M417" i="2"/>
  <c r="N622" i="2"/>
  <c r="N630" i="2" s="1"/>
  <c r="N638" i="2" s="1"/>
  <c r="N746" i="2"/>
  <c r="N755" i="2" s="1"/>
  <c r="M439" i="2"/>
  <c r="M655" i="2"/>
  <c r="M442" i="2"/>
  <c r="O621" i="2"/>
  <c r="O629" i="2" s="1"/>
  <c r="O637" i="2" s="1"/>
  <c r="O745" i="2"/>
  <c r="O754" i="2" s="1"/>
  <c r="N619" i="2"/>
  <c r="N743" i="2"/>
  <c r="N752" i="2" s="1"/>
  <c r="N621" i="2"/>
  <c r="N629" i="2" s="1"/>
  <c r="N637" i="2" s="1"/>
  <c r="N745" i="2"/>
  <c r="N754" i="2" s="1"/>
  <c r="M656" i="2"/>
  <c r="M443" i="2"/>
  <c r="O611" i="2"/>
  <c r="O610" i="2"/>
  <c r="O612" i="2"/>
  <c r="O617" i="2"/>
  <c r="O614" i="2"/>
  <c r="R276" i="2"/>
  <c r="R739" i="2" s="1"/>
  <c r="Q790" i="2"/>
  <c r="Q300" i="2" s="1"/>
  <c r="R271" i="2"/>
  <c r="R734" i="2" s="1"/>
  <c r="Q785" i="2"/>
  <c r="Q295" i="2" s="1"/>
  <c r="R274" i="2"/>
  <c r="R737" i="2" s="1"/>
  <c r="Q788" i="2"/>
  <c r="Q298" i="2" s="1"/>
  <c r="R273" i="2"/>
  <c r="R736" i="2" s="1"/>
  <c r="Q787" i="2"/>
  <c r="Q297" i="2" s="1"/>
  <c r="R277" i="2"/>
  <c r="R740" i="2" s="1"/>
  <c r="Q791" i="2"/>
  <c r="Q301" i="2" s="1"/>
  <c r="R278" i="2"/>
  <c r="R741" i="2" s="1"/>
  <c r="Q792" i="2"/>
  <c r="Q302" i="2" s="1"/>
  <c r="P793" i="2"/>
  <c r="P613" i="2" s="1"/>
  <c r="R275" i="2"/>
  <c r="R738" i="2" s="1"/>
  <c r="Q789" i="2"/>
  <c r="Q299" i="2" s="1"/>
  <c r="O616" i="2"/>
  <c r="R272" i="2"/>
  <c r="R735" i="2" s="1"/>
  <c r="Q786" i="2"/>
  <c r="Q296" i="2" s="1"/>
  <c r="Q733" i="2"/>
  <c r="K720" i="2"/>
  <c r="J722" i="2"/>
  <c r="O442" i="2"/>
  <c r="M690" i="2"/>
  <c r="M706" i="2"/>
  <c r="L713" i="2"/>
  <c r="L697" i="2"/>
  <c r="K719" i="2"/>
  <c r="M667" i="2"/>
  <c r="M288" i="2" s="1"/>
  <c r="M304" i="2" s="1"/>
  <c r="K721" i="2"/>
  <c r="N412" i="2"/>
  <c r="N420" i="2"/>
  <c r="N446" i="2" s="1"/>
  <c r="O62" i="2"/>
  <c r="O61" i="2"/>
  <c r="O99" i="2"/>
  <c r="O105" i="2" s="1"/>
  <c r="P89" i="2"/>
  <c r="O97" i="2"/>
  <c r="O103" i="2" s="1"/>
  <c r="M673" i="2"/>
  <c r="M294" i="2" s="1"/>
  <c r="M310" i="2" s="1"/>
  <c r="N666" i="2"/>
  <c r="N287" i="2" s="1"/>
  <c r="N303" i="2" s="1"/>
  <c r="N413" i="2"/>
  <c r="N421" i="2"/>
  <c r="N447" i="2" s="1"/>
  <c r="O444" i="2"/>
  <c r="L714" i="2"/>
  <c r="O443" i="2"/>
  <c r="M670" i="2"/>
  <c r="L712" i="2"/>
  <c r="L696" i="2"/>
  <c r="L693" i="2"/>
  <c r="L709" i="2"/>
  <c r="I268" i="2" l="1"/>
  <c r="I267" i="2"/>
  <c r="I88" i="2"/>
  <c r="K81" i="2"/>
  <c r="L173" i="2"/>
  <c r="L708" i="2"/>
  <c r="L716" i="2" s="1"/>
  <c r="L710" i="2"/>
  <c r="L718" i="2" s="1"/>
  <c r="K259" i="2"/>
  <c r="J265" i="2"/>
  <c r="J266" i="2" s="1"/>
  <c r="J267" i="2" s="1"/>
  <c r="K172" i="2"/>
  <c r="K261" i="2"/>
  <c r="J88" i="2"/>
  <c r="J182" i="2"/>
  <c r="L711" i="2"/>
  <c r="L719" i="2" s="1"/>
  <c r="L676" i="2"/>
  <c r="L289" i="2"/>
  <c r="L305" i="2" s="1"/>
  <c r="L260" i="2"/>
  <c r="K311" i="2"/>
  <c r="L691" i="2"/>
  <c r="L81" i="2" s="1"/>
  <c r="M663" i="2"/>
  <c r="M687" i="2" s="1"/>
  <c r="M695" i="2" s="1"/>
  <c r="M284" i="2"/>
  <c r="K173" i="2"/>
  <c r="K258" i="2"/>
  <c r="M664" i="2"/>
  <c r="M688" i="2" s="1"/>
  <c r="M712" i="2" s="1"/>
  <c r="M285" i="2"/>
  <c r="L678" i="2"/>
  <c r="L176" i="2" s="1"/>
  <c r="L291" i="2"/>
  <c r="L307" i="2" s="1"/>
  <c r="M660" i="2"/>
  <c r="M684" i="2" s="1"/>
  <c r="M708" i="2" s="1"/>
  <c r="M281" i="2"/>
  <c r="L262" i="2"/>
  <c r="K175" i="2"/>
  <c r="K260" i="2"/>
  <c r="M661" i="2"/>
  <c r="M685" i="2" s="1"/>
  <c r="M709" i="2" s="1"/>
  <c r="M282" i="2"/>
  <c r="M678" i="2"/>
  <c r="M176" i="2" s="1"/>
  <c r="M291" i="2"/>
  <c r="M307" i="2" s="1"/>
  <c r="M428" i="2" a="1"/>
  <c r="M428" i="2" s="1"/>
  <c r="M669" i="2"/>
  <c r="M668" i="2"/>
  <c r="N656" i="2"/>
  <c r="N648" i="2"/>
  <c r="N655" i="2"/>
  <c r="N647" i="2"/>
  <c r="M451" i="2"/>
  <c r="N654" i="2"/>
  <c r="N646" i="2"/>
  <c r="N653" i="2"/>
  <c r="N645" i="2"/>
  <c r="O653" i="2"/>
  <c r="O645" i="2"/>
  <c r="N657" i="2"/>
  <c r="N673" i="2" s="1"/>
  <c r="N649" i="2"/>
  <c r="M427" i="2"/>
  <c r="M74" i="2" s="1"/>
  <c r="M71" i="2" s="1"/>
  <c r="O623" i="2"/>
  <c r="M448" i="2"/>
  <c r="M450" i="2"/>
  <c r="L453" i="2"/>
  <c r="N442" i="2"/>
  <c r="N759" i="2"/>
  <c r="N444" i="2"/>
  <c r="N425" i="2"/>
  <c r="N415" i="2"/>
  <c r="N443" i="2"/>
  <c r="N423" i="2"/>
  <c r="N441" i="2"/>
  <c r="N418" i="2"/>
  <c r="N426" i="2"/>
  <c r="N414" i="2"/>
  <c r="N422" i="2"/>
  <c r="N424" i="2"/>
  <c r="O625" i="2"/>
  <c r="O749" i="2"/>
  <c r="O758" i="2" s="1"/>
  <c r="K714" i="2"/>
  <c r="K722" i="2" s="1"/>
  <c r="O624" i="2"/>
  <c r="O748" i="2"/>
  <c r="O757" i="2" s="1"/>
  <c r="O440" i="2"/>
  <c r="O619" i="2"/>
  <c r="O627" i="2" s="1"/>
  <c r="O635" i="2" s="1"/>
  <c r="O643" i="2" s="1"/>
  <c r="O743" i="2"/>
  <c r="O752" i="2" s="1"/>
  <c r="N416" i="2"/>
  <c r="O622" i="2"/>
  <c r="O630" i="2" s="1"/>
  <c r="O638" i="2" s="1"/>
  <c r="O746" i="2"/>
  <c r="O755" i="2" s="1"/>
  <c r="M671" i="2"/>
  <c r="O618" i="2"/>
  <c r="O626" i="2" s="1"/>
  <c r="O634" i="2" s="1"/>
  <c r="O742" i="2"/>
  <c r="O751" i="2" s="1"/>
  <c r="P621" i="2"/>
  <c r="P629" i="2" s="1"/>
  <c r="P637" i="2" s="1"/>
  <c r="P745" i="2"/>
  <c r="P754" i="2" s="1"/>
  <c r="M672" i="2"/>
  <c r="N440" i="2"/>
  <c r="M447" i="2"/>
  <c r="N417" i="2"/>
  <c r="O620" i="2"/>
  <c r="O628" i="2" s="1"/>
  <c r="O636" i="2" s="1"/>
  <c r="O744" i="2"/>
  <c r="O753" i="2" s="1"/>
  <c r="N750" i="2"/>
  <c r="P610" i="2"/>
  <c r="P614" i="2"/>
  <c r="P615" i="2"/>
  <c r="S274" i="2"/>
  <c r="S737" i="2" s="1"/>
  <c r="R788" i="2"/>
  <c r="R298" i="2" s="1"/>
  <c r="P616" i="2"/>
  <c r="S275" i="2"/>
  <c r="S738" i="2" s="1"/>
  <c r="R789" i="2"/>
  <c r="R299" i="2" s="1"/>
  <c r="Q793" i="2"/>
  <c r="Q617" i="2" s="1"/>
  <c r="S271" i="2"/>
  <c r="S734" i="2" s="1"/>
  <c r="R785" i="2"/>
  <c r="R295" i="2" s="1"/>
  <c r="S273" i="2"/>
  <c r="S736" i="2" s="1"/>
  <c r="R787" i="2"/>
  <c r="R297" i="2" s="1"/>
  <c r="S272" i="2"/>
  <c r="S735" i="2" s="1"/>
  <c r="R786" i="2"/>
  <c r="R296" i="2" s="1"/>
  <c r="P617" i="2"/>
  <c r="P611" i="2"/>
  <c r="S278" i="2"/>
  <c r="S741" i="2" s="1"/>
  <c r="R792" i="2"/>
  <c r="R302" i="2" s="1"/>
  <c r="S276" i="2"/>
  <c r="S739" i="2" s="1"/>
  <c r="R790" i="2"/>
  <c r="R300" i="2" s="1"/>
  <c r="S277" i="2"/>
  <c r="S740" i="2" s="1"/>
  <c r="R791" i="2"/>
  <c r="R301" i="2" s="1"/>
  <c r="P612" i="2"/>
  <c r="R733" i="2"/>
  <c r="L720" i="2"/>
  <c r="L721" i="2"/>
  <c r="Q437" i="2"/>
  <c r="O418" i="2"/>
  <c r="O426" i="2"/>
  <c r="O452" i="2" s="1"/>
  <c r="P444" i="2"/>
  <c r="M707" i="2"/>
  <c r="M691" i="2"/>
  <c r="P443" i="2"/>
  <c r="N667" i="2"/>
  <c r="N288" i="2" s="1"/>
  <c r="N304" i="2" s="1"/>
  <c r="M713" i="2"/>
  <c r="M697" i="2"/>
  <c r="O424" i="2"/>
  <c r="O450" i="2" s="1"/>
  <c r="O416" i="2"/>
  <c r="O425" i="2"/>
  <c r="O451" i="2" s="1"/>
  <c r="O417" i="2"/>
  <c r="C896" i="2"/>
  <c r="D927" i="2"/>
  <c r="M714" i="2"/>
  <c r="O422" i="2"/>
  <c r="O414" i="2"/>
  <c r="N668" i="2"/>
  <c r="N289" i="2" s="1"/>
  <c r="N305" i="2" s="1"/>
  <c r="P61" i="2"/>
  <c r="P98" i="2"/>
  <c r="P104" i="2" s="1"/>
  <c r="P97" i="2"/>
  <c r="P103" i="2" s="1"/>
  <c r="Q89" i="2"/>
  <c r="L717" i="2"/>
  <c r="M694" i="2"/>
  <c r="M710" i="2"/>
  <c r="N690" i="2"/>
  <c r="N706" i="2"/>
  <c r="D921" i="2"/>
  <c r="C60" i="2"/>
  <c r="J268" i="2" l="1"/>
  <c r="J91" i="2"/>
  <c r="L311" i="2"/>
  <c r="M696" i="2"/>
  <c r="M720" i="2" s="1"/>
  <c r="K180" i="2"/>
  <c r="K181" i="2" s="1"/>
  <c r="K182" i="2" s="1"/>
  <c r="L261" i="2"/>
  <c r="K265" i="2"/>
  <c r="K266" i="2" s="1"/>
  <c r="K91" i="2" s="1"/>
  <c r="M693" i="2"/>
  <c r="M717" i="2" s="1"/>
  <c r="M692" i="2"/>
  <c r="M716" i="2" s="1"/>
  <c r="M261" i="2"/>
  <c r="N661" i="2"/>
  <c r="N685" i="2" s="1"/>
  <c r="N693" i="2" s="1"/>
  <c r="N282" i="2"/>
  <c r="M711" i="2"/>
  <c r="M719" i="2" s="1"/>
  <c r="L715" i="2"/>
  <c r="L722" i="2" s="1"/>
  <c r="L174" i="2"/>
  <c r="L180" i="2" s="1"/>
  <c r="L181" i="2" s="1"/>
  <c r="L88" i="2" s="1"/>
  <c r="L259" i="2"/>
  <c r="N664" i="2"/>
  <c r="N688" i="2" s="1"/>
  <c r="N696" i="2" s="1"/>
  <c r="N285" i="2"/>
  <c r="M676" i="2"/>
  <c r="M174" i="2" s="1"/>
  <c r="M289" i="2"/>
  <c r="M305" i="2" s="1"/>
  <c r="M677" i="2"/>
  <c r="M290" i="2"/>
  <c r="M306" i="2" s="1"/>
  <c r="M680" i="2"/>
  <c r="M263" i="2" s="1"/>
  <c r="M293" i="2"/>
  <c r="M309" i="2" s="1"/>
  <c r="N663" i="2"/>
  <c r="N687" i="2" s="1"/>
  <c r="N695" i="2" s="1"/>
  <c r="N284" i="2"/>
  <c r="O661" i="2"/>
  <c r="O685" i="2" s="1"/>
  <c r="O282" i="2"/>
  <c r="N662" i="2"/>
  <c r="N686" i="2" s="1"/>
  <c r="N710" i="2" s="1"/>
  <c r="N283" i="2"/>
  <c r="N681" i="2"/>
  <c r="N179" i="2" s="1"/>
  <c r="N294" i="2"/>
  <c r="N310" i="2" s="1"/>
  <c r="M679" i="2"/>
  <c r="M177" i="2" s="1"/>
  <c r="M292" i="2"/>
  <c r="M308" i="2" s="1"/>
  <c r="N665" i="2"/>
  <c r="N689" i="2" s="1"/>
  <c r="N713" i="2" s="1"/>
  <c r="N286" i="2"/>
  <c r="N428" i="2" a="1"/>
  <c r="N428" i="2" s="1"/>
  <c r="N672" i="2"/>
  <c r="N671" i="2"/>
  <c r="N670" i="2"/>
  <c r="P653" i="2"/>
  <c r="P645" i="2"/>
  <c r="O411" i="2"/>
  <c r="O642" i="2"/>
  <c r="O654" i="2"/>
  <c r="O646" i="2"/>
  <c r="O652" i="2"/>
  <c r="O644" i="2"/>
  <c r="N669" i="2"/>
  <c r="N427" i="2"/>
  <c r="N74" i="2" s="1"/>
  <c r="N71" i="2" s="1"/>
  <c r="M453" i="2"/>
  <c r="N449" i="2"/>
  <c r="N450" i="2"/>
  <c r="N452" i="2"/>
  <c r="O759" i="2"/>
  <c r="O448" i="2"/>
  <c r="O437" i="2"/>
  <c r="O650" i="2"/>
  <c r="N448" i="2"/>
  <c r="O419" i="2"/>
  <c r="N451" i="2"/>
  <c r="P620" i="2"/>
  <c r="P628" i="2" s="1"/>
  <c r="P636" i="2" s="1"/>
  <c r="P744" i="2"/>
  <c r="P753" i="2" s="1"/>
  <c r="O441" i="2"/>
  <c r="O651" i="2"/>
  <c r="O438" i="2"/>
  <c r="P623" i="2"/>
  <c r="P631" i="2" s="1"/>
  <c r="P639" i="2" s="1"/>
  <c r="P747" i="2"/>
  <c r="P756" i="2" s="1"/>
  <c r="O412" i="2"/>
  <c r="O750" i="2"/>
  <c r="O439" i="2"/>
  <c r="O420" i="2"/>
  <c r="Q625" i="2"/>
  <c r="Q633" i="2" s="1"/>
  <c r="Q641" i="2" s="1"/>
  <c r="Q749" i="2"/>
  <c r="Q758" i="2" s="1"/>
  <c r="O423" i="2"/>
  <c r="P622" i="2"/>
  <c r="P630" i="2" s="1"/>
  <c r="P638" i="2" s="1"/>
  <c r="P746" i="2"/>
  <c r="P755" i="2" s="1"/>
  <c r="O415" i="2"/>
  <c r="P440" i="2"/>
  <c r="P624" i="2"/>
  <c r="P748" i="2"/>
  <c r="P757" i="2" s="1"/>
  <c r="O421" i="2"/>
  <c r="P619" i="2"/>
  <c r="P627" i="2" s="1"/>
  <c r="P635" i="2" s="1"/>
  <c r="P743" i="2"/>
  <c r="P752" i="2" s="1"/>
  <c r="P618" i="2"/>
  <c r="P626" i="2" s="1"/>
  <c r="P634" i="2" s="1"/>
  <c r="P642" i="2" s="1"/>
  <c r="P742" i="2"/>
  <c r="P751" i="2" s="1"/>
  <c r="O413" i="2"/>
  <c r="P625" i="2"/>
  <c r="P749" i="2"/>
  <c r="P758" i="2" s="1"/>
  <c r="Q610" i="2"/>
  <c r="Q611" i="2"/>
  <c r="T275" i="2"/>
  <c r="T738" i="2" s="1"/>
  <c r="S789" i="2"/>
  <c r="S299" i="2" s="1"/>
  <c r="Q616" i="2"/>
  <c r="R793" i="2"/>
  <c r="R612" i="2" s="1"/>
  <c r="T278" i="2"/>
  <c r="T741" i="2" s="1"/>
  <c r="S792" i="2"/>
  <c r="S302" i="2" s="1"/>
  <c r="T277" i="2"/>
  <c r="T740" i="2" s="1"/>
  <c r="S791" i="2"/>
  <c r="S301" i="2" s="1"/>
  <c r="Q614" i="2"/>
  <c r="T274" i="2"/>
  <c r="T737" i="2" s="1"/>
  <c r="S788" i="2"/>
  <c r="S298" i="2" s="1"/>
  <c r="Q613" i="2"/>
  <c r="T271" i="2"/>
  <c r="T734" i="2" s="1"/>
  <c r="S785" i="2"/>
  <c r="S295" i="2" s="1"/>
  <c r="T272" i="2"/>
  <c r="T735" i="2" s="1"/>
  <c r="S786" i="2"/>
  <c r="S296" i="2" s="1"/>
  <c r="Q615" i="2"/>
  <c r="T276" i="2"/>
  <c r="T739" i="2" s="1"/>
  <c r="S790" i="2"/>
  <c r="S300" i="2" s="1"/>
  <c r="T273" i="2"/>
  <c r="T736" i="2" s="1"/>
  <c r="S787" i="2"/>
  <c r="S297" i="2" s="1"/>
  <c r="Q612" i="2"/>
  <c r="S733" i="2"/>
  <c r="M715" i="2"/>
  <c r="M721" i="2"/>
  <c r="P426" i="2"/>
  <c r="P452" i="2" s="1"/>
  <c r="P418" i="2"/>
  <c r="D932" i="2"/>
  <c r="R89" i="2"/>
  <c r="Q61" i="2"/>
  <c r="Q97" i="2"/>
  <c r="Q103" i="2" s="1"/>
  <c r="N691" i="2"/>
  <c r="N707" i="2"/>
  <c r="M718" i="2"/>
  <c r="O672" i="2"/>
  <c r="O293" i="2" s="1"/>
  <c r="O309" i="2" s="1"/>
  <c r="O673" i="2"/>
  <c r="O294" i="2" s="1"/>
  <c r="O310" i="2" s="1"/>
  <c r="N714" i="2"/>
  <c r="P417" i="2"/>
  <c r="P425" i="2"/>
  <c r="P451" i="2" s="1"/>
  <c r="O669" i="2"/>
  <c r="P414" i="2"/>
  <c r="P422" i="2"/>
  <c r="R437" i="2"/>
  <c r="Q419" i="2"/>
  <c r="Q411" i="2"/>
  <c r="Q438" i="2"/>
  <c r="N708" i="2"/>
  <c r="N692" i="2"/>
  <c r="O671" i="2"/>
  <c r="O292" i="2" s="1"/>
  <c r="O308" i="2" s="1"/>
  <c r="K268" i="2" l="1"/>
  <c r="K88" i="2"/>
  <c r="K267" i="2"/>
  <c r="L265" i="2"/>
  <c r="L266" i="2" s="1"/>
  <c r="L268" i="2" s="1"/>
  <c r="M81" i="2"/>
  <c r="M259" i="2"/>
  <c r="N264" i="2"/>
  <c r="N709" i="2"/>
  <c r="N717" i="2" s="1"/>
  <c r="M178" i="2"/>
  <c r="M262" i="2"/>
  <c r="N711" i="2"/>
  <c r="N719" i="2" s="1"/>
  <c r="N694" i="2"/>
  <c r="N718" i="2" s="1"/>
  <c r="N677" i="2"/>
  <c r="N260" i="2" s="1"/>
  <c r="N290" i="2"/>
  <c r="N306" i="2" s="1"/>
  <c r="O660" i="2"/>
  <c r="O684" i="2" s="1"/>
  <c r="O692" i="2" s="1"/>
  <c r="O281" i="2"/>
  <c r="O677" i="2"/>
  <c r="O175" i="2" s="1"/>
  <c r="O290" i="2"/>
  <c r="O306" i="2" s="1"/>
  <c r="L182" i="2"/>
  <c r="O662" i="2"/>
  <c r="O686" i="2" s="1"/>
  <c r="O694" i="2" s="1"/>
  <c r="O283" i="2"/>
  <c r="N712" i="2"/>
  <c r="N720" i="2" s="1"/>
  <c r="O659" i="2"/>
  <c r="O683" i="2" s="1"/>
  <c r="O707" i="2" s="1"/>
  <c r="O280" i="2"/>
  <c r="M260" i="2"/>
  <c r="M175" i="2"/>
  <c r="N678" i="2"/>
  <c r="N291" i="2"/>
  <c r="N307" i="2" s="1"/>
  <c r="M311" i="2"/>
  <c r="N679" i="2"/>
  <c r="N292" i="2"/>
  <c r="N308" i="2" s="1"/>
  <c r="N680" i="2"/>
  <c r="N293" i="2"/>
  <c r="N309" i="2" s="1"/>
  <c r="O658" i="2"/>
  <c r="O682" i="2" s="1"/>
  <c r="O706" i="2" s="1"/>
  <c r="O279" i="2"/>
  <c r="N697" i="2"/>
  <c r="P661" i="2"/>
  <c r="P685" i="2" s="1"/>
  <c r="P282" i="2"/>
  <c r="O670" i="2"/>
  <c r="O428" i="2" a="1"/>
  <c r="O428" i="2" s="1"/>
  <c r="O668" i="2"/>
  <c r="P654" i="2"/>
  <c r="P646" i="2"/>
  <c r="P652" i="2"/>
  <c r="P644" i="2"/>
  <c r="Q657" i="2"/>
  <c r="Q649" i="2"/>
  <c r="P424" i="2"/>
  <c r="P647" i="2"/>
  <c r="P651" i="2"/>
  <c r="P643" i="2"/>
  <c r="O427" i="2"/>
  <c r="O74" i="2" s="1"/>
  <c r="O71" i="2" s="1"/>
  <c r="Q445" i="2"/>
  <c r="O445" i="2"/>
  <c r="P448" i="2"/>
  <c r="N453" i="2"/>
  <c r="P412" i="2"/>
  <c r="P420" i="2"/>
  <c r="O449" i="2"/>
  <c r="P759" i="2"/>
  <c r="P439" i="2"/>
  <c r="O666" i="2"/>
  <c r="P441" i="2"/>
  <c r="O446" i="2"/>
  <c r="P421" i="2"/>
  <c r="P423" i="2"/>
  <c r="O447" i="2"/>
  <c r="P413" i="2"/>
  <c r="R620" i="2"/>
  <c r="R744" i="2"/>
  <c r="R753" i="2" s="1"/>
  <c r="Q619" i="2"/>
  <c r="Q743" i="2"/>
  <c r="Q752" i="2" s="1"/>
  <c r="Q618" i="2"/>
  <c r="Q742" i="2"/>
  <c r="Q751" i="2" s="1"/>
  <c r="Q620" i="2"/>
  <c r="Q628" i="2" s="1"/>
  <c r="Q636" i="2" s="1"/>
  <c r="Q744" i="2"/>
  <c r="Q753" i="2" s="1"/>
  <c r="P650" i="2"/>
  <c r="P279" i="2" s="1"/>
  <c r="P411" i="2"/>
  <c r="P437" i="2"/>
  <c r="P419" i="2"/>
  <c r="Q623" i="2"/>
  <c r="Q631" i="2" s="1"/>
  <c r="Q639" i="2" s="1"/>
  <c r="Q747" i="2"/>
  <c r="Q756" i="2" s="1"/>
  <c r="Q444" i="2"/>
  <c r="P438" i="2"/>
  <c r="O667" i="2"/>
  <c r="Q624" i="2"/>
  <c r="Q632" i="2" s="1"/>
  <c r="Q640" i="2" s="1"/>
  <c r="Q748" i="2"/>
  <c r="Q757" i="2" s="1"/>
  <c r="P415" i="2"/>
  <c r="Q621" i="2"/>
  <c r="Q629" i="2" s="1"/>
  <c r="Q637" i="2" s="1"/>
  <c r="Q745" i="2"/>
  <c r="Q754" i="2" s="1"/>
  <c r="Q622" i="2"/>
  <c r="Q630" i="2" s="1"/>
  <c r="Q638" i="2" s="1"/>
  <c r="Q746" i="2"/>
  <c r="Q755" i="2" s="1"/>
  <c r="P655" i="2"/>
  <c r="P442" i="2"/>
  <c r="P416" i="2"/>
  <c r="P750" i="2"/>
  <c r="R611" i="2"/>
  <c r="R614" i="2"/>
  <c r="R610" i="2"/>
  <c r="U278" i="2"/>
  <c r="U741" i="2" s="1"/>
  <c r="T792" i="2"/>
  <c r="T302" i="2" s="1"/>
  <c r="R613" i="2"/>
  <c r="U271" i="2"/>
  <c r="U734" i="2" s="1"/>
  <c r="T785" i="2"/>
  <c r="T295" i="2" s="1"/>
  <c r="S793" i="2"/>
  <c r="S615" i="2" s="1"/>
  <c r="U275" i="2"/>
  <c r="U738" i="2" s="1"/>
  <c r="T789" i="2"/>
  <c r="T299" i="2" s="1"/>
  <c r="U272" i="2"/>
  <c r="U735" i="2" s="1"/>
  <c r="T786" i="2"/>
  <c r="T296" i="2" s="1"/>
  <c r="U277" i="2"/>
  <c r="U740" i="2" s="1"/>
  <c r="T791" i="2"/>
  <c r="T301" i="2" s="1"/>
  <c r="U273" i="2"/>
  <c r="U736" i="2" s="1"/>
  <c r="T787" i="2"/>
  <c r="T297" i="2" s="1"/>
  <c r="U276" i="2"/>
  <c r="U739" i="2" s="1"/>
  <c r="T790" i="2"/>
  <c r="T300" i="2" s="1"/>
  <c r="R615" i="2"/>
  <c r="U274" i="2"/>
  <c r="U737" i="2" s="1"/>
  <c r="T788" i="2"/>
  <c r="T298" i="2" s="1"/>
  <c r="R616" i="2"/>
  <c r="R617" i="2"/>
  <c r="T733" i="2"/>
  <c r="N716" i="2"/>
  <c r="M722" i="2"/>
  <c r="R439" i="2"/>
  <c r="N715" i="2"/>
  <c r="O697" i="2"/>
  <c r="O713" i="2"/>
  <c r="P669" i="2"/>
  <c r="O696" i="2"/>
  <c r="O712" i="2"/>
  <c r="R419" i="2"/>
  <c r="R411" i="2"/>
  <c r="Q412" i="2"/>
  <c r="Q420" i="2"/>
  <c r="Q446" i="2" s="1"/>
  <c r="Q426" i="2"/>
  <c r="Q418" i="2"/>
  <c r="O693" i="2"/>
  <c r="O709" i="2"/>
  <c r="R97" i="2"/>
  <c r="R103" i="2" s="1"/>
  <c r="R61" i="2"/>
  <c r="S89" i="2"/>
  <c r="R438" i="2"/>
  <c r="O711" i="2"/>
  <c r="O695" i="2"/>
  <c r="P672" i="2"/>
  <c r="P293" i="2" s="1"/>
  <c r="P309" i="2" s="1"/>
  <c r="Q666" i="2"/>
  <c r="Q287" i="2" s="1"/>
  <c r="Q303" i="2" s="1"/>
  <c r="P673" i="2"/>
  <c r="P294" i="2" s="1"/>
  <c r="P310" i="2" s="1"/>
  <c r="L267" i="2" l="1"/>
  <c r="L91" i="2"/>
  <c r="M180" i="2"/>
  <c r="M181" i="2" s="1"/>
  <c r="M88" i="2" s="1"/>
  <c r="N81" i="2"/>
  <c r="M265" i="2"/>
  <c r="M266" i="2" s="1"/>
  <c r="M91" i="2" s="1"/>
  <c r="O691" i="2"/>
  <c r="O715" i="2" s="1"/>
  <c r="N721" i="2"/>
  <c r="N722" i="2" s="1"/>
  <c r="N175" i="2"/>
  <c r="O690" i="2"/>
  <c r="O714" i="2" s="1"/>
  <c r="N178" i="2"/>
  <c r="N263" i="2"/>
  <c r="O676" i="2"/>
  <c r="O289" i="2"/>
  <c r="O305" i="2" s="1"/>
  <c r="P659" i="2"/>
  <c r="P683" i="2" s="1"/>
  <c r="P691" i="2" s="1"/>
  <c r="P280" i="2"/>
  <c r="O710" i="2"/>
  <c r="O718" i="2" s="1"/>
  <c r="O260" i="2"/>
  <c r="O675" i="2"/>
  <c r="O173" i="2" s="1"/>
  <c r="O288" i="2"/>
  <c r="O304" i="2" s="1"/>
  <c r="O708" i="2"/>
  <c r="O716" i="2" s="1"/>
  <c r="Q665" i="2"/>
  <c r="Q689" i="2" s="1"/>
  <c r="Q286" i="2"/>
  <c r="P662" i="2"/>
  <c r="P686" i="2" s="1"/>
  <c r="P694" i="2" s="1"/>
  <c r="P283" i="2"/>
  <c r="N177" i="2"/>
  <c r="N262" i="2"/>
  <c r="N176" i="2"/>
  <c r="N261" i="2"/>
  <c r="P677" i="2"/>
  <c r="P175" i="2" s="1"/>
  <c r="P290" i="2"/>
  <c r="P306" i="2" s="1"/>
  <c r="O678" i="2"/>
  <c r="O291" i="2"/>
  <c r="O307" i="2" s="1"/>
  <c r="O674" i="2"/>
  <c r="O172" i="2" s="1"/>
  <c r="O287" i="2"/>
  <c r="O303" i="2" s="1"/>
  <c r="N311" i="2"/>
  <c r="P670" i="2"/>
  <c r="P663" i="2"/>
  <c r="P687" i="2" s="1"/>
  <c r="P695" i="2" s="1"/>
  <c r="P284" i="2"/>
  <c r="P660" i="2"/>
  <c r="P684" i="2" s="1"/>
  <c r="P708" i="2" s="1"/>
  <c r="P281" i="2"/>
  <c r="P428" i="2" a="1"/>
  <c r="P428" i="2" s="1"/>
  <c r="P668" i="2"/>
  <c r="Q656" i="2"/>
  <c r="Q648" i="2"/>
  <c r="Q652" i="2"/>
  <c r="Q644" i="2"/>
  <c r="P450" i="2"/>
  <c r="Q655" i="2"/>
  <c r="Q647" i="2"/>
  <c r="P667" i="2"/>
  <c r="Q654" i="2"/>
  <c r="Q646" i="2"/>
  <c r="Q653" i="2"/>
  <c r="Q645" i="2"/>
  <c r="R445" i="2"/>
  <c r="P427" i="2"/>
  <c r="P74" i="2" s="1"/>
  <c r="P71" i="2" s="1"/>
  <c r="P446" i="2"/>
  <c r="P447" i="2"/>
  <c r="O453" i="2"/>
  <c r="P449" i="2"/>
  <c r="Q417" i="2"/>
  <c r="P445" i="2"/>
  <c r="Q421" i="2"/>
  <c r="Q413" i="2"/>
  <c r="Q759" i="2"/>
  <c r="Q425" i="2"/>
  <c r="Q416" i="2"/>
  <c r="Q424" i="2"/>
  <c r="P671" i="2"/>
  <c r="P658" i="2"/>
  <c r="P682" i="2" s="1"/>
  <c r="P666" i="2"/>
  <c r="Q441" i="2"/>
  <c r="R619" i="2"/>
  <c r="R743" i="2"/>
  <c r="R752" i="2" s="1"/>
  <c r="R622" i="2"/>
  <c r="R630" i="2" s="1"/>
  <c r="R638" i="2" s="1"/>
  <c r="R646" i="2" s="1"/>
  <c r="R746" i="2"/>
  <c r="R755" i="2" s="1"/>
  <c r="Q423" i="2"/>
  <c r="R623" i="2"/>
  <c r="R631" i="2" s="1"/>
  <c r="R639" i="2" s="1"/>
  <c r="R747" i="2"/>
  <c r="R756" i="2" s="1"/>
  <c r="Q415" i="2"/>
  <c r="S623" i="2"/>
  <c r="S747" i="2"/>
  <c r="S756" i="2" s="1"/>
  <c r="R621" i="2"/>
  <c r="R629" i="2" s="1"/>
  <c r="R637" i="2" s="1"/>
  <c r="R745" i="2"/>
  <c r="R754" i="2" s="1"/>
  <c r="Q750" i="2"/>
  <c r="Q414" i="2"/>
  <c r="Q422" i="2"/>
  <c r="Q442" i="2"/>
  <c r="Q452" i="2"/>
  <c r="R625" i="2"/>
  <c r="R633" i="2" s="1"/>
  <c r="R641" i="2" s="1"/>
  <c r="R749" i="2"/>
  <c r="R758" i="2" s="1"/>
  <c r="Q443" i="2"/>
  <c r="R618" i="2"/>
  <c r="R742" i="2"/>
  <c r="R751" i="2" s="1"/>
  <c r="Q440" i="2"/>
  <c r="R624" i="2"/>
  <c r="R632" i="2" s="1"/>
  <c r="R640" i="2" s="1"/>
  <c r="R748" i="2"/>
  <c r="R757" i="2" s="1"/>
  <c r="Q439" i="2"/>
  <c r="S610" i="2"/>
  <c r="V276" i="2"/>
  <c r="V739" i="2" s="1"/>
  <c r="U790" i="2"/>
  <c r="U300" i="2" s="1"/>
  <c r="S614" i="2"/>
  <c r="S612" i="2"/>
  <c r="V271" i="2"/>
  <c r="V734" i="2" s="1"/>
  <c r="U785" i="2"/>
  <c r="U295" i="2" s="1"/>
  <c r="V275" i="2"/>
  <c r="V738" i="2" s="1"/>
  <c r="U789" i="2"/>
  <c r="U299" i="2" s="1"/>
  <c r="V273" i="2"/>
  <c r="V736" i="2" s="1"/>
  <c r="U787" i="2"/>
  <c r="U297" i="2" s="1"/>
  <c r="S611" i="2"/>
  <c r="T793" i="2"/>
  <c r="T610" i="2" s="1"/>
  <c r="V277" i="2"/>
  <c r="V740" i="2" s="1"/>
  <c r="U791" i="2"/>
  <c r="U301" i="2" s="1"/>
  <c r="S616" i="2"/>
  <c r="V274" i="2"/>
  <c r="V737" i="2" s="1"/>
  <c r="U788" i="2"/>
  <c r="U298" i="2" s="1"/>
  <c r="V272" i="2"/>
  <c r="V735" i="2" s="1"/>
  <c r="U786" i="2"/>
  <c r="U296" i="2" s="1"/>
  <c r="V278" i="2"/>
  <c r="V741" i="2" s="1"/>
  <c r="U792" i="2"/>
  <c r="U302" i="2" s="1"/>
  <c r="S613" i="2"/>
  <c r="S617" i="2"/>
  <c r="V733" i="2"/>
  <c r="U733" i="2"/>
  <c r="O719" i="2"/>
  <c r="O720" i="2"/>
  <c r="Q667" i="2"/>
  <c r="Q288" i="2" s="1"/>
  <c r="Q304" i="2" s="1"/>
  <c r="P697" i="2"/>
  <c r="P713" i="2"/>
  <c r="S443" i="2"/>
  <c r="R666" i="2"/>
  <c r="R287" i="2" s="1"/>
  <c r="R303" i="2" s="1"/>
  <c r="P696" i="2"/>
  <c r="P712" i="2"/>
  <c r="R420" i="2"/>
  <c r="R446" i="2" s="1"/>
  <c r="R412" i="2"/>
  <c r="P709" i="2"/>
  <c r="P693" i="2"/>
  <c r="Q673" i="2"/>
  <c r="S444" i="2"/>
  <c r="S97" i="2"/>
  <c r="S103" i="2" s="1"/>
  <c r="S61" i="2"/>
  <c r="S62" i="2"/>
  <c r="T89" i="2"/>
  <c r="S99" i="2"/>
  <c r="S105" i="2" s="1"/>
  <c r="S442" i="2"/>
  <c r="T437" i="2"/>
  <c r="O717" i="2"/>
  <c r="O721" i="2"/>
  <c r="Q690" i="2"/>
  <c r="Q706" i="2"/>
  <c r="R421" i="2"/>
  <c r="R447" i="2" s="1"/>
  <c r="R413" i="2"/>
  <c r="M268" i="2" l="1"/>
  <c r="M182" i="2"/>
  <c r="M267" i="2"/>
  <c r="O257" i="2"/>
  <c r="P710" i="2"/>
  <c r="P718" i="2" s="1"/>
  <c r="O81" i="2"/>
  <c r="P707" i="2"/>
  <c r="P715" i="2" s="1"/>
  <c r="N265" i="2"/>
  <c r="N266" i="2" s="1"/>
  <c r="N91" i="2" s="1"/>
  <c r="N180" i="2"/>
  <c r="N181" i="2" s="1"/>
  <c r="N88" i="2" s="1"/>
  <c r="P260" i="2"/>
  <c r="P692" i="2"/>
  <c r="P716" i="2" s="1"/>
  <c r="P711" i="2"/>
  <c r="P719" i="2" s="1"/>
  <c r="P674" i="2"/>
  <c r="P172" i="2" s="1"/>
  <c r="P287" i="2"/>
  <c r="P303" i="2" s="1"/>
  <c r="Q663" i="2"/>
  <c r="Q687" i="2" s="1"/>
  <c r="Q711" i="2" s="1"/>
  <c r="Q284" i="2"/>
  <c r="O258" i="2"/>
  <c r="O259" i="2"/>
  <c r="O174" i="2"/>
  <c r="Q660" i="2"/>
  <c r="Q684" i="2" s="1"/>
  <c r="Q708" i="2" s="1"/>
  <c r="Q281" i="2"/>
  <c r="P678" i="2"/>
  <c r="P291" i="2"/>
  <c r="P307" i="2" s="1"/>
  <c r="P676" i="2"/>
  <c r="P289" i="2"/>
  <c r="P305" i="2" s="1"/>
  <c r="O261" i="2"/>
  <c r="O176" i="2"/>
  <c r="Q661" i="2"/>
  <c r="Q685" i="2" s="1"/>
  <c r="Q693" i="2" s="1"/>
  <c r="Q282" i="2"/>
  <c r="Q681" i="2"/>
  <c r="Q179" i="2" s="1"/>
  <c r="Q294" i="2"/>
  <c r="Q310" i="2" s="1"/>
  <c r="Q662" i="2"/>
  <c r="Q686" i="2" s="1"/>
  <c r="Q694" i="2" s="1"/>
  <c r="Q283" i="2"/>
  <c r="P675" i="2"/>
  <c r="P258" i="2" s="1"/>
  <c r="P288" i="2"/>
  <c r="P304" i="2" s="1"/>
  <c r="P679" i="2"/>
  <c r="P177" i="2" s="1"/>
  <c r="P292" i="2"/>
  <c r="P308" i="2" s="1"/>
  <c r="O311" i="2"/>
  <c r="Q664" i="2"/>
  <c r="Q688" i="2" s="1"/>
  <c r="Q696" i="2" s="1"/>
  <c r="Q285" i="2"/>
  <c r="Q428" i="2" a="1"/>
  <c r="Q428" i="2" s="1"/>
  <c r="Q672" i="2"/>
  <c r="Q668" i="2"/>
  <c r="Q447" i="2"/>
  <c r="Q671" i="2"/>
  <c r="Q427" i="2"/>
  <c r="Q74" i="2" s="1"/>
  <c r="Q71" i="2" s="1"/>
  <c r="T617" i="2"/>
  <c r="T749" i="2" s="1"/>
  <c r="T758" i="2" s="1"/>
  <c r="R656" i="2"/>
  <c r="R648" i="2"/>
  <c r="R655" i="2"/>
  <c r="R647" i="2"/>
  <c r="R657" i="2"/>
  <c r="R649" i="2"/>
  <c r="Q670" i="2"/>
  <c r="R653" i="2"/>
  <c r="R645" i="2"/>
  <c r="Q669" i="2"/>
  <c r="P453" i="2"/>
  <c r="T615" i="2"/>
  <c r="T623" i="2" s="1"/>
  <c r="T631" i="2" s="1"/>
  <c r="T639" i="2" s="1"/>
  <c r="R424" i="2"/>
  <c r="T616" i="2"/>
  <c r="T624" i="2" s="1"/>
  <c r="R416" i="2"/>
  <c r="R442" i="2"/>
  <c r="Q448" i="2"/>
  <c r="R444" i="2"/>
  <c r="R414" i="2"/>
  <c r="T612" i="2"/>
  <c r="T620" i="2" s="1"/>
  <c r="T628" i="2" s="1"/>
  <c r="T636" i="2" s="1"/>
  <c r="R759" i="2"/>
  <c r="R426" i="2"/>
  <c r="Q451" i="2"/>
  <c r="Q450" i="2"/>
  <c r="R418" i="2"/>
  <c r="R425" i="2"/>
  <c r="R443" i="2"/>
  <c r="Q449" i="2"/>
  <c r="R417" i="2"/>
  <c r="R440" i="2"/>
  <c r="S618" i="2"/>
  <c r="S626" i="2" s="1"/>
  <c r="S634" i="2" s="1"/>
  <c r="S642" i="2" s="1"/>
  <c r="S742" i="2"/>
  <c r="S751" i="2" s="1"/>
  <c r="S620" i="2"/>
  <c r="S628" i="2" s="1"/>
  <c r="S636" i="2" s="1"/>
  <c r="S744" i="2"/>
  <c r="S753" i="2" s="1"/>
  <c r="S619" i="2"/>
  <c r="S627" i="2" s="1"/>
  <c r="S635" i="2" s="1"/>
  <c r="S643" i="2" s="1"/>
  <c r="S743" i="2"/>
  <c r="S752" i="2" s="1"/>
  <c r="R654" i="2"/>
  <c r="R441" i="2"/>
  <c r="S621" i="2"/>
  <c r="S629" i="2" s="1"/>
  <c r="S637" i="2" s="1"/>
  <c r="S745" i="2"/>
  <c r="S754" i="2" s="1"/>
  <c r="R423" i="2"/>
  <c r="P690" i="2"/>
  <c r="P706" i="2"/>
  <c r="S624" i="2"/>
  <c r="S748" i="2"/>
  <c r="S757" i="2" s="1"/>
  <c r="S625" i="2"/>
  <c r="S749" i="2"/>
  <c r="S758" i="2" s="1"/>
  <c r="R415" i="2"/>
  <c r="R422" i="2"/>
  <c r="S622" i="2"/>
  <c r="S630" i="2" s="1"/>
  <c r="S638" i="2" s="1"/>
  <c r="S746" i="2"/>
  <c r="S755" i="2" s="1"/>
  <c r="R750" i="2"/>
  <c r="T618" i="2"/>
  <c r="T742" i="2"/>
  <c r="T751" i="2" s="1"/>
  <c r="T614" i="2"/>
  <c r="W273" i="2"/>
  <c r="W736" i="2" s="1"/>
  <c r="V787" i="2"/>
  <c r="V297" i="2" s="1"/>
  <c r="W278" i="2"/>
  <c r="W741" i="2" s="1"/>
  <c r="V792" i="2"/>
  <c r="V302" i="2" s="1"/>
  <c r="T613" i="2"/>
  <c r="U793" i="2"/>
  <c r="U614" i="2" s="1"/>
  <c r="W274" i="2"/>
  <c r="W737" i="2" s="1"/>
  <c r="V788" i="2"/>
  <c r="V298" i="2" s="1"/>
  <c r="W277" i="2"/>
  <c r="W740" i="2" s="1"/>
  <c r="V791" i="2"/>
  <c r="V301" i="2" s="1"/>
  <c r="W271" i="2"/>
  <c r="W734" i="2" s="1"/>
  <c r="V785" i="2"/>
  <c r="V295" i="2" s="1"/>
  <c r="W275" i="2"/>
  <c r="W738" i="2" s="1"/>
  <c r="V789" i="2"/>
  <c r="V299" i="2" s="1"/>
  <c r="W272" i="2"/>
  <c r="W735" i="2" s="1"/>
  <c r="V786" i="2"/>
  <c r="V296" i="2" s="1"/>
  <c r="T611" i="2"/>
  <c r="W276" i="2"/>
  <c r="W739" i="2" s="1"/>
  <c r="V790" i="2"/>
  <c r="V300" i="2" s="1"/>
  <c r="P717" i="2"/>
  <c r="O722" i="2"/>
  <c r="S426" i="2"/>
  <c r="S452" i="2" s="1"/>
  <c r="S418" i="2"/>
  <c r="R667" i="2"/>
  <c r="R288" i="2" s="1"/>
  <c r="R304" i="2" s="1"/>
  <c r="T444" i="2"/>
  <c r="Q714" i="2"/>
  <c r="T411" i="2"/>
  <c r="T419" i="2"/>
  <c r="P721" i="2"/>
  <c r="S425" i="2"/>
  <c r="S451" i="2" s="1"/>
  <c r="S417" i="2"/>
  <c r="T443" i="2"/>
  <c r="S416" i="2"/>
  <c r="S424" i="2"/>
  <c r="S450" i="2" s="1"/>
  <c r="P720" i="2"/>
  <c r="U89" i="2"/>
  <c r="T97" i="2"/>
  <c r="T103" i="2" s="1"/>
  <c r="T61" i="2"/>
  <c r="R690" i="2"/>
  <c r="R706" i="2"/>
  <c r="Q691" i="2"/>
  <c r="Q707" i="2"/>
  <c r="U437" i="2"/>
  <c r="Q713" i="2"/>
  <c r="Q697" i="2"/>
  <c r="R668" i="2"/>
  <c r="R289" i="2" s="1"/>
  <c r="R305" i="2" s="1"/>
  <c r="C897" i="2"/>
  <c r="D928" i="2"/>
  <c r="N267" i="2" l="1"/>
  <c r="N268" i="2"/>
  <c r="N182" i="2"/>
  <c r="P262" i="2"/>
  <c r="P81" i="2"/>
  <c r="T625" i="2"/>
  <c r="Q695" i="2"/>
  <c r="P257" i="2"/>
  <c r="O265" i="2"/>
  <c r="O266" i="2" s="1"/>
  <c r="O268" i="2" s="1"/>
  <c r="P173" i="2"/>
  <c r="O180" i="2"/>
  <c r="O181" i="2" s="1"/>
  <c r="O88" i="2" s="1"/>
  <c r="Q676" i="2"/>
  <c r="Q174" i="2" s="1"/>
  <c r="Q289" i="2"/>
  <c r="Q305" i="2" s="1"/>
  <c r="R665" i="2"/>
  <c r="R689" i="2" s="1"/>
  <c r="R697" i="2" s="1"/>
  <c r="R286" i="2"/>
  <c r="Q692" i="2"/>
  <c r="R664" i="2"/>
  <c r="R688" i="2" s="1"/>
  <c r="R712" i="2" s="1"/>
  <c r="R285" i="2"/>
  <c r="P174" i="2"/>
  <c r="P259" i="2"/>
  <c r="Q710" i="2"/>
  <c r="Q718" i="2" s="1"/>
  <c r="R662" i="2"/>
  <c r="R686" i="2" s="1"/>
  <c r="R694" i="2" s="1"/>
  <c r="R283" i="2"/>
  <c r="Q677" i="2"/>
  <c r="Q260" i="2" s="1"/>
  <c r="Q290" i="2"/>
  <c r="Q306" i="2" s="1"/>
  <c r="Q680" i="2"/>
  <c r="Q293" i="2"/>
  <c r="Q309" i="2" s="1"/>
  <c r="R663" i="2"/>
  <c r="R687" i="2" s="1"/>
  <c r="R695" i="2" s="1"/>
  <c r="R284" i="2"/>
  <c r="Q679" i="2"/>
  <c r="Q177" i="2" s="1"/>
  <c r="Q292" i="2"/>
  <c r="Q308" i="2" s="1"/>
  <c r="Q678" i="2"/>
  <c r="Q261" i="2" s="1"/>
  <c r="Q291" i="2"/>
  <c r="Q307" i="2" s="1"/>
  <c r="Q709" i="2"/>
  <c r="Q717" i="2" s="1"/>
  <c r="Q264" i="2"/>
  <c r="P311" i="2"/>
  <c r="Q712" i="2"/>
  <c r="Q720" i="2" s="1"/>
  <c r="R661" i="2"/>
  <c r="R685" i="2" s="1"/>
  <c r="R709" i="2" s="1"/>
  <c r="R282" i="2"/>
  <c r="P261" i="2"/>
  <c r="P176" i="2"/>
  <c r="R428" i="2" a="1"/>
  <c r="R428" i="2" s="1"/>
  <c r="R671" i="2"/>
  <c r="R672" i="2"/>
  <c r="R673" i="2"/>
  <c r="R450" i="2"/>
  <c r="T655" i="2"/>
  <c r="T647" i="2"/>
  <c r="R669" i="2"/>
  <c r="S652" i="2"/>
  <c r="S644" i="2"/>
  <c r="T652" i="2"/>
  <c r="T644" i="2"/>
  <c r="S654" i="2"/>
  <c r="S646" i="2"/>
  <c r="S653" i="2"/>
  <c r="S669" i="2" s="1"/>
  <c r="S645" i="2"/>
  <c r="R427" i="2"/>
  <c r="R74" i="2" s="1"/>
  <c r="R71" i="2" s="1"/>
  <c r="T747" i="2"/>
  <c r="T756" i="2" s="1"/>
  <c r="R448" i="2"/>
  <c r="T445" i="2"/>
  <c r="T748" i="2"/>
  <c r="T757" i="2" s="1"/>
  <c r="R452" i="2"/>
  <c r="R451" i="2"/>
  <c r="T744" i="2"/>
  <c r="T753" i="2" s="1"/>
  <c r="Q453" i="2"/>
  <c r="S759" i="2"/>
  <c r="S423" i="2"/>
  <c r="S415" i="2"/>
  <c r="S421" i="2"/>
  <c r="S413" i="2"/>
  <c r="U610" i="2"/>
  <c r="U742" i="2" s="1"/>
  <c r="U751" i="2" s="1"/>
  <c r="T622" i="2"/>
  <c r="T630" i="2" s="1"/>
  <c r="T638" i="2" s="1"/>
  <c r="T746" i="2"/>
  <c r="T755" i="2" s="1"/>
  <c r="S422" i="2"/>
  <c r="T619" i="2"/>
  <c r="T627" i="2" s="1"/>
  <c r="T635" i="2" s="1"/>
  <c r="T743" i="2"/>
  <c r="S440" i="2"/>
  <c r="U622" i="2"/>
  <c r="U630" i="2" s="1"/>
  <c r="U638" i="2" s="1"/>
  <c r="U746" i="2"/>
  <c r="U755" i="2" s="1"/>
  <c r="T621" i="2"/>
  <c r="T629" i="2" s="1"/>
  <c r="T637" i="2" s="1"/>
  <c r="T745" i="2"/>
  <c r="T754" i="2" s="1"/>
  <c r="R670" i="2"/>
  <c r="S651" i="2"/>
  <c r="S438" i="2"/>
  <c r="S412" i="2"/>
  <c r="S420" i="2"/>
  <c r="S439" i="2"/>
  <c r="P714" i="2"/>
  <c r="P722" i="2" s="1"/>
  <c r="S750" i="2"/>
  <c r="S414" i="2"/>
  <c r="T442" i="2"/>
  <c r="T439" i="2"/>
  <c r="S441" i="2"/>
  <c r="R449" i="2"/>
  <c r="S650" i="2"/>
  <c r="S279" i="2" s="1"/>
  <c r="S437" i="2"/>
  <c r="S419" i="2"/>
  <c r="S411" i="2"/>
  <c r="U616" i="2"/>
  <c r="U612" i="2"/>
  <c r="U617" i="2"/>
  <c r="U615" i="2"/>
  <c r="X272" i="2"/>
  <c r="X735" i="2" s="1"/>
  <c r="W786" i="2"/>
  <c r="W296" i="2" s="1"/>
  <c r="U611" i="2"/>
  <c r="U613" i="2"/>
  <c r="X278" i="2"/>
  <c r="X741" i="2" s="1"/>
  <c r="W792" i="2"/>
  <c r="W302" i="2" s="1"/>
  <c r="X274" i="2"/>
  <c r="X737" i="2" s="1"/>
  <c r="W788" i="2"/>
  <c r="W298" i="2" s="1"/>
  <c r="X275" i="2"/>
  <c r="X738" i="2" s="1"/>
  <c r="W789" i="2"/>
  <c r="W299" i="2" s="1"/>
  <c r="V793" i="2"/>
  <c r="V611" i="2" s="1"/>
  <c r="X276" i="2"/>
  <c r="X739" i="2" s="1"/>
  <c r="W790" i="2"/>
  <c r="W300" i="2" s="1"/>
  <c r="X271" i="2"/>
  <c r="X734" i="2" s="1"/>
  <c r="W785" i="2"/>
  <c r="W295" i="2" s="1"/>
  <c r="X277" i="2"/>
  <c r="X740" i="2" s="1"/>
  <c r="W791" i="2"/>
  <c r="W301" i="2" s="1"/>
  <c r="X273" i="2"/>
  <c r="X736" i="2" s="1"/>
  <c r="W787" i="2"/>
  <c r="W297" i="2" s="1"/>
  <c r="W733" i="2"/>
  <c r="Q721" i="2"/>
  <c r="T425" i="2"/>
  <c r="T451" i="2" s="1"/>
  <c r="T417" i="2"/>
  <c r="R708" i="2"/>
  <c r="R692" i="2"/>
  <c r="U444" i="2"/>
  <c r="R691" i="2"/>
  <c r="R707" i="2"/>
  <c r="Q715" i="2"/>
  <c r="T413" i="2"/>
  <c r="T421" i="2"/>
  <c r="U411" i="2"/>
  <c r="U419" i="2"/>
  <c r="T424" i="2"/>
  <c r="T416" i="2"/>
  <c r="Q719" i="2"/>
  <c r="U97" i="2"/>
  <c r="U103" i="2" s="1"/>
  <c r="V89" i="2"/>
  <c r="U61" i="2"/>
  <c r="T426" i="2"/>
  <c r="T452" i="2" s="1"/>
  <c r="T418" i="2"/>
  <c r="S673" i="2"/>
  <c r="S294" i="2" s="1"/>
  <c r="S310" i="2" s="1"/>
  <c r="U438" i="2"/>
  <c r="T666" i="2"/>
  <c r="T287" i="2" s="1"/>
  <c r="T303" i="2" s="1"/>
  <c r="R714" i="2"/>
  <c r="S672" i="2"/>
  <c r="S293" i="2" s="1"/>
  <c r="S309" i="2" s="1"/>
  <c r="S671" i="2"/>
  <c r="S292" i="2" s="1"/>
  <c r="S308" i="2" s="1"/>
  <c r="O91" i="2" l="1"/>
  <c r="Q81" i="2"/>
  <c r="O182" i="2"/>
  <c r="O267" i="2"/>
  <c r="R710" i="2"/>
  <c r="R718" i="2" s="1"/>
  <c r="P265" i="2"/>
  <c r="P266" i="2" s="1"/>
  <c r="P91" i="2" s="1"/>
  <c r="Q175" i="2"/>
  <c r="R693" i="2"/>
  <c r="R717" i="2" s="1"/>
  <c r="Q716" i="2"/>
  <c r="Q722" i="2" s="1"/>
  <c r="P180" i="2"/>
  <c r="P181" i="2" s="1"/>
  <c r="P88" i="2" s="1"/>
  <c r="S660" i="2"/>
  <c r="S684" i="2" s="1"/>
  <c r="S692" i="2" s="1"/>
  <c r="S281" i="2"/>
  <c r="R681" i="2"/>
  <c r="R179" i="2" s="1"/>
  <c r="R294" i="2"/>
  <c r="R310" i="2" s="1"/>
  <c r="R713" i="2"/>
  <c r="R721" i="2" s="1"/>
  <c r="Q262" i="2"/>
  <c r="R680" i="2"/>
  <c r="R293" i="2"/>
  <c r="R309" i="2" s="1"/>
  <c r="R678" i="2"/>
  <c r="R261" i="2" s="1"/>
  <c r="R291" i="2"/>
  <c r="R307" i="2" s="1"/>
  <c r="S662" i="2"/>
  <c r="S686" i="2" s="1"/>
  <c r="S710" i="2" s="1"/>
  <c r="S283" i="2"/>
  <c r="T660" i="2"/>
  <c r="T684" i="2" s="1"/>
  <c r="T281" i="2"/>
  <c r="R696" i="2"/>
  <c r="R677" i="2"/>
  <c r="R260" i="2" s="1"/>
  <c r="R290" i="2"/>
  <c r="R306" i="2" s="1"/>
  <c r="S677" i="2"/>
  <c r="S175" i="2" s="1"/>
  <c r="S290" i="2"/>
  <c r="S306" i="2" s="1"/>
  <c r="S428" i="2" a="1"/>
  <c r="S428" i="2" s="1"/>
  <c r="T663" i="2"/>
  <c r="T687" i="2" s="1"/>
  <c r="T284" i="2"/>
  <c r="Q263" i="2"/>
  <c r="Q178" i="2"/>
  <c r="Q311" i="2"/>
  <c r="S661" i="2"/>
  <c r="S685" i="2" s="1"/>
  <c r="S693" i="2" s="1"/>
  <c r="S282" i="2"/>
  <c r="R711" i="2"/>
  <c r="R719" i="2" s="1"/>
  <c r="S659" i="2"/>
  <c r="S683" i="2" s="1"/>
  <c r="S691" i="2" s="1"/>
  <c r="S280" i="2"/>
  <c r="R679" i="2"/>
  <c r="R292" i="2"/>
  <c r="R308" i="2" s="1"/>
  <c r="Q176" i="2"/>
  <c r="Q259" i="2"/>
  <c r="S670" i="2"/>
  <c r="T423" i="2"/>
  <c r="T646" i="2"/>
  <c r="T651" i="2"/>
  <c r="T643" i="2"/>
  <c r="T653" i="2"/>
  <c r="T645" i="2"/>
  <c r="S668" i="2"/>
  <c r="U654" i="2"/>
  <c r="U646" i="2"/>
  <c r="S427" i="2"/>
  <c r="S74" i="2" s="1"/>
  <c r="S71" i="2" s="1"/>
  <c r="T450" i="2"/>
  <c r="U445" i="2"/>
  <c r="R453" i="2"/>
  <c r="S449" i="2"/>
  <c r="S446" i="2"/>
  <c r="T415" i="2"/>
  <c r="T750" i="2"/>
  <c r="T752" i="2"/>
  <c r="T759" i="2" s="1"/>
  <c r="S447" i="2"/>
  <c r="S445" i="2"/>
  <c r="T412" i="2"/>
  <c r="T420" i="2"/>
  <c r="U618" i="2"/>
  <c r="T438" i="2"/>
  <c r="S448" i="2"/>
  <c r="S667" i="2"/>
  <c r="T447" i="2"/>
  <c r="U441" i="2"/>
  <c r="U624" i="2"/>
  <c r="U632" i="2" s="1"/>
  <c r="U640" i="2" s="1"/>
  <c r="U748" i="2"/>
  <c r="U757" i="2" s="1"/>
  <c r="U625" i="2"/>
  <c r="U749" i="2"/>
  <c r="U758" i="2" s="1"/>
  <c r="U621" i="2"/>
  <c r="U629" i="2" s="1"/>
  <c r="U637" i="2" s="1"/>
  <c r="U745" i="2"/>
  <c r="U754" i="2" s="1"/>
  <c r="U619" i="2"/>
  <c r="U743" i="2"/>
  <c r="U752" i="2" s="1"/>
  <c r="T422" i="2"/>
  <c r="T414" i="2"/>
  <c r="S658" i="2"/>
  <c r="S682" i="2" s="1"/>
  <c r="S666" i="2"/>
  <c r="V619" i="2"/>
  <c r="V743" i="2"/>
  <c r="V752" i="2" s="1"/>
  <c r="T440" i="2"/>
  <c r="U623" i="2"/>
  <c r="U631" i="2" s="1"/>
  <c r="U639" i="2" s="1"/>
  <c r="U747" i="2"/>
  <c r="U756" i="2" s="1"/>
  <c r="U620" i="2"/>
  <c r="U628" i="2" s="1"/>
  <c r="U636" i="2" s="1"/>
  <c r="U744" i="2"/>
  <c r="U753" i="2" s="1"/>
  <c r="T654" i="2"/>
  <c r="T441" i="2"/>
  <c r="V617" i="2"/>
  <c r="V616" i="2"/>
  <c r="V614" i="2"/>
  <c r="V610" i="2"/>
  <c r="V612" i="2"/>
  <c r="V613" i="2"/>
  <c r="W793" i="2"/>
  <c r="W614" i="2" s="1"/>
  <c r="Y278" i="2"/>
  <c r="Y741" i="2" s="1"/>
  <c r="X792" i="2"/>
  <c r="X302" i="2" s="1"/>
  <c r="Y275" i="2"/>
  <c r="Y738" i="2" s="1"/>
  <c r="X789" i="2"/>
  <c r="X299" i="2" s="1"/>
  <c r="Y274" i="2"/>
  <c r="Y737" i="2" s="1"/>
  <c r="X788" i="2"/>
  <c r="X298" i="2" s="1"/>
  <c r="Y277" i="2"/>
  <c r="Y740" i="2" s="1"/>
  <c r="X791" i="2"/>
  <c r="X301" i="2" s="1"/>
  <c r="Y271" i="2"/>
  <c r="Y734" i="2" s="1"/>
  <c r="X785" i="2"/>
  <c r="X295" i="2" s="1"/>
  <c r="Y276" i="2"/>
  <c r="Y739" i="2" s="1"/>
  <c r="X790" i="2"/>
  <c r="X300" i="2" s="1"/>
  <c r="V615" i="2"/>
  <c r="Y273" i="2"/>
  <c r="Y736" i="2" s="1"/>
  <c r="X787" i="2"/>
  <c r="X297" i="2" s="1"/>
  <c r="Y272" i="2"/>
  <c r="Y735" i="2" s="1"/>
  <c r="X786" i="2"/>
  <c r="X296" i="2" s="1"/>
  <c r="Y733" i="2"/>
  <c r="X733" i="2"/>
  <c r="R716" i="2"/>
  <c r="U426" i="2"/>
  <c r="U452" i="2" s="1"/>
  <c r="U418" i="2"/>
  <c r="T672" i="2"/>
  <c r="T293" i="2" s="1"/>
  <c r="T309" i="2" s="1"/>
  <c r="T673" i="2"/>
  <c r="T294" i="2" s="1"/>
  <c r="T310" i="2" s="1"/>
  <c r="U423" i="2"/>
  <c r="U415" i="2"/>
  <c r="V439" i="2"/>
  <c r="S696" i="2"/>
  <c r="S712" i="2"/>
  <c r="U420" i="2"/>
  <c r="U446" i="2" s="1"/>
  <c r="U412" i="2"/>
  <c r="V97" i="2"/>
  <c r="V103" i="2" s="1"/>
  <c r="W89" i="2"/>
  <c r="V61" i="2"/>
  <c r="S713" i="2"/>
  <c r="S697" i="2"/>
  <c r="T690" i="2"/>
  <c r="T706" i="2"/>
  <c r="U666" i="2"/>
  <c r="U287" i="2" s="1"/>
  <c r="U303" i="2" s="1"/>
  <c r="S711" i="2"/>
  <c r="S695" i="2"/>
  <c r="V438" i="2"/>
  <c r="T671" i="2"/>
  <c r="T668" i="2"/>
  <c r="R715" i="2"/>
  <c r="P268" i="2" l="1"/>
  <c r="P267" i="2"/>
  <c r="S708" i="2"/>
  <c r="S716" i="2" s="1"/>
  <c r="P182" i="2"/>
  <c r="S694" i="2"/>
  <c r="S718" i="2" s="1"/>
  <c r="R81" i="2"/>
  <c r="Q265" i="2"/>
  <c r="Q266" i="2" s="1"/>
  <c r="Q91" i="2" s="1"/>
  <c r="S260" i="2"/>
  <c r="Q180" i="2"/>
  <c r="Q181" i="2" s="1"/>
  <c r="Q88" i="2" s="1"/>
  <c r="R720" i="2"/>
  <c r="R722" i="2" s="1"/>
  <c r="T661" i="2"/>
  <c r="T685" i="2" s="1"/>
  <c r="T693" i="2" s="1"/>
  <c r="T282" i="2"/>
  <c r="R176" i="2"/>
  <c r="R311" i="2"/>
  <c r="S709" i="2"/>
  <c r="S717" i="2" s="1"/>
  <c r="S675" i="2"/>
  <c r="S173" i="2" s="1"/>
  <c r="S288" i="2"/>
  <c r="S304" i="2" s="1"/>
  <c r="U662" i="2"/>
  <c r="U686" i="2" s="1"/>
  <c r="U283" i="2"/>
  <c r="R264" i="2"/>
  <c r="R177" i="2"/>
  <c r="R262" i="2"/>
  <c r="T659" i="2"/>
  <c r="T683" i="2" s="1"/>
  <c r="T691" i="2" s="1"/>
  <c r="T280" i="2"/>
  <c r="S707" i="2"/>
  <c r="S715" i="2" s="1"/>
  <c r="R178" i="2"/>
  <c r="R263" i="2"/>
  <c r="T676" i="2"/>
  <c r="T174" i="2" s="1"/>
  <c r="T289" i="2"/>
  <c r="T305" i="2" s="1"/>
  <c r="T679" i="2"/>
  <c r="T177" i="2" s="1"/>
  <c r="T292" i="2"/>
  <c r="T308" i="2" s="1"/>
  <c r="S674" i="2"/>
  <c r="S172" i="2" s="1"/>
  <c r="S287" i="2"/>
  <c r="S303" i="2" s="1"/>
  <c r="S678" i="2"/>
  <c r="S176" i="2" s="1"/>
  <c r="S291" i="2"/>
  <c r="S307" i="2" s="1"/>
  <c r="S676" i="2"/>
  <c r="S174" i="2" s="1"/>
  <c r="S289" i="2"/>
  <c r="S305" i="2" s="1"/>
  <c r="T662" i="2"/>
  <c r="T686" i="2" s="1"/>
  <c r="T694" i="2" s="1"/>
  <c r="T283" i="2"/>
  <c r="R175" i="2"/>
  <c r="T428" i="2" a="1"/>
  <c r="T428" i="2" s="1"/>
  <c r="T449" i="2"/>
  <c r="T669" i="2"/>
  <c r="U652" i="2"/>
  <c r="U668" i="2" s="1"/>
  <c r="U644" i="2"/>
  <c r="U425" i="2"/>
  <c r="U648" i="2"/>
  <c r="T667" i="2"/>
  <c r="U653" i="2"/>
  <c r="U645" i="2"/>
  <c r="U655" i="2"/>
  <c r="U647" i="2"/>
  <c r="T427" i="2"/>
  <c r="T74" i="2" s="1"/>
  <c r="T71" i="2" s="1"/>
  <c r="U759" i="2"/>
  <c r="T446" i="2"/>
  <c r="S453" i="2"/>
  <c r="U421" i="2"/>
  <c r="U440" i="2"/>
  <c r="U417" i="2"/>
  <c r="U449" i="2"/>
  <c r="U750" i="2"/>
  <c r="T670" i="2"/>
  <c r="V621" i="2"/>
  <c r="V629" i="2" s="1"/>
  <c r="V637" i="2" s="1"/>
  <c r="V745" i="2"/>
  <c r="V754" i="2" s="1"/>
  <c r="V624" i="2"/>
  <c r="V632" i="2" s="1"/>
  <c r="V640" i="2" s="1"/>
  <c r="V748" i="2"/>
  <c r="V757" i="2" s="1"/>
  <c r="U424" i="2"/>
  <c r="V625" i="2"/>
  <c r="V633" i="2" s="1"/>
  <c r="V641" i="2" s="1"/>
  <c r="V649" i="2" s="1"/>
  <c r="V749" i="2"/>
  <c r="V758" i="2" s="1"/>
  <c r="U656" i="2"/>
  <c r="U443" i="2"/>
  <c r="U416" i="2"/>
  <c r="U442" i="2"/>
  <c r="U414" i="2"/>
  <c r="U439" i="2"/>
  <c r="S690" i="2"/>
  <c r="S706" i="2"/>
  <c r="U422" i="2"/>
  <c r="V623" i="2"/>
  <c r="V631" i="2" s="1"/>
  <c r="V639" i="2" s="1"/>
  <c r="V747" i="2"/>
  <c r="V756" i="2" s="1"/>
  <c r="W622" i="2"/>
  <c r="W630" i="2" s="1"/>
  <c r="W638" i="2" s="1"/>
  <c r="W746" i="2"/>
  <c r="W755" i="2" s="1"/>
  <c r="U413" i="2"/>
  <c r="V620" i="2"/>
  <c r="V744" i="2"/>
  <c r="V753" i="2" s="1"/>
  <c r="V618" i="2"/>
  <c r="V626" i="2" s="1"/>
  <c r="V634" i="2" s="1"/>
  <c r="V742" i="2"/>
  <c r="V751" i="2" s="1"/>
  <c r="V622" i="2"/>
  <c r="V630" i="2" s="1"/>
  <c r="V638" i="2" s="1"/>
  <c r="V746" i="2"/>
  <c r="V755" i="2" s="1"/>
  <c r="W612" i="2"/>
  <c r="T448" i="2"/>
  <c r="W616" i="2"/>
  <c r="W613" i="2"/>
  <c r="W617" i="2"/>
  <c r="W610" i="2"/>
  <c r="W615" i="2"/>
  <c r="W611" i="2"/>
  <c r="Z277" i="2"/>
  <c r="Z740" i="2" s="1"/>
  <c r="Y791" i="2"/>
  <c r="Y301" i="2" s="1"/>
  <c r="Z275" i="2"/>
  <c r="Z738" i="2" s="1"/>
  <c r="Y789" i="2"/>
  <c r="Y299" i="2" s="1"/>
  <c r="Z272" i="2"/>
  <c r="Z735" i="2" s="1"/>
  <c r="Y786" i="2"/>
  <c r="Y296" i="2" s="1"/>
  <c r="Z276" i="2"/>
  <c r="Z739" i="2" s="1"/>
  <c r="Y790" i="2"/>
  <c r="Y300" i="2" s="1"/>
  <c r="Z273" i="2"/>
  <c r="Z736" i="2" s="1"/>
  <c r="Y787" i="2"/>
  <c r="Y297" i="2" s="1"/>
  <c r="Z271" i="2"/>
  <c r="Z734" i="2" s="1"/>
  <c r="Y785" i="2"/>
  <c r="Y295" i="2" s="1"/>
  <c r="Z278" i="2"/>
  <c r="Z741" i="2" s="1"/>
  <c r="Y792" i="2"/>
  <c r="Y302" i="2" s="1"/>
  <c r="Z274" i="2"/>
  <c r="Z737" i="2" s="1"/>
  <c r="Y788" i="2"/>
  <c r="Y298" i="2" s="1"/>
  <c r="X793" i="2"/>
  <c r="X610" i="2" s="1"/>
  <c r="S721" i="2"/>
  <c r="S720" i="2"/>
  <c r="T711" i="2"/>
  <c r="T695" i="2"/>
  <c r="U673" i="2"/>
  <c r="U294" i="2" s="1"/>
  <c r="U310" i="2" s="1"/>
  <c r="W442" i="2"/>
  <c r="T696" i="2"/>
  <c r="T712" i="2"/>
  <c r="S719" i="2"/>
  <c r="U670" i="2"/>
  <c r="T692" i="2"/>
  <c r="T708" i="2"/>
  <c r="W443" i="2"/>
  <c r="U706" i="2"/>
  <c r="U690" i="2"/>
  <c r="U667" i="2"/>
  <c r="U288" i="2" s="1"/>
  <c r="U304" i="2" s="1"/>
  <c r="T713" i="2"/>
  <c r="T697" i="2"/>
  <c r="T714" i="2"/>
  <c r="X437" i="2"/>
  <c r="V412" i="2"/>
  <c r="V420" i="2"/>
  <c r="V446" i="2" s="1"/>
  <c r="V421" i="2"/>
  <c r="V447" i="2" s="1"/>
  <c r="V413" i="2"/>
  <c r="X89" i="2"/>
  <c r="W61" i="2"/>
  <c r="W99" i="2"/>
  <c r="W105" i="2" s="1"/>
  <c r="W97" i="2"/>
  <c r="W103" i="2" s="1"/>
  <c r="W62" i="2"/>
  <c r="S81" i="2" l="1"/>
  <c r="Q268" i="2"/>
  <c r="U451" i="2"/>
  <c r="Q182" i="2"/>
  <c r="Q267" i="2"/>
  <c r="S257" i="2"/>
  <c r="R180" i="2"/>
  <c r="R181" i="2" s="1"/>
  <c r="R88" i="2" s="1"/>
  <c r="T709" i="2"/>
  <c r="T717" i="2" s="1"/>
  <c r="T262" i="2"/>
  <c r="R265" i="2"/>
  <c r="R266" i="2" s="1"/>
  <c r="R91" i="2" s="1"/>
  <c r="T259" i="2"/>
  <c r="T675" i="2"/>
  <c r="T173" i="2" s="1"/>
  <c r="T288" i="2"/>
  <c r="T304" i="2" s="1"/>
  <c r="U676" i="2"/>
  <c r="U174" i="2" s="1"/>
  <c r="U289" i="2"/>
  <c r="U305" i="2" s="1"/>
  <c r="S258" i="2"/>
  <c r="U678" i="2"/>
  <c r="U176" i="2" s="1"/>
  <c r="U291" i="2"/>
  <c r="U307" i="2" s="1"/>
  <c r="U664" i="2"/>
  <c r="U688" i="2" s="1"/>
  <c r="U696" i="2" s="1"/>
  <c r="U285" i="2"/>
  <c r="U660" i="2"/>
  <c r="U684" i="2" s="1"/>
  <c r="U692" i="2" s="1"/>
  <c r="U281" i="2"/>
  <c r="T677" i="2"/>
  <c r="T290" i="2"/>
  <c r="T306" i="2" s="1"/>
  <c r="S311" i="2"/>
  <c r="U661" i="2"/>
  <c r="U685" i="2" s="1"/>
  <c r="U693" i="2" s="1"/>
  <c r="U282" i="2"/>
  <c r="S259" i="2"/>
  <c r="T678" i="2"/>
  <c r="T261" i="2" s="1"/>
  <c r="T291" i="2"/>
  <c r="T307" i="2" s="1"/>
  <c r="U669" i="2"/>
  <c r="T710" i="2"/>
  <c r="T718" i="2" s="1"/>
  <c r="T707" i="2"/>
  <c r="T715" i="2" s="1"/>
  <c r="U663" i="2"/>
  <c r="U687" i="2" s="1"/>
  <c r="U695" i="2" s="1"/>
  <c r="U284" i="2"/>
  <c r="S261" i="2"/>
  <c r="U428" i="2" a="1"/>
  <c r="U428" i="2" s="1"/>
  <c r="V653" i="2"/>
  <c r="V669" i="2" s="1"/>
  <c r="V645" i="2"/>
  <c r="V411" i="2"/>
  <c r="V642" i="2"/>
  <c r="V655" i="2"/>
  <c r="V647" i="2"/>
  <c r="W654" i="2"/>
  <c r="W646" i="2"/>
  <c r="U671" i="2"/>
  <c r="V417" i="2"/>
  <c r="V648" i="2"/>
  <c r="V654" i="2"/>
  <c r="V646" i="2"/>
  <c r="U427" i="2"/>
  <c r="U74" i="2" s="1"/>
  <c r="U71" i="2" s="1"/>
  <c r="U447" i="2"/>
  <c r="S180" i="2"/>
  <c r="S181" i="2" s="1"/>
  <c r="S88" i="2" s="1"/>
  <c r="T81" i="2"/>
  <c r="V437" i="2"/>
  <c r="V650" i="2"/>
  <c r="T453" i="2"/>
  <c r="U448" i="2"/>
  <c r="X617" i="2"/>
  <c r="X625" i="2" s="1"/>
  <c r="V419" i="2"/>
  <c r="U450" i="2"/>
  <c r="V759" i="2"/>
  <c r="V415" i="2"/>
  <c r="V440" i="2"/>
  <c r="V416" i="2"/>
  <c r="V442" i="2"/>
  <c r="V423" i="2"/>
  <c r="V424" i="2"/>
  <c r="V441" i="2"/>
  <c r="V425" i="2"/>
  <c r="V422" i="2"/>
  <c r="V414" i="2"/>
  <c r="V657" i="2"/>
  <c r="V444" i="2"/>
  <c r="V656" i="2"/>
  <c r="V443" i="2"/>
  <c r="V426" i="2"/>
  <c r="W623" i="2"/>
  <c r="W747" i="2"/>
  <c r="W756" i="2" s="1"/>
  <c r="W619" i="2"/>
  <c r="W627" i="2" s="1"/>
  <c r="W635" i="2" s="1"/>
  <c r="W743" i="2"/>
  <c r="W752" i="2" s="1"/>
  <c r="S714" i="2"/>
  <c r="S722" i="2" s="1"/>
  <c r="V418" i="2"/>
  <c r="W618" i="2"/>
  <c r="W626" i="2" s="1"/>
  <c r="W634" i="2" s="1"/>
  <c r="W742" i="2"/>
  <c r="W751" i="2" s="1"/>
  <c r="V750" i="2"/>
  <c r="X618" i="2"/>
  <c r="X742" i="2"/>
  <c r="X751" i="2" s="1"/>
  <c r="W625" i="2"/>
  <c r="W633" i="2" s="1"/>
  <c r="W641" i="2" s="1"/>
  <c r="W749" i="2"/>
  <c r="W758" i="2" s="1"/>
  <c r="U672" i="2"/>
  <c r="W621" i="2"/>
  <c r="W629" i="2" s="1"/>
  <c r="W637" i="2" s="1"/>
  <c r="W745" i="2"/>
  <c r="W754" i="2" s="1"/>
  <c r="W441" i="2"/>
  <c r="W620" i="2"/>
  <c r="W628" i="2" s="1"/>
  <c r="W636" i="2" s="1"/>
  <c r="W744" i="2"/>
  <c r="W753" i="2" s="1"/>
  <c r="W624" i="2"/>
  <c r="W748" i="2"/>
  <c r="W757" i="2" s="1"/>
  <c r="AA276" i="2"/>
  <c r="AA739" i="2" s="1"/>
  <c r="Z790" i="2"/>
  <c r="Z300" i="2" s="1"/>
  <c r="X613" i="2"/>
  <c r="X612" i="2"/>
  <c r="X611" i="2"/>
  <c r="AA273" i="2"/>
  <c r="AA736" i="2" s="1"/>
  <c r="Z787" i="2"/>
  <c r="Z297" i="2" s="1"/>
  <c r="AA272" i="2"/>
  <c r="AA735" i="2" s="1"/>
  <c r="Z786" i="2"/>
  <c r="Z296" i="2" s="1"/>
  <c r="AA278" i="2"/>
  <c r="AA741" i="2" s="1"/>
  <c r="Z792" i="2"/>
  <c r="Z302" i="2" s="1"/>
  <c r="AA275" i="2"/>
  <c r="AA738" i="2" s="1"/>
  <c r="Z789" i="2"/>
  <c r="Z299" i="2" s="1"/>
  <c r="X616" i="2"/>
  <c r="X614" i="2"/>
  <c r="X615" i="2"/>
  <c r="AA274" i="2"/>
  <c r="AA737" i="2" s="1"/>
  <c r="Z788" i="2"/>
  <c r="Z298" i="2" s="1"/>
  <c r="Y793" i="2"/>
  <c r="Y614" i="2" s="1"/>
  <c r="AA271" i="2"/>
  <c r="AA734" i="2" s="1"/>
  <c r="Z785" i="2"/>
  <c r="Z295" i="2" s="1"/>
  <c r="AA277" i="2"/>
  <c r="AA740" i="2" s="1"/>
  <c r="Z791" i="2"/>
  <c r="Z301" i="2" s="1"/>
  <c r="Z733" i="2"/>
  <c r="T719" i="2"/>
  <c r="T721" i="2"/>
  <c r="T716" i="2"/>
  <c r="Y89" i="2"/>
  <c r="X97" i="2"/>
  <c r="X103" i="2" s="1"/>
  <c r="X61" i="2"/>
  <c r="X411" i="2"/>
  <c r="X419" i="2"/>
  <c r="X444" i="2"/>
  <c r="Y437" i="2"/>
  <c r="V668" i="2"/>
  <c r="V289" i="2" s="1"/>
  <c r="V305" i="2" s="1"/>
  <c r="U707" i="2"/>
  <c r="U691" i="2"/>
  <c r="W415" i="2"/>
  <c r="W423" i="2"/>
  <c r="U710" i="2"/>
  <c r="U694" i="2"/>
  <c r="U714" i="2"/>
  <c r="X443" i="2"/>
  <c r="T720" i="2"/>
  <c r="W424" i="2"/>
  <c r="W450" i="2" s="1"/>
  <c r="W416" i="2"/>
  <c r="D929" i="2"/>
  <c r="C898" i="2"/>
  <c r="W417" i="2"/>
  <c r="W425" i="2"/>
  <c r="W451" i="2" s="1"/>
  <c r="U713" i="2"/>
  <c r="U697" i="2"/>
  <c r="V667" i="2"/>
  <c r="V288" i="2" s="1"/>
  <c r="V304" i="2" s="1"/>
  <c r="R182" i="2" l="1"/>
  <c r="R267" i="2"/>
  <c r="R268" i="2"/>
  <c r="S265" i="2"/>
  <c r="S266" i="2" s="1"/>
  <c r="S91" i="2" s="1"/>
  <c r="T258" i="2"/>
  <c r="U711" i="2"/>
  <c r="U719" i="2" s="1"/>
  <c r="U709" i="2"/>
  <c r="U717" i="2" s="1"/>
  <c r="U259" i="2"/>
  <c r="T176" i="2"/>
  <c r="T260" i="2"/>
  <c r="T175" i="2"/>
  <c r="V677" i="2"/>
  <c r="V175" i="2" s="1"/>
  <c r="V290" i="2"/>
  <c r="V306" i="2" s="1"/>
  <c r="U677" i="2"/>
  <c r="U290" i="2"/>
  <c r="U306" i="2" s="1"/>
  <c r="U712" i="2"/>
  <c r="U720" i="2" s="1"/>
  <c r="U708" i="2"/>
  <c r="U716" i="2" s="1"/>
  <c r="U261" i="2"/>
  <c r="V658" i="2"/>
  <c r="V682" i="2" s="1"/>
  <c r="V690" i="2" s="1"/>
  <c r="V279" i="2"/>
  <c r="V661" i="2"/>
  <c r="V685" i="2" s="1"/>
  <c r="V709" i="2" s="1"/>
  <c r="V282" i="2"/>
  <c r="V664" i="2"/>
  <c r="V688" i="2" s="1"/>
  <c r="V712" i="2" s="1"/>
  <c r="V285" i="2"/>
  <c r="T311" i="2"/>
  <c r="W662" i="2"/>
  <c r="W686" i="2" s="1"/>
  <c r="W283" i="2"/>
  <c r="V663" i="2"/>
  <c r="V687" i="2" s="1"/>
  <c r="V711" i="2" s="1"/>
  <c r="V284" i="2"/>
  <c r="U680" i="2"/>
  <c r="U178" i="2" s="1"/>
  <c r="U293" i="2"/>
  <c r="U309" i="2" s="1"/>
  <c r="V662" i="2"/>
  <c r="V686" i="2" s="1"/>
  <c r="V694" i="2" s="1"/>
  <c r="V283" i="2"/>
  <c r="V665" i="2"/>
  <c r="V689" i="2" s="1"/>
  <c r="V713" i="2" s="1"/>
  <c r="V286" i="2"/>
  <c r="U679" i="2"/>
  <c r="U177" i="2" s="1"/>
  <c r="U292" i="2"/>
  <c r="U308" i="2" s="1"/>
  <c r="V428" i="2" a="1"/>
  <c r="V428" i="2" s="1"/>
  <c r="V671" i="2"/>
  <c r="V670" i="2"/>
  <c r="W651" i="2"/>
  <c r="W643" i="2"/>
  <c r="W657" i="2"/>
  <c r="W673" i="2" s="1"/>
  <c r="W649" i="2"/>
  <c r="W421" i="2"/>
  <c r="W644" i="2"/>
  <c r="W422" i="2"/>
  <c r="W645" i="2"/>
  <c r="W437" i="2"/>
  <c r="W642" i="2"/>
  <c r="S182" i="2"/>
  <c r="X445" i="2"/>
  <c r="V445" i="2"/>
  <c r="V427" i="2"/>
  <c r="V74" i="2" s="1"/>
  <c r="V71" i="2" s="1"/>
  <c r="U81" i="2"/>
  <c r="U453" i="2"/>
  <c r="V666" i="2"/>
  <c r="V450" i="2"/>
  <c r="W413" i="2"/>
  <c r="X749" i="2"/>
  <c r="X758" i="2" s="1"/>
  <c r="W449" i="2"/>
  <c r="V449" i="2"/>
  <c r="W444" i="2"/>
  <c r="V448" i="2"/>
  <c r="W759" i="2"/>
  <c r="W414" i="2"/>
  <c r="V673" i="2"/>
  <c r="W438" i="2"/>
  <c r="V452" i="2"/>
  <c r="W420" i="2"/>
  <c r="W412" i="2"/>
  <c r="V451" i="2"/>
  <c r="Y622" i="2"/>
  <c r="Y630" i="2" s="1"/>
  <c r="Y638" i="2" s="1"/>
  <c r="Y746" i="2"/>
  <c r="Y755" i="2" s="1"/>
  <c r="W750" i="2"/>
  <c r="X620" i="2"/>
  <c r="X628" i="2" s="1"/>
  <c r="X636" i="2" s="1"/>
  <c r="X744" i="2"/>
  <c r="X753" i="2" s="1"/>
  <c r="X622" i="2"/>
  <c r="X630" i="2" s="1"/>
  <c r="X638" i="2" s="1"/>
  <c r="X746" i="2"/>
  <c r="X755" i="2" s="1"/>
  <c r="X624" i="2"/>
  <c r="X748" i="2"/>
  <c r="X757" i="2" s="1"/>
  <c r="V672" i="2"/>
  <c r="W653" i="2"/>
  <c r="W440" i="2"/>
  <c r="W426" i="2"/>
  <c r="X619" i="2"/>
  <c r="X627" i="2" s="1"/>
  <c r="X635" i="2" s="1"/>
  <c r="X743" i="2"/>
  <c r="X752" i="2" s="1"/>
  <c r="W418" i="2"/>
  <c r="X623" i="2"/>
  <c r="X631" i="2" s="1"/>
  <c r="X639" i="2" s="1"/>
  <c r="X747" i="2"/>
  <c r="X756" i="2" s="1"/>
  <c r="W652" i="2"/>
  <c r="W439" i="2"/>
  <c r="W411" i="2"/>
  <c r="W419" i="2"/>
  <c r="X621" i="2"/>
  <c r="X629" i="2" s="1"/>
  <c r="X637" i="2" s="1"/>
  <c r="X645" i="2" s="1"/>
  <c r="X745" i="2"/>
  <c r="X754" i="2" s="1"/>
  <c r="W650" i="2"/>
  <c r="W279" i="2" s="1"/>
  <c r="AB272" i="2"/>
  <c r="AB735" i="2" s="1"/>
  <c r="AA786" i="2"/>
  <c r="AA296" i="2" s="1"/>
  <c r="Y610" i="2"/>
  <c r="AB278" i="2"/>
  <c r="AB741" i="2" s="1"/>
  <c r="AA792" i="2"/>
  <c r="AA302" i="2" s="1"/>
  <c r="Y615" i="2"/>
  <c r="AB273" i="2"/>
  <c r="AB736" i="2" s="1"/>
  <c r="AA787" i="2"/>
  <c r="AA297" i="2" s="1"/>
  <c r="Y617" i="2"/>
  <c r="Y613" i="2"/>
  <c r="AB277" i="2"/>
  <c r="AB740" i="2" s="1"/>
  <c r="AA791" i="2"/>
  <c r="AA301" i="2" s="1"/>
  <c r="Y611" i="2"/>
  <c r="AB274" i="2"/>
  <c r="AB737" i="2" s="1"/>
  <c r="AA788" i="2"/>
  <c r="AA298" i="2" s="1"/>
  <c r="Y612" i="2"/>
  <c r="Y616" i="2"/>
  <c r="Z793" i="2"/>
  <c r="Z610" i="2" s="1"/>
  <c r="AB275" i="2"/>
  <c r="AB738" i="2" s="1"/>
  <c r="AA789" i="2"/>
  <c r="AA299" i="2" s="1"/>
  <c r="AB271" i="2"/>
  <c r="AB734" i="2" s="1"/>
  <c r="AA785" i="2"/>
  <c r="AA295" i="2" s="1"/>
  <c r="AB276" i="2"/>
  <c r="AB739" i="2" s="1"/>
  <c r="AA790" i="2"/>
  <c r="AA300" i="2" s="1"/>
  <c r="AA733" i="2"/>
  <c r="U718" i="2"/>
  <c r="U715" i="2"/>
  <c r="T722" i="2"/>
  <c r="V691" i="2"/>
  <c r="V707" i="2"/>
  <c r="V708" i="2"/>
  <c r="V692" i="2"/>
  <c r="X666" i="2"/>
  <c r="X287" i="2" s="1"/>
  <c r="X303" i="2" s="1"/>
  <c r="Z89" i="2"/>
  <c r="Y61" i="2"/>
  <c r="Y97" i="2"/>
  <c r="Y103" i="2" s="1"/>
  <c r="U721" i="2"/>
  <c r="Y438" i="2"/>
  <c r="W671" i="2"/>
  <c r="W292" i="2" s="1"/>
  <c r="W308" i="2" s="1"/>
  <c r="Y411" i="2"/>
  <c r="Y419" i="2"/>
  <c r="Z437" i="2"/>
  <c r="W672" i="2"/>
  <c r="W293" i="2" s="1"/>
  <c r="W309" i="2" s="1"/>
  <c r="X417" i="2"/>
  <c r="X425" i="2"/>
  <c r="X451" i="2" s="1"/>
  <c r="W670" i="2"/>
  <c r="Y444" i="2"/>
  <c r="X426" i="2"/>
  <c r="X452" i="2" s="1"/>
  <c r="X418" i="2"/>
  <c r="T265" i="2" l="1"/>
  <c r="T266" i="2" s="1"/>
  <c r="T91" i="2" s="1"/>
  <c r="T180" i="2"/>
  <c r="T181" i="2" s="1"/>
  <c r="T88" i="2" s="1"/>
  <c r="S267" i="2"/>
  <c r="S268" i="2"/>
  <c r="V697" i="2"/>
  <c r="V721" i="2" s="1"/>
  <c r="V693" i="2"/>
  <c r="V717" i="2" s="1"/>
  <c r="U311" i="2"/>
  <c r="V260" i="2"/>
  <c r="V696" i="2"/>
  <c r="V720" i="2" s="1"/>
  <c r="V710" i="2"/>
  <c r="V718" i="2" s="1"/>
  <c r="U262" i="2"/>
  <c r="U263" i="2"/>
  <c r="V695" i="2"/>
  <c r="V681" i="2"/>
  <c r="V179" i="2" s="1"/>
  <c r="V294" i="2"/>
  <c r="V310" i="2" s="1"/>
  <c r="W661" i="2"/>
  <c r="W685" i="2" s="1"/>
  <c r="W709" i="2" s="1"/>
  <c r="W282" i="2"/>
  <c r="V680" i="2"/>
  <c r="V178" i="2" s="1"/>
  <c r="V293" i="2"/>
  <c r="V309" i="2" s="1"/>
  <c r="W660" i="2"/>
  <c r="W684" i="2" s="1"/>
  <c r="W692" i="2" s="1"/>
  <c r="W281" i="2"/>
  <c r="W659" i="2"/>
  <c r="W683" i="2" s="1"/>
  <c r="W707" i="2" s="1"/>
  <c r="W280" i="2"/>
  <c r="V679" i="2"/>
  <c r="V292" i="2"/>
  <c r="V308" i="2" s="1"/>
  <c r="W665" i="2"/>
  <c r="W689" i="2" s="1"/>
  <c r="W697" i="2" s="1"/>
  <c r="W286" i="2"/>
  <c r="V678" i="2"/>
  <c r="V261" i="2" s="1"/>
  <c r="V291" i="2"/>
  <c r="V307" i="2" s="1"/>
  <c r="V706" i="2"/>
  <c r="V714" i="2" s="1"/>
  <c r="W678" i="2"/>
  <c r="W176" i="2" s="1"/>
  <c r="W291" i="2"/>
  <c r="W307" i="2" s="1"/>
  <c r="U175" i="2"/>
  <c r="U180" i="2" s="1"/>
  <c r="U181" i="2" s="1"/>
  <c r="U260" i="2"/>
  <c r="W667" i="2"/>
  <c r="W681" i="2"/>
  <c r="W179" i="2" s="1"/>
  <c r="W294" i="2"/>
  <c r="W310" i="2" s="1"/>
  <c r="V674" i="2"/>
  <c r="V257" i="2" s="1"/>
  <c r="V287" i="2"/>
  <c r="V303" i="2" s="1"/>
  <c r="W448" i="2"/>
  <c r="W428" i="2" a="1"/>
  <c r="W428" i="2" s="1"/>
  <c r="W447" i="2"/>
  <c r="Y654" i="2"/>
  <c r="Y646" i="2"/>
  <c r="X654" i="2"/>
  <c r="X646" i="2"/>
  <c r="X655" i="2"/>
  <c r="X647" i="2"/>
  <c r="X651" i="2"/>
  <c r="X643" i="2"/>
  <c r="X652" i="2"/>
  <c r="X644" i="2"/>
  <c r="Y445" i="2"/>
  <c r="W445" i="2"/>
  <c r="W427" i="2"/>
  <c r="W74" i="2" s="1"/>
  <c r="W71" i="2" s="1"/>
  <c r="X416" i="2"/>
  <c r="X421" i="2"/>
  <c r="X413" i="2"/>
  <c r="V453" i="2"/>
  <c r="W452" i="2"/>
  <c r="W446" i="2"/>
  <c r="X759" i="2"/>
  <c r="X420" i="2"/>
  <c r="X412" i="2"/>
  <c r="W669" i="2"/>
  <c r="Y441" i="2"/>
  <c r="X750" i="2"/>
  <c r="X439" i="2"/>
  <c r="X424" i="2"/>
  <c r="X441" i="2"/>
  <c r="W668" i="2"/>
  <c r="X442" i="2"/>
  <c r="W658" i="2"/>
  <c r="W682" i="2" s="1"/>
  <c r="W666" i="2"/>
  <c r="Y625" i="2"/>
  <c r="Y749" i="2"/>
  <c r="Y758" i="2" s="1"/>
  <c r="Z618" i="2"/>
  <c r="Z742" i="2"/>
  <c r="Z751" i="2" s="1"/>
  <c r="X653" i="2"/>
  <c r="X440" i="2"/>
  <c r="X415" i="2"/>
  <c r="X414" i="2"/>
  <c r="Y624" i="2"/>
  <c r="Y632" i="2" s="1"/>
  <c r="Y640" i="2" s="1"/>
  <c r="Y748" i="2"/>
  <c r="Y757" i="2" s="1"/>
  <c r="X423" i="2"/>
  <c r="X422" i="2"/>
  <c r="X438" i="2"/>
  <c r="Y623" i="2"/>
  <c r="Y631" i="2" s="1"/>
  <c r="Y639" i="2" s="1"/>
  <c r="Y747" i="2"/>
  <c r="Y756" i="2" s="1"/>
  <c r="Y618" i="2"/>
  <c r="Y742" i="2"/>
  <c r="Y751" i="2" s="1"/>
  <c r="Y619" i="2"/>
  <c r="Y743" i="2"/>
  <c r="Y752" i="2" s="1"/>
  <c r="Y621" i="2"/>
  <c r="Y629" i="2" s="1"/>
  <c r="Y637" i="2" s="1"/>
  <c r="Y745" i="2"/>
  <c r="Y754" i="2" s="1"/>
  <c r="Y620" i="2"/>
  <c r="Y628" i="2" s="1"/>
  <c r="Y636" i="2" s="1"/>
  <c r="Y744" i="2"/>
  <c r="Y753" i="2" s="1"/>
  <c r="Z614" i="2"/>
  <c r="Z617" i="2"/>
  <c r="Z616" i="2"/>
  <c r="Z612" i="2"/>
  <c r="AC273" i="2"/>
  <c r="AC736" i="2" s="1"/>
  <c r="AB787" i="2"/>
  <c r="AB297" i="2" s="1"/>
  <c r="AA793" i="2"/>
  <c r="AA612" i="2" s="1"/>
  <c r="AC277" i="2"/>
  <c r="AC740" i="2" s="1"/>
  <c r="AB791" i="2"/>
  <c r="AB301" i="2" s="1"/>
  <c r="AC272" i="2"/>
  <c r="AC735" i="2" s="1"/>
  <c r="AB786" i="2"/>
  <c r="AB296" i="2" s="1"/>
  <c r="AC271" i="2"/>
  <c r="AC734" i="2" s="1"/>
  <c r="AB785" i="2"/>
  <c r="AB295" i="2" s="1"/>
  <c r="Z613" i="2"/>
  <c r="Z615" i="2"/>
  <c r="AC278" i="2"/>
  <c r="AC741" i="2" s="1"/>
  <c r="AB792" i="2"/>
  <c r="AB302" i="2" s="1"/>
  <c r="AC276" i="2"/>
  <c r="AC739" i="2" s="1"/>
  <c r="AB790" i="2"/>
  <c r="AB300" i="2" s="1"/>
  <c r="AC274" i="2"/>
  <c r="AC737" i="2" s="1"/>
  <c r="AB788" i="2"/>
  <c r="AB298" i="2" s="1"/>
  <c r="Z611" i="2"/>
  <c r="AC275" i="2"/>
  <c r="AC738" i="2" s="1"/>
  <c r="AB789" i="2"/>
  <c r="AB299" i="2" s="1"/>
  <c r="AB733" i="2"/>
  <c r="V716" i="2"/>
  <c r="U722" i="2"/>
  <c r="W710" i="2"/>
  <c r="W694" i="2"/>
  <c r="Y666" i="2"/>
  <c r="Y287" i="2" s="1"/>
  <c r="Y303" i="2" s="1"/>
  <c r="V715" i="2"/>
  <c r="X673" i="2"/>
  <c r="X294" i="2" s="1"/>
  <c r="X310" i="2" s="1"/>
  <c r="Z438" i="2"/>
  <c r="Z419" i="2"/>
  <c r="Z411" i="2"/>
  <c r="X690" i="2"/>
  <c r="X706" i="2"/>
  <c r="Y418" i="2"/>
  <c r="Y426" i="2"/>
  <c r="Y452" i="2" s="1"/>
  <c r="AA89" i="2"/>
  <c r="Z97" i="2"/>
  <c r="Z103" i="2" s="1"/>
  <c r="Z61" i="2"/>
  <c r="Y420" i="2"/>
  <c r="Y446" i="2" s="1"/>
  <c r="Y412" i="2"/>
  <c r="X672" i="2"/>
  <c r="X293" i="2" s="1"/>
  <c r="X309" i="2" s="1"/>
  <c r="W696" i="2"/>
  <c r="W712" i="2"/>
  <c r="Y415" i="2"/>
  <c r="Y423" i="2"/>
  <c r="Z439" i="2"/>
  <c r="W711" i="2"/>
  <c r="W695" i="2"/>
  <c r="T268" i="2" l="1"/>
  <c r="V176" i="2"/>
  <c r="U265" i="2"/>
  <c r="U266" i="2" s="1"/>
  <c r="U91" i="2" s="1"/>
  <c r="T267" i="2"/>
  <c r="T182" i="2"/>
  <c r="V81" i="2"/>
  <c r="V719" i="2"/>
  <c r="V722" i="2" s="1"/>
  <c r="W264" i="2"/>
  <c r="W691" i="2"/>
  <c r="W715" i="2" s="1"/>
  <c r="V264" i="2"/>
  <c r="V172" i="2"/>
  <c r="U88" i="2"/>
  <c r="U182" i="2"/>
  <c r="V263" i="2"/>
  <c r="W676" i="2"/>
  <c r="W259" i="2" s="1"/>
  <c r="W289" i="2"/>
  <c r="W305" i="2" s="1"/>
  <c r="X659" i="2"/>
  <c r="X683" i="2" s="1"/>
  <c r="X691" i="2" s="1"/>
  <c r="X280" i="2"/>
  <c r="W708" i="2"/>
  <c r="W716" i="2" s="1"/>
  <c r="X663" i="2"/>
  <c r="X687" i="2" s="1"/>
  <c r="X695" i="2" s="1"/>
  <c r="X284" i="2"/>
  <c r="X661" i="2"/>
  <c r="X685" i="2" s="1"/>
  <c r="X693" i="2" s="1"/>
  <c r="X282" i="2"/>
  <c r="W261" i="2"/>
  <c r="X662" i="2"/>
  <c r="X686" i="2" s="1"/>
  <c r="X710" i="2" s="1"/>
  <c r="X283" i="2"/>
  <c r="W674" i="2"/>
  <c r="W257" i="2" s="1"/>
  <c r="W287" i="2"/>
  <c r="W303" i="2" s="1"/>
  <c r="X660" i="2"/>
  <c r="X684" i="2" s="1"/>
  <c r="X708" i="2" s="1"/>
  <c r="X281" i="2"/>
  <c r="V311" i="2"/>
  <c r="W713" i="2"/>
  <c r="W721" i="2" s="1"/>
  <c r="V177" i="2"/>
  <c r="V262" i="2"/>
  <c r="W675" i="2"/>
  <c r="W288" i="2"/>
  <c r="W304" i="2" s="1"/>
  <c r="W693" i="2"/>
  <c r="W717" i="2" s="1"/>
  <c r="W677" i="2"/>
  <c r="W175" i="2" s="1"/>
  <c r="W290" i="2"/>
  <c r="W306" i="2" s="1"/>
  <c r="Y662" i="2"/>
  <c r="Y686" i="2" s="1"/>
  <c r="Y283" i="2"/>
  <c r="X428" i="2" a="1"/>
  <c r="X428" i="2" s="1"/>
  <c r="W453" i="2"/>
  <c r="X668" i="2"/>
  <c r="X670" i="2"/>
  <c r="X671" i="2"/>
  <c r="Y652" i="2"/>
  <c r="Y668" i="2" s="1"/>
  <c r="Y644" i="2"/>
  <c r="Y653" i="2"/>
  <c r="Y645" i="2"/>
  <c r="X667" i="2"/>
  <c r="Y656" i="2"/>
  <c r="Y648" i="2"/>
  <c r="Y655" i="2"/>
  <c r="Y647" i="2"/>
  <c r="X427" i="2"/>
  <c r="X74" i="2" s="1"/>
  <c r="X71" i="2" s="1"/>
  <c r="Z445" i="2"/>
  <c r="Y416" i="2"/>
  <c r="Y442" i="2"/>
  <c r="X447" i="2"/>
  <c r="X446" i="2"/>
  <c r="Y449" i="2"/>
  <c r="Y759" i="2"/>
  <c r="Y439" i="2"/>
  <c r="X450" i="2"/>
  <c r="X449" i="2"/>
  <c r="Y421" i="2"/>
  <c r="Y413" i="2"/>
  <c r="Y440" i="2"/>
  <c r="Y425" i="2"/>
  <c r="Y750" i="2"/>
  <c r="Y422" i="2"/>
  <c r="Y443" i="2"/>
  <c r="Y414" i="2"/>
  <c r="AA620" i="2"/>
  <c r="AA628" i="2" s="1"/>
  <c r="AA636" i="2" s="1"/>
  <c r="AA744" i="2"/>
  <c r="AA753" i="2" s="1"/>
  <c r="Z625" i="2"/>
  <c r="Z633" i="2" s="1"/>
  <c r="Z641" i="2" s="1"/>
  <c r="Z749" i="2"/>
  <c r="Z758" i="2" s="1"/>
  <c r="X448" i="2"/>
  <c r="W706" i="2"/>
  <c r="W690" i="2"/>
  <c r="Z623" i="2"/>
  <c r="Z631" i="2" s="1"/>
  <c r="Z639" i="2" s="1"/>
  <c r="Z747" i="2"/>
  <c r="Z756" i="2" s="1"/>
  <c r="X669" i="2"/>
  <c r="Y417" i="2"/>
  <c r="Z624" i="2"/>
  <c r="Z632" i="2" s="1"/>
  <c r="Z640" i="2" s="1"/>
  <c r="Z748" i="2"/>
  <c r="Z757" i="2" s="1"/>
  <c r="Z619" i="2"/>
  <c r="Z743" i="2"/>
  <c r="Z752" i="2" s="1"/>
  <c r="Z622" i="2"/>
  <c r="Z630" i="2" s="1"/>
  <c r="Z638" i="2" s="1"/>
  <c r="Z746" i="2"/>
  <c r="Z755" i="2" s="1"/>
  <c r="Y424" i="2"/>
  <c r="Z621" i="2"/>
  <c r="Z629" i="2" s="1"/>
  <c r="Z637" i="2" s="1"/>
  <c r="Z745" i="2"/>
  <c r="Z754" i="2" s="1"/>
  <c r="Z620" i="2"/>
  <c r="Z744" i="2"/>
  <c r="Z753" i="2" s="1"/>
  <c r="AA611" i="2"/>
  <c r="AA616" i="2"/>
  <c r="AA615" i="2"/>
  <c r="AA610" i="2"/>
  <c r="AA617" i="2"/>
  <c r="AA613" i="2"/>
  <c r="AA614" i="2"/>
  <c r="AD277" i="2"/>
  <c r="AD740" i="2" s="1"/>
  <c r="AC791" i="2"/>
  <c r="AC301" i="2" s="1"/>
  <c r="AD271" i="2"/>
  <c r="AD734" i="2" s="1"/>
  <c r="AC785" i="2"/>
  <c r="AC295" i="2" s="1"/>
  <c r="AD274" i="2"/>
  <c r="AD737" i="2" s="1"/>
  <c r="AC788" i="2"/>
  <c r="AC298" i="2" s="1"/>
  <c r="AD272" i="2"/>
  <c r="AD735" i="2" s="1"/>
  <c r="AC786" i="2"/>
  <c r="AC296" i="2" s="1"/>
  <c r="AD278" i="2"/>
  <c r="AD741" i="2" s="1"/>
  <c r="AC792" i="2"/>
  <c r="AC302" i="2" s="1"/>
  <c r="AD275" i="2"/>
  <c r="AD738" i="2" s="1"/>
  <c r="AC789" i="2"/>
  <c r="AC299" i="2" s="1"/>
  <c r="AD276" i="2"/>
  <c r="AD739" i="2" s="1"/>
  <c r="AC790" i="2"/>
  <c r="AC300" i="2" s="1"/>
  <c r="AB793" i="2"/>
  <c r="AB615" i="2" s="1"/>
  <c r="AD273" i="2"/>
  <c r="AD736" i="2" s="1"/>
  <c r="AC787" i="2"/>
  <c r="AC297" i="2" s="1"/>
  <c r="AC733" i="2"/>
  <c r="W718" i="2"/>
  <c r="AA97" i="2"/>
  <c r="AA103" i="2" s="1"/>
  <c r="AA61" i="2"/>
  <c r="AB89" i="2"/>
  <c r="AA99" i="2"/>
  <c r="AA105" i="2" s="1"/>
  <c r="AA62" i="2"/>
  <c r="C899" i="2" s="1"/>
  <c r="AA443" i="2"/>
  <c r="Y690" i="2"/>
  <c r="Y706" i="2"/>
  <c r="X714" i="2"/>
  <c r="W719" i="2"/>
  <c r="Z420" i="2"/>
  <c r="Z446" i="2" s="1"/>
  <c r="Z412" i="2"/>
  <c r="Y670" i="2"/>
  <c r="Z666" i="2"/>
  <c r="Z287" i="2" s="1"/>
  <c r="Z303" i="2" s="1"/>
  <c r="Z413" i="2"/>
  <c r="Z421" i="2"/>
  <c r="Z447" i="2" s="1"/>
  <c r="X713" i="2"/>
  <c r="X697" i="2"/>
  <c r="AA442" i="2"/>
  <c r="AA444" i="2"/>
  <c r="W720" i="2"/>
  <c r="Y667" i="2"/>
  <c r="Y288" i="2" s="1"/>
  <c r="Y304" i="2" s="1"/>
  <c r="AB437" i="2"/>
  <c r="Y673" i="2"/>
  <c r="Y294" i="2" s="1"/>
  <c r="Y310" i="2" s="1"/>
  <c r="X712" i="2"/>
  <c r="X696" i="2"/>
  <c r="U268" i="2" l="1"/>
  <c r="U267" i="2"/>
  <c r="X694" i="2"/>
  <c r="X718" i="2" s="1"/>
  <c r="X709" i="2"/>
  <c r="X717" i="2" s="1"/>
  <c r="W311" i="2"/>
  <c r="X707" i="2"/>
  <c r="X715" i="2" s="1"/>
  <c r="W81" i="2"/>
  <c r="V265" i="2"/>
  <c r="V266" i="2" s="1"/>
  <c r="V91" i="2" s="1"/>
  <c r="W174" i="2"/>
  <c r="W260" i="2"/>
  <c r="X711" i="2"/>
  <c r="X719" i="2" s="1"/>
  <c r="V180" i="2"/>
  <c r="V181" i="2" s="1"/>
  <c r="V88" i="2" s="1"/>
  <c r="X675" i="2"/>
  <c r="X258" i="2" s="1"/>
  <c r="X288" i="2"/>
  <c r="X304" i="2" s="1"/>
  <c r="W172" i="2"/>
  <c r="W258" i="2"/>
  <c r="W173" i="2"/>
  <c r="Y676" i="2"/>
  <c r="Y259" i="2" s="1"/>
  <c r="Y289" i="2"/>
  <c r="Y305" i="2" s="1"/>
  <c r="X678" i="2"/>
  <c r="X176" i="2" s="1"/>
  <c r="X291" i="2"/>
  <c r="X307" i="2" s="1"/>
  <c r="X676" i="2"/>
  <c r="X289" i="2"/>
  <c r="X305" i="2" s="1"/>
  <c r="Y663" i="2"/>
  <c r="Y687" i="2" s="1"/>
  <c r="Y695" i="2" s="1"/>
  <c r="Y284" i="2"/>
  <c r="Y664" i="2"/>
  <c r="Y688" i="2" s="1"/>
  <c r="Y712" i="2" s="1"/>
  <c r="Y285" i="2"/>
  <c r="Y661" i="2"/>
  <c r="Y685" i="2" s="1"/>
  <c r="Y709" i="2" s="1"/>
  <c r="Y282" i="2"/>
  <c r="Y678" i="2"/>
  <c r="Y176" i="2" s="1"/>
  <c r="Y291" i="2"/>
  <c r="Y307" i="2" s="1"/>
  <c r="X692" i="2"/>
  <c r="Y660" i="2"/>
  <c r="Y684" i="2" s="1"/>
  <c r="Y692" i="2" s="1"/>
  <c r="Y281" i="2"/>
  <c r="X677" i="2"/>
  <c r="X260" i="2" s="1"/>
  <c r="X290" i="2"/>
  <c r="X306" i="2" s="1"/>
  <c r="X679" i="2"/>
  <c r="X292" i="2"/>
  <c r="X308" i="2" s="1"/>
  <c r="Y428" i="2" a="1"/>
  <c r="Y428" i="2" s="1"/>
  <c r="Y669" i="2"/>
  <c r="AA652" i="2"/>
  <c r="AA644" i="2"/>
  <c r="Z656" i="2"/>
  <c r="Z672" i="2" s="1"/>
  <c r="Z648" i="2"/>
  <c r="Z655" i="2"/>
  <c r="Z671" i="2" s="1"/>
  <c r="Z647" i="2"/>
  <c r="Y672" i="2"/>
  <c r="Z653" i="2"/>
  <c r="Z645" i="2"/>
  <c r="Y671" i="2"/>
  <c r="Z657" i="2"/>
  <c r="Z649" i="2"/>
  <c r="Z423" i="2"/>
  <c r="Z646" i="2"/>
  <c r="Y427" i="2"/>
  <c r="Y74" i="2" s="1"/>
  <c r="Y71" i="2" s="1"/>
  <c r="Y450" i="2"/>
  <c r="Z418" i="2"/>
  <c r="Y448" i="2"/>
  <c r="AB610" i="2"/>
  <c r="AB742" i="2" s="1"/>
  <c r="AB751" i="2" s="1"/>
  <c r="W714" i="2"/>
  <c r="W722" i="2" s="1"/>
  <c r="Z426" i="2"/>
  <c r="Y451" i="2"/>
  <c r="Y447" i="2"/>
  <c r="Z759" i="2"/>
  <c r="Z415" i="2"/>
  <c r="X453" i="2"/>
  <c r="Z750" i="2"/>
  <c r="Z443" i="2"/>
  <c r="Z425" i="2"/>
  <c r="AA439" i="2"/>
  <c r="Z417" i="2"/>
  <c r="Z414" i="2"/>
  <c r="AA621" i="2"/>
  <c r="AA629" i="2" s="1"/>
  <c r="AA637" i="2" s="1"/>
  <c r="AA745" i="2"/>
  <c r="AA754" i="2" s="1"/>
  <c r="AA625" i="2"/>
  <c r="AA749" i="2"/>
  <c r="AA758" i="2" s="1"/>
  <c r="AA623" i="2"/>
  <c r="AA747" i="2"/>
  <c r="AA756" i="2" s="1"/>
  <c r="AB623" i="2"/>
  <c r="AB631" i="2" s="1"/>
  <c r="AB639" i="2" s="1"/>
  <c r="AB747" i="2"/>
  <c r="AB756" i="2" s="1"/>
  <c r="AA619" i="2"/>
  <c r="AA627" i="2" s="1"/>
  <c r="AA635" i="2" s="1"/>
  <c r="AA743" i="2"/>
  <c r="AA752" i="2" s="1"/>
  <c r="Z442" i="2"/>
  <c r="AA624" i="2"/>
  <c r="AA748" i="2"/>
  <c r="AA757" i="2" s="1"/>
  <c r="AA622" i="2"/>
  <c r="AA630" i="2" s="1"/>
  <c r="AA638" i="2" s="1"/>
  <c r="AA746" i="2"/>
  <c r="AA755" i="2" s="1"/>
  <c r="AA618" i="2"/>
  <c r="AA626" i="2" s="1"/>
  <c r="AA634" i="2" s="1"/>
  <c r="AA742" i="2"/>
  <c r="AA751" i="2" s="1"/>
  <c r="Z654" i="2"/>
  <c r="Z441" i="2"/>
  <c r="Z424" i="2"/>
  <c r="Z416" i="2"/>
  <c r="Z422" i="2"/>
  <c r="Z440" i="2"/>
  <c r="Z444" i="2"/>
  <c r="AE272" i="2"/>
  <c r="AE735" i="2" s="1"/>
  <c r="AD786" i="2"/>
  <c r="AD296" i="2" s="1"/>
  <c r="AE274" i="2"/>
  <c r="AE737" i="2" s="1"/>
  <c r="AD788" i="2"/>
  <c r="AD298" i="2" s="1"/>
  <c r="AC793" i="2"/>
  <c r="AC614" i="2" s="1"/>
  <c r="AE271" i="2"/>
  <c r="AE734" i="2" s="1"/>
  <c r="AD785" i="2"/>
  <c r="AD295" i="2" s="1"/>
  <c r="AB613" i="2"/>
  <c r="AE277" i="2"/>
  <c r="AE740" i="2" s="1"/>
  <c r="AD791" i="2"/>
  <c r="AD301" i="2" s="1"/>
  <c r="AB614" i="2"/>
  <c r="AE275" i="2"/>
  <c r="AE738" i="2" s="1"/>
  <c r="AD789" i="2"/>
  <c r="AD299" i="2" s="1"/>
  <c r="AB616" i="2"/>
  <c r="AE273" i="2"/>
  <c r="AE736" i="2" s="1"/>
  <c r="AD787" i="2"/>
  <c r="AD297" i="2" s="1"/>
  <c r="AB617" i="2"/>
  <c r="AB612" i="2"/>
  <c r="AE276" i="2"/>
  <c r="AE739" i="2" s="1"/>
  <c r="AD790" i="2"/>
  <c r="AD300" i="2" s="1"/>
  <c r="AE278" i="2"/>
  <c r="AE741" i="2" s="1"/>
  <c r="AD792" i="2"/>
  <c r="AD302" i="2" s="1"/>
  <c r="AB611" i="2"/>
  <c r="AD733" i="2"/>
  <c r="X720" i="2"/>
  <c r="Y694" i="2"/>
  <c r="Y710" i="2"/>
  <c r="Y714" i="2"/>
  <c r="Y697" i="2"/>
  <c r="Y713" i="2"/>
  <c r="AB411" i="2"/>
  <c r="AB419" i="2"/>
  <c r="AA426" i="2"/>
  <c r="AA452" i="2" s="1"/>
  <c r="AA418" i="2"/>
  <c r="AB443" i="2"/>
  <c r="AA417" i="2"/>
  <c r="AA425" i="2"/>
  <c r="AA451" i="2" s="1"/>
  <c r="AA424" i="2"/>
  <c r="AA450" i="2" s="1"/>
  <c r="AA416" i="2"/>
  <c r="Z667" i="2"/>
  <c r="Z288" i="2" s="1"/>
  <c r="Z304" i="2" s="1"/>
  <c r="Z706" i="2"/>
  <c r="Z690" i="2"/>
  <c r="X721" i="2"/>
  <c r="Y707" i="2"/>
  <c r="Y691" i="2"/>
  <c r="AC89" i="2"/>
  <c r="AB61" i="2"/>
  <c r="P60" i="2" s="1"/>
  <c r="AB97" i="2"/>
  <c r="AB103" i="2" s="1"/>
  <c r="Z668" i="2"/>
  <c r="Z289" i="2" s="1"/>
  <c r="Z305" i="2" s="1"/>
  <c r="AA421" i="2"/>
  <c r="AA413" i="2"/>
  <c r="X81" i="2" l="1"/>
  <c r="V268" i="2"/>
  <c r="W265" i="2"/>
  <c r="W266" i="2" s="1"/>
  <c r="W91" i="2" s="1"/>
  <c r="X173" i="2"/>
  <c r="W180" i="2"/>
  <c r="W181" i="2" s="1"/>
  <c r="W88" i="2" s="1"/>
  <c r="Y711" i="2"/>
  <c r="Y719" i="2" s="1"/>
  <c r="Y696" i="2"/>
  <c r="Y720" i="2" s="1"/>
  <c r="V182" i="2"/>
  <c r="Y693" i="2"/>
  <c r="Y717" i="2" s="1"/>
  <c r="Z449" i="2"/>
  <c r="Y174" i="2"/>
  <c r="X716" i="2"/>
  <c r="X722" i="2" s="1"/>
  <c r="Y261" i="2"/>
  <c r="V267" i="2"/>
  <c r="Z679" i="2"/>
  <c r="Z177" i="2" s="1"/>
  <c r="Z292" i="2"/>
  <c r="Z308" i="2" s="1"/>
  <c r="Z662" i="2"/>
  <c r="Z686" i="2" s="1"/>
  <c r="Z710" i="2" s="1"/>
  <c r="Z283" i="2"/>
  <c r="Z664" i="2"/>
  <c r="Z688" i="2" s="1"/>
  <c r="Z712" i="2" s="1"/>
  <c r="Z285" i="2"/>
  <c r="Y708" i="2"/>
  <c r="Y716" i="2" s="1"/>
  <c r="X175" i="2"/>
  <c r="Y677" i="2"/>
  <c r="Y290" i="2"/>
  <c r="Y306" i="2" s="1"/>
  <c r="Z452" i="2"/>
  <c r="Z661" i="2"/>
  <c r="Z685" i="2" s="1"/>
  <c r="Z709" i="2" s="1"/>
  <c r="Z282" i="2"/>
  <c r="AA660" i="2"/>
  <c r="AA684" i="2" s="1"/>
  <c r="AA281" i="2"/>
  <c r="X261" i="2"/>
  <c r="Y680" i="2"/>
  <c r="Y178" i="2" s="1"/>
  <c r="Y293" i="2"/>
  <c r="Y309" i="2" s="1"/>
  <c r="X177" i="2"/>
  <c r="X262" i="2"/>
  <c r="X311" i="2"/>
  <c r="Z663" i="2"/>
  <c r="Z687" i="2" s="1"/>
  <c r="Z711" i="2" s="1"/>
  <c r="Z284" i="2"/>
  <c r="X259" i="2"/>
  <c r="X174" i="2"/>
  <c r="Z680" i="2"/>
  <c r="Z178" i="2" s="1"/>
  <c r="Z293" i="2"/>
  <c r="Z309" i="2" s="1"/>
  <c r="Z665" i="2"/>
  <c r="Z689" i="2" s="1"/>
  <c r="Z697" i="2" s="1"/>
  <c r="Z286" i="2"/>
  <c r="Y679" i="2"/>
  <c r="Y177" i="2" s="1"/>
  <c r="Y292" i="2"/>
  <c r="Y308" i="2" s="1"/>
  <c r="Z428" i="2" a="1"/>
  <c r="Z428" i="2" s="1"/>
  <c r="AB655" i="2"/>
  <c r="AB647" i="2"/>
  <c r="AA650" i="2"/>
  <c r="AA666" i="2" s="1"/>
  <c r="AA642" i="2"/>
  <c r="AA654" i="2"/>
  <c r="AA646" i="2"/>
  <c r="AA653" i="2"/>
  <c r="AA645" i="2"/>
  <c r="Z673" i="2"/>
  <c r="AA651" i="2"/>
  <c r="AA643" i="2"/>
  <c r="Z669" i="2"/>
  <c r="Z427" i="2"/>
  <c r="Z74" i="2" s="1"/>
  <c r="Z71" i="2" s="1"/>
  <c r="AB445" i="2"/>
  <c r="Y453" i="2"/>
  <c r="AB618" i="2"/>
  <c r="AA412" i="2"/>
  <c r="Z450" i="2"/>
  <c r="Z451" i="2"/>
  <c r="AA759" i="2"/>
  <c r="AA447" i="2"/>
  <c r="AA420" i="2"/>
  <c r="AA422" i="2"/>
  <c r="AA440" i="2"/>
  <c r="AA441" i="2"/>
  <c r="Z448" i="2"/>
  <c r="AA423" i="2"/>
  <c r="AA415" i="2"/>
  <c r="AA414" i="2"/>
  <c r="AA437" i="2"/>
  <c r="AA750" i="2"/>
  <c r="AA438" i="2"/>
  <c r="AA411" i="2"/>
  <c r="Z670" i="2"/>
  <c r="AB620" i="2"/>
  <c r="AB628" i="2" s="1"/>
  <c r="AB636" i="2" s="1"/>
  <c r="AB744" i="2"/>
  <c r="AB753" i="2" s="1"/>
  <c r="AB625" i="2"/>
  <c r="AB633" i="2" s="1"/>
  <c r="AB641" i="2" s="1"/>
  <c r="AB749" i="2"/>
  <c r="AB758" i="2" s="1"/>
  <c r="AA419" i="2"/>
  <c r="AB621" i="2"/>
  <c r="AB629" i="2" s="1"/>
  <c r="AB637" i="2" s="1"/>
  <c r="AB745" i="2"/>
  <c r="AB754" i="2" s="1"/>
  <c r="AC622" i="2"/>
  <c r="AC630" i="2" s="1"/>
  <c r="AC638" i="2" s="1"/>
  <c r="AC746" i="2"/>
  <c r="AC755" i="2" s="1"/>
  <c r="AB442" i="2"/>
  <c r="AB624" i="2"/>
  <c r="AB748" i="2"/>
  <c r="AB757" i="2" s="1"/>
  <c r="AB619" i="2"/>
  <c r="AB627" i="2" s="1"/>
  <c r="AB635" i="2" s="1"/>
  <c r="AB743" i="2"/>
  <c r="AB752" i="2" s="1"/>
  <c r="AB622" i="2"/>
  <c r="AB630" i="2" s="1"/>
  <c r="AB638" i="2" s="1"/>
  <c r="AB746" i="2"/>
  <c r="AB755" i="2" s="1"/>
  <c r="AC617" i="2"/>
  <c r="AC610" i="2"/>
  <c r="AC615" i="2"/>
  <c r="AC612" i="2"/>
  <c r="AC616" i="2"/>
  <c r="AD793" i="2"/>
  <c r="AD615" i="2" s="1"/>
  <c r="AF278" i="2"/>
  <c r="AF741" i="2" s="1"/>
  <c r="AE792" i="2"/>
  <c r="AE302" i="2" s="1"/>
  <c r="AC611" i="2"/>
  <c r="AF273" i="2"/>
  <c r="AF736" i="2" s="1"/>
  <c r="AE787" i="2"/>
  <c r="AE297" i="2" s="1"/>
  <c r="AF271" i="2"/>
  <c r="AF734" i="2" s="1"/>
  <c r="AE785" i="2"/>
  <c r="AE295" i="2" s="1"/>
  <c r="AF274" i="2"/>
  <c r="AF737" i="2" s="1"/>
  <c r="AE788" i="2"/>
  <c r="AE298" i="2" s="1"/>
  <c r="AF276" i="2"/>
  <c r="AF739" i="2" s="1"/>
  <c r="AE790" i="2"/>
  <c r="AE300" i="2" s="1"/>
  <c r="AF277" i="2"/>
  <c r="AF740" i="2" s="1"/>
  <c r="AE791" i="2"/>
  <c r="AE301" i="2" s="1"/>
  <c r="AF275" i="2"/>
  <c r="AF738" i="2" s="1"/>
  <c r="AE789" i="2"/>
  <c r="AE299" i="2" s="1"/>
  <c r="AC613" i="2"/>
  <c r="AF272" i="2"/>
  <c r="AF735" i="2" s="1"/>
  <c r="AE786" i="2"/>
  <c r="AE296" i="2" s="1"/>
  <c r="AE733" i="2"/>
  <c r="Y715" i="2"/>
  <c r="Z707" i="2"/>
  <c r="Z691" i="2"/>
  <c r="AB666" i="2"/>
  <c r="AB287" i="2" s="1"/>
  <c r="AB303" i="2" s="1"/>
  <c r="AD437" i="2"/>
  <c r="AB417" i="2"/>
  <c r="AB425" i="2"/>
  <c r="AB451" i="2" s="1"/>
  <c r="AC444" i="2"/>
  <c r="AA668" i="2"/>
  <c r="AA671" i="2"/>
  <c r="AA292" i="2" s="1"/>
  <c r="AA308" i="2" s="1"/>
  <c r="AA672" i="2"/>
  <c r="AA293" i="2" s="1"/>
  <c r="AA309" i="2" s="1"/>
  <c r="Y721" i="2"/>
  <c r="D933" i="2"/>
  <c r="AA673" i="2"/>
  <c r="AA294" i="2" s="1"/>
  <c r="AA310" i="2" s="1"/>
  <c r="Y718" i="2"/>
  <c r="Z692" i="2"/>
  <c r="Z708" i="2"/>
  <c r="AB424" i="2"/>
  <c r="AB416" i="2"/>
  <c r="AC438" i="2"/>
  <c r="AC61" i="2"/>
  <c r="AD89" i="2"/>
  <c r="AC97" i="2"/>
  <c r="AC103" i="2" s="1"/>
  <c r="AC98" i="2"/>
  <c r="AC104" i="2" s="1"/>
  <c r="Z714" i="2"/>
  <c r="Z713" i="2" l="1"/>
  <c r="Z721" i="2" s="1"/>
  <c r="Z696" i="2"/>
  <c r="Z720" i="2" s="1"/>
  <c r="W267" i="2"/>
  <c r="W182" i="2"/>
  <c r="W268" i="2"/>
  <c r="Y81" i="2"/>
  <c r="Z262" i="2"/>
  <c r="Z693" i="2"/>
  <c r="Z717" i="2" s="1"/>
  <c r="Z694" i="2"/>
  <c r="Z718" i="2" s="1"/>
  <c r="Z695" i="2"/>
  <c r="Y263" i="2"/>
  <c r="Y311" i="2"/>
  <c r="X265" i="2"/>
  <c r="X266" i="2" s="1"/>
  <c r="X91" i="2" s="1"/>
  <c r="Z263" i="2"/>
  <c r="X180" i="2"/>
  <c r="X181" i="2" s="1"/>
  <c r="X88" i="2" s="1"/>
  <c r="AA676" i="2"/>
  <c r="AA174" i="2" s="1"/>
  <c r="AA289" i="2"/>
  <c r="AA305" i="2" s="1"/>
  <c r="Y175" i="2"/>
  <c r="Y180" i="2" s="1"/>
  <c r="Y181" i="2" s="1"/>
  <c r="Y88" i="2" s="1"/>
  <c r="Y260" i="2"/>
  <c r="Z681" i="2"/>
  <c r="Z264" i="2" s="1"/>
  <c r="Z294" i="2"/>
  <c r="Z310" i="2" s="1"/>
  <c r="AA674" i="2"/>
  <c r="AA172" i="2" s="1"/>
  <c r="AA287" i="2"/>
  <c r="AA303" i="2" s="1"/>
  <c r="AA658" i="2"/>
  <c r="AA682" i="2" s="1"/>
  <c r="AA279" i="2"/>
  <c r="AA428" i="2" a="1"/>
  <c r="AA428" i="2" s="1"/>
  <c r="AA661" i="2"/>
  <c r="AA685" i="2" s="1"/>
  <c r="AA709" i="2" s="1"/>
  <c r="AA282" i="2"/>
  <c r="AA662" i="2"/>
  <c r="AA686" i="2" s="1"/>
  <c r="AA694" i="2" s="1"/>
  <c r="AA283" i="2"/>
  <c r="Z677" i="2"/>
  <c r="Z290" i="2"/>
  <c r="Z306" i="2" s="1"/>
  <c r="AA659" i="2"/>
  <c r="AA683" i="2" s="1"/>
  <c r="AA691" i="2" s="1"/>
  <c r="AA280" i="2"/>
  <c r="Z678" i="2"/>
  <c r="Z261" i="2" s="1"/>
  <c r="Z291" i="2"/>
  <c r="Z307" i="2" s="1"/>
  <c r="Y262" i="2"/>
  <c r="AB663" i="2"/>
  <c r="AB687" i="2" s="1"/>
  <c r="AB284" i="2"/>
  <c r="AA669" i="2"/>
  <c r="AC654" i="2"/>
  <c r="AC646" i="2"/>
  <c r="AB653" i="2"/>
  <c r="AB645" i="2"/>
  <c r="AB654" i="2"/>
  <c r="AB646" i="2"/>
  <c r="AB657" i="2"/>
  <c r="AB649" i="2"/>
  <c r="AA670" i="2"/>
  <c r="AB651" i="2"/>
  <c r="AB643" i="2"/>
  <c r="AB652" i="2"/>
  <c r="AB644" i="2"/>
  <c r="AA667" i="2"/>
  <c r="AA427" i="2"/>
  <c r="AA74" i="2" s="1"/>
  <c r="AA71" i="2" s="1"/>
  <c r="AA449" i="2"/>
  <c r="Z453" i="2"/>
  <c r="AB759" i="2"/>
  <c r="AB412" i="2"/>
  <c r="AA448" i="2"/>
  <c r="AA446" i="2"/>
  <c r="AB420" i="2"/>
  <c r="AB438" i="2"/>
  <c r="AB439" i="2"/>
  <c r="AB414" i="2"/>
  <c r="AB423" i="2"/>
  <c r="AB422" i="2"/>
  <c r="AA445" i="2"/>
  <c r="AB750" i="2"/>
  <c r="AB440" i="2"/>
  <c r="AC441" i="2"/>
  <c r="AC623" i="2"/>
  <c r="AC631" i="2" s="1"/>
  <c r="AC639" i="2" s="1"/>
  <c r="AC747" i="2"/>
  <c r="AC756" i="2" s="1"/>
  <c r="AC618" i="2"/>
  <c r="AC626" i="2" s="1"/>
  <c r="AC634" i="2" s="1"/>
  <c r="AC742" i="2"/>
  <c r="AC751" i="2" s="1"/>
  <c r="AB415" i="2"/>
  <c r="AB421" i="2"/>
  <c r="AB413" i="2"/>
  <c r="AC619" i="2"/>
  <c r="AC743" i="2"/>
  <c r="AC752" i="2" s="1"/>
  <c r="AB426" i="2"/>
  <c r="AB444" i="2"/>
  <c r="AC624" i="2"/>
  <c r="AC632" i="2" s="1"/>
  <c r="AC640" i="2" s="1"/>
  <c r="AC748" i="2"/>
  <c r="AC757" i="2" s="1"/>
  <c r="AC620" i="2"/>
  <c r="AC628" i="2" s="1"/>
  <c r="AC636" i="2" s="1"/>
  <c r="AC744" i="2"/>
  <c r="AC753" i="2" s="1"/>
  <c r="AB441" i="2"/>
  <c r="AC621" i="2"/>
  <c r="AC629" i="2" s="1"/>
  <c r="AC637" i="2" s="1"/>
  <c r="AC745" i="2"/>
  <c r="AC754" i="2" s="1"/>
  <c r="AC625" i="2"/>
  <c r="AC749" i="2"/>
  <c r="AC758" i="2" s="1"/>
  <c r="AB450" i="2"/>
  <c r="AB418" i="2"/>
  <c r="AD623" i="2"/>
  <c r="AD631" i="2" s="1"/>
  <c r="AD639" i="2" s="1"/>
  <c r="AD747" i="2"/>
  <c r="AD756" i="2" s="1"/>
  <c r="AD610" i="2"/>
  <c r="AD616" i="2"/>
  <c r="AD613" i="2"/>
  <c r="AD612" i="2"/>
  <c r="AD617" i="2"/>
  <c r="AD614" i="2"/>
  <c r="AD611" i="2"/>
  <c r="AE793" i="2"/>
  <c r="AE617" i="2" s="1"/>
  <c r="AG273" i="2"/>
  <c r="AG736" i="2" s="1"/>
  <c r="AF787" i="2"/>
  <c r="AF297" i="2" s="1"/>
  <c r="AG275" i="2"/>
  <c r="AG738" i="2" s="1"/>
  <c r="AF789" i="2"/>
  <c r="AF299" i="2" s="1"/>
  <c r="AG271" i="2"/>
  <c r="AG734" i="2" s="1"/>
  <c r="AF785" i="2"/>
  <c r="AF295" i="2" s="1"/>
  <c r="AG277" i="2"/>
  <c r="AG740" i="2" s="1"/>
  <c r="AF791" i="2"/>
  <c r="AF301" i="2" s="1"/>
  <c r="AG276" i="2"/>
  <c r="AG739" i="2" s="1"/>
  <c r="AF790" i="2"/>
  <c r="AF300" i="2" s="1"/>
  <c r="AG272" i="2"/>
  <c r="AG735" i="2" s="1"/>
  <c r="AF786" i="2"/>
  <c r="AF296" i="2" s="1"/>
  <c r="AG274" i="2"/>
  <c r="AG737" i="2" s="1"/>
  <c r="AF788" i="2"/>
  <c r="AF298" i="2" s="1"/>
  <c r="AG278" i="2"/>
  <c r="AG741" i="2" s="1"/>
  <c r="AF792" i="2"/>
  <c r="AF302" i="2" s="1"/>
  <c r="AF733" i="2"/>
  <c r="Y722" i="2"/>
  <c r="AD439" i="2"/>
  <c r="AB671" i="2"/>
  <c r="AE89" i="2"/>
  <c r="AD97" i="2"/>
  <c r="AD103" i="2" s="1"/>
  <c r="AD61" i="2"/>
  <c r="AA713" i="2"/>
  <c r="AA697" i="2"/>
  <c r="AA712" i="2"/>
  <c r="AA696" i="2"/>
  <c r="AC426" i="2"/>
  <c r="AC452" i="2" s="1"/>
  <c r="AC418" i="2"/>
  <c r="AA695" i="2"/>
  <c r="AA711" i="2"/>
  <c r="AC415" i="2"/>
  <c r="AC423" i="2"/>
  <c r="AB672" i="2"/>
  <c r="AB293" i="2" s="1"/>
  <c r="AB309" i="2" s="1"/>
  <c r="AB706" i="2"/>
  <c r="AB690" i="2"/>
  <c r="AA708" i="2"/>
  <c r="AA692" i="2"/>
  <c r="Z715" i="2"/>
  <c r="AD411" i="2"/>
  <c r="AD419" i="2"/>
  <c r="Z716" i="2"/>
  <c r="AD438" i="2"/>
  <c r="AC412" i="2"/>
  <c r="AC420" i="2"/>
  <c r="AC446" i="2" s="1"/>
  <c r="Z81" i="2" l="1"/>
  <c r="Z719" i="2"/>
  <c r="Z722" i="2" s="1"/>
  <c r="X268" i="2"/>
  <c r="AA710" i="2"/>
  <c r="AA718" i="2" s="1"/>
  <c r="Z176" i="2"/>
  <c r="Y265" i="2"/>
  <c r="Y266" i="2" s="1"/>
  <c r="Y91" i="2" s="1"/>
  <c r="X182" i="2"/>
  <c r="AA693" i="2"/>
  <c r="AA717" i="2" s="1"/>
  <c r="X267" i="2"/>
  <c r="AA259" i="2"/>
  <c r="AB679" i="2"/>
  <c r="AB262" i="2" s="1"/>
  <c r="AB292" i="2"/>
  <c r="AB308" i="2" s="1"/>
  <c r="AB660" i="2"/>
  <c r="AB684" i="2" s="1"/>
  <c r="AB692" i="2" s="1"/>
  <c r="AB281" i="2"/>
  <c r="AA707" i="2"/>
  <c r="AA715" i="2" s="1"/>
  <c r="AA257" i="2"/>
  <c r="AB662" i="2"/>
  <c r="AB686" i="2" s="1"/>
  <c r="AB710" i="2" s="1"/>
  <c r="AB283" i="2"/>
  <c r="AB661" i="2"/>
  <c r="AB685" i="2" s="1"/>
  <c r="AB709" i="2" s="1"/>
  <c r="AB282" i="2"/>
  <c r="Z179" i="2"/>
  <c r="AA677" i="2"/>
  <c r="AA290" i="2"/>
  <c r="AA306" i="2" s="1"/>
  <c r="AA678" i="2"/>
  <c r="AA176" i="2" s="1"/>
  <c r="AA291" i="2"/>
  <c r="AA307" i="2" s="1"/>
  <c r="AB665" i="2"/>
  <c r="AB689" i="2" s="1"/>
  <c r="AB697" i="2" s="1"/>
  <c r="AB286" i="2"/>
  <c r="AA706" i="2"/>
  <c r="AA690" i="2"/>
  <c r="AA675" i="2"/>
  <c r="AA258" i="2" s="1"/>
  <c r="AA288" i="2"/>
  <c r="AA304" i="2" s="1"/>
  <c r="AC662" i="2"/>
  <c r="AC686" i="2" s="1"/>
  <c r="AC283" i="2"/>
  <c r="Z311" i="2"/>
  <c r="Z175" i="2"/>
  <c r="Z260" i="2"/>
  <c r="Z265" i="2" s="1"/>
  <c r="Z266" i="2" s="1"/>
  <c r="AB659" i="2"/>
  <c r="AB683" i="2" s="1"/>
  <c r="AB707" i="2" s="1"/>
  <c r="AB280" i="2"/>
  <c r="Y182" i="2"/>
  <c r="AB669" i="2"/>
  <c r="AB428" i="2" a="1"/>
  <c r="AB428" i="2" s="1"/>
  <c r="AB670" i="2"/>
  <c r="AB673" i="2"/>
  <c r="AC656" i="2"/>
  <c r="AC648" i="2"/>
  <c r="AC655" i="2"/>
  <c r="AC671" i="2" s="1"/>
  <c r="AC647" i="2"/>
  <c r="AB668" i="2"/>
  <c r="AB667" i="2"/>
  <c r="AC653" i="2"/>
  <c r="AC645" i="2"/>
  <c r="AD655" i="2"/>
  <c r="AD647" i="2"/>
  <c r="AC652" i="2"/>
  <c r="AC668" i="2" s="1"/>
  <c r="AC644" i="2"/>
  <c r="AC411" i="2"/>
  <c r="AC642" i="2"/>
  <c r="AB427" i="2"/>
  <c r="AB74" i="2" s="1"/>
  <c r="AB71" i="2" s="1"/>
  <c r="AD445" i="2"/>
  <c r="AB448" i="2"/>
  <c r="AA453" i="2"/>
  <c r="AB447" i="2"/>
  <c r="AB446" i="2"/>
  <c r="AB449" i="2"/>
  <c r="AC424" i="2"/>
  <c r="AC416" i="2"/>
  <c r="AD442" i="2"/>
  <c r="AC442" i="2"/>
  <c r="AC759" i="2"/>
  <c r="AC414" i="2"/>
  <c r="AC422" i="2"/>
  <c r="AC419" i="2"/>
  <c r="AC413" i="2"/>
  <c r="AB452" i="2"/>
  <c r="AC425" i="2"/>
  <c r="AC417" i="2"/>
  <c r="AC439" i="2"/>
  <c r="AC443" i="2"/>
  <c r="AC449" i="2"/>
  <c r="AC750" i="2"/>
  <c r="AE625" i="2"/>
  <c r="AE749" i="2"/>
  <c r="AE758" i="2" s="1"/>
  <c r="AD619" i="2"/>
  <c r="AD743" i="2"/>
  <c r="AD752" i="2" s="1"/>
  <c r="AD624" i="2"/>
  <c r="AD632" i="2" s="1"/>
  <c r="AD640" i="2" s="1"/>
  <c r="AD748" i="2"/>
  <c r="AD757" i="2" s="1"/>
  <c r="AC440" i="2"/>
  <c r="AD622" i="2"/>
  <c r="AD630" i="2" s="1"/>
  <c r="AD638" i="2" s="1"/>
  <c r="AD746" i="2"/>
  <c r="AD755" i="2" s="1"/>
  <c r="AD625" i="2"/>
  <c r="AD633" i="2" s="1"/>
  <c r="AD641" i="2" s="1"/>
  <c r="AD749" i="2"/>
  <c r="AD758" i="2" s="1"/>
  <c r="AD618" i="2"/>
  <c r="AD742" i="2"/>
  <c r="AD751" i="2" s="1"/>
  <c r="AC421" i="2"/>
  <c r="AD620" i="2"/>
  <c r="AD744" i="2"/>
  <c r="AD753" i="2" s="1"/>
  <c r="AC650" i="2"/>
  <c r="AC279" i="2" s="1"/>
  <c r="AC437" i="2"/>
  <c r="AD621" i="2"/>
  <c r="AD629" i="2" s="1"/>
  <c r="AD637" i="2" s="1"/>
  <c r="AD745" i="2"/>
  <c r="AD754" i="2" s="1"/>
  <c r="AE610" i="2"/>
  <c r="AE612" i="2"/>
  <c r="AE615" i="2"/>
  <c r="AE614" i="2"/>
  <c r="AE616" i="2"/>
  <c r="AE611" i="2"/>
  <c r="AE613" i="2"/>
  <c r="AF793" i="2"/>
  <c r="AF612" i="2" s="1"/>
  <c r="AH271" i="2"/>
  <c r="AH734" i="2" s="1"/>
  <c r="AG785" i="2"/>
  <c r="AG295" i="2" s="1"/>
  <c r="AH275" i="2"/>
  <c r="AH738" i="2" s="1"/>
  <c r="AG789" i="2"/>
  <c r="AG299" i="2" s="1"/>
  <c r="AH273" i="2"/>
  <c r="AH736" i="2" s="1"/>
  <c r="AG787" i="2"/>
  <c r="AG297" i="2" s="1"/>
  <c r="AH276" i="2"/>
  <c r="AH739" i="2" s="1"/>
  <c r="AG790" i="2"/>
  <c r="AG300" i="2" s="1"/>
  <c r="AH278" i="2"/>
  <c r="AH741" i="2" s="1"/>
  <c r="AG792" i="2"/>
  <c r="AG302" i="2" s="1"/>
  <c r="AH274" i="2"/>
  <c r="AH737" i="2" s="1"/>
  <c r="AG788" i="2"/>
  <c r="AG298" i="2" s="1"/>
  <c r="AH272" i="2"/>
  <c r="AH735" i="2" s="1"/>
  <c r="AG786" i="2"/>
  <c r="AG296" i="2" s="1"/>
  <c r="AH277" i="2"/>
  <c r="AH740" i="2" s="1"/>
  <c r="AG791" i="2"/>
  <c r="AG301" i="2" s="1"/>
  <c r="AG733" i="2"/>
  <c r="AA720" i="2"/>
  <c r="AA716" i="2"/>
  <c r="AB714" i="2"/>
  <c r="AA721" i="2"/>
  <c r="AE442" i="2"/>
  <c r="AE444" i="2"/>
  <c r="AD666" i="2"/>
  <c r="AD287" i="2" s="1"/>
  <c r="AD303" i="2" s="1"/>
  <c r="AB695" i="2"/>
  <c r="AB711" i="2"/>
  <c r="AF437" i="2"/>
  <c r="AC673" i="2"/>
  <c r="AC294" i="2" s="1"/>
  <c r="AC310" i="2" s="1"/>
  <c r="AC670" i="2"/>
  <c r="AE443" i="2"/>
  <c r="AA719" i="2"/>
  <c r="AC667" i="2"/>
  <c r="AC288" i="2" s="1"/>
  <c r="AC304" i="2" s="1"/>
  <c r="AD424" i="2"/>
  <c r="AD416" i="2"/>
  <c r="AD420" i="2"/>
  <c r="AD446" i="2" s="1"/>
  <c r="AD412" i="2"/>
  <c r="AB712" i="2"/>
  <c r="AB696" i="2"/>
  <c r="AD413" i="2"/>
  <c r="AD421" i="2"/>
  <c r="AD447" i="2" s="1"/>
  <c r="AE97" i="2"/>
  <c r="AE103" i="2" s="1"/>
  <c r="AE99" i="2"/>
  <c r="AE105" i="2" s="1"/>
  <c r="AE62" i="2"/>
  <c r="C900" i="2" s="1"/>
  <c r="AF89" i="2"/>
  <c r="AE61" i="2"/>
  <c r="AA261" i="2" l="1"/>
  <c r="Z180" i="2"/>
  <c r="Z181" i="2" s="1"/>
  <c r="Z182" i="2" s="1"/>
  <c r="Y267" i="2"/>
  <c r="Y268" i="2"/>
  <c r="AB177" i="2"/>
  <c r="AB691" i="2"/>
  <c r="AB715" i="2" s="1"/>
  <c r="AB713" i="2"/>
  <c r="AA714" i="2"/>
  <c r="AA722" i="2" s="1"/>
  <c r="AB708" i="2"/>
  <c r="AB716" i="2" s="1"/>
  <c r="AA311" i="2"/>
  <c r="Z91" i="2"/>
  <c r="AB677" i="2"/>
  <c r="AB290" i="2"/>
  <c r="AB306" i="2" s="1"/>
  <c r="AC678" i="2"/>
  <c r="AC176" i="2" s="1"/>
  <c r="AC291" i="2"/>
  <c r="AC307" i="2" s="1"/>
  <c r="AC663" i="2"/>
  <c r="AC687" i="2" s="1"/>
  <c r="AC711" i="2" s="1"/>
  <c r="AC284" i="2"/>
  <c r="AA81" i="2"/>
  <c r="AA175" i="2"/>
  <c r="AA260" i="2"/>
  <c r="AB681" i="2"/>
  <c r="AB179" i="2" s="1"/>
  <c r="AB294" i="2"/>
  <c r="AB310" i="2" s="1"/>
  <c r="AB676" i="2"/>
  <c r="AB174" i="2" s="1"/>
  <c r="AB289" i="2"/>
  <c r="AB305" i="2" s="1"/>
  <c r="AC664" i="2"/>
  <c r="AC688" i="2" s="1"/>
  <c r="AC696" i="2" s="1"/>
  <c r="AC285" i="2"/>
  <c r="AD663" i="2"/>
  <c r="AD687" i="2" s="1"/>
  <c r="AD284" i="2"/>
  <c r="AB678" i="2"/>
  <c r="AB291" i="2"/>
  <c r="AB307" i="2" s="1"/>
  <c r="AC661" i="2"/>
  <c r="AC685" i="2" s="1"/>
  <c r="AC709" i="2" s="1"/>
  <c r="AC282" i="2"/>
  <c r="AB675" i="2"/>
  <c r="AB173" i="2" s="1"/>
  <c r="AB288" i="2"/>
  <c r="AB304" i="2" s="1"/>
  <c r="AB694" i="2"/>
  <c r="AB718" i="2" s="1"/>
  <c r="AB693" i="2"/>
  <c r="AC679" i="2"/>
  <c r="AC177" i="2" s="1"/>
  <c r="AC292" i="2"/>
  <c r="AC308" i="2" s="1"/>
  <c r="AC676" i="2"/>
  <c r="AC174" i="2" s="1"/>
  <c r="AC289" i="2"/>
  <c r="AC305" i="2" s="1"/>
  <c r="AC660" i="2"/>
  <c r="AC684" i="2" s="1"/>
  <c r="AC692" i="2" s="1"/>
  <c r="AC281" i="2"/>
  <c r="AA173" i="2"/>
  <c r="AC428" i="2" a="1"/>
  <c r="AC428" i="2" s="1"/>
  <c r="AC672" i="2"/>
  <c r="AC669" i="2"/>
  <c r="AD654" i="2"/>
  <c r="AD646" i="2"/>
  <c r="AD657" i="2"/>
  <c r="AD649" i="2"/>
  <c r="AD653" i="2"/>
  <c r="AD645" i="2"/>
  <c r="AD656" i="2"/>
  <c r="AD648" i="2"/>
  <c r="AC427" i="2"/>
  <c r="AC74" i="2" s="1"/>
  <c r="AC71" i="2" s="1"/>
  <c r="AD450" i="2"/>
  <c r="AB453" i="2"/>
  <c r="AC450" i="2"/>
  <c r="AC445" i="2"/>
  <c r="AC447" i="2"/>
  <c r="AC448" i="2"/>
  <c r="AD759" i="2"/>
  <c r="AD417" i="2"/>
  <c r="AC451" i="2"/>
  <c r="AD423" i="2"/>
  <c r="AD415" i="2"/>
  <c r="AD425" i="2"/>
  <c r="AE622" i="2"/>
  <c r="AE630" i="2" s="1"/>
  <c r="AE638" i="2" s="1"/>
  <c r="AE746" i="2"/>
  <c r="AE755" i="2" s="1"/>
  <c r="AE623" i="2"/>
  <c r="AE747" i="2"/>
  <c r="AE756" i="2" s="1"/>
  <c r="AE620" i="2"/>
  <c r="AE628" i="2" s="1"/>
  <c r="AE636" i="2" s="1"/>
  <c r="AE744" i="2"/>
  <c r="AE753" i="2" s="1"/>
  <c r="AC658" i="2"/>
  <c r="AC682" i="2" s="1"/>
  <c r="AC666" i="2"/>
  <c r="AD414" i="2"/>
  <c r="AD418" i="2"/>
  <c r="AE618" i="2"/>
  <c r="AE626" i="2" s="1"/>
  <c r="AE634" i="2" s="1"/>
  <c r="AE742" i="2"/>
  <c r="AE751" i="2" s="1"/>
  <c r="AD422" i="2"/>
  <c r="AD426" i="2"/>
  <c r="AF620" i="2"/>
  <c r="AF628" i="2" s="1"/>
  <c r="AF636" i="2" s="1"/>
  <c r="AF744" i="2"/>
  <c r="AF753" i="2" s="1"/>
  <c r="AD440" i="2"/>
  <c r="AD441" i="2"/>
  <c r="AD443" i="2"/>
  <c r="AD750" i="2"/>
  <c r="AE619" i="2"/>
  <c r="AE627" i="2" s="1"/>
  <c r="AE635" i="2" s="1"/>
  <c r="AE743" i="2"/>
  <c r="AE752" i="2" s="1"/>
  <c r="AE624" i="2"/>
  <c r="AE748" i="2"/>
  <c r="AE757" i="2" s="1"/>
  <c r="AD444" i="2"/>
  <c r="AE621" i="2"/>
  <c r="AE629" i="2" s="1"/>
  <c r="AE637" i="2" s="1"/>
  <c r="AE745" i="2"/>
  <c r="AE754" i="2" s="1"/>
  <c r="AF616" i="2"/>
  <c r="AF610" i="2"/>
  <c r="AF614" i="2"/>
  <c r="AF613" i="2"/>
  <c r="AF615" i="2"/>
  <c r="AF617" i="2"/>
  <c r="AF611" i="2"/>
  <c r="AI273" i="2"/>
  <c r="AI736" i="2" s="1"/>
  <c r="AH787" i="2"/>
  <c r="AH297" i="2" s="1"/>
  <c r="AI278" i="2"/>
  <c r="AI741" i="2" s="1"/>
  <c r="AH792" i="2"/>
  <c r="AH302" i="2" s="1"/>
  <c r="AG793" i="2"/>
  <c r="AG617" i="2" s="1"/>
  <c r="AI277" i="2"/>
  <c r="AI740" i="2" s="1"/>
  <c r="AH791" i="2"/>
  <c r="AH301" i="2" s="1"/>
  <c r="AI272" i="2"/>
  <c r="AI735" i="2" s="1"/>
  <c r="AH786" i="2"/>
  <c r="AH296" i="2" s="1"/>
  <c r="AI275" i="2"/>
  <c r="AI738" i="2" s="1"/>
  <c r="AH789" i="2"/>
  <c r="AH299" i="2" s="1"/>
  <c r="AI271" i="2"/>
  <c r="AI734" i="2" s="1"/>
  <c r="AH785" i="2"/>
  <c r="AH295" i="2" s="1"/>
  <c r="AI276" i="2"/>
  <c r="AI739" i="2" s="1"/>
  <c r="AH790" i="2"/>
  <c r="AH300" i="2" s="1"/>
  <c r="AI274" i="2"/>
  <c r="AI737" i="2" s="1"/>
  <c r="AH788" i="2"/>
  <c r="AH298" i="2" s="1"/>
  <c r="Z268" i="2"/>
  <c r="AH733" i="2"/>
  <c r="AB720" i="2"/>
  <c r="AB719" i="2"/>
  <c r="AD690" i="2"/>
  <c r="AD706" i="2"/>
  <c r="AF411" i="2"/>
  <c r="AF419" i="2"/>
  <c r="AG437" i="2"/>
  <c r="AD671" i="2"/>
  <c r="AE426" i="2"/>
  <c r="AE452" i="2" s="1"/>
  <c r="AE418" i="2"/>
  <c r="AF97" i="2"/>
  <c r="AF103" i="2" s="1"/>
  <c r="AF61" i="2"/>
  <c r="AG89" i="2"/>
  <c r="AC691" i="2"/>
  <c r="AC707" i="2"/>
  <c r="AC713" i="2"/>
  <c r="AC697" i="2"/>
  <c r="AF444" i="2"/>
  <c r="AB721" i="2"/>
  <c r="AE417" i="2"/>
  <c r="AE425" i="2"/>
  <c r="AE451" i="2" s="1"/>
  <c r="AD668" i="2"/>
  <c r="AD289" i="2" s="1"/>
  <c r="AD305" i="2" s="1"/>
  <c r="AF443" i="2"/>
  <c r="AE416" i="2"/>
  <c r="AE424" i="2"/>
  <c r="AE450" i="2" s="1"/>
  <c r="AC694" i="2"/>
  <c r="AC710" i="2"/>
  <c r="AD667" i="2"/>
  <c r="AD288" i="2" s="1"/>
  <c r="AD304" i="2" s="1"/>
  <c r="AA265" i="2" l="1"/>
  <c r="AA266" i="2" s="1"/>
  <c r="AA268" i="2" s="1"/>
  <c r="Z267" i="2"/>
  <c r="Z88" i="2"/>
  <c r="AB264" i="2"/>
  <c r="AC693" i="2"/>
  <c r="AC717" i="2" s="1"/>
  <c r="AB81" i="2"/>
  <c r="AB258" i="2"/>
  <c r="AB259" i="2"/>
  <c r="AB717" i="2"/>
  <c r="AB722" i="2" s="1"/>
  <c r="AC695" i="2"/>
  <c r="AC719" i="2" s="1"/>
  <c r="AC261" i="2"/>
  <c r="AC712" i="2"/>
  <c r="AC720" i="2" s="1"/>
  <c r="AC259" i="2"/>
  <c r="AD662" i="2"/>
  <c r="AD686" i="2" s="1"/>
  <c r="AD710" i="2" s="1"/>
  <c r="AD283" i="2"/>
  <c r="AD664" i="2"/>
  <c r="AD688" i="2" s="1"/>
  <c r="AD696" i="2" s="1"/>
  <c r="AD285" i="2"/>
  <c r="AD665" i="2"/>
  <c r="AD689" i="2" s="1"/>
  <c r="AD697" i="2" s="1"/>
  <c r="AD286" i="2"/>
  <c r="AB261" i="2"/>
  <c r="AB176" i="2"/>
  <c r="AC708" i="2"/>
  <c r="AC716" i="2" s="1"/>
  <c r="AC677" i="2"/>
  <c r="AC290" i="2"/>
  <c r="AC306" i="2" s="1"/>
  <c r="AC680" i="2"/>
  <c r="AC293" i="2"/>
  <c r="AC309" i="2" s="1"/>
  <c r="AB175" i="2"/>
  <c r="AB260" i="2"/>
  <c r="AC262" i="2"/>
  <c r="AB311" i="2"/>
  <c r="AC674" i="2"/>
  <c r="AC257" i="2" s="1"/>
  <c r="AC287" i="2"/>
  <c r="AC303" i="2" s="1"/>
  <c r="AA180" i="2"/>
  <c r="AA181" i="2" s="1"/>
  <c r="AD679" i="2"/>
  <c r="AD262" i="2" s="1"/>
  <c r="AD292" i="2"/>
  <c r="AD308" i="2" s="1"/>
  <c r="AD661" i="2"/>
  <c r="AD685" i="2" s="1"/>
  <c r="AD709" i="2" s="1"/>
  <c r="AD282" i="2"/>
  <c r="AD428" i="2" a="1"/>
  <c r="AD428" i="2" s="1"/>
  <c r="AD673" i="2"/>
  <c r="AD670" i="2"/>
  <c r="AD669" i="2"/>
  <c r="AD672" i="2"/>
  <c r="AE437" i="2"/>
  <c r="AE642" i="2"/>
  <c r="AE652" i="2"/>
  <c r="AE644" i="2"/>
  <c r="AE651" i="2"/>
  <c r="AE643" i="2"/>
  <c r="AF652" i="2"/>
  <c r="AF644" i="2"/>
  <c r="AE653" i="2"/>
  <c r="AE645" i="2"/>
  <c r="AE654" i="2"/>
  <c r="AE646" i="2"/>
  <c r="AD427" i="2"/>
  <c r="AD74" i="2" s="1"/>
  <c r="AD71" i="2" s="1"/>
  <c r="AF445" i="2"/>
  <c r="AC453" i="2"/>
  <c r="AD452" i="2"/>
  <c r="AE440" i="2"/>
  <c r="AE422" i="2"/>
  <c r="AE759" i="2"/>
  <c r="AD451" i="2"/>
  <c r="AD449" i="2"/>
  <c r="AE441" i="2"/>
  <c r="AE413" i="2"/>
  <c r="AE439" i="2"/>
  <c r="AE415" i="2"/>
  <c r="AE423" i="2"/>
  <c r="AE414" i="2"/>
  <c r="AF618" i="2"/>
  <c r="AF742" i="2"/>
  <c r="AF751" i="2" s="1"/>
  <c r="AE420" i="2"/>
  <c r="AE650" i="2"/>
  <c r="AE279" i="2" s="1"/>
  <c r="AE419" i="2"/>
  <c r="AE411" i="2"/>
  <c r="AC690" i="2"/>
  <c r="AC706" i="2"/>
  <c r="AF619" i="2"/>
  <c r="AF627" i="2" s="1"/>
  <c r="AF635" i="2" s="1"/>
  <c r="AF743" i="2"/>
  <c r="AF752" i="2" s="1"/>
  <c r="AF625" i="2"/>
  <c r="AF749" i="2"/>
  <c r="AF758" i="2" s="1"/>
  <c r="AE412" i="2"/>
  <c r="AE421" i="2"/>
  <c r="AF623" i="2"/>
  <c r="AF631" i="2" s="1"/>
  <c r="AF639" i="2" s="1"/>
  <c r="AF747" i="2"/>
  <c r="AF756" i="2" s="1"/>
  <c r="AF621" i="2"/>
  <c r="AF629" i="2" s="1"/>
  <c r="AF637" i="2" s="1"/>
  <c r="AF745" i="2"/>
  <c r="AF754" i="2" s="1"/>
  <c r="AF439" i="2"/>
  <c r="AF622" i="2"/>
  <c r="AF630" i="2" s="1"/>
  <c r="AF638" i="2" s="1"/>
  <c r="AF746" i="2"/>
  <c r="AF755" i="2" s="1"/>
  <c r="AE438" i="2"/>
  <c r="AD448" i="2"/>
  <c r="AG625" i="2"/>
  <c r="AG749" i="2"/>
  <c r="AG758" i="2" s="1"/>
  <c r="AF624" i="2"/>
  <c r="AF748" i="2"/>
  <c r="AF757" i="2" s="1"/>
  <c r="AG610" i="2"/>
  <c r="AE750" i="2"/>
  <c r="AG611" i="2"/>
  <c r="AJ274" i="2"/>
  <c r="AJ737" i="2" s="1"/>
  <c r="AI788" i="2"/>
  <c r="AI298" i="2" s="1"/>
  <c r="AJ277" i="2"/>
  <c r="AJ740" i="2" s="1"/>
  <c r="AI791" i="2"/>
  <c r="AI301" i="2" s="1"/>
  <c r="AH793" i="2"/>
  <c r="AH617" i="2" s="1"/>
  <c r="AJ271" i="2"/>
  <c r="AJ734" i="2" s="1"/>
  <c r="AI785" i="2"/>
  <c r="AI295" i="2" s="1"/>
  <c r="AG613" i="2"/>
  <c r="AG615" i="2"/>
  <c r="AJ273" i="2"/>
  <c r="AJ736" i="2" s="1"/>
  <c r="AI787" i="2"/>
  <c r="AI297" i="2" s="1"/>
  <c r="AJ276" i="2"/>
  <c r="AJ739" i="2" s="1"/>
  <c r="AI790" i="2"/>
  <c r="AI300" i="2" s="1"/>
  <c r="AJ275" i="2"/>
  <c r="AJ738" i="2" s="1"/>
  <c r="AI789" i="2"/>
  <c r="AI299" i="2" s="1"/>
  <c r="AG612" i="2"/>
  <c r="AG616" i="2"/>
  <c r="AJ278" i="2"/>
  <c r="AJ741" i="2" s="1"/>
  <c r="AI792" i="2"/>
  <c r="AI302" i="2" s="1"/>
  <c r="AJ272" i="2"/>
  <c r="AJ735" i="2" s="1"/>
  <c r="AI786" i="2"/>
  <c r="AI296" i="2" s="1"/>
  <c r="AG614" i="2"/>
  <c r="AI733" i="2"/>
  <c r="AC721" i="2"/>
  <c r="AH89" i="2"/>
  <c r="AG61" i="2"/>
  <c r="AG97" i="2"/>
  <c r="AG103" i="2" s="1"/>
  <c r="AD714" i="2"/>
  <c r="AG444" i="2"/>
  <c r="AD707" i="2"/>
  <c r="AD691" i="2"/>
  <c r="AF425" i="2"/>
  <c r="AF451" i="2" s="1"/>
  <c r="AF417" i="2"/>
  <c r="AE672" i="2"/>
  <c r="AE293" i="2" s="1"/>
  <c r="AE309" i="2" s="1"/>
  <c r="AF426" i="2"/>
  <c r="AF452" i="2" s="1"/>
  <c r="AF418" i="2"/>
  <c r="AG411" i="2"/>
  <c r="AG419" i="2"/>
  <c r="AE673" i="2"/>
  <c r="AE294" i="2" s="1"/>
  <c r="AE310" i="2" s="1"/>
  <c r="AF666" i="2"/>
  <c r="AF287" i="2" s="1"/>
  <c r="AF303" i="2" s="1"/>
  <c r="AC715" i="2"/>
  <c r="AD692" i="2"/>
  <c r="AD708" i="2"/>
  <c r="AE671" i="2"/>
  <c r="AE292" i="2" s="1"/>
  <c r="AE308" i="2" s="1"/>
  <c r="AC718" i="2"/>
  <c r="AF421" i="2"/>
  <c r="AF413" i="2"/>
  <c r="AD695" i="2"/>
  <c r="AD711" i="2"/>
  <c r="AG438" i="2"/>
  <c r="AA91" i="2" l="1"/>
  <c r="AC81" i="2"/>
  <c r="AD694" i="2"/>
  <c r="AD718" i="2" s="1"/>
  <c r="AD693" i="2"/>
  <c r="AD717" i="2" s="1"/>
  <c r="AB265" i="2"/>
  <c r="AB266" i="2" s="1"/>
  <c r="AB91" i="2" s="1"/>
  <c r="AD713" i="2"/>
  <c r="AD712" i="2"/>
  <c r="AD720" i="2" s="1"/>
  <c r="AC311" i="2"/>
  <c r="AD677" i="2"/>
  <c r="AD290" i="2"/>
  <c r="AD306" i="2" s="1"/>
  <c r="AC172" i="2"/>
  <c r="AE661" i="2"/>
  <c r="AE685" i="2" s="1"/>
  <c r="AE693" i="2" s="1"/>
  <c r="AE282" i="2"/>
  <c r="AD177" i="2"/>
  <c r="AF660" i="2"/>
  <c r="AF684" i="2" s="1"/>
  <c r="AF281" i="2"/>
  <c r="AC178" i="2"/>
  <c r="AC263" i="2"/>
  <c r="AE660" i="2"/>
  <c r="AE684" i="2" s="1"/>
  <c r="AE692" i="2" s="1"/>
  <c r="AE281" i="2"/>
  <c r="AD680" i="2"/>
  <c r="AD293" i="2"/>
  <c r="AD309" i="2" s="1"/>
  <c r="AE662" i="2"/>
  <c r="AE686" i="2" s="1"/>
  <c r="AE694" i="2" s="1"/>
  <c r="AE283" i="2"/>
  <c r="AB180" i="2"/>
  <c r="AB181" i="2" s="1"/>
  <c r="AE669" i="2"/>
  <c r="AA88" i="2"/>
  <c r="AA182" i="2"/>
  <c r="AD678" i="2"/>
  <c r="AD291" i="2"/>
  <c r="AD307" i="2" s="1"/>
  <c r="AD681" i="2"/>
  <c r="AD294" i="2"/>
  <c r="AD310" i="2" s="1"/>
  <c r="AE668" i="2"/>
  <c r="AE659" i="2"/>
  <c r="AE683" i="2" s="1"/>
  <c r="AE691" i="2" s="1"/>
  <c r="AE280" i="2"/>
  <c r="AC260" i="2"/>
  <c r="AC175" i="2"/>
  <c r="AA267" i="2"/>
  <c r="AE428" i="2" a="1"/>
  <c r="AE428" i="2" s="1"/>
  <c r="AE667" i="2"/>
  <c r="AF653" i="2"/>
  <c r="AF645" i="2"/>
  <c r="AF651" i="2"/>
  <c r="AF667" i="2" s="1"/>
  <c r="AF643" i="2"/>
  <c r="AF655" i="2"/>
  <c r="AF647" i="2"/>
  <c r="AF654" i="2"/>
  <c r="AF646" i="2"/>
  <c r="AE670" i="2"/>
  <c r="AE445" i="2"/>
  <c r="AE427" i="2"/>
  <c r="AE74" i="2" s="1"/>
  <c r="AE71" i="2" s="1"/>
  <c r="AG445" i="2"/>
  <c r="AE449" i="2"/>
  <c r="AD453" i="2"/>
  <c r="AE448" i="2"/>
  <c r="AE447" i="2"/>
  <c r="AF759" i="2"/>
  <c r="AF422" i="2"/>
  <c r="AF414" i="2"/>
  <c r="AE446" i="2"/>
  <c r="AF442" i="2"/>
  <c r="AF424" i="2"/>
  <c r="AF416" i="2"/>
  <c r="AF440" i="2"/>
  <c r="AG621" i="2"/>
  <c r="AG629" i="2" s="1"/>
  <c r="AG637" i="2" s="1"/>
  <c r="AG745" i="2"/>
  <c r="AG754" i="2" s="1"/>
  <c r="AG624" i="2"/>
  <c r="AG632" i="2" s="1"/>
  <c r="AG640" i="2" s="1"/>
  <c r="AG748" i="2"/>
  <c r="AG757" i="2" s="1"/>
  <c r="AH625" i="2"/>
  <c r="AH633" i="2" s="1"/>
  <c r="AH641" i="2" s="1"/>
  <c r="AH749" i="2"/>
  <c r="AH758" i="2" s="1"/>
  <c r="AF423" i="2"/>
  <c r="AG620" i="2"/>
  <c r="AG628" i="2" s="1"/>
  <c r="AG636" i="2" s="1"/>
  <c r="AG744" i="2"/>
  <c r="AG753" i="2" s="1"/>
  <c r="AG618" i="2"/>
  <c r="AG742" i="2"/>
  <c r="AG751" i="2" s="1"/>
  <c r="AF412" i="2"/>
  <c r="AF441" i="2"/>
  <c r="AF750" i="2"/>
  <c r="AG623" i="2"/>
  <c r="AG631" i="2" s="1"/>
  <c r="AG639" i="2" s="1"/>
  <c r="AG747" i="2"/>
  <c r="AG756" i="2" s="1"/>
  <c r="AC714" i="2"/>
  <c r="AC722" i="2" s="1"/>
  <c r="AF447" i="2"/>
  <c r="AF415" i="2"/>
  <c r="AE658" i="2"/>
  <c r="AE682" i="2" s="1"/>
  <c r="AE666" i="2"/>
  <c r="AG619" i="2"/>
  <c r="AG743" i="2"/>
  <c r="AG752" i="2" s="1"/>
  <c r="AF420" i="2"/>
  <c r="AG622" i="2"/>
  <c r="AG630" i="2" s="1"/>
  <c r="AG638" i="2" s="1"/>
  <c r="AG746" i="2"/>
  <c r="AG755" i="2" s="1"/>
  <c r="AF438" i="2"/>
  <c r="AH611" i="2"/>
  <c r="AH610" i="2"/>
  <c r="AK271" i="2"/>
  <c r="AK734" i="2" s="1"/>
  <c r="AJ785" i="2"/>
  <c r="AJ295" i="2" s="1"/>
  <c r="AK275" i="2"/>
  <c r="AK738" i="2" s="1"/>
  <c r="AJ789" i="2"/>
  <c r="AJ299" i="2" s="1"/>
  <c r="AK276" i="2"/>
  <c r="AK739" i="2" s="1"/>
  <c r="AJ790" i="2"/>
  <c r="AJ300" i="2" s="1"/>
  <c r="AH615" i="2"/>
  <c r="AH612" i="2"/>
  <c r="AH613" i="2"/>
  <c r="AK277" i="2"/>
  <c r="AK740" i="2" s="1"/>
  <c r="AJ791" i="2"/>
  <c r="AJ301" i="2" s="1"/>
  <c r="AK272" i="2"/>
  <c r="AK735" i="2" s="1"/>
  <c r="AJ786" i="2"/>
  <c r="AJ296" i="2" s="1"/>
  <c r="AH616" i="2"/>
  <c r="AI793" i="2"/>
  <c r="AI613" i="2" s="1"/>
  <c r="AK273" i="2"/>
  <c r="AK736" i="2" s="1"/>
  <c r="AJ787" i="2"/>
  <c r="AJ297" i="2" s="1"/>
  <c r="AK278" i="2"/>
  <c r="AK741" i="2" s="1"/>
  <c r="AJ792" i="2"/>
  <c r="AJ302" i="2" s="1"/>
  <c r="AH614" i="2"/>
  <c r="AK274" i="2"/>
  <c r="AK737" i="2" s="1"/>
  <c r="AJ788" i="2"/>
  <c r="AJ298" i="2" s="1"/>
  <c r="AJ733" i="2"/>
  <c r="AE697" i="2"/>
  <c r="AE713" i="2"/>
  <c r="AF668" i="2"/>
  <c r="AD716" i="2"/>
  <c r="AF672" i="2"/>
  <c r="AF293" i="2" s="1"/>
  <c r="AF309" i="2" s="1"/>
  <c r="AH439" i="2"/>
  <c r="AG666" i="2"/>
  <c r="AG287" i="2" s="1"/>
  <c r="AG303" i="2" s="1"/>
  <c r="AG418" i="2"/>
  <c r="AG426" i="2"/>
  <c r="AG452" i="2" s="1"/>
  <c r="AD721" i="2"/>
  <c r="AE695" i="2"/>
  <c r="AE711" i="2"/>
  <c r="AF673" i="2"/>
  <c r="AF294" i="2" s="1"/>
  <c r="AF310" i="2" s="1"/>
  <c r="AF706" i="2"/>
  <c r="AF690" i="2"/>
  <c r="AE696" i="2"/>
  <c r="AE712" i="2"/>
  <c r="AG420" i="2"/>
  <c r="AG446" i="2" s="1"/>
  <c r="AG412" i="2"/>
  <c r="AH438" i="2"/>
  <c r="AD719" i="2"/>
  <c r="AD715" i="2"/>
  <c r="AH61" i="2"/>
  <c r="AH97" i="2"/>
  <c r="AH103" i="2" s="1"/>
  <c r="AI89" i="2"/>
  <c r="AC265" i="2" l="1"/>
  <c r="AC266" i="2" s="1"/>
  <c r="AC268" i="2" s="1"/>
  <c r="AB268" i="2"/>
  <c r="AD81" i="2"/>
  <c r="AE707" i="2"/>
  <c r="AE715" i="2" s="1"/>
  <c r="AE710" i="2"/>
  <c r="AE718" i="2" s="1"/>
  <c r="AE708" i="2"/>
  <c r="AE716" i="2" s="1"/>
  <c r="AE709" i="2"/>
  <c r="AE717" i="2" s="1"/>
  <c r="AF676" i="2"/>
  <c r="AF174" i="2" s="1"/>
  <c r="AF289" i="2"/>
  <c r="AF305" i="2" s="1"/>
  <c r="AD176" i="2"/>
  <c r="AD261" i="2"/>
  <c r="AF675" i="2"/>
  <c r="AF173" i="2" s="1"/>
  <c r="AF288" i="2"/>
  <c r="AF304" i="2" s="1"/>
  <c r="AC180" i="2"/>
  <c r="AC181" i="2" s="1"/>
  <c r="AD263" i="2"/>
  <c r="AD178" i="2"/>
  <c r="AD175" i="2"/>
  <c r="AD260" i="2"/>
  <c r="AF661" i="2"/>
  <c r="AF685" i="2" s="1"/>
  <c r="AF709" i="2" s="1"/>
  <c r="AF282" i="2"/>
  <c r="AE675" i="2"/>
  <c r="AE288" i="2"/>
  <c r="AE304" i="2" s="1"/>
  <c r="AE678" i="2"/>
  <c r="AE176" i="2" s="1"/>
  <c r="AE291" i="2"/>
  <c r="AE307" i="2" s="1"/>
  <c r="AE677" i="2"/>
  <c r="AE290" i="2"/>
  <c r="AE306" i="2" s="1"/>
  <c r="AE674" i="2"/>
  <c r="AE172" i="2" s="1"/>
  <c r="AE287" i="2"/>
  <c r="AE303" i="2" s="1"/>
  <c r="AB88" i="2"/>
  <c r="AB182" i="2"/>
  <c r="AF662" i="2"/>
  <c r="AF686" i="2" s="1"/>
  <c r="AF710" i="2" s="1"/>
  <c r="AF283" i="2"/>
  <c r="AF663" i="2"/>
  <c r="AF687" i="2" s="1"/>
  <c r="AF695" i="2" s="1"/>
  <c r="AF284" i="2"/>
  <c r="AE676" i="2"/>
  <c r="AE289" i="2"/>
  <c r="AE305" i="2" s="1"/>
  <c r="AD311" i="2"/>
  <c r="AF659" i="2"/>
  <c r="AF683" i="2" s="1"/>
  <c r="AF691" i="2" s="1"/>
  <c r="AF280" i="2"/>
  <c r="AD179" i="2"/>
  <c r="AD264" i="2"/>
  <c r="AB267" i="2"/>
  <c r="AF671" i="2"/>
  <c r="AF428" i="2" a="1"/>
  <c r="AF428" i="2" s="1"/>
  <c r="AF669" i="2"/>
  <c r="AG655" i="2"/>
  <c r="AG647" i="2"/>
  <c r="AG656" i="2"/>
  <c r="AG672" i="2" s="1"/>
  <c r="AG648" i="2"/>
  <c r="AG654" i="2"/>
  <c r="AG646" i="2"/>
  <c r="AG653" i="2"/>
  <c r="AG645" i="2"/>
  <c r="AG652" i="2"/>
  <c r="AG644" i="2"/>
  <c r="AF670" i="2"/>
  <c r="AH657" i="2"/>
  <c r="AH649" i="2"/>
  <c r="AG413" i="2"/>
  <c r="AG421" i="2"/>
  <c r="AF427" i="2"/>
  <c r="AF74" i="2" s="1"/>
  <c r="AF71" i="2" s="1"/>
  <c r="AF448" i="2"/>
  <c r="AE453" i="2"/>
  <c r="AF450" i="2"/>
  <c r="AG759" i="2"/>
  <c r="AF446" i="2"/>
  <c r="AG425" i="2"/>
  <c r="AG417" i="2"/>
  <c r="AF449" i="2"/>
  <c r="AG442" i="2"/>
  <c r="AG424" i="2"/>
  <c r="AG423" i="2"/>
  <c r="AG422" i="2"/>
  <c r="AG441" i="2"/>
  <c r="AG414" i="2"/>
  <c r="AG750" i="2"/>
  <c r="AH444" i="2"/>
  <c r="AG416" i="2"/>
  <c r="AG440" i="2"/>
  <c r="AG443" i="2"/>
  <c r="AH621" i="2"/>
  <c r="AH629" i="2" s="1"/>
  <c r="AH637" i="2" s="1"/>
  <c r="AH745" i="2"/>
  <c r="AH754" i="2" s="1"/>
  <c r="AE690" i="2"/>
  <c r="AE81" i="2" s="1"/>
  <c r="AE706" i="2"/>
  <c r="AH618" i="2"/>
  <c r="AH626" i="2" s="1"/>
  <c r="AH634" i="2" s="1"/>
  <c r="AH642" i="2" s="1"/>
  <c r="AH742" i="2"/>
  <c r="AH751" i="2" s="1"/>
  <c r="AI621" i="2"/>
  <c r="AI629" i="2" s="1"/>
  <c r="AI637" i="2" s="1"/>
  <c r="AI745" i="2"/>
  <c r="AI754" i="2" s="1"/>
  <c r="AH619" i="2"/>
  <c r="AH743" i="2"/>
  <c r="AH752" i="2" s="1"/>
  <c r="AH623" i="2"/>
  <c r="AH631" i="2" s="1"/>
  <c r="AH639" i="2" s="1"/>
  <c r="AH747" i="2"/>
  <c r="AH756" i="2" s="1"/>
  <c r="AG439" i="2"/>
  <c r="AH624" i="2"/>
  <c r="AH632" i="2" s="1"/>
  <c r="AH640" i="2" s="1"/>
  <c r="AH748" i="2"/>
  <c r="AH757" i="2" s="1"/>
  <c r="AG415" i="2"/>
  <c r="AH622" i="2"/>
  <c r="AH630" i="2" s="1"/>
  <c r="AH638" i="2" s="1"/>
  <c r="AH746" i="2"/>
  <c r="AH755" i="2" s="1"/>
  <c r="AH620" i="2"/>
  <c r="AH744" i="2"/>
  <c r="AH753" i="2" s="1"/>
  <c r="AI612" i="2"/>
  <c r="AI614" i="2"/>
  <c r="AL273" i="2"/>
  <c r="AL736" i="2" s="1"/>
  <c r="AK787" i="2"/>
  <c r="AK297" i="2" s="1"/>
  <c r="AI610" i="2"/>
  <c r="AI615" i="2"/>
  <c r="AL274" i="2"/>
  <c r="AL737" i="2" s="1"/>
  <c r="AK788" i="2"/>
  <c r="AK298" i="2" s="1"/>
  <c r="AI616" i="2"/>
  <c r="AL278" i="2"/>
  <c r="AL741" i="2" s="1"/>
  <c r="AK792" i="2"/>
  <c r="AK302" i="2" s="1"/>
  <c r="AL277" i="2"/>
  <c r="AL740" i="2" s="1"/>
  <c r="AK791" i="2"/>
  <c r="AK301" i="2" s="1"/>
  <c r="AL275" i="2"/>
  <c r="AL738" i="2" s="1"/>
  <c r="AK789" i="2"/>
  <c r="AK299" i="2" s="1"/>
  <c r="AJ793" i="2"/>
  <c r="AJ613" i="2" s="1"/>
  <c r="AL272" i="2"/>
  <c r="AL735" i="2" s="1"/>
  <c r="AK786" i="2"/>
  <c r="AK296" i="2" s="1"/>
  <c r="AL276" i="2"/>
  <c r="AL739" i="2" s="1"/>
  <c r="AK790" i="2"/>
  <c r="AK300" i="2" s="1"/>
  <c r="AI617" i="2"/>
  <c r="AI611" i="2"/>
  <c r="AL271" i="2"/>
  <c r="AL734" i="2" s="1"/>
  <c r="AK785" i="2"/>
  <c r="AK295" i="2" s="1"/>
  <c r="AK733" i="2"/>
  <c r="AL733" i="2"/>
  <c r="AD722" i="2"/>
  <c r="AE720" i="2"/>
  <c r="AE719" i="2"/>
  <c r="AF713" i="2"/>
  <c r="AF697" i="2"/>
  <c r="AH413" i="2"/>
  <c r="AH421" i="2"/>
  <c r="AH447" i="2" s="1"/>
  <c r="AG706" i="2"/>
  <c r="AG690" i="2"/>
  <c r="AG667" i="2"/>
  <c r="AG288" i="2" s="1"/>
  <c r="AG304" i="2" s="1"/>
  <c r="AI443" i="2"/>
  <c r="AJ437" i="2"/>
  <c r="AH412" i="2"/>
  <c r="AH420" i="2"/>
  <c r="AH446" i="2" s="1"/>
  <c r="AF708" i="2"/>
  <c r="AF692" i="2"/>
  <c r="AF712" i="2"/>
  <c r="AF696" i="2"/>
  <c r="AH426" i="2"/>
  <c r="AH418" i="2"/>
  <c r="AJ89" i="2"/>
  <c r="AI97" i="2"/>
  <c r="AI103" i="2" s="1"/>
  <c r="AI61" i="2"/>
  <c r="AI62" i="2"/>
  <c r="C901" i="2" s="1"/>
  <c r="AI99" i="2"/>
  <c r="AI105" i="2" s="1"/>
  <c r="AG673" i="2"/>
  <c r="AG294" i="2" s="1"/>
  <c r="AG310" i="2" s="1"/>
  <c r="AF714" i="2"/>
  <c r="AI442" i="2"/>
  <c r="AE721" i="2"/>
  <c r="AC91" i="2" l="1"/>
  <c r="AF693" i="2"/>
  <c r="AF259" i="2"/>
  <c r="AF694" i="2"/>
  <c r="AF718" i="2" s="1"/>
  <c r="AE311" i="2"/>
  <c r="AF258" i="2"/>
  <c r="AG662" i="2"/>
  <c r="AG686" i="2" s="1"/>
  <c r="AG694" i="2" s="1"/>
  <c r="AG283" i="2"/>
  <c r="AC88" i="2"/>
  <c r="AC182" i="2"/>
  <c r="AG663" i="2"/>
  <c r="AG687" i="2" s="1"/>
  <c r="AG695" i="2" s="1"/>
  <c r="AG284" i="2"/>
  <c r="AG671" i="2"/>
  <c r="AF678" i="2"/>
  <c r="AF176" i="2" s="1"/>
  <c r="AF291" i="2"/>
  <c r="AF307" i="2" s="1"/>
  <c r="AF677" i="2"/>
  <c r="AF175" i="2" s="1"/>
  <c r="AF290" i="2"/>
  <c r="AF306" i="2" s="1"/>
  <c r="AE173" i="2"/>
  <c r="AE258" i="2"/>
  <c r="AF707" i="2"/>
  <c r="AF715" i="2" s="1"/>
  <c r="AG660" i="2"/>
  <c r="AG684" i="2" s="1"/>
  <c r="AG708" i="2" s="1"/>
  <c r="AG281" i="2"/>
  <c r="AF679" i="2"/>
  <c r="AF292" i="2"/>
  <c r="AF308" i="2" s="1"/>
  <c r="AG680" i="2"/>
  <c r="AG178" i="2" s="1"/>
  <c r="AG293" i="2"/>
  <c r="AG309" i="2" s="1"/>
  <c r="AE259" i="2"/>
  <c r="AE174" i="2"/>
  <c r="AD265" i="2"/>
  <c r="AD266" i="2" s="1"/>
  <c r="AD268" i="2" s="1"/>
  <c r="AE257" i="2"/>
  <c r="AG670" i="2"/>
  <c r="AG664" i="2"/>
  <c r="AG688" i="2" s="1"/>
  <c r="AG696" i="2" s="1"/>
  <c r="AG285" i="2"/>
  <c r="AE175" i="2"/>
  <c r="AE260" i="2"/>
  <c r="AH665" i="2"/>
  <c r="AH689" i="2" s="1"/>
  <c r="AH286" i="2"/>
  <c r="AE261" i="2"/>
  <c r="AF711" i="2"/>
  <c r="AF719" i="2" s="1"/>
  <c r="AG661" i="2"/>
  <c r="AG685" i="2" s="1"/>
  <c r="AG693" i="2" s="1"/>
  <c r="AG282" i="2"/>
  <c r="AD180" i="2"/>
  <c r="AD181" i="2" s="1"/>
  <c r="AC267" i="2"/>
  <c r="AG428" i="2" a="1"/>
  <c r="AG428" i="2" s="1"/>
  <c r="AG669" i="2"/>
  <c r="AI653" i="2"/>
  <c r="AI645" i="2"/>
  <c r="AH654" i="2"/>
  <c r="AH670" i="2" s="1"/>
  <c r="AH646" i="2"/>
  <c r="AG668" i="2"/>
  <c r="AH655" i="2"/>
  <c r="AH647" i="2"/>
  <c r="AH656" i="2"/>
  <c r="AH648" i="2"/>
  <c r="AH414" i="2"/>
  <c r="AH645" i="2"/>
  <c r="AG427" i="2"/>
  <c r="AG74" i="2" s="1"/>
  <c r="AG71" i="2" s="1"/>
  <c r="AG450" i="2"/>
  <c r="AG447" i="2"/>
  <c r="AG451" i="2"/>
  <c r="AF453" i="2"/>
  <c r="AH422" i="2"/>
  <c r="AH425" i="2"/>
  <c r="AG449" i="2"/>
  <c r="AH423" i="2"/>
  <c r="AH417" i="2"/>
  <c r="AH759" i="2"/>
  <c r="AH415" i="2"/>
  <c r="AG448" i="2"/>
  <c r="AH441" i="2"/>
  <c r="AH452" i="2"/>
  <c r="AI620" i="2"/>
  <c r="AI628" i="2" s="1"/>
  <c r="AI636" i="2" s="1"/>
  <c r="AI744" i="2"/>
  <c r="AI753" i="2" s="1"/>
  <c r="AH424" i="2"/>
  <c r="AH750" i="2"/>
  <c r="AH650" i="2"/>
  <c r="AH279" i="2" s="1"/>
  <c r="AH419" i="2"/>
  <c r="AH437" i="2"/>
  <c r="AH411" i="2"/>
  <c r="AI625" i="2"/>
  <c r="AI633" i="2" s="1"/>
  <c r="AI641" i="2" s="1"/>
  <c r="AI749" i="2"/>
  <c r="AI758" i="2" s="1"/>
  <c r="AI624" i="2"/>
  <c r="AI748" i="2"/>
  <c r="AI757" i="2" s="1"/>
  <c r="AH442" i="2"/>
  <c r="AH416" i="2"/>
  <c r="AJ621" i="2"/>
  <c r="AJ629" i="2" s="1"/>
  <c r="AJ637" i="2" s="1"/>
  <c r="AJ745" i="2"/>
  <c r="AJ754" i="2" s="1"/>
  <c r="AI623" i="2"/>
  <c r="AI747" i="2"/>
  <c r="AI756" i="2" s="1"/>
  <c r="AI440" i="2"/>
  <c r="AI618" i="2"/>
  <c r="AI626" i="2" s="1"/>
  <c r="AI634" i="2" s="1"/>
  <c r="AI742" i="2"/>
  <c r="AI751" i="2" s="1"/>
  <c r="AI619" i="2"/>
  <c r="AI627" i="2" s="1"/>
  <c r="AI635" i="2" s="1"/>
  <c r="AI743" i="2"/>
  <c r="AI752" i="2" s="1"/>
  <c r="AI622" i="2"/>
  <c r="AI630" i="2" s="1"/>
  <c r="AI638" i="2" s="1"/>
  <c r="AI746" i="2"/>
  <c r="AI755" i="2" s="1"/>
  <c r="AE714" i="2"/>
  <c r="AE722" i="2" s="1"/>
  <c r="AH443" i="2"/>
  <c r="AH653" i="2"/>
  <c r="AH440" i="2"/>
  <c r="AJ612" i="2"/>
  <c r="AM274" i="2"/>
  <c r="AM737" i="2" s="1"/>
  <c r="AL788" i="2"/>
  <c r="AL298" i="2" s="1"/>
  <c r="AM277" i="2"/>
  <c r="AM740" i="2" s="1"/>
  <c r="AL791" i="2"/>
  <c r="AL301" i="2" s="1"/>
  <c r="AM273" i="2"/>
  <c r="AM736" i="2" s="1"/>
  <c r="AL787" i="2"/>
  <c r="AL297" i="2" s="1"/>
  <c r="AK793" i="2"/>
  <c r="AK611" i="2" s="1"/>
  <c r="AM271" i="2"/>
  <c r="AM734" i="2" s="1"/>
  <c r="AL785" i="2"/>
  <c r="AL295" i="2" s="1"/>
  <c r="AJ615" i="2"/>
  <c r="AJ617" i="2"/>
  <c r="AM275" i="2"/>
  <c r="AM738" i="2" s="1"/>
  <c r="AL789" i="2"/>
  <c r="AL299" i="2" s="1"/>
  <c r="AM272" i="2"/>
  <c r="AM735" i="2" s="1"/>
  <c r="AL786" i="2"/>
  <c r="AL296" i="2" s="1"/>
  <c r="AM278" i="2"/>
  <c r="AM741" i="2" s="1"/>
  <c r="AL792" i="2"/>
  <c r="AL302" i="2" s="1"/>
  <c r="AJ611" i="2"/>
  <c r="AJ614" i="2"/>
  <c r="AM276" i="2"/>
  <c r="AM739" i="2" s="1"/>
  <c r="AL790" i="2"/>
  <c r="AL300" i="2" s="1"/>
  <c r="AJ610" i="2"/>
  <c r="AJ616" i="2"/>
  <c r="AF721" i="2"/>
  <c r="AF720" i="2"/>
  <c r="AJ61" i="2"/>
  <c r="AJ97" i="2"/>
  <c r="AJ103" i="2" s="1"/>
  <c r="AK89" i="2"/>
  <c r="AJ444" i="2"/>
  <c r="AH667" i="2"/>
  <c r="AH288" i="2" s="1"/>
  <c r="AH304" i="2" s="1"/>
  <c r="AG714" i="2"/>
  <c r="AI424" i="2"/>
  <c r="AI450" i="2" s="1"/>
  <c r="AI416" i="2"/>
  <c r="AG691" i="2"/>
  <c r="AG707" i="2"/>
  <c r="AH668" i="2"/>
  <c r="AH289" i="2" s="1"/>
  <c r="AH305" i="2" s="1"/>
  <c r="AH673" i="2"/>
  <c r="AG697" i="2"/>
  <c r="AG713" i="2"/>
  <c r="AJ419" i="2"/>
  <c r="AJ411" i="2"/>
  <c r="AI422" i="2"/>
  <c r="AI414" i="2"/>
  <c r="AK437" i="2"/>
  <c r="AI425" i="2"/>
  <c r="AI451" i="2" s="1"/>
  <c r="AI417" i="2"/>
  <c r="AJ443" i="2"/>
  <c r="AF716" i="2"/>
  <c r="AF81" i="2" l="1"/>
  <c r="AG692" i="2"/>
  <c r="AG81" i="2" s="1"/>
  <c r="AG712" i="2"/>
  <c r="AG720" i="2" s="1"/>
  <c r="AF717" i="2"/>
  <c r="AF722" i="2" s="1"/>
  <c r="AG710" i="2"/>
  <c r="AG718" i="2" s="1"/>
  <c r="AF261" i="2"/>
  <c r="AE180" i="2"/>
  <c r="AE181" i="2" s="1"/>
  <c r="AE88" i="2" s="1"/>
  <c r="AF311" i="2"/>
  <c r="AH678" i="2"/>
  <c r="AH176" i="2" s="1"/>
  <c r="AH291" i="2"/>
  <c r="AH307" i="2" s="1"/>
  <c r="AG676" i="2"/>
  <c r="AG289" i="2"/>
  <c r="AG305" i="2" s="1"/>
  <c r="AG709" i="2"/>
  <c r="AG717" i="2" s="1"/>
  <c r="AG263" i="2"/>
  <c r="AI661" i="2"/>
  <c r="AI685" i="2" s="1"/>
  <c r="AI282" i="2"/>
  <c r="AF262" i="2"/>
  <c r="AF177" i="2"/>
  <c r="AF180" i="2" s="1"/>
  <c r="AF181" i="2" s="1"/>
  <c r="AH661" i="2"/>
  <c r="AH685" i="2" s="1"/>
  <c r="AH709" i="2" s="1"/>
  <c r="AH282" i="2"/>
  <c r="AH664" i="2"/>
  <c r="AH688" i="2" s="1"/>
  <c r="AH712" i="2" s="1"/>
  <c r="AH285" i="2"/>
  <c r="AG678" i="2"/>
  <c r="AG291" i="2"/>
  <c r="AG307" i="2" s="1"/>
  <c r="AH662" i="2"/>
  <c r="AH686" i="2" s="1"/>
  <c r="AH694" i="2" s="1"/>
  <c r="AH283" i="2"/>
  <c r="AG677" i="2"/>
  <c r="AG290" i="2"/>
  <c r="AG306" i="2" s="1"/>
  <c r="AF260" i="2"/>
  <c r="AE265" i="2"/>
  <c r="AE266" i="2" s="1"/>
  <c r="AE268" i="2" s="1"/>
  <c r="AH681" i="2"/>
  <c r="AH179" i="2" s="1"/>
  <c r="AH294" i="2"/>
  <c r="AH310" i="2" s="1"/>
  <c r="AG679" i="2"/>
  <c r="AG292" i="2"/>
  <c r="AG308" i="2" s="1"/>
  <c r="AG711" i="2"/>
  <c r="AG719" i="2" s="1"/>
  <c r="AD88" i="2"/>
  <c r="AD182" i="2"/>
  <c r="AH663" i="2"/>
  <c r="AH687" i="2" s="1"/>
  <c r="AH695" i="2" s="1"/>
  <c r="AH284" i="2"/>
  <c r="AD91" i="2"/>
  <c r="AD267" i="2"/>
  <c r="AH671" i="2"/>
  <c r="AH428" i="2" a="1"/>
  <c r="AH428" i="2" s="1"/>
  <c r="AJ653" i="2"/>
  <c r="AJ645" i="2"/>
  <c r="AJ440" i="2"/>
  <c r="AI652" i="2"/>
  <c r="AI644" i="2"/>
  <c r="AI657" i="2"/>
  <c r="AI649" i="2"/>
  <c r="AI654" i="2"/>
  <c r="AI646" i="2"/>
  <c r="AI651" i="2"/>
  <c r="AI643" i="2"/>
  <c r="AH672" i="2"/>
  <c r="AI419" i="2"/>
  <c r="AI642" i="2"/>
  <c r="AH451" i="2"/>
  <c r="AH427" i="2"/>
  <c r="AH74" i="2" s="1"/>
  <c r="AH71" i="2" s="1"/>
  <c r="AJ445" i="2"/>
  <c r="AG453" i="2"/>
  <c r="AH449" i="2"/>
  <c r="AI421" i="2"/>
  <c r="AI413" i="2"/>
  <c r="AH448" i="2"/>
  <c r="AI759" i="2"/>
  <c r="AI423" i="2"/>
  <c r="AI439" i="2"/>
  <c r="AI441" i="2"/>
  <c r="AI415" i="2"/>
  <c r="AH450" i="2"/>
  <c r="AI750" i="2"/>
  <c r="AI444" i="2"/>
  <c r="AI420" i="2"/>
  <c r="AI412" i="2"/>
  <c r="AJ619" i="2"/>
  <c r="AJ627" i="2" s="1"/>
  <c r="AJ635" i="2" s="1"/>
  <c r="AJ743" i="2"/>
  <c r="AJ752" i="2" s="1"/>
  <c r="AK619" i="2"/>
  <c r="AK743" i="2"/>
  <c r="AK752" i="2" s="1"/>
  <c r="AI426" i="2"/>
  <c r="AI438" i="2"/>
  <c r="AJ620" i="2"/>
  <c r="AJ628" i="2" s="1"/>
  <c r="AJ636" i="2" s="1"/>
  <c r="AJ744" i="2"/>
  <c r="AJ753" i="2" s="1"/>
  <c r="AI418" i="2"/>
  <c r="AI437" i="2"/>
  <c r="AI650" i="2"/>
  <c r="AI411" i="2"/>
  <c r="AH445" i="2"/>
  <c r="AJ624" i="2"/>
  <c r="AJ748" i="2"/>
  <c r="AJ757" i="2" s="1"/>
  <c r="AK612" i="2"/>
  <c r="AH658" i="2"/>
  <c r="AH682" i="2" s="1"/>
  <c r="AH666" i="2"/>
  <c r="AJ618" i="2"/>
  <c r="AJ742" i="2"/>
  <c r="AJ751" i="2" s="1"/>
  <c r="AH669" i="2"/>
  <c r="AK614" i="2"/>
  <c r="AJ625" i="2"/>
  <c r="AJ749" i="2"/>
  <c r="AJ758" i="2" s="1"/>
  <c r="AI448" i="2"/>
  <c r="AJ622" i="2"/>
  <c r="AJ630" i="2" s="1"/>
  <c r="AJ638" i="2" s="1"/>
  <c r="AJ746" i="2"/>
  <c r="AJ755" i="2" s="1"/>
  <c r="AJ623" i="2"/>
  <c r="AJ631" i="2" s="1"/>
  <c r="AJ639" i="2" s="1"/>
  <c r="AJ747" i="2"/>
  <c r="AJ756" i="2" s="1"/>
  <c r="AK615" i="2"/>
  <c r="AK616" i="2"/>
  <c r="AK617" i="2"/>
  <c r="AK610" i="2"/>
  <c r="AN273" i="2"/>
  <c r="AN736" i="2" s="1"/>
  <c r="AM787" i="2"/>
  <c r="AM297" i="2" s="1"/>
  <c r="AN272" i="2"/>
  <c r="AN735" i="2" s="1"/>
  <c r="AM786" i="2"/>
  <c r="AM296" i="2" s="1"/>
  <c r="AN275" i="2"/>
  <c r="AN738" i="2" s="1"/>
  <c r="AM789" i="2"/>
  <c r="AM299" i="2" s="1"/>
  <c r="AN276" i="2"/>
  <c r="AN739" i="2" s="1"/>
  <c r="AM790" i="2"/>
  <c r="AM300" i="2" s="1"/>
  <c r="AL793" i="2"/>
  <c r="AL617" i="2" s="1"/>
  <c r="AN277" i="2"/>
  <c r="AN740" i="2" s="1"/>
  <c r="AM791" i="2"/>
  <c r="AM301" i="2" s="1"/>
  <c r="AN271" i="2"/>
  <c r="AN734" i="2" s="1"/>
  <c r="AM785" i="2"/>
  <c r="AM295" i="2" s="1"/>
  <c r="AN274" i="2"/>
  <c r="AN737" i="2" s="1"/>
  <c r="AM788" i="2"/>
  <c r="AM298" i="2" s="1"/>
  <c r="AN278" i="2"/>
  <c r="AN741" i="2" s="1"/>
  <c r="AM792" i="2"/>
  <c r="AM302" i="2" s="1"/>
  <c r="AK613" i="2"/>
  <c r="AM733" i="2"/>
  <c r="AK411" i="2"/>
  <c r="AK419" i="2"/>
  <c r="AK438" i="2"/>
  <c r="AH708" i="2"/>
  <c r="AH692" i="2"/>
  <c r="AI671" i="2"/>
  <c r="AI292" i="2" s="1"/>
  <c r="AI308" i="2" s="1"/>
  <c r="AI672" i="2"/>
  <c r="AI293" i="2" s="1"/>
  <c r="AI309" i="2" s="1"/>
  <c r="AG715" i="2"/>
  <c r="AI669" i="2"/>
  <c r="AJ418" i="2"/>
  <c r="AJ426" i="2"/>
  <c r="AJ452" i="2" s="1"/>
  <c r="AJ425" i="2"/>
  <c r="AJ451" i="2" s="1"/>
  <c r="AJ417" i="2"/>
  <c r="AJ414" i="2"/>
  <c r="AJ422" i="2"/>
  <c r="AK444" i="2"/>
  <c r="AL437" i="2"/>
  <c r="AK97" i="2"/>
  <c r="AK103" i="2" s="1"/>
  <c r="AL89" i="2"/>
  <c r="AK61" i="2"/>
  <c r="AJ666" i="2"/>
  <c r="AJ287" i="2" s="1"/>
  <c r="AJ303" i="2" s="1"/>
  <c r="AH691" i="2"/>
  <c r="AH707" i="2"/>
  <c r="AH697" i="2"/>
  <c r="AH713" i="2"/>
  <c r="AG721" i="2"/>
  <c r="AH264" i="2" l="1"/>
  <c r="AG716" i="2"/>
  <c r="AG722" i="2" s="1"/>
  <c r="AE182" i="2"/>
  <c r="AF265" i="2"/>
  <c r="AF266" i="2" s="1"/>
  <c r="AF91" i="2" s="1"/>
  <c r="AH696" i="2"/>
  <c r="AH720" i="2" s="1"/>
  <c r="AH693" i="2"/>
  <c r="AI447" i="2"/>
  <c r="AI445" i="2"/>
  <c r="AF88" i="2"/>
  <c r="AF182" i="2"/>
  <c r="AI658" i="2"/>
  <c r="AI682" i="2" s="1"/>
  <c r="AI706" i="2" s="1"/>
  <c r="AI279" i="2"/>
  <c r="AH711" i="2"/>
  <c r="AH719" i="2" s="1"/>
  <c r="AI660" i="2"/>
  <c r="AI684" i="2" s="1"/>
  <c r="AI708" i="2" s="1"/>
  <c r="AI281" i="2"/>
  <c r="AG176" i="2"/>
  <c r="AG261" i="2"/>
  <c r="AH680" i="2"/>
  <c r="AH178" i="2" s="1"/>
  <c r="AH293" i="2"/>
  <c r="AH309" i="2" s="1"/>
  <c r="AH677" i="2"/>
  <c r="AH260" i="2" s="1"/>
  <c r="AH290" i="2"/>
  <c r="AH306" i="2" s="1"/>
  <c r="AG177" i="2"/>
  <c r="AG262" i="2"/>
  <c r="AH710" i="2"/>
  <c r="AH718" i="2" s="1"/>
  <c r="AE267" i="2"/>
  <c r="AE91" i="2"/>
  <c r="AI662" i="2"/>
  <c r="AI686" i="2" s="1"/>
  <c r="AI694" i="2" s="1"/>
  <c r="AI283" i="2"/>
  <c r="AG175" i="2"/>
  <c r="AG260" i="2"/>
  <c r="AI677" i="2"/>
  <c r="AI175" i="2" s="1"/>
  <c r="AI290" i="2"/>
  <c r="AI306" i="2" s="1"/>
  <c r="AI665" i="2"/>
  <c r="AI689" i="2" s="1"/>
  <c r="AI697" i="2" s="1"/>
  <c r="AI286" i="2"/>
  <c r="AG311" i="2"/>
  <c r="AG174" i="2"/>
  <c r="AG259" i="2"/>
  <c r="AH674" i="2"/>
  <c r="AH172" i="2" s="1"/>
  <c r="AH287" i="2"/>
  <c r="AH303" i="2" s="1"/>
  <c r="AJ661" i="2"/>
  <c r="AJ685" i="2" s="1"/>
  <c r="AJ282" i="2"/>
  <c r="AH261" i="2"/>
  <c r="AH679" i="2"/>
  <c r="AH292" i="2"/>
  <c r="AH308" i="2" s="1"/>
  <c r="AI659" i="2"/>
  <c r="AI683" i="2" s="1"/>
  <c r="AI691" i="2" s="1"/>
  <c r="AI280" i="2"/>
  <c r="AI428" i="2" a="1"/>
  <c r="AI428" i="2" s="1"/>
  <c r="AI673" i="2"/>
  <c r="AJ448" i="2"/>
  <c r="AI668" i="2"/>
  <c r="AI670" i="2"/>
  <c r="AJ654" i="2"/>
  <c r="AJ646" i="2"/>
  <c r="AI667" i="2"/>
  <c r="AJ652" i="2"/>
  <c r="AJ644" i="2"/>
  <c r="AJ655" i="2"/>
  <c r="AJ647" i="2"/>
  <c r="AJ651" i="2"/>
  <c r="AJ643" i="2"/>
  <c r="AI449" i="2"/>
  <c r="AI427" i="2"/>
  <c r="AI74" i="2" s="1"/>
  <c r="AI71" i="2" s="1"/>
  <c r="AK445" i="2"/>
  <c r="AJ439" i="2"/>
  <c r="AI446" i="2"/>
  <c r="AJ421" i="2"/>
  <c r="AI452" i="2"/>
  <c r="AJ413" i="2"/>
  <c r="AJ420" i="2"/>
  <c r="AH453" i="2"/>
  <c r="AJ759" i="2"/>
  <c r="AJ415" i="2"/>
  <c r="AJ412" i="2"/>
  <c r="AI666" i="2"/>
  <c r="AJ441" i="2"/>
  <c r="AJ423" i="2"/>
  <c r="AH706" i="2"/>
  <c r="AH690" i="2"/>
  <c r="AJ424" i="2"/>
  <c r="AK618" i="2"/>
  <c r="AK742" i="2"/>
  <c r="AK751" i="2" s="1"/>
  <c r="AL625" i="2"/>
  <c r="AL633" i="2" s="1"/>
  <c r="AL641" i="2" s="1"/>
  <c r="AL749" i="2"/>
  <c r="AL758" i="2" s="1"/>
  <c r="AK620" i="2"/>
  <c r="AK628" i="2" s="1"/>
  <c r="AK636" i="2" s="1"/>
  <c r="AK744" i="2"/>
  <c r="AK753" i="2" s="1"/>
  <c r="AJ416" i="2"/>
  <c r="AJ442" i="2"/>
  <c r="AK625" i="2"/>
  <c r="AK749" i="2"/>
  <c r="AK758" i="2" s="1"/>
  <c r="AK621" i="2"/>
  <c r="AK629" i="2" s="1"/>
  <c r="AK637" i="2" s="1"/>
  <c r="AK745" i="2"/>
  <c r="AK754" i="2" s="1"/>
  <c r="AK624" i="2"/>
  <c r="AK632" i="2" s="1"/>
  <c r="AK640" i="2" s="1"/>
  <c r="AK748" i="2"/>
  <c r="AK757" i="2" s="1"/>
  <c r="AK622" i="2"/>
  <c r="AK630" i="2" s="1"/>
  <c r="AK638" i="2" s="1"/>
  <c r="AK746" i="2"/>
  <c r="AK755" i="2" s="1"/>
  <c r="AJ438" i="2"/>
  <c r="AJ750" i="2"/>
  <c r="AK623" i="2"/>
  <c r="AK631" i="2" s="1"/>
  <c r="AK639" i="2" s="1"/>
  <c r="AK647" i="2" s="1"/>
  <c r="AK747" i="2"/>
  <c r="AK756" i="2" s="1"/>
  <c r="AL613" i="2"/>
  <c r="AL615" i="2"/>
  <c r="AL616" i="2"/>
  <c r="AL611" i="2"/>
  <c r="AL610" i="2"/>
  <c r="AL614" i="2"/>
  <c r="AO276" i="2"/>
  <c r="AO739" i="2" s="1"/>
  <c r="AN790" i="2"/>
  <c r="AN300" i="2" s="1"/>
  <c r="AO275" i="2"/>
  <c r="AO738" i="2" s="1"/>
  <c r="AN789" i="2"/>
  <c r="AN299" i="2" s="1"/>
  <c r="AM793" i="2"/>
  <c r="AM614" i="2" s="1"/>
  <c r="AO278" i="2"/>
  <c r="AO741" i="2" s="1"/>
  <c r="AN792" i="2"/>
  <c r="AN302" i="2" s="1"/>
  <c r="AO274" i="2"/>
  <c r="AO737" i="2" s="1"/>
  <c r="AN788" i="2"/>
  <c r="AN298" i="2" s="1"/>
  <c r="AO277" i="2"/>
  <c r="AO740" i="2" s="1"/>
  <c r="AN791" i="2"/>
  <c r="AN301" i="2" s="1"/>
  <c r="AO271" i="2"/>
  <c r="AO734" i="2" s="1"/>
  <c r="AN785" i="2"/>
  <c r="AN295" i="2" s="1"/>
  <c r="AO273" i="2"/>
  <c r="AO736" i="2" s="1"/>
  <c r="AN787" i="2"/>
  <c r="AN297" i="2" s="1"/>
  <c r="AO272" i="2"/>
  <c r="AO735" i="2" s="1"/>
  <c r="AN786" i="2"/>
  <c r="AN296" i="2" s="1"/>
  <c r="AL612" i="2"/>
  <c r="AN733" i="2"/>
  <c r="AH716" i="2"/>
  <c r="AH717" i="2"/>
  <c r="AH715" i="2"/>
  <c r="AM89" i="2"/>
  <c r="AL97" i="2"/>
  <c r="AL103" i="2" s="1"/>
  <c r="AL61" i="2"/>
  <c r="AI711" i="2"/>
  <c r="AI695" i="2"/>
  <c r="AL438" i="2"/>
  <c r="AL411" i="2"/>
  <c r="AL419" i="2"/>
  <c r="AJ672" i="2"/>
  <c r="AJ293" i="2" s="1"/>
  <c r="AJ309" i="2" s="1"/>
  <c r="AK666" i="2"/>
  <c r="AK287" i="2" s="1"/>
  <c r="AK303" i="2" s="1"/>
  <c r="AH721" i="2"/>
  <c r="AJ668" i="2"/>
  <c r="AK418" i="2"/>
  <c r="AK426" i="2"/>
  <c r="AK452" i="2" s="1"/>
  <c r="AJ673" i="2"/>
  <c r="AJ294" i="2" s="1"/>
  <c r="AJ310" i="2" s="1"/>
  <c r="AJ706" i="2"/>
  <c r="AJ690" i="2"/>
  <c r="AI696" i="2"/>
  <c r="AI712" i="2"/>
  <c r="AL439" i="2"/>
  <c r="AJ669" i="2"/>
  <c r="AI693" i="2"/>
  <c r="AI709" i="2"/>
  <c r="AK412" i="2"/>
  <c r="AK420" i="2"/>
  <c r="AK446" i="2" s="1"/>
  <c r="AF267" i="2" l="1"/>
  <c r="AF268" i="2"/>
  <c r="AH81" i="2"/>
  <c r="AI707" i="2"/>
  <c r="AI715" i="2" s="1"/>
  <c r="AH175" i="2"/>
  <c r="AI260" i="2"/>
  <c r="AI713" i="2"/>
  <c r="AI721" i="2" s="1"/>
  <c r="AI692" i="2"/>
  <c r="AI716" i="2" s="1"/>
  <c r="AI710" i="2"/>
  <c r="AI718" i="2" s="1"/>
  <c r="AH257" i="2"/>
  <c r="AI690" i="2"/>
  <c r="AI714" i="2" s="1"/>
  <c r="AJ662" i="2"/>
  <c r="AJ686" i="2" s="1"/>
  <c r="AJ694" i="2" s="1"/>
  <c r="AJ283" i="2"/>
  <c r="AG265" i="2"/>
  <c r="AG266" i="2" s="1"/>
  <c r="AG268" i="2" s="1"/>
  <c r="AJ659" i="2"/>
  <c r="AJ683" i="2" s="1"/>
  <c r="AJ707" i="2" s="1"/>
  <c r="AJ280" i="2"/>
  <c r="AG180" i="2"/>
  <c r="AG181" i="2" s="1"/>
  <c r="AJ663" i="2"/>
  <c r="AJ687" i="2" s="1"/>
  <c r="AJ711" i="2" s="1"/>
  <c r="AJ284" i="2"/>
  <c r="AI678" i="2"/>
  <c r="AI291" i="2"/>
  <c r="AI307" i="2" s="1"/>
  <c r="AI676" i="2"/>
  <c r="AI289" i="2"/>
  <c r="AI305" i="2" s="1"/>
  <c r="AI681" i="2"/>
  <c r="AI294" i="2"/>
  <c r="AI310" i="2" s="1"/>
  <c r="AJ660" i="2"/>
  <c r="AJ684" i="2" s="1"/>
  <c r="AJ692" i="2" s="1"/>
  <c r="AJ281" i="2"/>
  <c r="AI675" i="2"/>
  <c r="AI258" i="2" s="1"/>
  <c r="AI288" i="2"/>
  <c r="AI304" i="2" s="1"/>
  <c r="AI674" i="2"/>
  <c r="AI172" i="2" s="1"/>
  <c r="AI287" i="2"/>
  <c r="AI303" i="2" s="1"/>
  <c r="AH311" i="2"/>
  <c r="AJ677" i="2"/>
  <c r="AJ175" i="2" s="1"/>
  <c r="AJ290" i="2"/>
  <c r="AJ306" i="2" s="1"/>
  <c r="AJ676" i="2"/>
  <c r="AJ174" i="2" s="1"/>
  <c r="AJ289" i="2"/>
  <c r="AJ305" i="2" s="1"/>
  <c r="AH263" i="2"/>
  <c r="AH262" i="2"/>
  <c r="AH177" i="2"/>
  <c r="AJ428" i="2" a="1"/>
  <c r="AJ428" i="2" s="1"/>
  <c r="AJ667" i="2"/>
  <c r="AK656" i="2"/>
  <c r="AK672" i="2" s="1"/>
  <c r="AK648" i="2"/>
  <c r="AK653" i="2"/>
  <c r="AK645" i="2"/>
  <c r="AJ670" i="2"/>
  <c r="AJ671" i="2"/>
  <c r="AK413" i="2"/>
  <c r="AK644" i="2"/>
  <c r="AK415" i="2"/>
  <c r="AK646" i="2"/>
  <c r="AL657" i="2"/>
  <c r="AL649" i="2"/>
  <c r="AJ427" i="2"/>
  <c r="AJ74" i="2" s="1"/>
  <c r="AJ71" i="2" s="1"/>
  <c r="AJ446" i="2"/>
  <c r="AL445" i="2"/>
  <c r="AK423" i="2"/>
  <c r="AJ449" i="2"/>
  <c r="AJ447" i="2"/>
  <c r="AI453" i="2"/>
  <c r="AK421" i="2"/>
  <c r="AK759" i="2"/>
  <c r="AK425" i="2"/>
  <c r="AK417" i="2"/>
  <c r="AK440" i="2"/>
  <c r="AK422" i="2"/>
  <c r="AK414" i="2"/>
  <c r="AJ450" i="2"/>
  <c r="AL619" i="2"/>
  <c r="AL743" i="2"/>
  <c r="AL752" i="2" s="1"/>
  <c r="AL620" i="2"/>
  <c r="AL744" i="2"/>
  <c r="AL753" i="2" s="1"/>
  <c r="AL623" i="2"/>
  <c r="AL631" i="2" s="1"/>
  <c r="AL639" i="2" s="1"/>
  <c r="AL747" i="2"/>
  <c r="AL756" i="2" s="1"/>
  <c r="AL618" i="2"/>
  <c r="AL742" i="2"/>
  <c r="AL751" i="2" s="1"/>
  <c r="AK655" i="2"/>
  <c r="AK442" i="2"/>
  <c r="AK654" i="2"/>
  <c r="AK441" i="2"/>
  <c r="AK416" i="2"/>
  <c r="AL444" i="2"/>
  <c r="AK424" i="2"/>
  <c r="AK750" i="2"/>
  <c r="AK443" i="2"/>
  <c r="AH714" i="2"/>
  <c r="AH722" i="2" s="1"/>
  <c r="AL624" i="2"/>
  <c r="AL632" i="2" s="1"/>
  <c r="AL640" i="2" s="1"/>
  <c r="AL748" i="2"/>
  <c r="AL757" i="2" s="1"/>
  <c r="AK652" i="2"/>
  <c r="AK439" i="2"/>
  <c r="AM622" i="2"/>
  <c r="AM630" i="2" s="1"/>
  <c r="AM638" i="2" s="1"/>
  <c r="AM746" i="2"/>
  <c r="AM755" i="2" s="1"/>
  <c r="AL621" i="2"/>
  <c r="AL629" i="2" s="1"/>
  <c r="AL637" i="2" s="1"/>
  <c r="AL745" i="2"/>
  <c r="AL754" i="2" s="1"/>
  <c r="AL622" i="2"/>
  <c r="AL630" i="2" s="1"/>
  <c r="AL638" i="2" s="1"/>
  <c r="AL746" i="2"/>
  <c r="AL755" i="2" s="1"/>
  <c r="AM616" i="2"/>
  <c r="AM611" i="2"/>
  <c r="AM610" i="2"/>
  <c r="AM615" i="2"/>
  <c r="AP278" i="2"/>
  <c r="AP741" i="2" s="1"/>
  <c r="AO792" i="2"/>
  <c r="AO302" i="2" s="1"/>
  <c r="AP271" i="2"/>
  <c r="AP734" i="2" s="1"/>
  <c r="AO785" i="2"/>
  <c r="AO295" i="2" s="1"/>
  <c r="AM612" i="2"/>
  <c r="AM617" i="2"/>
  <c r="AP274" i="2"/>
  <c r="AP737" i="2" s="1"/>
  <c r="AO788" i="2"/>
  <c r="AO298" i="2" s="1"/>
  <c r="AP273" i="2"/>
  <c r="AP736" i="2" s="1"/>
  <c r="AO787" i="2"/>
  <c r="AO297" i="2" s="1"/>
  <c r="AM613" i="2"/>
  <c r="AP275" i="2"/>
  <c r="AP738" i="2" s="1"/>
  <c r="AO789" i="2"/>
  <c r="AO299" i="2" s="1"/>
  <c r="AP277" i="2"/>
  <c r="AP740" i="2" s="1"/>
  <c r="AO791" i="2"/>
  <c r="AO301" i="2" s="1"/>
  <c r="AP272" i="2"/>
  <c r="AP735" i="2" s="1"/>
  <c r="AO786" i="2"/>
  <c r="AO296" i="2" s="1"/>
  <c r="AN793" i="2"/>
  <c r="AN613" i="2" s="1"/>
  <c r="AP276" i="2"/>
  <c r="AP739" i="2" s="1"/>
  <c r="AO790" i="2"/>
  <c r="AO300" i="2" s="1"/>
  <c r="AO733" i="2"/>
  <c r="AI719" i="2"/>
  <c r="AI720" i="2"/>
  <c r="AI717" i="2"/>
  <c r="AJ709" i="2"/>
  <c r="AJ693" i="2"/>
  <c r="AL666" i="2"/>
  <c r="AL287" i="2" s="1"/>
  <c r="AL303" i="2" s="1"/>
  <c r="AK667" i="2"/>
  <c r="AK288" i="2" s="1"/>
  <c r="AK304" i="2" s="1"/>
  <c r="AJ712" i="2"/>
  <c r="AJ696" i="2"/>
  <c r="AM442" i="2"/>
  <c r="AM99" i="2"/>
  <c r="AM105" i="2" s="1"/>
  <c r="AN89" i="2"/>
  <c r="AM61" i="2"/>
  <c r="AM97" i="2"/>
  <c r="AM103" i="2" s="1"/>
  <c r="AM62" i="2"/>
  <c r="C902" i="2" s="1"/>
  <c r="AM444" i="2"/>
  <c r="AL421" i="2"/>
  <c r="AL447" i="2" s="1"/>
  <c r="AL413" i="2"/>
  <c r="AL418" i="2"/>
  <c r="AL426" i="2"/>
  <c r="AK673" i="2"/>
  <c r="AK294" i="2" s="1"/>
  <c r="AK310" i="2" s="1"/>
  <c r="AM443" i="2"/>
  <c r="AL420" i="2"/>
  <c r="AL446" i="2" s="1"/>
  <c r="AL412" i="2"/>
  <c r="AJ714" i="2"/>
  <c r="AK706" i="2"/>
  <c r="AK690" i="2"/>
  <c r="AJ697" i="2"/>
  <c r="AJ713" i="2"/>
  <c r="AH180" i="2" l="1"/>
  <c r="AH181" i="2" s="1"/>
  <c r="AH88" i="2" s="1"/>
  <c r="AJ710" i="2"/>
  <c r="AJ718" i="2" s="1"/>
  <c r="AH265" i="2"/>
  <c r="AH266" i="2" s="1"/>
  <c r="AH268" i="2" s="1"/>
  <c r="AI173" i="2"/>
  <c r="AI81" i="2"/>
  <c r="AJ691" i="2"/>
  <c r="AJ715" i="2" s="1"/>
  <c r="AJ259" i="2"/>
  <c r="AJ708" i="2"/>
  <c r="AJ716" i="2" s="1"/>
  <c r="AI259" i="2"/>
  <c r="AI174" i="2"/>
  <c r="AJ260" i="2"/>
  <c r="AK663" i="2"/>
  <c r="AK687" i="2" s="1"/>
  <c r="AK711" i="2" s="1"/>
  <c r="AK284" i="2"/>
  <c r="AJ695" i="2"/>
  <c r="AG88" i="2"/>
  <c r="AG182" i="2"/>
  <c r="AG267" i="2"/>
  <c r="AG91" i="2"/>
  <c r="AK662" i="2"/>
  <c r="AK686" i="2" s="1"/>
  <c r="AK694" i="2" s="1"/>
  <c r="AK283" i="2"/>
  <c r="AK664" i="2"/>
  <c r="AK688" i="2" s="1"/>
  <c r="AK712" i="2" s="1"/>
  <c r="AK285" i="2"/>
  <c r="AK660" i="2"/>
  <c r="AK684" i="2" s="1"/>
  <c r="AK708" i="2" s="1"/>
  <c r="AK281" i="2"/>
  <c r="AJ675" i="2"/>
  <c r="AJ288" i="2"/>
  <c r="AJ304" i="2" s="1"/>
  <c r="AL665" i="2"/>
  <c r="AL689" i="2" s="1"/>
  <c r="AL286" i="2"/>
  <c r="AI257" i="2"/>
  <c r="AJ679" i="2"/>
  <c r="AJ262" i="2" s="1"/>
  <c r="AJ292" i="2"/>
  <c r="AJ308" i="2" s="1"/>
  <c r="AK661" i="2"/>
  <c r="AK685" i="2" s="1"/>
  <c r="AK693" i="2" s="1"/>
  <c r="AK282" i="2"/>
  <c r="AK680" i="2"/>
  <c r="AK178" i="2" s="1"/>
  <c r="AK293" i="2"/>
  <c r="AK309" i="2" s="1"/>
  <c r="AI261" i="2"/>
  <c r="AI176" i="2"/>
  <c r="AI311" i="2"/>
  <c r="AJ678" i="2"/>
  <c r="AJ176" i="2" s="1"/>
  <c r="AJ291" i="2"/>
  <c r="AJ307" i="2" s="1"/>
  <c r="AI179" i="2"/>
  <c r="AI264" i="2"/>
  <c r="AK428" i="2" a="1"/>
  <c r="AK428" i="2" s="1"/>
  <c r="AK669" i="2"/>
  <c r="AK449" i="2"/>
  <c r="AL653" i="2"/>
  <c r="AL645" i="2"/>
  <c r="AL654" i="2"/>
  <c r="AL670" i="2" s="1"/>
  <c r="AL646" i="2"/>
  <c r="AM654" i="2"/>
  <c r="AM646" i="2"/>
  <c r="AL656" i="2"/>
  <c r="AL648" i="2"/>
  <c r="AL424" i="2"/>
  <c r="AL647" i="2"/>
  <c r="AK427" i="2"/>
  <c r="AK74" i="2" s="1"/>
  <c r="AK71" i="2" s="1"/>
  <c r="AJ453" i="2"/>
  <c r="AK447" i="2"/>
  <c r="AK451" i="2"/>
  <c r="AL416" i="2"/>
  <c r="AK448" i="2"/>
  <c r="AL759" i="2"/>
  <c r="AK670" i="2"/>
  <c r="AL423" i="2"/>
  <c r="AL415" i="2"/>
  <c r="AL452" i="2"/>
  <c r="AM441" i="2"/>
  <c r="AL422" i="2"/>
  <c r="AL414" i="2"/>
  <c r="AL440" i="2"/>
  <c r="AM624" i="2"/>
  <c r="AM748" i="2"/>
  <c r="AM757" i="2" s="1"/>
  <c r="AM625" i="2"/>
  <c r="AM749" i="2"/>
  <c r="AM758" i="2" s="1"/>
  <c r="AK450" i="2"/>
  <c r="AN621" i="2"/>
  <c r="AN629" i="2" s="1"/>
  <c r="AN637" i="2" s="1"/>
  <c r="AN745" i="2"/>
  <c r="AN754" i="2" s="1"/>
  <c r="AL443" i="2"/>
  <c r="AL655" i="2"/>
  <c r="AL442" i="2"/>
  <c r="AK668" i="2"/>
  <c r="AM623" i="2"/>
  <c r="AM747" i="2"/>
  <c r="AM756" i="2" s="1"/>
  <c r="AL750" i="2"/>
  <c r="AM620" i="2"/>
  <c r="AM628" i="2" s="1"/>
  <c r="AM636" i="2" s="1"/>
  <c r="AM744" i="2"/>
  <c r="AM753" i="2" s="1"/>
  <c r="AL417" i="2"/>
  <c r="AM621" i="2"/>
  <c r="AM629" i="2" s="1"/>
  <c r="AM637" i="2" s="1"/>
  <c r="AM745" i="2"/>
  <c r="AM754" i="2" s="1"/>
  <c r="AM618" i="2"/>
  <c r="AM626" i="2" s="1"/>
  <c r="AM634" i="2" s="1"/>
  <c r="AM742" i="2"/>
  <c r="AM751" i="2" s="1"/>
  <c r="AM619" i="2"/>
  <c r="AM627" i="2" s="1"/>
  <c r="AM635" i="2" s="1"/>
  <c r="AM743" i="2"/>
  <c r="AM752" i="2" s="1"/>
  <c r="AL425" i="2"/>
  <c r="AK671" i="2"/>
  <c r="AL441" i="2"/>
  <c r="AN610" i="2"/>
  <c r="AN616" i="2"/>
  <c r="AN615" i="2"/>
  <c r="AN612" i="2"/>
  <c r="AN614" i="2"/>
  <c r="AQ274" i="2"/>
  <c r="AQ737" i="2" s="1"/>
  <c r="AP788" i="2"/>
  <c r="AP298" i="2" s="1"/>
  <c r="AQ275" i="2"/>
  <c r="AQ738" i="2" s="1"/>
  <c r="AP789" i="2"/>
  <c r="AP299" i="2" s="1"/>
  <c r="AQ273" i="2"/>
  <c r="AQ736" i="2" s="1"/>
  <c r="AP787" i="2"/>
  <c r="AP297" i="2" s="1"/>
  <c r="AQ271" i="2"/>
  <c r="AQ734" i="2" s="1"/>
  <c r="AP785" i="2"/>
  <c r="AP295" i="2" s="1"/>
  <c r="AQ277" i="2"/>
  <c r="AQ740" i="2" s="1"/>
  <c r="AP791" i="2"/>
  <c r="AP301" i="2" s="1"/>
  <c r="AO793" i="2"/>
  <c r="AO617" i="2" s="1"/>
  <c r="AQ276" i="2"/>
  <c r="AQ739" i="2" s="1"/>
  <c r="AP790" i="2"/>
  <c r="AP300" i="2" s="1"/>
  <c r="AQ278" i="2"/>
  <c r="AQ741" i="2" s="1"/>
  <c r="AP792" i="2"/>
  <c r="AP302" i="2" s="1"/>
  <c r="AN617" i="2"/>
  <c r="AQ272" i="2"/>
  <c r="AQ735" i="2" s="1"/>
  <c r="AP786" i="2"/>
  <c r="AP296" i="2" s="1"/>
  <c r="AN611" i="2"/>
  <c r="AP733" i="2"/>
  <c r="AJ720" i="2"/>
  <c r="AJ717" i="2"/>
  <c r="AI722" i="2"/>
  <c r="AK713" i="2"/>
  <c r="AK697" i="2"/>
  <c r="AO437" i="2"/>
  <c r="AJ721" i="2"/>
  <c r="AL667" i="2"/>
  <c r="AL288" i="2" s="1"/>
  <c r="AL304" i="2" s="1"/>
  <c r="AM426" i="2"/>
  <c r="AM452" i="2" s="1"/>
  <c r="AM418" i="2"/>
  <c r="AK691" i="2"/>
  <c r="AK707" i="2"/>
  <c r="AN97" i="2"/>
  <c r="AN103" i="2" s="1"/>
  <c r="AN61" i="2"/>
  <c r="AO89" i="2"/>
  <c r="AM423" i="2"/>
  <c r="AM415" i="2"/>
  <c r="AL690" i="2"/>
  <c r="AL706" i="2"/>
  <c r="AN444" i="2"/>
  <c r="AK714" i="2"/>
  <c r="AL673" i="2"/>
  <c r="AL668" i="2"/>
  <c r="AL289" i="2" s="1"/>
  <c r="AL305" i="2" s="1"/>
  <c r="AM424" i="2"/>
  <c r="AM450" i="2" s="1"/>
  <c r="AM416" i="2"/>
  <c r="AM425" i="2"/>
  <c r="AM451" i="2" s="1"/>
  <c r="AM417" i="2"/>
  <c r="AN443" i="2"/>
  <c r="AH91" i="2" l="1"/>
  <c r="AH182" i="2"/>
  <c r="AH267" i="2"/>
  <c r="AK709" i="2"/>
  <c r="AK717" i="2" s="1"/>
  <c r="AJ81" i="2"/>
  <c r="AK263" i="2"/>
  <c r="AK692" i="2"/>
  <c r="AK716" i="2" s="1"/>
  <c r="AK696" i="2"/>
  <c r="AK720" i="2" s="1"/>
  <c r="AK695" i="2"/>
  <c r="AK719" i="2" s="1"/>
  <c r="AI180" i="2"/>
  <c r="AI181" i="2" s="1"/>
  <c r="AI88" i="2" s="1"/>
  <c r="AM662" i="2"/>
  <c r="AM686" i="2" s="1"/>
  <c r="AM283" i="2"/>
  <c r="AI265" i="2"/>
  <c r="AI266" i="2" s="1"/>
  <c r="AI268" i="2" s="1"/>
  <c r="AL662" i="2"/>
  <c r="AL686" i="2" s="1"/>
  <c r="AL694" i="2" s="1"/>
  <c r="AL283" i="2"/>
  <c r="AJ311" i="2"/>
  <c r="AJ258" i="2"/>
  <c r="AJ173" i="2"/>
  <c r="AK676" i="2"/>
  <c r="AK174" i="2" s="1"/>
  <c r="AK289" i="2"/>
  <c r="AK305" i="2" s="1"/>
  <c r="AK677" i="2"/>
  <c r="AK290" i="2"/>
  <c r="AK306" i="2" s="1"/>
  <c r="AK678" i="2"/>
  <c r="AK176" i="2" s="1"/>
  <c r="AK291" i="2"/>
  <c r="AK307" i="2" s="1"/>
  <c r="AJ261" i="2"/>
  <c r="AL678" i="2"/>
  <c r="AL176" i="2" s="1"/>
  <c r="AL291" i="2"/>
  <c r="AL307" i="2" s="1"/>
  <c r="AJ177" i="2"/>
  <c r="AL661" i="2"/>
  <c r="AL685" i="2" s="1"/>
  <c r="AL693" i="2" s="1"/>
  <c r="AL282" i="2"/>
  <c r="AL681" i="2"/>
  <c r="AL179" i="2" s="1"/>
  <c r="AL294" i="2"/>
  <c r="AL310" i="2" s="1"/>
  <c r="AK679" i="2"/>
  <c r="AK177" i="2" s="1"/>
  <c r="AK292" i="2"/>
  <c r="AK308" i="2" s="1"/>
  <c r="AK710" i="2"/>
  <c r="AK718" i="2" s="1"/>
  <c r="AJ719" i="2"/>
  <c r="AJ722" i="2" s="1"/>
  <c r="AL663" i="2"/>
  <c r="AL687" i="2" s="1"/>
  <c r="AL711" i="2" s="1"/>
  <c r="AL284" i="2"/>
  <c r="AL664" i="2"/>
  <c r="AL688" i="2" s="1"/>
  <c r="AL696" i="2" s="1"/>
  <c r="AL285" i="2"/>
  <c r="AL669" i="2"/>
  <c r="AL428" i="2" a="1"/>
  <c r="AL428" i="2" s="1"/>
  <c r="AL672" i="2"/>
  <c r="AL450" i="2"/>
  <c r="AM412" i="2"/>
  <c r="AM643" i="2"/>
  <c r="AN653" i="2"/>
  <c r="AN645" i="2"/>
  <c r="AM650" i="2"/>
  <c r="AM666" i="2" s="1"/>
  <c r="AM642" i="2"/>
  <c r="AM653" i="2"/>
  <c r="AM645" i="2"/>
  <c r="AM652" i="2"/>
  <c r="AM644" i="2"/>
  <c r="AL427" i="2"/>
  <c r="AL74" i="2" s="1"/>
  <c r="AL71" i="2" s="1"/>
  <c r="AM449" i="2"/>
  <c r="AL448" i="2"/>
  <c r="AK453" i="2"/>
  <c r="AM420" i="2"/>
  <c r="AM759" i="2"/>
  <c r="AL449" i="2"/>
  <c r="AM439" i="2"/>
  <c r="AM750" i="2"/>
  <c r="AN619" i="2"/>
  <c r="AN627" i="2" s="1"/>
  <c r="AN635" i="2" s="1"/>
  <c r="AN743" i="2"/>
  <c r="AN752" i="2" s="1"/>
  <c r="AN624" i="2"/>
  <c r="AN748" i="2"/>
  <c r="AN757" i="2" s="1"/>
  <c r="AN625" i="2"/>
  <c r="AN749" i="2"/>
  <c r="AN758" i="2" s="1"/>
  <c r="AM437" i="2"/>
  <c r="AO625" i="2"/>
  <c r="AO633" i="2" s="1"/>
  <c r="AO641" i="2" s="1"/>
  <c r="AO749" i="2"/>
  <c r="AO758" i="2" s="1"/>
  <c r="AM422" i="2"/>
  <c r="AM421" i="2"/>
  <c r="AM440" i="2"/>
  <c r="AN623" i="2"/>
  <c r="AN631" i="2" s="1"/>
  <c r="AN639" i="2" s="1"/>
  <c r="AN747" i="2"/>
  <c r="AN756" i="2" s="1"/>
  <c r="AN618" i="2"/>
  <c r="AN626" i="2" s="1"/>
  <c r="AN634" i="2" s="1"/>
  <c r="AN742" i="2"/>
  <c r="AN751" i="2" s="1"/>
  <c r="AM419" i="2"/>
  <c r="AN440" i="2"/>
  <c r="AM411" i="2"/>
  <c r="AL671" i="2"/>
  <c r="AN622" i="2"/>
  <c r="AN630" i="2" s="1"/>
  <c r="AN638" i="2" s="1"/>
  <c r="AN746" i="2"/>
  <c r="AN755" i="2" s="1"/>
  <c r="AN620" i="2"/>
  <c r="AN628" i="2" s="1"/>
  <c r="AN636" i="2" s="1"/>
  <c r="AN744" i="2"/>
  <c r="AN753" i="2" s="1"/>
  <c r="AL451" i="2"/>
  <c r="AM414" i="2"/>
  <c r="AM413" i="2"/>
  <c r="AM651" i="2"/>
  <c r="AM438" i="2"/>
  <c r="AO610" i="2"/>
  <c r="AO611" i="2"/>
  <c r="AP793" i="2"/>
  <c r="AP612" i="2" s="1"/>
  <c r="AR278" i="2"/>
  <c r="AR741" i="2" s="1"/>
  <c r="AQ792" i="2"/>
  <c r="AQ302" i="2" s="1"/>
  <c r="AR273" i="2"/>
  <c r="AR736" i="2" s="1"/>
  <c r="AQ787" i="2"/>
  <c r="AQ297" i="2" s="1"/>
  <c r="AR277" i="2"/>
  <c r="AR740" i="2" s="1"/>
  <c r="AQ791" i="2"/>
  <c r="AQ301" i="2" s="1"/>
  <c r="AR276" i="2"/>
  <c r="AR739" i="2" s="1"/>
  <c r="AQ790" i="2"/>
  <c r="AQ300" i="2" s="1"/>
  <c r="AR275" i="2"/>
  <c r="AR738" i="2" s="1"/>
  <c r="AQ789" i="2"/>
  <c r="AQ299" i="2" s="1"/>
  <c r="AR271" i="2"/>
  <c r="AR734" i="2" s="1"/>
  <c r="AQ785" i="2"/>
  <c r="AQ295" i="2" s="1"/>
  <c r="AO615" i="2"/>
  <c r="AR272" i="2"/>
  <c r="AR735" i="2" s="1"/>
  <c r="AQ786" i="2"/>
  <c r="AQ296" i="2" s="1"/>
  <c r="AO612" i="2"/>
  <c r="AO614" i="2"/>
  <c r="AR274" i="2"/>
  <c r="AR737" i="2" s="1"/>
  <c r="AQ788" i="2"/>
  <c r="AQ298" i="2" s="1"/>
  <c r="AO616" i="2"/>
  <c r="AO613" i="2"/>
  <c r="AQ733" i="2"/>
  <c r="AK721" i="2"/>
  <c r="AM672" i="2"/>
  <c r="AM293" i="2" s="1"/>
  <c r="AM309" i="2" s="1"/>
  <c r="AP437" i="2"/>
  <c r="AL714" i="2"/>
  <c r="AN417" i="2"/>
  <c r="AN425" i="2"/>
  <c r="AN451" i="2" s="1"/>
  <c r="AL697" i="2"/>
  <c r="AL713" i="2"/>
  <c r="AK715" i="2"/>
  <c r="AM670" i="2"/>
  <c r="AL692" i="2"/>
  <c r="AL708" i="2"/>
  <c r="AM673" i="2"/>
  <c r="AM294" i="2" s="1"/>
  <c r="AM310" i="2" s="1"/>
  <c r="AO438" i="2"/>
  <c r="AL707" i="2"/>
  <c r="AL691" i="2"/>
  <c r="AN414" i="2"/>
  <c r="AN422" i="2"/>
  <c r="AM671" i="2"/>
  <c r="AM292" i="2" s="1"/>
  <c r="AM308" i="2" s="1"/>
  <c r="AN426" i="2"/>
  <c r="AN452" i="2" s="1"/>
  <c r="AN418" i="2"/>
  <c r="AO97" i="2"/>
  <c r="AO103" i="2" s="1"/>
  <c r="AO61" i="2"/>
  <c r="AC60" i="2" s="1"/>
  <c r="AP89" i="2"/>
  <c r="AO419" i="2"/>
  <c r="AO411" i="2"/>
  <c r="AI182" i="2" l="1"/>
  <c r="AK81" i="2"/>
  <c r="AJ265" i="2"/>
  <c r="AJ266" i="2" s="1"/>
  <c r="AJ268" i="2" s="1"/>
  <c r="AK261" i="2"/>
  <c r="AK262" i="2"/>
  <c r="AL695" i="2"/>
  <c r="AL719" i="2" s="1"/>
  <c r="AL712" i="2"/>
  <c r="AL720" i="2" s="1"/>
  <c r="AL680" i="2"/>
  <c r="AL293" i="2"/>
  <c r="AL309" i="2" s="1"/>
  <c r="AM678" i="2"/>
  <c r="AM176" i="2" s="1"/>
  <c r="AM291" i="2"/>
  <c r="AM307" i="2" s="1"/>
  <c r="AM660" i="2"/>
  <c r="AM684" i="2" s="1"/>
  <c r="AM692" i="2" s="1"/>
  <c r="AM281" i="2"/>
  <c r="AL677" i="2"/>
  <c r="AL290" i="2"/>
  <c r="AL306" i="2" s="1"/>
  <c r="AM674" i="2"/>
  <c r="AM257" i="2" s="1"/>
  <c r="AM287" i="2"/>
  <c r="AM303" i="2" s="1"/>
  <c r="AM661" i="2"/>
  <c r="AM685" i="2" s="1"/>
  <c r="AM709" i="2" s="1"/>
  <c r="AM282" i="2"/>
  <c r="AL710" i="2"/>
  <c r="AL718" i="2" s="1"/>
  <c r="AL261" i="2"/>
  <c r="AJ180" i="2"/>
  <c r="AJ181" i="2" s="1"/>
  <c r="AM659" i="2"/>
  <c r="AM683" i="2" s="1"/>
  <c r="AM691" i="2" s="1"/>
  <c r="AM280" i="2"/>
  <c r="AI91" i="2"/>
  <c r="AI267" i="2"/>
  <c r="AK260" i="2"/>
  <c r="AK175" i="2"/>
  <c r="AK180" i="2" s="1"/>
  <c r="AK181" i="2" s="1"/>
  <c r="AK88" i="2" s="1"/>
  <c r="AL679" i="2"/>
  <c r="AL177" i="2" s="1"/>
  <c r="AL292" i="2"/>
  <c r="AL308" i="2" s="1"/>
  <c r="AM428" i="2" a="1"/>
  <c r="AM428" i="2" s="1"/>
  <c r="AL264" i="2"/>
  <c r="AK259" i="2"/>
  <c r="AM658" i="2"/>
  <c r="AM682" i="2" s="1"/>
  <c r="AM706" i="2" s="1"/>
  <c r="AM279" i="2"/>
  <c r="AN661" i="2"/>
  <c r="AN685" i="2" s="1"/>
  <c r="AN282" i="2"/>
  <c r="AL709" i="2"/>
  <c r="AL717" i="2" s="1"/>
  <c r="AK311" i="2"/>
  <c r="AM668" i="2"/>
  <c r="AM669" i="2"/>
  <c r="AN654" i="2"/>
  <c r="AN646" i="2"/>
  <c r="AO657" i="2"/>
  <c r="AO649" i="2"/>
  <c r="AN419" i="2"/>
  <c r="AN642" i="2"/>
  <c r="AN655" i="2"/>
  <c r="AN647" i="2"/>
  <c r="AN651" i="2"/>
  <c r="AN643" i="2"/>
  <c r="AN652" i="2"/>
  <c r="AN644" i="2"/>
  <c r="AO445" i="2"/>
  <c r="AM427" i="2"/>
  <c r="AM74" i="2" s="1"/>
  <c r="AM71" i="2" s="1"/>
  <c r="AM448" i="2"/>
  <c r="AN416" i="2"/>
  <c r="AM446" i="2"/>
  <c r="AL453" i="2"/>
  <c r="AN421" i="2"/>
  <c r="AN420" i="2"/>
  <c r="AN413" i="2"/>
  <c r="AN411" i="2"/>
  <c r="AM447" i="2"/>
  <c r="AN759" i="2"/>
  <c r="AM445" i="2"/>
  <c r="AM667" i="2"/>
  <c r="AN750" i="2"/>
  <c r="AN424" i="2"/>
  <c r="AN442" i="2"/>
  <c r="AN412" i="2"/>
  <c r="AN438" i="2"/>
  <c r="AO623" i="2"/>
  <c r="AO631" i="2" s="1"/>
  <c r="AO639" i="2" s="1"/>
  <c r="AO747" i="2"/>
  <c r="AO756" i="2" s="1"/>
  <c r="AN423" i="2"/>
  <c r="AN448" i="2"/>
  <c r="AN650" i="2"/>
  <c r="AN279" i="2" s="1"/>
  <c r="AN437" i="2"/>
  <c r="AN415" i="2"/>
  <c r="AP620" i="2"/>
  <c r="AP744" i="2"/>
  <c r="AP753" i="2" s="1"/>
  <c r="AO444" i="2"/>
  <c r="AO621" i="2"/>
  <c r="AO629" i="2" s="1"/>
  <c r="AO637" i="2" s="1"/>
  <c r="AO745" i="2"/>
  <c r="AO754" i="2" s="1"/>
  <c r="AO619" i="2"/>
  <c r="AO743" i="2"/>
  <c r="AO752" i="2" s="1"/>
  <c r="AO624" i="2"/>
  <c r="AO632" i="2" s="1"/>
  <c r="AO640" i="2" s="1"/>
  <c r="AO748" i="2"/>
  <c r="AO757" i="2" s="1"/>
  <c r="AO618" i="2"/>
  <c r="AO742" i="2"/>
  <c r="AO751" i="2" s="1"/>
  <c r="AN441" i="2"/>
  <c r="AO622" i="2"/>
  <c r="AO630" i="2" s="1"/>
  <c r="AO638" i="2" s="1"/>
  <c r="AO746" i="2"/>
  <c r="AO755" i="2" s="1"/>
  <c r="AO620" i="2"/>
  <c r="AO628" i="2" s="1"/>
  <c r="AO636" i="2" s="1"/>
  <c r="AO744" i="2"/>
  <c r="AO753" i="2" s="1"/>
  <c r="AN439" i="2"/>
  <c r="AP617" i="2"/>
  <c r="AP616" i="2"/>
  <c r="AP613" i="2"/>
  <c r="AP610" i="2"/>
  <c r="AP611" i="2"/>
  <c r="AP615" i="2"/>
  <c r="AP614" i="2"/>
  <c r="AS271" i="2"/>
  <c r="AS734" i="2" s="1"/>
  <c r="AR785" i="2"/>
  <c r="AR295" i="2" s="1"/>
  <c r="AS278" i="2"/>
  <c r="AS741" i="2" s="1"/>
  <c r="AR792" i="2"/>
  <c r="AR302" i="2" s="1"/>
  <c r="AQ793" i="2"/>
  <c r="AQ615" i="2" s="1"/>
  <c r="AS275" i="2"/>
  <c r="AS738" i="2" s="1"/>
  <c r="AR789" i="2"/>
  <c r="AR299" i="2" s="1"/>
  <c r="AS272" i="2"/>
  <c r="AS735" i="2" s="1"/>
  <c r="AR786" i="2"/>
  <c r="AR296" i="2" s="1"/>
  <c r="AS277" i="2"/>
  <c r="AS740" i="2" s="1"/>
  <c r="AR791" i="2"/>
  <c r="AR301" i="2" s="1"/>
  <c r="AS273" i="2"/>
  <c r="AS736" i="2" s="1"/>
  <c r="AR787" i="2"/>
  <c r="AR297" i="2" s="1"/>
  <c r="AS274" i="2"/>
  <c r="AS737" i="2" s="1"/>
  <c r="AR788" i="2"/>
  <c r="AR298" i="2" s="1"/>
  <c r="AS276" i="2"/>
  <c r="AS739" i="2" s="1"/>
  <c r="AR790" i="2"/>
  <c r="AR300" i="2" s="1"/>
  <c r="AR733" i="2"/>
  <c r="AL715" i="2"/>
  <c r="AL721" i="2"/>
  <c r="AK722" i="2"/>
  <c r="AL716" i="2"/>
  <c r="AM712" i="2"/>
  <c r="AM696" i="2"/>
  <c r="AN669" i="2"/>
  <c r="AN672" i="2"/>
  <c r="AN293" i="2" s="1"/>
  <c r="AN309" i="2" s="1"/>
  <c r="AN673" i="2"/>
  <c r="AN294" i="2" s="1"/>
  <c r="AN310" i="2" s="1"/>
  <c r="D934" i="2"/>
  <c r="AM711" i="2"/>
  <c r="AM695" i="2"/>
  <c r="AO666" i="2"/>
  <c r="AO287" i="2" s="1"/>
  <c r="AO303" i="2" s="1"/>
  <c r="AM694" i="2"/>
  <c r="AM710" i="2"/>
  <c r="AP411" i="2"/>
  <c r="AP419" i="2"/>
  <c r="AO420" i="2"/>
  <c r="AO446" i="2" s="1"/>
  <c r="AO412" i="2"/>
  <c r="AP97" i="2"/>
  <c r="AP103" i="2" s="1"/>
  <c r="AP61" i="2"/>
  <c r="AP98" i="2"/>
  <c r="AP104" i="2" s="1"/>
  <c r="AQ89" i="2"/>
  <c r="AP438" i="2"/>
  <c r="AP439" i="2"/>
  <c r="AO418" i="2"/>
  <c r="AO426" i="2"/>
  <c r="AM713" i="2"/>
  <c r="AM697" i="2"/>
  <c r="AJ91" i="2" l="1"/>
  <c r="AL81" i="2"/>
  <c r="AM708" i="2"/>
  <c r="AM716" i="2" s="1"/>
  <c r="AK265" i="2"/>
  <c r="AK266" i="2" s="1"/>
  <c r="AK91" i="2" s="1"/>
  <c r="AM690" i="2"/>
  <c r="AM714" i="2" s="1"/>
  <c r="AN447" i="2"/>
  <c r="AM172" i="2"/>
  <c r="AN659" i="2"/>
  <c r="AN683" i="2" s="1"/>
  <c r="AN707" i="2" s="1"/>
  <c r="AN280" i="2"/>
  <c r="AN677" i="2"/>
  <c r="AN260" i="2" s="1"/>
  <c r="AN290" i="2"/>
  <c r="AN306" i="2" s="1"/>
  <c r="AN663" i="2"/>
  <c r="AN687" i="2" s="1"/>
  <c r="AN695" i="2" s="1"/>
  <c r="AN284" i="2"/>
  <c r="AL311" i="2"/>
  <c r="AL260" i="2"/>
  <c r="AL175" i="2"/>
  <c r="AM693" i="2"/>
  <c r="AM717" i="2" s="1"/>
  <c r="AJ88" i="2"/>
  <c r="AJ182" i="2"/>
  <c r="AM675" i="2"/>
  <c r="AM173" i="2" s="1"/>
  <c r="AM288" i="2"/>
  <c r="AM304" i="2" s="1"/>
  <c r="AM261" i="2"/>
  <c r="AM676" i="2"/>
  <c r="AM289" i="2"/>
  <c r="AM305" i="2" s="1"/>
  <c r="AL262" i="2"/>
  <c r="AN662" i="2"/>
  <c r="AN686" i="2" s="1"/>
  <c r="AN710" i="2" s="1"/>
  <c r="AN283" i="2"/>
  <c r="AL263" i="2"/>
  <c r="AL178" i="2"/>
  <c r="AO665" i="2"/>
  <c r="AO689" i="2" s="1"/>
  <c r="AO286" i="2"/>
  <c r="AM707" i="2"/>
  <c r="AM715" i="2" s="1"/>
  <c r="AN660" i="2"/>
  <c r="AN684" i="2" s="1"/>
  <c r="AN708" i="2" s="1"/>
  <c r="AN281" i="2"/>
  <c r="AM677" i="2"/>
  <c r="AM290" i="2"/>
  <c r="AM306" i="2" s="1"/>
  <c r="AJ267" i="2"/>
  <c r="AN428" i="2" a="1"/>
  <c r="AN428" i="2" s="1"/>
  <c r="AN670" i="2"/>
  <c r="AK182" i="2"/>
  <c r="AN445" i="2"/>
  <c r="AN446" i="2"/>
  <c r="AO656" i="2"/>
  <c r="AO672" i="2" s="1"/>
  <c r="AO648" i="2"/>
  <c r="AO653" i="2"/>
  <c r="AO645" i="2"/>
  <c r="AN671" i="2"/>
  <c r="AO652" i="2"/>
  <c r="AO644" i="2"/>
  <c r="AN668" i="2"/>
  <c r="AO654" i="2"/>
  <c r="AO646" i="2"/>
  <c r="AO655" i="2"/>
  <c r="AO647" i="2"/>
  <c r="AN667" i="2"/>
  <c r="AN427" i="2"/>
  <c r="AN74" i="2" s="1"/>
  <c r="AN71" i="2" s="1"/>
  <c r="AP445" i="2"/>
  <c r="AM453" i="2"/>
  <c r="AN450" i="2"/>
  <c r="AO452" i="2"/>
  <c r="AO759" i="2"/>
  <c r="AN449" i="2"/>
  <c r="AO425" i="2"/>
  <c r="AO441" i="2"/>
  <c r="AO417" i="2"/>
  <c r="AO442" i="2"/>
  <c r="AO424" i="2"/>
  <c r="AO416" i="2"/>
  <c r="AP623" i="2"/>
  <c r="AP631" i="2" s="1"/>
  <c r="AP639" i="2" s="1"/>
  <c r="AP747" i="2"/>
  <c r="AP756" i="2" s="1"/>
  <c r="AO413" i="2"/>
  <c r="AO423" i="2"/>
  <c r="AO440" i="2"/>
  <c r="AO421" i="2"/>
  <c r="AP619" i="2"/>
  <c r="AP743" i="2"/>
  <c r="AP752" i="2" s="1"/>
  <c r="AO750" i="2"/>
  <c r="AN658" i="2"/>
  <c r="AN682" i="2" s="1"/>
  <c r="AN666" i="2"/>
  <c r="AP624" i="2"/>
  <c r="AP632" i="2" s="1"/>
  <c r="AP640" i="2" s="1"/>
  <c r="AP748" i="2"/>
  <c r="AP757" i="2" s="1"/>
  <c r="AO415" i="2"/>
  <c r="AO439" i="2"/>
  <c r="AO422" i="2"/>
  <c r="AO414" i="2"/>
  <c r="AQ623" i="2"/>
  <c r="AQ747" i="2"/>
  <c r="AQ756" i="2" s="1"/>
  <c r="AP618" i="2"/>
  <c r="AP742" i="2"/>
  <c r="AP751" i="2" s="1"/>
  <c r="AP621" i="2"/>
  <c r="AP629" i="2" s="1"/>
  <c r="AP637" i="2" s="1"/>
  <c r="AP745" i="2"/>
  <c r="AP754" i="2" s="1"/>
  <c r="AO443" i="2"/>
  <c r="AP622" i="2"/>
  <c r="AP630" i="2" s="1"/>
  <c r="AP638" i="2" s="1"/>
  <c r="AP746" i="2"/>
  <c r="AP755" i="2" s="1"/>
  <c r="AP625" i="2"/>
  <c r="AP633" i="2" s="1"/>
  <c r="AP641" i="2" s="1"/>
  <c r="AP749" i="2"/>
  <c r="AP758" i="2" s="1"/>
  <c r="AT278" i="2"/>
  <c r="AT741" i="2" s="1"/>
  <c r="AS792" i="2"/>
  <c r="AS302" i="2" s="1"/>
  <c r="AT277" i="2"/>
  <c r="AT740" i="2" s="1"/>
  <c r="AS791" i="2"/>
  <c r="AS301" i="2" s="1"/>
  <c r="AQ617" i="2"/>
  <c r="AR793" i="2"/>
  <c r="AR610" i="2" s="1"/>
  <c r="AT274" i="2"/>
  <c r="AT737" i="2" s="1"/>
  <c r="AS788" i="2"/>
  <c r="AS298" i="2" s="1"/>
  <c r="AQ610" i="2"/>
  <c r="AT271" i="2"/>
  <c r="AT734" i="2" s="1"/>
  <c r="AS785" i="2"/>
  <c r="AS295" i="2" s="1"/>
  <c r="AT273" i="2"/>
  <c r="AT736" i="2" s="1"/>
  <c r="AS787" i="2"/>
  <c r="AS297" i="2" s="1"/>
  <c r="AQ614" i="2"/>
  <c r="AT272" i="2"/>
  <c r="AT735" i="2" s="1"/>
  <c r="AS786" i="2"/>
  <c r="AS296" i="2" s="1"/>
  <c r="AQ616" i="2"/>
  <c r="AQ611" i="2"/>
  <c r="AT276" i="2"/>
  <c r="AT739" i="2" s="1"/>
  <c r="AS790" i="2"/>
  <c r="AS300" i="2" s="1"/>
  <c r="AT275" i="2"/>
  <c r="AT738" i="2" s="1"/>
  <c r="AS789" i="2"/>
  <c r="AS299" i="2" s="1"/>
  <c r="AQ613" i="2"/>
  <c r="AQ612" i="2"/>
  <c r="AM719" i="2"/>
  <c r="AM720" i="2"/>
  <c r="AS733" i="2"/>
  <c r="AL722" i="2"/>
  <c r="AN713" i="2"/>
  <c r="AN697" i="2"/>
  <c r="AM721" i="2"/>
  <c r="AQ62" i="2"/>
  <c r="C903" i="2" s="1"/>
  <c r="AQ97" i="2"/>
  <c r="AQ103" i="2" s="1"/>
  <c r="AQ99" i="2"/>
  <c r="AQ105" i="2" s="1"/>
  <c r="AQ61" i="2"/>
  <c r="AR89" i="2"/>
  <c r="AR437" i="2"/>
  <c r="AP666" i="2"/>
  <c r="AP287" i="2" s="1"/>
  <c r="AP303" i="2" s="1"/>
  <c r="AO706" i="2"/>
  <c r="AO690" i="2"/>
  <c r="AN712" i="2"/>
  <c r="AN696" i="2"/>
  <c r="AQ444" i="2"/>
  <c r="AQ442" i="2"/>
  <c r="AN693" i="2"/>
  <c r="AN709" i="2"/>
  <c r="AM718" i="2"/>
  <c r="AP421" i="2"/>
  <c r="AP447" i="2" s="1"/>
  <c r="AP413" i="2"/>
  <c r="AO667" i="2"/>
  <c r="AO288" i="2" s="1"/>
  <c r="AO304" i="2" s="1"/>
  <c r="AO673" i="2"/>
  <c r="AQ443" i="2"/>
  <c r="AP412" i="2"/>
  <c r="AP420" i="2"/>
  <c r="AP446" i="2" s="1"/>
  <c r="AM258" i="2" l="1"/>
  <c r="AK268" i="2"/>
  <c r="AK267" i="2"/>
  <c r="AN694" i="2"/>
  <c r="AN718" i="2" s="1"/>
  <c r="AN691" i="2"/>
  <c r="AN715" i="2" s="1"/>
  <c r="AN711" i="2"/>
  <c r="AN719" i="2" s="1"/>
  <c r="AN175" i="2"/>
  <c r="AM311" i="2"/>
  <c r="AL180" i="2"/>
  <c r="AL181" i="2" s="1"/>
  <c r="AL88" i="2" s="1"/>
  <c r="AN676" i="2"/>
  <c r="AN259" i="2" s="1"/>
  <c r="AN289" i="2"/>
  <c r="AN305" i="2" s="1"/>
  <c r="AN679" i="2"/>
  <c r="AN177" i="2" s="1"/>
  <c r="AN292" i="2"/>
  <c r="AN308" i="2" s="1"/>
  <c r="AM81" i="2"/>
  <c r="AM259" i="2"/>
  <c r="AM174" i="2"/>
  <c r="AN692" i="2"/>
  <c r="AN716" i="2" s="1"/>
  <c r="AO680" i="2"/>
  <c r="AO178" i="2" s="1"/>
  <c r="AO293" i="2"/>
  <c r="AO309" i="2" s="1"/>
  <c r="AN674" i="2"/>
  <c r="AN172" i="2" s="1"/>
  <c r="AN287" i="2"/>
  <c r="AN303" i="2" s="1"/>
  <c r="AN675" i="2"/>
  <c r="AN288" i="2"/>
  <c r="AN304" i="2" s="1"/>
  <c r="AO664" i="2"/>
  <c r="AO688" i="2" s="1"/>
  <c r="AO712" i="2" s="1"/>
  <c r="AO285" i="2"/>
  <c r="AM175" i="2"/>
  <c r="AM260" i="2"/>
  <c r="AO681" i="2"/>
  <c r="AO179" i="2" s="1"/>
  <c r="AO294" i="2"/>
  <c r="AO310" i="2" s="1"/>
  <c r="AO662" i="2"/>
  <c r="AO686" i="2" s="1"/>
  <c r="AO694" i="2" s="1"/>
  <c r="AO283" i="2"/>
  <c r="AN678" i="2"/>
  <c r="AN291" i="2"/>
  <c r="AN307" i="2" s="1"/>
  <c r="AO660" i="2"/>
  <c r="AO684" i="2" s="1"/>
  <c r="AO708" i="2" s="1"/>
  <c r="AO281" i="2"/>
  <c r="AL265" i="2"/>
  <c r="AL266" i="2" s="1"/>
  <c r="AL268" i="2" s="1"/>
  <c r="AO661" i="2"/>
  <c r="AO685" i="2" s="1"/>
  <c r="AO693" i="2" s="1"/>
  <c r="AO282" i="2"/>
  <c r="AO663" i="2"/>
  <c r="AO687" i="2" s="1"/>
  <c r="AO711" i="2" s="1"/>
  <c r="AO284" i="2"/>
  <c r="AO428" i="2" a="1"/>
  <c r="AO428" i="2" s="1"/>
  <c r="AO669" i="2"/>
  <c r="AP654" i="2"/>
  <c r="AP670" i="2" s="1"/>
  <c r="AP646" i="2"/>
  <c r="AP417" i="2"/>
  <c r="AP648" i="2"/>
  <c r="AP653" i="2"/>
  <c r="AP645" i="2"/>
  <c r="AO668" i="2"/>
  <c r="AO670" i="2"/>
  <c r="AO671" i="2"/>
  <c r="AP418" i="2"/>
  <c r="AP649" i="2"/>
  <c r="AP655" i="2"/>
  <c r="AP647" i="2"/>
  <c r="AO450" i="2"/>
  <c r="AO427" i="2"/>
  <c r="AO74" i="2" s="1"/>
  <c r="AO71" i="2" s="1"/>
  <c r="AO451" i="2"/>
  <c r="AN453" i="2"/>
  <c r="AP425" i="2"/>
  <c r="AO448" i="2"/>
  <c r="AO447" i="2"/>
  <c r="AP759" i="2"/>
  <c r="AO449" i="2"/>
  <c r="AP415" i="2"/>
  <c r="AP442" i="2"/>
  <c r="AP423" i="2"/>
  <c r="AP426" i="2"/>
  <c r="AP441" i="2"/>
  <c r="AP750" i="2"/>
  <c r="AQ621" i="2"/>
  <c r="AQ629" i="2" s="1"/>
  <c r="AQ637" i="2" s="1"/>
  <c r="AQ745" i="2"/>
  <c r="AQ754" i="2" s="1"/>
  <c r="AR618" i="2"/>
  <c r="AR742" i="2"/>
  <c r="AR751" i="2" s="1"/>
  <c r="AQ618" i="2"/>
  <c r="AQ626" i="2" s="1"/>
  <c r="AQ634" i="2" s="1"/>
  <c r="AQ742" i="2"/>
  <c r="AQ751" i="2" s="1"/>
  <c r="AP414" i="2"/>
  <c r="AQ619" i="2"/>
  <c r="AQ627" i="2" s="1"/>
  <c r="AQ635" i="2" s="1"/>
  <c r="AQ743" i="2"/>
  <c r="AQ752" i="2" s="1"/>
  <c r="AP440" i="2"/>
  <c r="AP422" i="2"/>
  <c r="AQ624" i="2"/>
  <c r="AQ748" i="2"/>
  <c r="AQ757" i="2" s="1"/>
  <c r="AQ625" i="2"/>
  <c r="AQ749" i="2"/>
  <c r="AQ758" i="2" s="1"/>
  <c r="AP657" i="2"/>
  <c r="AP444" i="2"/>
  <c r="AP424" i="2"/>
  <c r="AP416" i="2"/>
  <c r="AQ622" i="2"/>
  <c r="AQ630" i="2" s="1"/>
  <c r="AQ638" i="2" s="1"/>
  <c r="AQ746" i="2"/>
  <c r="AQ755" i="2" s="1"/>
  <c r="AN690" i="2"/>
  <c r="AN706" i="2"/>
  <c r="AQ620" i="2"/>
  <c r="AQ628" i="2" s="1"/>
  <c r="AQ636" i="2" s="1"/>
  <c r="AQ744" i="2"/>
  <c r="AQ753" i="2" s="1"/>
  <c r="AP656" i="2"/>
  <c r="AP443" i="2"/>
  <c r="AR615" i="2"/>
  <c r="AR611" i="2"/>
  <c r="AR614" i="2"/>
  <c r="AR613" i="2"/>
  <c r="AU274" i="2"/>
  <c r="AU737" i="2" s="1"/>
  <c r="AT788" i="2"/>
  <c r="AT298" i="2" s="1"/>
  <c r="AR612" i="2"/>
  <c r="AR616" i="2"/>
  <c r="AU272" i="2"/>
  <c r="AU735" i="2" s="1"/>
  <c r="AT786" i="2"/>
  <c r="AT296" i="2" s="1"/>
  <c r="AU277" i="2"/>
  <c r="AU740" i="2" s="1"/>
  <c r="AT791" i="2"/>
  <c r="AT301" i="2" s="1"/>
  <c r="AU275" i="2"/>
  <c r="AU738" i="2" s="1"/>
  <c r="AT789" i="2"/>
  <c r="AT299" i="2" s="1"/>
  <c r="AU273" i="2"/>
  <c r="AU736" i="2" s="1"/>
  <c r="AT787" i="2"/>
  <c r="AT297" i="2" s="1"/>
  <c r="AS793" i="2"/>
  <c r="AS610" i="2" s="1"/>
  <c r="AU278" i="2"/>
  <c r="AU741" i="2" s="1"/>
  <c r="AT792" i="2"/>
  <c r="AT302" i="2" s="1"/>
  <c r="AU276" i="2"/>
  <c r="AU739" i="2" s="1"/>
  <c r="AT790" i="2"/>
  <c r="AT300" i="2" s="1"/>
  <c r="AU271" i="2"/>
  <c r="AU734" i="2" s="1"/>
  <c r="AT785" i="2"/>
  <c r="AT295" i="2" s="1"/>
  <c r="AR617" i="2"/>
  <c r="AT733" i="2"/>
  <c r="AN720" i="2"/>
  <c r="AM722" i="2"/>
  <c r="AO697" i="2"/>
  <c r="AO713" i="2"/>
  <c r="AP668" i="2"/>
  <c r="AP289" i="2" s="1"/>
  <c r="AP305" i="2" s="1"/>
  <c r="AO714" i="2"/>
  <c r="AN721" i="2"/>
  <c r="AP667" i="2"/>
  <c r="AP288" i="2" s="1"/>
  <c r="AP304" i="2" s="1"/>
  <c r="AN717" i="2"/>
  <c r="AR443" i="2"/>
  <c r="AR411" i="2"/>
  <c r="AR419" i="2"/>
  <c r="AR444" i="2"/>
  <c r="AQ417" i="2"/>
  <c r="AQ425" i="2"/>
  <c r="AQ451" i="2" s="1"/>
  <c r="AP706" i="2"/>
  <c r="AP690" i="2"/>
  <c r="AO691" i="2"/>
  <c r="AO707" i="2"/>
  <c r="AQ418" i="2"/>
  <c r="AQ426" i="2"/>
  <c r="AQ452" i="2" s="1"/>
  <c r="AR61" i="2"/>
  <c r="AR97" i="2"/>
  <c r="AR103" i="2" s="1"/>
  <c r="AS89" i="2"/>
  <c r="AQ416" i="2"/>
  <c r="AQ424" i="2"/>
  <c r="AQ450" i="2" s="1"/>
  <c r="AN257" i="2" l="1"/>
  <c r="AL182" i="2"/>
  <c r="AM180" i="2"/>
  <c r="AM181" i="2" s="1"/>
  <c r="AN174" i="2"/>
  <c r="AO709" i="2"/>
  <c r="AO717" i="2" s="1"/>
  <c r="AO696" i="2"/>
  <c r="AM265" i="2"/>
  <c r="AM266" i="2" s="1"/>
  <c r="AM268" i="2" s="1"/>
  <c r="AO263" i="2"/>
  <c r="AO692" i="2"/>
  <c r="AO716" i="2" s="1"/>
  <c r="AP665" i="2"/>
  <c r="AP689" i="2" s="1"/>
  <c r="AP697" i="2" s="1"/>
  <c r="AP286" i="2"/>
  <c r="AL267" i="2"/>
  <c r="AL91" i="2"/>
  <c r="AO264" i="2"/>
  <c r="AP662" i="2"/>
  <c r="AP686" i="2" s="1"/>
  <c r="AP710" i="2" s="1"/>
  <c r="AP283" i="2"/>
  <c r="AO695" i="2"/>
  <c r="AO677" i="2"/>
  <c r="AO175" i="2" s="1"/>
  <c r="AO290" i="2"/>
  <c r="AO306" i="2" s="1"/>
  <c r="AN173" i="2"/>
  <c r="AN258" i="2"/>
  <c r="AO710" i="2"/>
  <c r="AO718" i="2" s="1"/>
  <c r="AN81" i="2"/>
  <c r="AN262" i="2"/>
  <c r="AN311" i="2"/>
  <c r="AN176" i="2"/>
  <c r="AN261" i="2"/>
  <c r="AO676" i="2"/>
  <c r="AO174" i="2" s="1"/>
  <c r="AO289" i="2"/>
  <c r="AO305" i="2" s="1"/>
  <c r="AP661" i="2"/>
  <c r="AP685" i="2" s="1"/>
  <c r="AP693" i="2" s="1"/>
  <c r="AP282" i="2"/>
  <c r="AP664" i="2"/>
  <c r="AP688" i="2" s="1"/>
  <c r="AP712" i="2" s="1"/>
  <c r="AP285" i="2"/>
  <c r="AP678" i="2"/>
  <c r="AP261" i="2" s="1"/>
  <c r="AP291" i="2"/>
  <c r="AP307" i="2" s="1"/>
  <c r="AP663" i="2"/>
  <c r="AP687" i="2" s="1"/>
  <c r="AP711" i="2" s="1"/>
  <c r="AP284" i="2"/>
  <c r="AO679" i="2"/>
  <c r="AO177" i="2" s="1"/>
  <c r="AO292" i="2"/>
  <c r="AO308" i="2" s="1"/>
  <c r="AO678" i="2"/>
  <c r="AO176" i="2" s="1"/>
  <c r="AO291" i="2"/>
  <c r="AO307" i="2" s="1"/>
  <c r="AP428" i="2" a="1"/>
  <c r="AP428" i="2" s="1"/>
  <c r="AP669" i="2"/>
  <c r="AP671" i="2"/>
  <c r="AQ652" i="2"/>
  <c r="AQ644" i="2"/>
  <c r="AQ654" i="2"/>
  <c r="AQ646" i="2"/>
  <c r="AQ651" i="2"/>
  <c r="AQ643" i="2"/>
  <c r="AQ650" i="2"/>
  <c r="AQ642" i="2"/>
  <c r="AQ653" i="2"/>
  <c r="AQ645" i="2"/>
  <c r="AP427" i="2"/>
  <c r="AP74" i="2" s="1"/>
  <c r="AP71" i="2" s="1"/>
  <c r="AR445" i="2"/>
  <c r="AP451" i="2"/>
  <c r="AO453" i="2"/>
  <c r="AP449" i="2"/>
  <c r="AQ413" i="2"/>
  <c r="AQ759" i="2"/>
  <c r="AP452" i="2"/>
  <c r="AQ421" i="2"/>
  <c r="AQ440" i="2"/>
  <c r="AQ414" i="2"/>
  <c r="AP450" i="2"/>
  <c r="AQ419" i="2"/>
  <c r="AQ422" i="2"/>
  <c r="AP673" i="2"/>
  <c r="AP672" i="2"/>
  <c r="AN714" i="2"/>
  <c r="AN722" i="2" s="1"/>
  <c r="AR620" i="2"/>
  <c r="AR628" i="2" s="1"/>
  <c r="AR636" i="2" s="1"/>
  <c r="AR744" i="2"/>
  <c r="AR753" i="2" s="1"/>
  <c r="AR619" i="2"/>
  <c r="AR627" i="2" s="1"/>
  <c r="AR635" i="2" s="1"/>
  <c r="AR743" i="2"/>
  <c r="AR752" i="2" s="1"/>
  <c r="AQ438" i="2"/>
  <c r="AQ750" i="2"/>
  <c r="AQ423" i="2"/>
  <c r="AQ412" i="2"/>
  <c r="AQ437" i="2"/>
  <c r="AR624" i="2"/>
  <c r="AR748" i="2"/>
  <c r="AR757" i="2" s="1"/>
  <c r="AS618" i="2"/>
  <c r="AS626" i="2" s="1"/>
  <c r="AS634" i="2" s="1"/>
  <c r="AS742" i="2"/>
  <c r="AS751" i="2" s="1"/>
  <c r="AQ415" i="2"/>
  <c r="AQ420" i="2"/>
  <c r="AQ411" i="2"/>
  <c r="AR625" i="2"/>
  <c r="AR749" i="2"/>
  <c r="AR758" i="2" s="1"/>
  <c r="AR621" i="2"/>
  <c r="AR629" i="2" s="1"/>
  <c r="AR637" i="2" s="1"/>
  <c r="AR745" i="2"/>
  <c r="AR754" i="2" s="1"/>
  <c r="AR622" i="2"/>
  <c r="AR630" i="2" s="1"/>
  <c r="AR638" i="2" s="1"/>
  <c r="AR746" i="2"/>
  <c r="AR755" i="2" s="1"/>
  <c r="AQ441" i="2"/>
  <c r="AR623" i="2"/>
  <c r="AR631" i="2" s="1"/>
  <c r="AR639" i="2" s="1"/>
  <c r="AR747" i="2"/>
  <c r="AR756" i="2" s="1"/>
  <c r="AQ439" i="2"/>
  <c r="AP448" i="2"/>
  <c r="AS615" i="2"/>
  <c r="AS614" i="2"/>
  <c r="AS612" i="2"/>
  <c r="AS611" i="2"/>
  <c r="AS617" i="2"/>
  <c r="AS616" i="2"/>
  <c r="AV273" i="2"/>
  <c r="AV736" i="2" s="1"/>
  <c r="AU787" i="2"/>
  <c r="AU297" i="2" s="1"/>
  <c r="AV271" i="2"/>
  <c r="AV734" i="2" s="1"/>
  <c r="AU785" i="2"/>
  <c r="AU295" i="2" s="1"/>
  <c r="AV276" i="2"/>
  <c r="AV739" i="2" s="1"/>
  <c r="AU790" i="2"/>
  <c r="AU300" i="2" s="1"/>
  <c r="AV277" i="2"/>
  <c r="AV740" i="2" s="1"/>
  <c r="AU791" i="2"/>
  <c r="AU301" i="2" s="1"/>
  <c r="AV274" i="2"/>
  <c r="AV737" i="2" s="1"/>
  <c r="AU788" i="2"/>
  <c r="AU298" i="2" s="1"/>
  <c r="AV275" i="2"/>
  <c r="AV738" i="2" s="1"/>
  <c r="AU789" i="2"/>
  <c r="AU299" i="2" s="1"/>
  <c r="AV278" i="2"/>
  <c r="AV741" i="2" s="1"/>
  <c r="AU792" i="2"/>
  <c r="AU302" i="2" s="1"/>
  <c r="AS613" i="2"/>
  <c r="AT793" i="2"/>
  <c r="AT616" i="2" s="1"/>
  <c r="AV272" i="2"/>
  <c r="AV735" i="2" s="1"/>
  <c r="AU786" i="2"/>
  <c r="AU296" i="2" s="1"/>
  <c r="AU733" i="2"/>
  <c r="AO715" i="2"/>
  <c r="AP708" i="2"/>
  <c r="AP692" i="2"/>
  <c r="AS438" i="2"/>
  <c r="AP691" i="2"/>
  <c r="AP707" i="2"/>
  <c r="AS61" i="2"/>
  <c r="AS97" i="2"/>
  <c r="AS103" i="2" s="1"/>
  <c r="AT89" i="2"/>
  <c r="AR418" i="2"/>
  <c r="AR426" i="2"/>
  <c r="AR452" i="2" s="1"/>
  <c r="AQ673" i="2"/>
  <c r="AQ294" i="2" s="1"/>
  <c r="AQ310" i="2" s="1"/>
  <c r="AR666" i="2"/>
  <c r="AR287" i="2" s="1"/>
  <c r="AR303" i="2" s="1"/>
  <c r="AO721" i="2"/>
  <c r="AP714" i="2"/>
  <c r="AT437" i="2"/>
  <c r="AQ672" i="2"/>
  <c r="AQ293" i="2" s="1"/>
  <c r="AQ309" i="2" s="1"/>
  <c r="AS444" i="2"/>
  <c r="AQ671" i="2"/>
  <c r="AQ292" i="2" s="1"/>
  <c r="AQ308" i="2" s="1"/>
  <c r="AO720" i="2"/>
  <c r="AR425" i="2"/>
  <c r="AR451" i="2" s="1"/>
  <c r="AR417" i="2"/>
  <c r="AM91" i="2" l="1"/>
  <c r="AM267" i="2"/>
  <c r="AM182" i="2"/>
  <c r="AO260" i="2"/>
  <c r="AM88" i="2"/>
  <c r="AP709" i="2"/>
  <c r="AP717" i="2" s="1"/>
  <c r="AP696" i="2"/>
  <c r="AP720" i="2" s="1"/>
  <c r="AO81" i="2"/>
  <c r="AP176" i="2"/>
  <c r="AN180" i="2"/>
  <c r="AN181" i="2" s="1"/>
  <c r="AN88" i="2" s="1"/>
  <c r="AP713" i="2"/>
  <c r="AP721" i="2" s="1"/>
  <c r="AO180" i="2"/>
  <c r="AO181" i="2" s="1"/>
  <c r="AO88" i="2" s="1"/>
  <c r="AN265" i="2"/>
  <c r="AN266" i="2" s="1"/>
  <c r="AN91" i="2" s="1"/>
  <c r="AQ660" i="2"/>
  <c r="AQ684" i="2" s="1"/>
  <c r="AQ708" i="2" s="1"/>
  <c r="AQ281" i="2"/>
  <c r="AQ661" i="2"/>
  <c r="AQ685" i="2" s="1"/>
  <c r="AQ693" i="2" s="1"/>
  <c r="AQ282" i="2"/>
  <c r="AP679" i="2"/>
  <c r="AP177" i="2" s="1"/>
  <c r="AP292" i="2"/>
  <c r="AP308" i="2" s="1"/>
  <c r="AP694" i="2"/>
  <c r="AP718" i="2" s="1"/>
  <c r="AP681" i="2"/>
  <c r="AP179" i="2" s="1"/>
  <c r="AP294" i="2"/>
  <c r="AP310" i="2" s="1"/>
  <c r="AP677" i="2"/>
  <c r="AP175" i="2" s="1"/>
  <c r="AP290" i="2"/>
  <c r="AP306" i="2" s="1"/>
  <c r="AO719" i="2"/>
  <c r="AO722" i="2" s="1"/>
  <c r="AQ659" i="2"/>
  <c r="AQ683" i="2" s="1"/>
  <c r="AQ707" i="2" s="1"/>
  <c r="AQ280" i="2"/>
  <c r="AQ662" i="2"/>
  <c r="AQ686" i="2" s="1"/>
  <c r="AQ710" i="2" s="1"/>
  <c r="AQ283" i="2"/>
  <c r="AO261" i="2"/>
  <c r="AO259" i="2"/>
  <c r="AQ668" i="2"/>
  <c r="AP680" i="2"/>
  <c r="AP178" i="2" s="1"/>
  <c r="AP293" i="2"/>
  <c r="AP309" i="2" s="1"/>
  <c r="AQ658" i="2"/>
  <c r="AQ682" i="2" s="1"/>
  <c r="AQ690" i="2" s="1"/>
  <c r="AQ279" i="2"/>
  <c r="AP695" i="2"/>
  <c r="AP719" i="2" s="1"/>
  <c r="AO262" i="2"/>
  <c r="AO311" i="2"/>
  <c r="AQ670" i="2"/>
  <c r="AQ428" i="2" a="1"/>
  <c r="AQ428" i="2" s="1"/>
  <c r="AQ666" i="2"/>
  <c r="AR424" i="2"/>
  <c r="AR647" i="2"/>
  <c r="AS650" i="2"/>
  <c r="AS642" i="2"/>
  <c r="AQ667" i="2"/>
  <c r="AR654" i="2"/>
  <c r="AR670" i="2" s="1"/>
  <c r="AR646" i="2"/>
  <c r="AR420" i="2"/>
  <c r="AR643" i="2"/>
  <c r="AR652" i="2"/>
  <c r="AR644" i="2"/>
  <c r="AQ669" i="2"/>
  <c r="AR653" i="2"/>
  <c r="AR645" i="2"/>
  <c r="AQ427" i="2"/>
  <c r="AQ74" i="2" s="1"/>
  <c r="AQ71" i="2" s="1"/>
  <c r="AQ445" i="2"/>
  <c r="AQ448" i="2"/>
  <c r="AQ447" i="2"/>
  <c r="AR759" i="2"/>
  <c r="AP453" i="2"/>
  <c r="AR422" i="2"/>
  <c r="AR414" i="2"/>
  <c r="AR421" i="2"/>
  <c r="AR413" i="2"/>
  <c r="AR750" i="2"/>
  <c r="AQ446" i="2"/>
  <c r="AR412" i="2"/>
  <c r="AR439" i="2"/>
  <c r="AR416" i="2"/>
  <c r="AS419" i="2"/>
  <c r="AT610" i="2"/>
  <c r="AT618" i="2" s="1"/>
  <c r="AQ449" i="2"/>
  <c r="AS624" i="2"/>
  <c r="AS632" i="2" s="1"/>
  <c r="AS640" i="2" s="1"/>
  <c r="AS748" i="2"/>
  <c r="AS757" i="2" s="1"/>
  <c r="AS625" i="2"/>
  <c r="AS749" i="2"/>
  <c r="AS758" i="2" s="1"/>
  <c r="AR423" i="2"/>
  <c r="AR440" i="2"/>
  <c r="AR651" i="2"/>
  <c r="AR438" i="2"/>
  <c r="AR415" i="2"/>
  <c r="AS622" i="2"/>
  <c r="AS630" i="2" s="1"/>
  <c r="AS638" i="2" s="1"/>
  <c r="AS746" i="2"/>
  <c r="AS755" i="2" s="1"/>
  <c r="AT624" i="2"/>
  <c r="AT632" i="2" s="1"/>
  <c r="AT640" i="2" s="1"/>
  <c r="AT748" i="2"/>
  <c r="AT757" i="2" s="1"/>
  <c r="AS437" i="2"/>
  <c r="AS621" i="2"/>
  <c r="AS629" i="2" s="1"/>
  <c r="AS637" i="2" s="1"/>
  <c r="AS745" i="2"/>
  <c r="AS754" i="2" s="1"/>
  <c r="AS623" i="2"/>
  <c r="AS631" i="2" s="1"/>
  <c r="AS639" i="2" s="1"/>
  <c r="AS747" i="2"/>
  <c r="AS756" i="2" s="1"/>
  <c r="AR441" i="2"/>
  <c r="AS619" i="2"/>
  <c r="AS743" i="2"/>
  <c r="AS752" i="2" s="1"/>
  <c r="AS411" i="2"/>
  <c r="AS620" i="2"/>
  <c r="AS628" i="2" s="1"/>
  <c r="AS636" i="2" s="1"/>
  <c r="AS744" i="2"/>
  <c r="AS753" i="2" s="1"/>
  <c r="AR655" i="2"/>
  <c r="AR442" i="2"/>
  <c r="AT611" i="2"/>
  <c r="AW278" i="2"/>
  <c r="AW741" i="2" s="1"/>
  <c r="AV792" i="2"/>
  <c r="AV302" i="2" s="1"/>
  <c r="AT615" i="2"/>
  <c r="AW272" i="2"/>
  <c r="AW735" i="2" s="1"/>
  <c r="AV786" i="2"/>
  <c r="AV296" i="2" s="1"/>
  <c r="AW276" i="2"/>
  <c r="AW739" i="2" s="1"/>
  <c r="AV790" i="2"/>
  <c r="AV300" i="2" s="1"/>
  <c r="AT613" i="2"/>
  <c r="AU793" i="2"/>
  <c r="AU616" i="2" s="1"/>
  <c r="AW274" i="2"/>
  <c r="AW737" i="2" s="1"/>
  <c r="AV788" i="2"/>
  <c r="AV298" i="2" s="1"/>
  <c r="AT617" i="2"/>
  <c r="AW271" i="2"/>
  <c r="AW734" i="2" s="1"/>
  <c r="AV785" i="2"/>
  <c r="AV295" i="2" s="1"/>
  <c r="AT614" i="2"/>
  <c r="AW275" i="2"/>
  <c r="AW738" i="2" s="1"/>
  <c r="AV789" i="2"/>
  <c r="AV299" i="2" s="1"/>
  <c r="AW277" i="2"/>
  <c r="AW740" i="2" s="1"/>
  <c r="AV791" i="2"/>
  <c r="AV301" i="2" s="1"/>
  <c r="AT612" i="2"/>
  <c r="AW273" i="2"/>
  <c r="AW736" i="2" s="1"/>
  <c r="AV787" i="2"/>
  <c r="AV297" i="2" s="1"/>
  <c r="AV733" i="2"/>
  <c r="AP716" i="2"/>
  <c r="AP715" i="2"/>
  <c r="AS418" i="2"/>
  <c r="AS426" i="2"/>
  <c r="AS452" i="2" s="1"/>
  <c r="AT439" i="2"/>
  <c r="AQ697" i="2"/>
  <c r="AQ713" i="2"/>
  <c r="AT411" i="2"/>
  <c r="AT419" i="2"/>
  <c r="AR673" i="2"/>
  <c r="AR294" i="2" s="1"/>
  <c r="AR310" i="2" s="1"/>
  <c r="AR690" i="2"/>
  <c r="AR706" i="2"/>
  <c r="AQ712" i="2"/>
  <c r="AQ696" i="2"/>
  <c r="AQ711" i="2"/>
  <c r="AQ695" i="2"/>
  <c r="AT97" i="2"/>
  <c r="AT103" i="2" s="1"/>
  <c r="AU89" i="2"/>
  <c r="AT61" i="2"/>
  <c r="AR672" i="2"/>
  <c r="AR293" i="2" s="1"/>
  <c r="AR309" i="2" s="1"/>
  <c r="AS420" i="2"/>
  <c r="AS446" i="2" s="1"/>
  <c r="AS412" i="2"/>
  <c r="AN268" i="2" l="1"/>
  <c r="AN182" i="2"/>
  <c r="AN267" i="2"/>
  <c r="AO182" i="2"/>
  <c r="AO265" i="2"/>
  <c r="AO266" i="2" s="1"/>
  <c r="AO267" i="2" s="1"/>
  <c r="AQ691" i="2"/>
  <c r="AQ715" i="2" s="1"/>
  <c r="AQ692" i="2"/>
  <c r="AQ694" i="2"/>
  <c r="AQ718" i="2" s="1"/>
  <c r="AP81" i="2"/>
  <c r="AP263" i="2"/>
  <c r="AP264" i="2"/>
  <c r="AP311" i="2"/>
  <c r="AQ709" i="2"/>
  <c r="AQ717" i="2" s="1"/>
  <c r="AQ677" i="2"/>
  <c r="AQ175" i="2" s="1"/>
  <c r="AQ290" i="2"/>
  <c r="AQ306" i="2" s="1"/>
  <c r="AQ678" i="2"/>
  <c r="AQ291" i="2"/>
  <c r="AQ307" i="2" s="1"/>
  <c r="AQ675" i="2"/>
  <c r="AQ173" i="2" s="1"/>
  <c r="AQ288" i="2"/>
  <c r="AQ304" i="2" s="1"/>
  <c r="AQ674" i="2"/>
  <c r="AQ257" i="2" s="1"/>
  <c r="AQ287" i="2"/>
  <c r="AQ303" i="2" s="1"/>
  <c r="AQ676" i="2"/>
  <c r="AQ289" i="2"/>
  <c r="AQ305" i="2" s="1"/>
  <c r="AR662" i="2"/>
  <c r="AR686" i="2" s="1"/>
  <c r="AR694" i="2" s="1"/>
  <c r="AR283" i="2"/>
  <c r="AR659" i="2"/>
  <c r="AR683" i="2" s="1"/>
  <c r="AR707" i="2" s="1"/>
  <c r="AR280" i="2"/>
  <c r="AR678" i="2"/>
  <c r="AR176" i="2" s="1"/>
  <c r="AR291" i="2"/>
  <c r="AR307" i="2" s="1"/>
  <c r="AQ706" i="2"/>
  <c r="AQ714" i="2" s="1"/>
  <c r="AR660" i="2"/>
  <c r="AR684" i="2" s="1"/>
  <c r="AR692" i="2" s="1"/>
  <c r="AR281" i="2"/>
  <c r="AR450" i="2"/>
  <c r="AP260" i="2"/>
  <c r="AR663" i="2"/>
  <c r="AR687" i="2" s="1"/>
  <c r="AR695" i="2" s="1"/>
  <c r="AR284" i="2"/>
  <c r="AP262" i="2"/>
  <c r="AR661" i="2"/>
  <c r="AR685" i="2" s="1"/>
  <c r="AR693" i="2" s="1"/>
  <c r="AR282" i="2"/>
  <c r="AS658" i="2"/>
  <c r="AS682" i="2" s="1"/>
  <c r="AS706" i="2" s="1"/>
  <c r="AS279" i="2"/>
  <c r="AS666" i="2"/>
  <c r="AR428" i="2" a="1"/>
  <c r="AR428" i="2" s="1"/>
  <c r="AR669" i="2"/>
  <c r="AT656" i="2"/>
  <c r="AT648" i="2"/>
  <c r="AS653" i="2"/>
  <c r="AS669" i="2" s="1"/>
  <c r="AS645" i="2"/>
  <c r="AS656" i="2"/>
  <c r="AS648" i="2"/>
  <c r="AS652" i="2"/>
  <c r="AS644" i="2"/>
  <c r="AS654" i="2"/>
  <c r="AS646" i="2"/>
  <c r="AS655" i="2"/>
  <c r="AS647" i="2"/>
  <c r="AR446" i="2"/>
  <c r="AR668" i="2"/>
  <c r="AR427" i="2"/>
  <c r="AR74" i="2" s="1"/>
  <c r="AR71" i="2" s="1"/>
  <c r="AP180" i="2"/>
  <c r="AP181" i="2" s="1"/>
  <c r="AP88" i="2" s="1"/>
  <c r="AT445" i="2"/>
  <c r="AR667" i="2"/>
  <c r="AR448" i="2"/>
  <c r="AR447" i="2"/>
  <c r="AS423" i="2"/>
  <c r="AS422" i="2"/>
  <c r="AS414" i="2"/>
  <c r="AS759" i="2"/>
  <c r="AQ453" i="2"/>
  <c r="AS442" i="2"/>
  <c r="AS445" i="2"/>
  <c r="AS421" i="2"/>
  <c r="AT742" i="2"/>
  <c r="AT751" i="2" s="1"/>
  <c r="AS413" i="2"/>
  <c r="AS441" i="2"/>
  <c r="AS443" i="2"/>
  <c r="AS425" i="2"/>
  <c r="AT443" i="2"/>
  <c r="AS417" i="2"/>
  <c r="AS750" i="2"/>
  <c r="AS415" i="2"/>
  <c r="AT622" i="2"/>
  <c r="AT630" i="2" s="1"/>
  <c r="AT638" i="2" s="1"/>
  <c r="AT746" i="2"/>
  <c r="AT755" i="2" s="1"/>
  <c r="AR449" i="2"/>
  <c r="AT625" i="2"/>
  <c r="AT633" i="2" s="1"/>
  <c r="AT641" i="2" s="1"/>
  <c r="AT749" i="2"/>
  <c r="AT758" i="2" s="1"/>
  <c r="AT623" i="2"/>
  <c r="AT631" i="2" s="1"/>
  <c r="AT639" i="2" s="1"/>
  <c r="AT747" i="2"/>
  <c r="AT756" i="2" s="1"/>
  <c r="AS440" i="2"/>
  <c r="AS424" i="2"/>
  <c r="AU624" i="2"/>
  <c r="AU748" i="2"/>
  <c r="AU757" i="2" s="1"/>
  <c r="AR671" i="2"/>
  <c r="AS416" i="2"/>
  <c r="AT620" i="2"/>
  <c r="AT744" i="2"/>
  <c r="AT753" i="2" s="1"/>
  <c r="AT621" i="2"/>
  <c r="AT629" i="2" s="1"/>
  <c r="AT637" i="2" s="1"/>
  <c r="AT745" i="2"/>
  <c r="AT754" i="2" s="1"/>
  <c r="AT619" i="2"/>
  <c r="AT627" i="2" s="1"/>
  <c r="AT635" i="2" s="1"/>
  <c r="AT743" i="2"/>
  <c r="AT752" i="2" s="1"/>
  <c r="AS439" i="2"/>
  <c r="AU612" i="2"/>
  <c r="AU617" i="2"/>
  <c r="AU613" i="2"/>
  <c r="AU614" i="2"/>
  <c r="AX276" i="2"/>
  <c r="AX739" i="2" s="1"/>
  <c r="AW790" i="2"/>
  <c r="AW300" i="2" s="1"/>
  <c r="AX271" i="2"/>
  <c r="AX734" i="2" s="1"/>
  <c r="AW785" i="2"/>
  <c r="AW295" i="2" s="1"/>
  <c r="AX272" i="2"/>
  <c r="AX735" i="2" s="1"/>
  <c r="AW786" i="2"/>
  <c r="AW296" i="2" s="1"/>
  <c r="AX273" i="2"/>
  <c r="AX736" i="2" s="1"/>
  <c r="AW787" i="2"/>
  <c r="AW297" i="2" s="1"/>
  <c r="AX275" i="2"/>
  <c r="AX738" i="2" s="1"/>
  <c r="AW789" i="2"/>
  <c r="AW299" i="2" s="1"/>
  <c r="AU611" i="2"/>
  <c r="AX274" i="2"/>
  <c r="AX737" i="2" s="1"/>
  <c r="AW788" i="2"/>
  <c r="AW298" i="2" s="1"/>
  <c r="AX278" i="2"/>
  <c r="AX741" i="2" s="1"/>
  <c r="AW792" i="2"/>
  <c r="AW302" i="2" s="1"/>
  <c r="AV793" i="2"/>
  <c r="AV613" i="2" s="1"/>
  <c r="AU610" i="2"/>
  <c r="AU615" i="2"/>
  <c r="AX277" i="2"/>
  <c r="AX740" i="2" s="1"/>
  <c r="AW791" i="2"/>
  <c r="AW301" i="2" s="1"/>
  <c r="AW733" i="2"/>
  <c r="AQ719" i="2"/>
  <c r="AP722" i="2"/>
  <c r="AQ716" i="2"/>
  <c r="AQ720" i="2"/>
  <c r="AU443" i="2"/>
  <c r="AR713" i="2"/>
  <c r="AR697" i="2"/>
  <c r="AR712" i="2"/>
  <c r="AR696" i="2"/>
  <c r="AT666" i="2"/>
  <c r="AT287" i="2" s="1"/>
  <c r="AT303" i="2" s="1"/>
  <c r="AU99" i="2"/>
  <c r="AU105" i="2" s="1"/>
  <c r="AU62" i="2"/>
  <c r="C904" i="2" s="1"/>
  <c r="AU97" i="2"/>
  <c r="AU103" i="2" s="1"/>
  <c r="AV89" i="2"/>
  <c r="AU61" i="2"/>
  <c r="AS673" i="2"/>
  <c r="AS294" i="2" s="1"/>
  <c r="AS310" i="2" s="1"/>
  <c r="AS667" i="2"/>
  <c r="AS288" i="2" s="1"/>
  <c r="AS304" i="2" s="1"/>
  <c r="AT421" i="2"/>
  <c r="AT447" i="2" s="1"/>
  <c r="AT413" i="2"/>
  <c r="AQ721" i="2"/>
  <c r="AU444" i="2"/>
  <c r="AT417" i="2"/>
  <c r="AT425" i="2"/>
  <c r="AR714" i="2"/>
  <c r="AO268" i="2" l="1"/>
  <c r="AQ81" i="2"/>
  <c r="AO91" i="2"/>
  <c r="AR691" i="2"/>
  <c r="AR715" i="2" s="1"/>
  <c r="AQ260" i="2"/>
  <c r="AR261" i="2"/>
  <c r="AR709" i="2"/>
  <c r="AR708" i="2"/>
  <c r="AR716" i="2" s="1"/>
  <c r="AS690" i="2"/>
  <c r="AS714" i="2" s="1"/>
  <c r="AP265" i="2"/>
  <c r="AP266" i="2" s="1"/>
  <c r="AP91" i="2" s="1"/>
  <c r="AQ258" i="2"/>
  <c r="AR711" i="2"/>
  <c r="AR719" i="2" s="1"/>
  <c r="AR679" i="2"/>
  <c r="AR177" i="2" s="1"/>
  <c r="AR292" i="2"/>
  <c r="AR308" i="2" s="1"/>
  <c r="AS664" i="2"/>
  <c r="AS688" i="2" s="1"/>
  <c r="AS712" i="2" s="1"/>
  <c r="AS285" i="2"/>
  <c r="AS677" i="2"/>
  <c r="AS260" i="2" s="1"/>
  <c r="AS290" i="2"/>
  <c r="AS306" i="2" s="1"/>
  <c r="AR710" i="2"/>
  <c r="AR718" i="2" s="1"/>
  <c r="AR676" i="2"/>
  <c r="AR259" i="2" s="1"/>
  <c r="AR289" i="2"/>
  <c r="AR305" i="2" s="1"/>
  <c r="AS661" i="2"/>
  <c r="AS685" i="2" s="1"/>
  <c r="AS693" i="2" s="1"/>
  <c r="AS282" i="2"/>
  <c r="AQ261" i="2"/>
  <c r="AQ176" i="2"/>
  <c r="AS662" i="2"/>
  <c r="AS686" i="2" s="1"/>
  <c r="AS694" i="2" s="1"/>
  <c r="AS283" i="2"/>
  <c r="AS674" i="2"/>
  <c r="AS287" i="2"/>
  <c r="AS303" i="2" s="1"/>
  <c r="AQ172" i="2"/>
  <c r="AQ259" i="2"/>
  <c r="AQ174" i="2"/>
  <c r="AQ311" i="2"/>
  <c r="AS660" i="2"/>
  <c r="AS684" i="2" s="1"/>
  <c r="AS692" i="2" s="1"/>
  <c r="AS281" i="2"/>
  <c r="AT664" i="2"/>
  <c r="AT688" i="2" s="1"/>
  <c r="AT285" i="2"/>
  <c r="AR675" i="2"/>
  <c r="AR173" i="2" s="1"/>
  <c r="AR288" i="2"/>
  <c r="AR304" i="2" s="1"/>
  <c r="AS663" i="2"/>
  <c r="AS687" i="2" s="1"/>
  <c r="AS695" i="2" s="1"/>
  <c r="AS284" i="2"/>
  <c r="AR677" i="2"/>
  <c r="AR175" i="2" s="1"/>
  <c r="AR290" i="2"/>
  <c r="AR306" i="2" s="1"/>
  <c r="AS428" i="2" a="1"/>
  <c r="AS428" i="2" s="1"/>
  <c r="AS670" i="2"/>
  <c r="AT657" i="2"/>
  <c r="AT673" i="2" s="1"/>
  <c r="AT649" i="2"/>
  <c r="AS671" i="2"/>
  <c r="AT653" i="2"/>
  <c r="AT669" i="2" s="1"/>
  <c r="AT645" i="2"/>
  <c r="AT655" i="2"/>
  <c r="AT647" i="2"/>
  <c r="AS672" i="2"/>
  <c r="AT654" i="2"/>
  <c r="AT646" i="2"/>
  <c r="AT651" i="2"/>
  <c r="AT643" i="2"/>
  <c r="AS668" i="2"/>
  <c r="AS427" i="2"/>
  <c r="AS74" i="2" s="1"/>
  <c r="AS71" i="2" s="1"/>
  <c r="AP182" i="2"/>
  <c r="AS449" i="2"/>
  <c r="AR453" i="2"/>
  <c r="AS448" i="2"/>
  <c r="AT451" i="2"/>
  <c r="AS451" i="2"/>
  <c r="AT750" i="2"/>
  <c r="AS450" i="2"/>
  <c r="AT426" i="2"/>
  <c r="AS447" i="2"/>
  <c r="AT759" i="2"/>
  <c r="AT424" i="2"/>
  <c r="AT423" i="2"/>
  <c r="AT441" i="2"/>
  <c r="AT415" i="2"/>
  <c r="AT416" i="2"/>
  <c r="AU622" i="2"/>
  <c r="AU630" i="2" s="1"/>
  <c r="AU638" i="2" s="1"/>
  <c r="AU746" i="2"/>
  <c r="AU755" i="2" s="1"/>
  <c r="AU621" i="2"/>
  <c r="AU629" i="2" s="1"/>
  <c r="AU637" i="2" s="1"/>
  <c r="AU745" i="2"/>
  <c r="AU754" i="2" s="1"/>
  <c r="AT440" i="2"/>
  <c r="AT422" i="2"/>
  <c r="AU625" i="2"/>
  <c r="AU749" i="2"/>
  <c r="AU758" i="2" s="1"/>
  <c r="AU620" i="2"/>
  <c r="AU628" i="2" s="1"/>
  <c r="AU636" i="2" s="1"/>
  <c r="AU744" i="2"/>
  <c r="AU753" i="2" s="1"/>
  <c r="AT414" i="2"/>
  <c r="AU623" i="2"/>
  <c r="AU631" i="2" s="1"/>
  <c r="AU639" i="2" s="1"/>
  <c r="AU747" i="2"/>
  <c r="AU756" i="2" s="1"/>
  <c r="AT442" i="2"/>
  <c r="AU618" i="2"/>
  <c r="AU626" i="2" s="1"/>
  <c r="AU634" i="2" s="1"/>
  <c r="AU742" i="2"/>
  <c r="AU751" i="2" s="1"/>
  <c r="AT444" i="2"/>
  <c r="AT418" i="2"/>
  <c r="AT420" i="2"/>
  <c r="AT438" i="2"/>
  <c r="AU619" i="2"/>
  <c r="AU627" i="2" s="1"/>
  <c r="AU635" i="2" s="1"/>
  <c r="AU743" i="2"/>
  <c r="AU752" i="2" s="1"/>
  <c r="AT412" i="2"/>
  <c r="AV621" i="2"/>
  <c r="AV629" i="2" s="1"/>
  <c r="AV637" i="2" s="1"/>
  <c r="AV745" i="2"/>
  <c r="AV754" i="2" s="1"/>
  <c r="AV610" i="2"/>
  <c r="AV611" i="2"/>
  <c r="AV614" i="2"/>
  <c r="AV612" i="2"/>
  <c r="AV616" i="2"/>
  <c r="AY275" i="2"/>
  <c r="AY738" i="2" s="1"/>
  <c r="AX789" i="2"/>
  <c r="AX299" i="2" s="1"/>
  <c r="AY273" i="2"/>
  <c r="AY736" i="2" s="1"/>
  <c r="AX787" i="2"/>
  <c r="AX297" i="2" s="1"/>
  <c r="AY272" i="2"/>
  <c r="AY735" i="2" s="1"/>
  <c r="AX786" i="2"/>
  <c r="AX296" i="2" s="1"/>
  <c r="AY278" i="2"/>
  <c r="AY741" i="2" s="1"/>
  <c r="AX792" i="2"/>
  <c r="AX302" i="2" s="1"/>
  <c r="AW793" i="2"/>
  <c r="AW611" i="2" s="1"/>
  <c r="AY271" i="2"/>
  <c r="AY734" i="2" s="1"/>
  <c r="AX785" i="2"/>
  <c r="AX295" i="2" s="1"/>
  <c r="AY277" i="2"/>
  <c r="AY740" i="2" s="1"/>
  <c r="AX791" i="2"/>
  <c r="AX301" i="2" s="1"/>
  <c r="AY274" i="2"/>
  <c r="AY737" i="2" s="1"/>
  <c r="AX788" i="2"/>
  <c r="AX298" i="2" s="1"/>
  <c r="AY276" i="2"/>
  <c r="AY739" i="2" s="1"/>
  <c r="AX790" i="2"/>
  <c r="AX300" i="2" s="1"/>
  <c r="AV617" i="2"/>
  <c r="AV615" i="2"/>
  <c r="AX733" i="2"/>
  <c r="AR720" i="2"/>
  <c r="AQ722" i="2"/>
  <c r="AT672" i="2"/>
  <c r="AR717" i="2"/>
  <c r="AU418" i="2"/>
  <c r="AU426" i="2"/>
  <c r="AU452" i="2" s="1"/>
  <c r="AV444" i="2"/>
  <c r="AT706" i="2"/>
  <c r="AT690" i="2"/>
  <c r="AW437" i="2"/>
  <c r="AT668" i="2"/>
  <c r="AT289" i="2" s="1"/>
  <c r="AT305" i="2" s="1"/>
  <c r="AS713" i="2"/>
  <c r="AS697" i="2"/>
  <c r="AS707" i="2"/>
  <c r="AS691" i="2"/>
  <c r="AU417" i="2"/>
  <c r="AU425" i="2"/>
  <c r="AU451" i="2" s="1"/>
  <c r="AV97" i="2"/>
  <c r="AV103" i="2" s="1"/>
  <c r="AW89" i="2"/>
  <c r="AV61" i="2"/>
  <c r="AR721" i="2"/>
  <c r="AV443" i="2"/>
  <c r="AR174" i="2" l="1"/>
  <c r="AR81" i="2"/>
  <c r="AS711" i="2"/>
  <c r="AS719" i="2" s="1"/>
  <c r="AR262" i="2"/>
  <c r="AP267" i="2"/>
  <c r="AS696" i="2"/>
  <c r="AS720" i="2" s="1"/>
  <c r="AP268" i="2"/>
  <c r="AR258" i="2"/>
  <c r="AQ265" i="2"/>
  <c r="AQ266" i="2" s="1"/>
  <c r="AQ268" i="2" s="1"/>
  <c r="AS710" i="2"/>
  <c r="AS718" i="2" s="1"/>
  <c r="AS680" i="2"/>
  <c r="AS263" i="2" s="1"/>
  <c r="AS293" i="2"/>
  <c r="AS309" i="2" s="1"/>
  <c r="AQ180" i="2"/>
  <c r="AQ181" i="2" s="1"/>
  <c r="AT661" i="2"/>
  <c r="AT685" i="2" s="1"/>
  <c r="AT709" i="2" s="1"/>
  <c r="AT282" i="2"/>
  <c r="AT681" i="2"/>
  <c r="AT179" i="2" s="1"/>
  <c r="AT294" i="2"/>
  <c r="AT310" i="2" s="1"/>
  <c r="AS175" i="2"/>
  <c r="AS676" i="2"/>
  <c r="AS289" i="2"/>
  <c r="AS305" i="2" s="1"/>
  <c r="AT665" i="2"/>
  <c r="AT689" i="2" s="1"/>
  <c r="AT713" i="2" s="1"/>
  <c r="AT286" i="2"/>
  <c r="AT663" i="2"/>
  <c r="AT687" i="2" s="1"/>
  <c r="AT695" i="2" s="1"/>
  <c r="AT284" i="2"/>
  <c r="AS257" i="2"/>
  <c r="AS172" i="2"/>
  <c r="AS708" i="2"/>
  <c r="AS716" i="2" s="1"/>
  <c r="AS678" i="2"/>
  <c r="AS291" i="2"/>
  <c r="AS307" i="2" s="1"/>
  <c r="AT662" i="2"/>
  <c r="AT686" i="2" s="1"/>
  <c r="AT710" i="2" s="1"/>
  <c r="AT283" i="2"/>
  <c r="AT680" i="2"/>
  <c r="AT178" i="2" s="1"/>
  <c r="AT293" i="2"/>
  <c r="AT309" i="2" s="1"/>
  <c r="AT677" i="2"/>
  <c r="AT260" i="2" s="1"/>
  <c r="AT290" i="2"/>
  <c r="AT306" i="2" s="1"/>
  <c r="AR311" i="2"/>
  <c r="AS709" i="2"/>
  <c r="AS717" i="2" s="1"/>
  <c r="AS679" i="2"/>
  <c r="AS262" i="2" s="1"/>
  <c r="AS292" i="2"/>
  <c r="AS308" i="2" s="1"/>
  <c r="AT659" i="2"/>
  <c r="AT683" i="2" s="1"/>
  <c r="AT707" i="2" s="1"/>
  <c r="AT280" i="2"/>
  <c r="AR260" i="2"/>
  <c r="AT428" i="2" a="1"/>
  <c r="AT428" i="2" s="1"/>
  <c r="AU652" i="2"/>
  <c r="AU644" i="2"/>
  <c r="AU651" i="2"/>
  <c r="AU643" i="2"/>
  <c r="AU411" i="2"/>
  <c r="AU642" i="2"/>
  <c r="AU653" i="2"/>
  <c r="AU645" i="2"/>
  <c r="AT667" i="2"/>
  <c r="AT670" i="2"/>
  <c r="AT671" i="2"/>
  <c r="AU654" i="2"/>
  <c r="AU646" i="2"/>
  <c r="AV653" i="2"/>
  <c r="AV645" i="2"/>
  <c r="AU424" i="2"/>
  <c r="AU647" i="2"/>
  <c r="AR180" i="2"/>
  <c r="AR181" i="2" s="1"/>
  <c r="AR88" i="2" s="1"/>
  <c r="AT427" i="2"/>
  <c r="AT74" i="2" s="1"/>
  <c r="AT71" i="2" s="1"/>
  <c r="AS453" i="2"/>
  <c r="AT452" i="2"/>
  <c r="AU441" i="2"/>
  <c r="AU416" i="2"/>
  <c r="AU420" i="2"/>
  <c r="AT450" i="2"/>
  <c r="AU759" i="2"/>
  <c r="AT449" i="2"/>
  <c r="AT448" i="2"/>
  <c r="AV440" i="2"/>
  <c r="AU650" i="2"/>
  <c r="AU419" i="2"/>
  <c r="AU414" i="2"/>
  <c r="AU423" i="2"/>
  <c r="AU415" i="2"/>
  <c r="AU422" i="2"/>
  <c r="AU440" i="2"/>
  <c r="AU437" i="2"/>
  <c r="AU412" i="2"/>
  <c r="AT446" i="2"/>
  <c r="AU421" i="2"/>
  <c r="AU438" i="2"/>
  <c r="AW619" i="2"/>
  <c r="AW743" i="2"/>
  <c r="AW752" i="2" s="1"/>
  <c r="AU413" i="2"/>
  <c r="AU439" i="2"/>
  <c r="AU750" i="2"/>
  <c r="AV624" i="2"/>
  <c r="AV748" i="2"/>
  <c r="AV757" i="2" s="1"/>
  <c r="AV623" i="2"/>
  <c r="AV631" i="2" s="1"/>
  <c r="AV639" i="2" s="1"/>
  <c r="AV747" i="2"/>
  <c r="AV756" i="2" s="1"/>
  <c r="AV620" i="2"/>
  <c r="AV628" i="2" s="1"/>
  <c r="AV636" i="2" s="1"/>
  <c r="AV744" i="2"/>
  <c r="AV753" i="2" s="1"/>
  <c r="AU655" i="2"/>
  <c r="AU442" i="2"/>
  <c r="AV619" i="2"/>
  <c r="AV627" i="2" s="1"/>
  <c r="AV635" i="2" s="1"/>
  <c r="AV743" i="2"/>
  <c r="AV752" i="2" s="1"/>
  <c r="AV618" i="2"/>
  <c r="AV626" i="2" s="1"/>
  <c r="AV634" i="2" s="1"/>
  <c r="AV742" i="2"/>
  <c r="AV751" i="2" s="1"/>
  <c r="AV625" i="2"/>
  <c r="AV749" i="2"/>
  <c r="AV758" i="2" s="1"/>
  <c r="AW613" i="2"/>
  <c r="AV622" i="2"/>
  <c r="AV630" i="2" s="1"/>
  <c r="AV638" i="2" s="1"/>
  <c r="AV746" i="2"/>
  <c r="AV755" i="2" s="1"/>
  <c r="AW614" i="2"/>
  <c r="AW616" i="2"/>
  <c r="AW617" i="2"/>
  <c r="AZ272" i="2"/>
  <c r="AZ735" i="2" s="1"/>
  <c r="AY786" i="2"/>
  <c r="AY296" i="2" s="1"/>
  <c r="AZ273" i="2"/>
  <c r="AZ736" i="2" s="1"/>
  <c r="AY787" i="2"/>
  <c r="AY297" i="2" s="1"/>
  <c r="AZ271" i="2"/>
  <c r="AZ734" i="2" s="1"/>
  <c r="AY785" i="2"/>
  <c r="AY295" i="2" s="1"/>
  <c r="AZ274" i="2"/>
  <c r="AZ737" i="2" s="1"/>
  <c r="AY788" i="2"/>
  <c r="AY298" i="2" s="1"/>
  <c r="AZ277" i="2"/>
  <c r="AZ740" i="2" s="1"/>
  <c r="AY791" i="2"/>
  <c r="AY301" i="2" s="1"/>
  <c r="AW610" i="2"/>
  <c r="AZ275" i="2"/>
  <c r="AZ738" i="2" s="1"/>
  <c r="AY789" i="2"/>
  <c r="AY299" i="2" s="1"/>
  <c r="AZ276" i="2"/>
  <c r="AZ739" i="2" s="1"/>
  <c r="AY790" i="2"/>
  <c r="AY300" i="2" s="1"/>
  <c r="AW615" i="2"/>
  <c r="AX793" i="2"/>
  <c r="AX617" i="2" s="1"/>
  <c r="AZ278" i="2"/>
  <c r="AZ741" i="2" s="1"/>
  <c r="AY792" i="2"/>
  <c r="AY302" i="2" s="1"/>
  <c r="AW612" i="2"/>
  <c r="AS715" i="2"/>
  <c r="AY733" i="2"/>
  <c r="AS721" i="2"/>
  <c r="AR722" i="2"/>
  <c r="AT714" i="2"/>
  <c r="AT708" i="2"/>
  <c r="AT692" i="2"/>
  <c r="AT696" i="2"/>
  <c r="AT712" i="2"/>
  <c r="AU672" i="2"/>
  <c r="AU293" i="2" s="1"/>
  <c r="AU309" i="2" s="1"/>
  <c r="AV425" i="2"/>
  <c r="AV451" i="2" s="1"/>
  <c r="AV417" i="2"/>
  <c r="AW438" i="2"/>
  <c r="AV426" i="2"/>
  <c r="AV452" i="2" s="1"/>
  <c r="AV418" i="2"/>
  <c r="AW444" i="2"/>
  <c r="AV414" i="2"/>
  <c r="AV422" i="2"/>
  <c r="AX89" i="2"/>
  <c r="AW97" i="2"/>
  <c r="AW103" i="2" s="1"/>
  <c r="AW61" i="2"/>
  <c r="AX437" i="2"/>
  <c r="AW419" i="2"/>
  <c r="AW411" i="2"/>
  <c r="AU673" i="2"/>
  <c r="AU294" i="2" s="1"/>
  <c r="AU310" i="2" s="1"/>
  <c r="AQ91" i="2" l="1"/>
  <c r="AS81" i="2"/>
  <c r="AR265" i="2"/>
  <c r="AR266" i="2" s="1"/>
  <c r="AR268" i="2" s="1"/>
  <c r="AT175" i="2"/>
  <c r="AT711" i="2"/>
  <c r="AT719" i="2" s="1"/>
  <c r="AU450" i="2"/>
  <c r="AQ267" i="2"/>
  <c r="AT697" i="2"/>
  <c r="AT721" i="2" s="1"/>
  <c r="AT691" i="2"/>
  <c r="AT715" i="2" s="1"/>
  <c r="AS178" i="2"/>
  <c r="AS311" i="2"/>
  <c r="AS259" i="2"/>
  <c r="AS174" i="2"/>
  <c r="AT263" i="2"/>
  <c r="AT694" i="2"/>
  <c r="AT718" i="2" s="1"/>
  <c r="AU663" i="2"/>
  <c r="AU687" i="2" s="1"/>
  <c r="AU695" i="2" s="1"/>
  <c r="AU284" i="2"/>
  <c r="AU659" i="2"/>
  <c r="AU683" i="2" s="1"/>
  <c r="AU691" i="2" s="1"/>
  <c r="AU280" i="2"/>
  <c r="AV661" i="2"/>
  <c r="AV685" i="2" s="1"/>
  <c r="AV282" i="2"/>
  <c r="AU660" i="2"/>
  <c r="AU684" i="2" s="1"/>
  <c r="AU708" i="2" s="1"/>
  <c r="AU281" i="2"/>
  <c r="AU658" i="2"/>
  <c r="AU682" i="2" s="1"/>
  <c r="AU690" i="2" s="1"/>
  <c r="AU279" i="2"/>
  <c r="AT693" i="2"/>
  <c r="AT717" i="2" s="1"/>
  <c r="AU662" i="2"/>
  <c r="AU686" i="2" s="1"/>
  <c r="AU694" i="2" s="1"/>
  <c r="AU283" i="2"/>
  <c r="AT678" i="2"/>
  <c r="AT176" i="2" s="1"/>
  <c r="AT291" i="2"/>
  <c r="AT307" i="2" s="1"/>
  <c r="AT675" i="2"/>
  <c r="AT173" i="2" s="1"/>
  <c r="AT288" i="2"/>
  <c r="AT304" i="2" s="1"/>
  <c r="AU661" i="2"/>
  <c r="AU685" i="2" s="1"/>
  <c r="AU709" i="2" s="1"/>
  <c r="AU282" i="2"/>
  <c r="AS176" i="2"/>
  <c r="AS261" i="2"/>
  <c r="AT264" i="2"/>
  <c r="AQ88" i="2"/>
  <c r="AQ182" i="2"/>
  <c r="AT679" i="2"/>
  <c r="AT177" i="2" s="1"/>
  <c r="AT292" i="2"/>
  <c r="AT308" i="2" s="1"/>
  <c r="AS177" i="2"/>
  <c r="AU667" i="2"/>
  <c r="AU428" i="2" a="1"/>
  <c r="AU428" i="2" s="1"/>
  <c r="AR182" i="2"/>
  <c r="AU668" i="2"/>
  <c r="AV654" i="2"/>
  <c r="AV670" i="2" s="1"/>
  <c r="AV646" i="2"/>
  <c r="AU669" i="2"/>
  <c r="AV652" i="2"/>
  <c r="AV644" i="2"/>
  <c r="AV655" i="2"/>
  <c r="AV647" i="2"/>
  <c r="AU670" i="2"/>
  <c r="AV650" i="2"/>
  <c r="AV642" i="2"/>
  <c r="AV651" i="2"/>
  <c r="AV667" i="2" s="1"/>
  <c r="AV643" i="2"/>
  <c r="AW445" i="2"/>
  <c r="AU427" i="2"/>
  <c r="AU74" i="2" s="1"/>
  <c r="AU71" i="2" s="1"/>
  <c r="AV441" i="2"/>
  <c r="AU446" i="2"/>
  <c r="AU666" i="2"/>
  <c r="AV438" i="2"/>
  <c r="AU449" i="2"/>
  <c r="AT453" i="2"/>
  <c r="AU445" i="2"/>
  <c r="AU671" i="2"/>
  <c r="AV759" i="2"/>
  <c r="AV448" i="2"/>
  <c r="AV411" i="2"/>
  <c r="AV421" i="2"/>
  <c r="AU448" i="2"/>
  <c r="AV413" i="2"/>
  <c r="AV439" i="2"/>
  <c r="AV424" i="2"/>
  <c r="AV415" i="2"/>
  <c r="AV416" i="2"/>
  <c r="AW624" i="2"/>
  <c r="AW632" i="2" s="1"/>
  <c r="AW640" i="2" s="1"/>
  <c r="AW748" i="2"/>
  <c r="AW757" i="2" s="1"/>
  <c r="AV750" i="2"/>
  <c r="AV442" i="2"/>
  <c r="AW622" i="2"/>
  <c r="AW630" i="2" s="1"/>
  <c r="AW638" i="2" s="1"/>
  <c r="AW746" i="2"/>
  <c r="AW755" i="2" s="1"/>
  <c r="AW625" i="2"/>
  <c r="AW749" i="2"/>
  <c r="AW758" i="2" s="1"/>
  <c r="AV412" i="2"/>
  <c r="AW618" i="2"/>
  <c r="AW742" i="2"/>
  <c r="AW751" i="2" s="1"/>
  <c r="AU447" i="2"/>
  <c r="AV423" i="2"/>
  <c r="AV419" i="2"/>
  <c r="AW621" i="2"/>
  <c r="AW629" i="2" s="1"/>
  <c r="AW637" i="2" s="1"/>
  <c r="AW745" i="2"/>
  <c r="AW754" i="2" s="1"/>
  <c r="AX625" i="2"/>
  <c r="AX633" i="2" s="1"/>
  <c r="AX641" i="2" s="1"/>
  <c r="AX749" i="2"/>
  <c r="AX758" i="2" s="1"/>
  <c r="AW623" i="2"/>
  <c r="AW631" i="2" s="1"/>
  <c r="AW639" i="2" s="1"/>
  <c r="AW747" i="2"/>
  <c r="AW756" i="2" s="1"/>
  <c r="AV420" i="2"/>
  <c r="AW620" i="2"/>
  <c r="AW628" i="2" s="1"/>
  <c r="AW636" i="2" s="1"/>
  <c r="AW744" i="2"/>
  <c r="AW753" i="2" s="1"/>
  <c r="AV437" i="2"/>
  <c r="AX610" i="2"/>
  <c r="AX611" i="2"/>
  <c r="BA274" i="2"/>
  <c r="BA737" i="2" s="1"/>
  <c r="AZ788" i="2"/>
  <c r="AZ298" i="2" s="1"/>
  <c r="AX616" i="2"/>
  <c r="BA271" i="2"/>
  <c r="BA734" i="2" s="1"/>
  <c r="AZ785" i="2"/>
  <c r="AZ295" i="2" s="1"/>
  <c r="BA276" i="2"/>
  <c r="BA739" i="2" s="1"/>
  <c r="AZ790" i="2"/>
  <c r="AZ300" i="2" s="1"/>
  <c r="BA277" i="2"/>
  <c r="BA740" i="2" s="1"/>
  <c r="AZ791" i="2"/>
  <c r="AZ301" i="2" s="1"/>
  <c r="BA275" i="2"/>
  <c r="BA738" i="2" s="1"/>
  <c r="AZ789" i="2"/>
  <c r="AZ299" i="2" s="1"/>
  <c r="BA273" i="2"/>
  <c r="BA736" i="2" s="1"/>
  <c r="AZ787" i="2"/>
  <c r="AZ297" i="2" s="1"/>
  <c r="AY793" i="2"/>
  <c r="AY610" i="2" s="1"/>
  <c r="AX614" i="2"/>
  <c r="AX612" i="2"/>
  <c r="BA278" i="2"/>
  <c r="BA741" i="2" s="1"/>
  <c r="AZ792" i="2"/>
  <c r="AZ302" i="2" s="1"/>
  <c r="AX615" i="2"/>
  <c r="AX613" i="2"/>
  <c r="BA272" i="2"/>
  <c r="BA735" i="2" s="1"/>
  <c r="AZ786" i="2"/>
  <c r="AZ296" i="2" s="1"/>
  <c r="AZ733" i="2"/>
  <c r="AS722" i="2"/>
  <c r="AT716" i="2"/>
  <c r="AY89" i="2"/>
  <c r="AX61" i="2"/>
  <c r="AX97" i="2"/>
  <c r="AX103" i="2" s="1"/>
  <c r="AV669" i="2"/>
  <c r="AW412" i="2"/>
  <c r="AW420" i="2"/>
  <c r="AW446" i="2" s="1"/>
  <c r="AV672" i="2"/>
  <c r="AV293" i="2" s="1"/>
  <c r="AV309" i="2" s="1"/>
  <c r="AX419" i="2"/>
  <c r="AX411" i="2"/>
  <c r="AW666" i="2"/>
  <c r="AW287" i="2" s="1"/>
  <c r="AW303" i="2" s="1"/>
  <c r="AU712" i="2"/>
  <c r="AU696" i="2"/>
  <c r="AW426" i="2"/>
  <c r="AW452" i="2" s="1"/>
  <c r="AW418" i="2"/>
  <c r="AT720" i="2"/>
  <c r="AX439" i="2"/>
  <c r="AU713" i="2"/>
  <c r="AU697" i="2"/>
  <c r="AV673" i="2"/>
  <c r="AV294" i="2" s="1"/>
  <c r="AV310" i="2" s="1"/>
  <c r="AR91" i="2" l="1"/>
  <c r="AR267" i="2"/>
  <c r="AT311" i="2"/>
  <c r="AU692" i="2"/>
  <c r="AU716" i="2" s="1"/>
  <c r="AU710" i="2"/>
  <c r="AU718" i="2" s="1"/>
  <c r="AT180" i="2"/>
  <c r="AT181" i="2" s="1"/>
  <c r="AT88" i="2" s="1"/>
  <c r="AU711" i="2"/>
  <c r="AU719" i="2" s="1"/>
  <c r="AU707" i="2"/>
  <c r="AU715" i="2" s="1"/>
  <c r="AV446" i="2"/>
  <c r="AU706" i="2"/>
  <c r="AU714" i="2" s="1"/>
  <c r="AV677" i="2"/>
  <c r="AV175" i="2" s="1"/>
  <c r="AV290" i="2"/>
  <c r="AV306" i="2" s="1"/>
  <c r="AT258" i="2"/>
  <c r="AV678" i="2"/>
  <c r="AV261" i="2" s="1"/>
  <c r="AV291" i="2"/>
  <c r="AV307" i="2" s="1"/>
  <c r="AV660" i="2"/>
  <c r="AV684" i="2" s="1"/>
  <c r="AV708" i="2" s="1"/>
  <c r="AV281" i="2"/>
  <c r="AU693" i="2"/>
  <c r="AU717" i="2" s="1"/>
  <c r="AU674" i="2"/>
  <c r="AU257" i="2" s="1"/>
  <c r="AU287" i="2"/>
  <c r="AU303" i="2" s="1"/>
  <c r="AU675" i="2"/>
  <c r="AU288" i="2"/>
  <c r="AU304" i="2" s="1"/>
  <c r="AT81" i="2"/>
  <c r="AV662" i="2"/>
  <c r="AV686" i="2" s="1"/>
  <c r="AV694" i="2" s="1"/>
  <c r="AV283" i="2"/>
  <c r="AS180" i="2"/>
  <c r="AS181" i="2" s="1"/>
  <c r="AU676" i="2"/>
  <c r="AU289" i="2"/>
  <c r="AU305" i="2" s="1"/>
  <c r="AV658" i="2"/>
  <c r="AV682" i="2" s="1"/>
  <c r="AV706" i="2" s="1"/>
  <c r="AV279" i="2"/>
  <c r="AU678" i="2"/>
  <c r="AU176" i="2" s="1"/>
  <c r="AU291" i="2"/>
  <c r="AU307" i="2" s="1"/>
  <c r="AU679" i="2"/>
  <c r="AU177" i="2" s="1"/>
  <c r="AU292" i="2"/>
  <c r="AU308" i="2" s="1"/>
  <c r="AV663" i="2"/>
  <c r="AV687" i="2" s="1"/>
  <c r="AV711" i="2" s="1"/>
  <c r="AV284" i="2"/>
  <c r="AV675" i="2"/>
  <c r="AV258" i="2" s="1"/>
  <c r="AV288" i="2"/>
  <c r="AV304" i="2" s="1"/>
  <c r="AU677" i="2"/>
  <c r="AU175" i="2" s="1"/>
  <c r="AU290" i="2"/>
  <c r="AU306" i="2" s="1"/>
  <c r="AV659" i="2"/>
  <c r="AV683" i="2" s="1"/>
  <c r="AV707" i="2" s="1"/>
  <c r="AV280" i="2"/>
  <c r="AT261" i="2"/>
  <c r="AT262" i="2"/>
  <c r="AS265" i="2"/>
  <c r="AS266" i="2" s="1"/>
  <c r="AV428" i="2" a="1"/>
  <c r="AV428" i="2" s="1"/>
  <c r="AW415" i="2"/>
  <c r="AW646" i="2"/>
  <c r="AV666" i="2"/>
  <c r="AW422" i="2"/>
  <c r="AW645" i="2"/>
  <c r="AX657" i="2"/>
  <c r="AX649" i="2"/>
  <c r="AV671" i="2"/>
  <c r="AW656" i="2"/>
  <c r="AW648" i="2"/>
  <c r="AW655" i="2"/>
  <c r="AW647" i="2"/>
  <c r="AV668" i="2"/>
  <c r="AW652" i="2"/>
  <c r="AW668" i="2" s="1"/>
  <c r="AW644" i="2"/>
  <c r="AV449" i="2"/>
  <c r="AV445" i="2"/>
  <c r="AV427" i="2"/>
  <c r="AV74" i="2" s="1"/>
  <c r="AV71" i="2" s="1"/>
  <c r="AX445" i="2"/>
  <c r="AV447" i="2"/>
  <c r="AX444" i="2"/>
  <c r="AU453" i="2"/>
  <c r="AW759" i="2"/>
  <c r="AV450" i="2"/>
  <c r="AW443" i="2"/>
  <c r="AW414" i="2"/>
  <c r="AW423" i="2"/>
  <c r="AW750" i="2"/>
  <c r="AW425" i="2"/>
  <c r="AW417" i="2"/>
  <c r="AX619" i="2"/>
  <c r="AX627" i="2" s="1"/>
  <c r="AX635" i="2" s="1"/>
  <c r="AX743" i="2"/>
  <c r="AX752" i="2" s="1"/>
  <c r="AW424" i="2"/>
  <c r="AW442" i="2"/>
  <c r="AW416" i="2"/>
  <c r="AX622" i="2"/>
  <c r="AX630" i="2" s="1"/>
  <c r="AX638" i="2" s="1"/>
  <c r="AX746" i="2"/>
  <c r="AX755" i="2" s="1"/>
  <c r="AX624" i="2"/>
  <c r="AX632" i="2" s="1"/>
  <c r="AX640" i="2" s="1"/>
  <c r="AX748" i="2"/>
  <c r="AX757" i="2" s="1"/>
  <c r="AW421" i="2"/>
  <c r="AY618" i="2"/>
  <c r="AY626" i="2" s="1"/>
  <c r="AY634" i="2" s="1"/>
  <c r="AY742" i="2"/>
  <c r="AY751" i="2" s="1"/>
  <c r="AW413" i="2"/>
  <c r="AX621" i="2"/>
  <c r="AX629" i="2" s="1"/>
  <c r="AX637" i="2" s="1"/>
  <c r="AX745" i="2"/>
  <c r="AX754" i="2" s="1"/>
  <c r="AW654" i="2"/>
  <c r="AW441" i="2"/>
  <c r="AX623" i="2"/>
  <c r="AX631" i="2" s="1"/>
  <c r="AX639" i="2" s="1"/>
  <c r="AX747" i="2"/>
  <c r="AX756" i="2" s="1"/>
  <c r="AX618" i="2"/>
  <c r="AX742" i="2"/>
  <c r="AX751" i="2" s="1"/>
  <c r="AW653" i="2"/>
  <c r="AW440" i="2"/>
  <c r="AX620" i="2"/>
  <c r="AX744" i="2"/>
  <c r="AX753" i="2" s="1"/>
  <c r="AW439" i="2"/>
  <c r="AY617" i="2"/>
  <c r="AY614" i="2"/>
  <c r="AY613" i="2"/>
  <c r="AY612" i="2"/>
  <c r="BB278" i="2"/>
  <c r="BA792" i="2"/>
  <c r="BA302" i="2" s="1"/>
  <c r="BB277" i="2"/>
  <c r="BA791" i="2"/>
  <c r="BA301" i="2" s="1"/>
  <c r="BB276" i="2"/>
  <c r="BA790" i="2"/>
  <c r="BA300" i="2" s="1"/>
  <c r="BB272" i="2"/>
  <c r="BA786" i="2"/>
  <c r="BA296" i="2" s="1"/>
  <c r="AY615" i="2"/>
  <c r="AZ793" i="2"/>
  <c r="AZ615" i="2" s="1"/>
  <c r="AY616" i="2"/>
  <c r="BB271" i="2"/>
  <c r="BA785" i="2"/>
  <c r="BA295" i="2" s="1"/>
  <c r="BB273" i="2"/>
  <c r="BA787" i="2"/>
  <c r="BA297" i="2" s="1"/>
  <c r="AY611" i="2"/>
  <c r="BB275" i="2"/>
  <c r="BA789" i="2"/>
  <c r="BA299" i="2" s="1"/>
  <c r="BB274" i="2"/>
  <c r="BA788" i="2"/>
  <c r="BA298" i="2" s="1"/>
  <c r="BC732" i="2"/>
  <c r="BC729" i="2"/>
  <c r="BC731" i="2"/>
  <c r="BC727" i="2"/>
  <c r="BC726" i="2"/>
  <c r="BC728" i="2"/>
  <c r="BA733" i="2"/>
  <c r="BB733" i="2"/>
  <c r="BC725" i="2"/>
  <c r="BC730" i="2"/>
  <c r="AU720" i="2"/>
  <c r="AU721" i="2"/>
  <c r="AT722" i="2"/>
  <c r="AZ437" i="2"/>
  <c r="AW673" i="2"/>
  <c r="AW294" i="2" s="1"/>
  <c r="AW310" i="2" s="1"/>
  <c r="AX418" i="2"/>
  <c r="AX426" i="2"/>
  <c r="AX413" i="2"/>
  <c r="AX421" i="2"/>
  <c r="AX447" i="2" s="1"/>
  <c r="AY444" i="2"/>
  <c r="AY62" i="2"/>
  <c r="AY97" i="2"/>
  <c r="AY103" i="2" s="1"/>
  <c r="AY99" i="2"/>
  <c r="AY105" i="2" s="1"/>
  <c r="AZ89" i="2"/>
  <c r="AY61" i="2"/>
  <c r="AW690" i="2"/>
  <c r="AW706" i="2"/>
  <c r="AY443" i="2"/>
  <c r="AV696" i="2"/>
  <c r="AV712" i="2"/>
  <c r="AW667" i="2"/>
  <c r="AW288" i="2" s="1"/>
  <c r="AW304" i="2" s="1"/>
  <c r="AX666" i="2"/>
  <c r="AX287" i="2" s="1"/>
  <c r="AX303" i="2" s="1"/>
  <c r="AV697" i="2"/>
  <c r="AV713" i="2"/>
  <c r="AV709" i="2"/>
  <c r="AV693" i="2"/>
  <c r="AT182" i="2" l="1"/>
  <c r="AV695" i="2"/>
  <c r="AV719" i="2" s="1"/>
  <c r="AV260" i="2"/>
  <c r="AV691" i="2"/>
  <c r="AV715" i="2" s="1"/>
  <c r="AV692" i="2"/>
  <c r="AV716" i="2" s="1"/>
  <c r="AV173" i="2"/>
  <c r="AV176" i="2"/>
  <c r="AV710" i="2"/>
  <c r="AV718" i="2" s="1"/>
  <c r="AU172" i="2"/>
  <c r="AU81" i="2"/>
  <c r="AW448" i="2"/>
  <c r="AU173" i="2"/>
  <c r="AU258" i="2"/>
  <c r="AW676" i="2"/>
  <c r="AW259" i="2" s="1"/>
  <c r="AW289" i="2"/>
  <c r="AW305" i="2" s="1"/>
  <c r="AW661" i="2"/>
  <c r="AW685" i="2" s="1"/>
  <c r="AW709" i="2" s="1"/>
  <c r="AW282" i="2"/>
  <c r="AV674" i="2"/>
  <c r="AV287" i="2"/>
  <c r="AV303" i="2" s="1"/>
  <c r="AS88" i="2"/>
  <c r="AS182" i="2"/>
  <c r="AV690" i="2"/>
  <c r="AV714" i="2" s="1"/>
  <c r="AW662" i="2"/>
  <c r="AW686" i="2" s="1"/>
  <c r="AW710" i="2" s="1"/>
  <c r="AW283" i="2"/>
  <c r="AU262" i="2"/>
  <c r="AU260" i="2"/>
  <c r="AT265" i="2"/>
  <c r="AT266" i="2" s="1"/>
  <c r="AT268" i="2" s="1"/>
  <c r="AS91" i="2"/>
  <c r="AS267" i="2"/>
  <c r="AX665" i="2"/>
  <c r="AX689" i="2" s="1"/>
  <c r="AX286" i="2"/>
  <c r="AW663" i="2"/>
  <c r="AW687" i="2" s="1"/>
  <c r="AW695" i="2" s="1"/>
  <c r="AW284" i="2"/>
  <c r="AU261" i="2"/>
  <c r="AW664" i="2"/>
  <c r="AW688" i="2" s="1"/>
  <c r="AW712" i="2" s="1"/>
  <c r="AW285" i="2"/>
  <c r="AV679" i="2"/>
  <c r="AV262" i="2" s="1"/>
  <c r="AV292" i="2"/>
  <c r="AV308" i="2" s="1"/>
  <c r="AU311" i="2"/>
  <c r="AW660" i="2"/>
  <c r="AW684" i="2" s="1"/>
  <c r="AW692" i="2" s="1"/>
  <c r="AW281" i="2"/>
  <c r="AU259" i="2"/>
  <c r="AU174" i="2"/>
  <c r="AV676" i="2"/>
  <c r="AV174" i="2" s="1"/>
  <c r="AV289" i="2"/>
  <c r="AV305" i="2" s="1"/>
  <c r="AS268" i="2"/>
  <c r="AW428" i="2" a="1"/>
  <c r="AW428" i="2" s="1"/>
  <c r="AX656" i="2"/>
  <c r="AX672" i="2" s="1"/>
  <c r="AX648" i="2"/>
  <c r="AX655" i="2"/>
  <c r="AX671" i="2" s="1"/>
  <c r="AX647" i="2"/>
  <c r="AX654" i="2"/>
  <c r="AX646" i="2"/>
  <c r="AX653" i="2"/>
  <c r="AX669" i="2" s="1"/>
  <c r="AX645" i="2"/>
  <c r="AW671" i="2"/>
  <c r="AX651" i="2"/>
  <c r="AX643" i="2"/>
  <c r="AW672" i="2"/>
  <c r="AY650" i="2"/>
  <c r="AY642" i="2"/>
  <c r="BC642" i="2" s="1"/>
  <c r="AX452" i="2"/>
  <c r="AW427" i="2"/>
  <c r="AW74" i="2" s="1"/>
  <c r="AW71" i="2" s="1"/>
  <c r="AY419" i="2"/>
  <c r="AV453" i="2"/>
  <c r="AW451" i="2"/>
  <c r="AX424" i="2"/>
  <c r="BB789" i="2"/>
  <c r="BB738" i="2"/>
  <c r="BC738" i="2" s="1"/>
  <c r="BB788" i="2"/>
  <c r="BB737" i="2"/>
  <c r="BC737" i="2" s="1"/>
  <c r="BB792" i="2"/>
  <c r="BB741" i="2"/>
  <c r="BC741" i="2" s="1"/>
  <c r="AX759" i="2"/>
  <c r="BB790" i="2"/>
  <c r="BB739" i="2"/>
  <c r="BC739" i="2" s="1"/>
  <c r="BB791" i="2"/>
  <c r="BB740" i="2"/>
  <c r="BC740" i="2" s="1"/>
  <c r="BB787" i="2"/>
  <c r="BB736" i="2"/>
  <c r="BC736" i="2" s="1"/>
  <c r="AW669" i="2"/>
  <c r="BB785" i="2"/>
  <c r="BB734" i="2"/>
  <c r="BC734" i="2" s="1"/>
  <c r="BB786" i="2"/>
  <c r="BB735" i="2"/>
  <c r="BC735" i="2" s="1"/>
  <c r="AW449" i="2"/>
  <c r="AW670" i="2"/>
  <c r="AX422" i="2"/>
  <c r="AX440" i="2"/>
  <c r="AX443" i="2"/>
  <c r="AX438" i="2"/>
  <c r="AX414" i="2"/>
  <c r="AX750" i="2"/>
  <c r="AX420" i="2"/>
  <c r="AX412" i="2"/>
  <c r="AW447" i="2"/>
  <c r="AX442" i="2"/>
  <c r="AY623" i="2"/>
  <c r="AY631" i="2" s="1"/>
  <c r="AY639" i="2" s="1"/>
  <c r="AY747" i="2"/>
  <c r="AY756" i="2" s="1"/>
  <c r="AY619" i="2"/>
  <c r="AY627" i="2" s="1"/>
  <c r="AY635" i="2" s="1"/>
  <c r="AY743" i="2"/>
  <c r="AY752" i="2" s="1"/>
  <c r="AY622" i="2"/>
  <c r="AY630" i="2" s="1"/>
  <c r="AY638" i="2" s="1"/>
  <c r="AY746" i="2"/>
  <c r="AY755" i="2" s="1"/>
  <c r="AY625" i="2"/>
  <c r="AY749" i="2"/>
  <c r="AY758" i="2" s="1"/>
  <c r="AY437" i="2"/>
  <c r="AX423" i="2"/>
  <c r="AX415" i="2"/>
  <c r="AX417" i="2"/>
  <c r="AZ612" i="2"/>
  <c r="AW450" i="2"/>
  <c r="AX425" i="2"/>
  <c r="AY624" i="2"/>
  <c r="AY748" i="2"/>
  <c r="AY757" i="2" s="1"/>
  <c r="AY620" i="2"/>
  <c r="AY628" i="2" s="1"/>
  <c r="AY636" i="2" s="1"/>
  <c r="AY744" i="2"/>
  <c r="AY753" i="2" s="1"/>
  <c r="AY621" i="2"/>
  <c r="AY629" i="2" s="1"/>
  <c r="AY637" i="2" s="1"/>
  <c r="AY745" i="2"/>
  <c r="AY754" i="2" s="1"/>
  <c r="AX416" i="2"/>
  <c r="AY411" i="2"/>
  <c r="AZ623" i="2"/>
  <c r="AZ631" i="2" s="1"/>
  <c r="AZ639" i="2" s="1"/>
  <c r="AZ747" i="2"/>
  <c r="AZ756" i="2" s="1"/>
  <c r="AX441" i="2"/>
  <c r="AZ614" i="2"/>
  <c r="AZ617" i="2"/>
  <c r="AZ613" i="2"/>
  <c r="AZ611" i="2"/>
  <c r="AZ616" i="2"/>
  <c r="BA793" i="2"/>
  <c r="BA612" i="2" s="1"/>
  <c r="AZ610" i="2"/>
  <c r="BC733" i="2"/>
  <c r="AV717" i="2"/>
  <c r="AU722" i="2"/>
  <c r="AY417" i="2"/>
  <c r="AY425" i="2"/>
  <c r="AY451" i="2" s="1"/>
  <c r="AZ444" i="2"/>
  <c r="AY426" i="2"/>
  <c r="AY452" i="2" s="1"/>
  <c r="AY418" i="2"/>
  <c r="AW714" i="2"/>
  <c r="AX668" i="2"/>
  <c r="AX289" i="2" s="1"/>
  <c r="AX305" i="2" s="1"/>
  <c r="AX690" i="2"/>
  <c r="AX706" i="2"/>
  <c r="AZ443" i="2"/>
  <c r="AV720" i="2"/>
  <c r="AW697" i="2"/>
  <c r="AW713" i="2"/>
  <c r="BA89" i="2"/>
  <c r="AZ97" i="2"/>
  <c r="AZ103" i="2" s="1"/>
  <c r="AZ61" i="2"/>
  <c r="AV721" i="2"/>
  <c r="AX673" i="2"/>
  <c r="AW707" i="2"/>
  <c r="AW691" i="2"/>
  <c r="BA437" i="2"/>
  <c r="BB437" i="2"/>
  <c r="C905" i="2"/>
  <c r="BC62" i="2"/>
  <c r="AZ419" i="2"/>
  <c r="AZ411" i="2"/>
  <c r="AU180" i="2" l="1"/>
  <c r="AU181" i="2" s="1"/>
  <c r="AU88" i="2" s="1"/>
  <c r="AW696" i="2"/>
  <c r="AW720" i="2" s="1"/>
  <c r="AW174" i="2"/>
  <c r="AU265" i="2"/>
  <c r="AU266" i="2" s="1"/>
  <c r="AU268" i="2" s="1"/>
  <c r="AV177" i="2"/>
  <c r="AX681" i="2"/>
  <c r="AX179" i="2" s="1"/>
  <c r="AX294" i="2"/>
  <c r="AX310" i="2" s="1"/>
  <c r="AW694" i="2"/>
  <c r="AW718" i="2" s="1"/>
  <c r="BC785" i="2"/>
  <c r="BB295" i="2"/>
  <c r="BC295" i="2" s="1"/>
  <c r="AV311" i="2"/>
  <c r="BC789" i="2"/>
  <c r="BB299" i="2"/>
  <c r="BC299" i="2" s="1"/>
  <c r="AV257" i="2"/>
  <c r="AV172" i="2"/>
  <c r="AW711" i="2"/>
  <c r="AW719" i="2" s="1"/>
  <c r="AX663" i="2"/>
  <c r="AX687" i="2" s="1"/>
  <c r="AX711" i="2" s="1"/>
  <c r="AX284" i="2"/>
  <c r="AX680" i="2"/>
  <c r="AX263" i="2" s="1"/>
  <c r="AX293" i="2"/>
  <c r="AX309" i="2" s="1"/>
  <c r="AT91" i="2"/>
  <c r="AT267" i="2"/>
  <c r="AW680" i="2"/>
  <c r="AW263" i="2" s="1"/>
  <c r="AW293" i="2"/>
  <c r="AW309" i="2" s="1"/>
  <c r="AW679" i="2"/>
  <c r="AW177" i="2" s="1"/>
  <c r="AW292" i="2"/>
  <c r="AW308" i="2" s="1"/>
  <c r="BC786" i="2"/>
  <c r="BB296" i="2"/>
  <c r="BC296" i="2" s="1"/>
  <c r="BC788" i="2"/>
  <c r="BB298" i="2"/>
  <c r="BC298" i="2" s="1"/>
  <c r="AX664" i="2"/>
  <c r="AX688" i="2" s="1"/>
  <c r="AX696" i="2" s="1"/>
  <c r="AX285" i="2"/>
  <c r="BC790" i="2"/>
  <c r="BB300" i="2"/>
  <c r="BC300" i="2" s="1"/>
  <c r="AV259" i="2"/>
  <c r="AX677" i="2"/>
  <c r="AX260" i="2" s="1"/>
  <c r="AX290" i="2"/>
  <c r="AX306" i="2" s="1"/>
  <c r="BC792" i="2"/>
  <c r="BB302" i="2"/>
  <c r="BC302" i="2" s="1"/>
  <c r="AX679" i="2"/>
  <c r="AX177" i="2" s="1"/>
  <c r="AX292" i="2"/>
  <c r="AX308" i="2" s="1"/>
  <c r="AX661" i="2"/>
  <c r="AX685" i="2" s="1"/>
  <c r="AX693" i="2" s="1"/>
  <c r="AX282" i="2"/>
  <c r="AW677" i="2"/>
  <c r="AW260" i="2" s="1"/>
  <c r="AW290" i="2"/>
  <c r="AW306" i="2" s="1"/>
  <c r="AX662" i="2"/>
  <c r="AX686" i="2" s="1"/>
  <c r="AX694" i="2" s="1"/>
  <c r="AX283" i="2"/>
  <c r="BC787" i="2"/>
  <c r="BB297" i="2"/>
  <c r="BC297" i="2" s="1"/>
  <c r="BC791" i="2"/>
  <c r="BB301" i="2"/>
  <c r="BC301" i="2" s="1"/>
  <c r="AV81" i="2"/>
  <c r="AY658" i="2"/>
  <c r="AY682" i="2" s="1"/>
  <c r="AY690" i="2" s="1"/>
  <c r="AY279" i="2"/>
  <c r="AW693" i="2"/>
  <c r="AW717" i="2" s="1"/>
  <c r="AW708" i="2"/>
  <c r="AW716" i="2" s="1"/>
  <c r="AW678" i="2"/>
  <c r="AW176" i="2" s="1"/>
  <c r="AW291" i="2"/>
  <c r="AW307" i="2" s="1"/>
  <c r="AX659" i="2"/>
  <c r="AX683" i="2" s="1"/>
  <c r="AX707" i="2" s="1"/>
  <c r="AX280" i="2"/>
  <c r="AX428" i="2" a="1"/>
  <c r="AX428" i="2" s="1"/>
  <c r="AX667" i="2"/>
  <c r="AX670" i="2"/>
  <c r="AY653" i="2"/>
  <c r="AY669" i="2" s="1"/>
  <c r="AY645" i="2"/>
  <c r="AY415" i="2"/>
  <c r="AY646" i="2"/>
  <c r="AY652" i="2"/>
  <c r="AY644" i="2"/>
  <c r="AY666" i="2"/>
  <c r="AY651" i="2"/>
  <c r="AY643" i="2"/>
  <c r="AW262" i="2"/>
  <c r="AZ655" i="2"/>
  <c r="AZ647" i="2"/>
  <c r="AY655" i="2"/>
  <c r="AY647" i="2"/>
  <c r="AX450" i="2"/>
  <c r="AY445" i="2"/>
  <c r="AZ445" i="2"/>
  <c r="AX427" i="2"/>
  <c r="AX74" i="2" s="1"/>
  <c r="AX71" i="2" s="1"/>
  <c r="AY759" i="2"/>
  <c r="AX446" i="2"/>
  <c r="AX451" i="2"/>
  <c r="AW453" i="2"/>
  <c r="BB793" i="2"/>
  <c r="BB615" i="2" s="1"/>
  <c r="AX449" i="2"/>
  <c r="AY442" i="2"/>
  <c r="AX448" i="2"/>
  <c r="AY416" i="2"/>
  <c r="AZ442" i="2"/>
  <c r="AY750" i="2"/>
  <c r="AY424" i="2"/>
  <c r="AY413" i="2"/>
  <c r="AY421" i="2"/>
  <c r="AY438" i="2"/>
  <c r="AZ622" i="2"/>
  <c r="AZ630" i="2" s="1"/>
  <c r="AZ638" i="2" s="1"/>
  <c r="AZ746" i="2"/>
  <c r="AZ755" i="2" s="1"/>
  <c r="AY439" i="2"/>
  <c r="AZ618" i="2"/>
  <c r="AZ742" i="2"/>
  <c r="AZ751" i="2" s="1"/>
  <c r="AY422" i="2"/>
  <c r="AY440" i="2"/>
  <c r="AZ624" i="2"/>
  <c r="AZ748" i="2"/>
  <c r="AZ757" i="2" s="1"/>
  <c r="BA620" i="2"/>
  <c r="BA628" i="2" s="1"/>
  <c r="BA636" i="2" s="1"/>
  <c r="BA744" i="2"/>
  <c r="BA753" i="2" s="1"/>
  <c r="AY414" i="2"/>
  <c r="AY654" i="2"/>
  <c r="AY441" i="2"/>
  <c r="AZ619" i="2"/>
  <c r="AZ627" i="2" s="1"/>
  <c r="AZ635" i="2" s="1"/>
  <c r="AZ743" i="2"/>
  <c r="AZ752" i="2" s="1"/>
  <c r="AZ620" i="2"/>
  <c r="AZ628" i="2" s="1"/>
  <c r="AZ636" i="2" s="1"/>
  <c r="AZ644" i="2" s="1"/>
  <c r="AZ744" i="2"/>
  <c r="AZ753" i="2" s="1"/>
  <c r="AY420" i="2"/>
  <c r="AY423" i="2"/>
  <c r="AZ621" i="2"/>
  <c r="AZ629" i="2" s="1"/>
  <c r="AZ637" i="2" s="1"/>
  <c r="AZ745" i="2"/>
  <c r="AZ754" i="2" s="1"/>
  <c r="AY412" i="2"/>
  <c r="AZ625" i="2"/>
  <c r="AZ749" i="2"/>
  <c r="AZ758" i="2" s="1"/>
  <c r="BA610" i="2"/>
  <c r="BA613" i="2"/>
  <c r="BA615" i="2"/>
  <c r="BA614" i="2"/>
  <c r="BA617" i="2"/>
  <c r="BA616" i="2"/>
  <c r="BA611" i="2"/>
  <c r="BC437" i="2"/>
  <c r="AW715" i="2"/>
  <c r="AV722" i="2"/>
  <c r="AX692" i="2"/>
  <c r="AX708" i="2"/>
  <c r="AY672" i="2"/>
  <c r="AY293" i="2" s="1"/>
  <c r="AY309" i="2" s="1"/>
  <c r="AX714" i="2"/>
  <c r="AW721" i="2"/>
  <c r="AZ418" i="2"/>
  <c r="AZ426" i="2"/>
  <c r="AZ452" i="2" s="1"/>
  <c r="AY673" i="2"/>
  <c r="AY294" i="2" s="1"/>
  <c r="AY310" i="2" s="1"/>
  <c r="AZ666" i="2"/>
  <c r="AZ287" i="2" s="1"/>
  <c r="AZ303" i="2" s="1"/>
  <c r="BA444" i="2"/>
  <c r="BB89" i="2"/>
  <c r="BA97" i="2"/>
  <c r="BA103" i="2" s="1"/>
  <c r="BA61" i="2"/>
  <c r="BB439" i="2"/>
  <c r="BA438" i="2"/>
  <c r="BB438" i="2"/>
  <c r="AX713" i="2"/>
  <c r="AX697" i="2"/>
  <c r="AZ417" i="2"/>
  <c r="AZ425" i="2"/>
  <c r="AZ451" i="2" s="1"/>
  <c r="BB411" i="2"/>
  <c r="BB419" i="2"/>
  <c r="AZ424" i="2"/>
  <c r="AZ416" i="2"/>
  <c r="BA419" i="2"/>
  <c r="BA411" i="2"/>
  <c r="AU91" i="2" l="1"/>
  <c r="AU267" i="2"/>
  <c r="AU182" i="2"/>
  <c r="AW175" i="2"/>
  <c r="AX709" i="2"/>
  <c r="AX717" i="2" s="1"/>
  <c r="AX712" i="2"/>
  <c r="AX720" i="2" s="1"/>
  <c r="AX264" i="2"/>
  <c r="AX178" i="2"/>
  <c r="AV180" i="2"/>
  <c r="AV181" i="2" s="1"/>
  <c r="AV88" i="2" s="1"/>
  <c r="AW81" i="2"/>
  <c r="AX175" i="2"/>
  <c r="AV265" i="2"/>
  <c r="AV266" i="2" s="1"/>
  <c r="AV91" i="2" s="1"/>
  <c r="BB616" i="2"/>
  <c r="BB748" i="2" s="1"/>
  <c r="AX691" i="2"/>
  <c r="AX715" i="2" s="1"/>
  <c r="AW261" i="2"/>
  <c r="AW265" i="2" s="1"/>
  <c r="AW266" i="2" s="1"/>
  <c r="AX262" i="2"/>
  <c r="AW311" i="2"/>
  <c r="AX710" i="2"/>
  <c r="AX718" i="2" s="1"/>
  <c r="AY677" i="2"/>
  <c r="AY175" i="2" s="1"/>
  <c r="AY290" i="2"/>
  <c r="AY306" i="2" s="1"/>
  <c r="AX678" i="2"/>
  <c r="AX291" i="2"/>
  <c r="AX307" i="2" s="1"/>
  <c r="AY659" i="2"/>
  <c r="AY683" i="2" s="1"/>
  <c r="AY691" i="2" s="1"/>
  <c r="AY280" i="2"/>
  <c r="AY660" i="2"/>
  <c r="AY684" i="2" s="1"/>
  <c r="AY708" i="2" s="1"/>
  <c r="AY281" i="2"/>
  <c r="AX695" i="2"/>
  <c r="AX719" i="2" s="1"/>
  <c r="AY706" i="2"/>
  <c r="AY714" i="2" s="1"/>
  <c r="AW178" i="2"/>
  <c r="AY661" i="2"/>
  <c r="AY685" i="2" s="1"/>
  <c r="AY693" i="2" s="1"/>
  <c r="AY282" i="2"/>
  <c r="AZ663" i="2"/>
  <c r="AZ687" i="2" s="1"/>
  <c r="AZ284" i="2"/>
  <c r="AX675" i="2"/>
  <c r="AX288" i="2"/>
  <c r="AX304" i="2" s="1"/>
  <c r="AY662" i="2"/>
  <c r="AY686" i="2" s="1"/>
  <c r="AY694" i="2" s="1"/>
  <c r="AY283" i="2"/>
  <c r="AY674" i="2"/>
  <c r="AY287" i="2"/>
  <c r="AY303" i="2" s="1"/>
  <c r="AY663" i="2"/>
  <c r="AY687" i="2" s="1"/>
  <c r="AY695" i="2" s="1"/>
  <c r="AY284" i="2"/>
  <c r="AY428" i="2" a="1"/>
  <c r="AY428" i="2" s="1"/>
  <c r="AY671" i="2"/>
  <c r="AY668" i="2"/>
  <c r="AZ653" i="2"/>
  <c r="AZ669" i="2" s="1"/>
  <c r="AZ645" i="2"/>
  <c r="AY667" i="2"/>
  <c r="BB614" i="2"/>
  <c r="BB622" i="2" s="1"/>
  <c r="BB630" i="2" s="1"/>
  <c r="BB638" i="2" s="1"/>
  <c r="AZ651" i="2"/>
  <c r="AZ643" i="2"/>
  <c r="BC643" i="2" s="1"/>
  <c r="BA652" i="2"/>
  <c r="BA644" i="2"/>
  <c r="BC644" i="2" s="1"/>
  <c r="AZ415" i="2"/>
  <c r="AZ646" i="2"/>
  <c r="AY427" i="2"/>
  <c r="AY74" i="2" s="1"/>
  <c r="AY71" i="2" s="1"/>
  <c r="AY260" i="2"/>
  <c r="BA445" i="2"/>
  <c r="BB445" i="2"/>
  <c r="AX453" i="2"/>
  <c r="BB611" i="2"/>
  <c r="BB743" i="2" s="1"/>
  <c r="AY450" i="2"/>
  <c r="BB613" i="2"/>
  <c r="BB621" i="2" s="1"/>
  <c r="BB629" i="2" s="1"/>
  <c r="BB637" i="2" s="1"/>
  <c r="BB610" i="2"/>
  <c r="BC793" i="2"/>
  <c r="AZ412" i="2"/>
  <c r="AZ420" i="2"/>
  <c r="BB612" i="2"/>
  <c r="BB620" i="2" s="1"/>
  <c r="BB617" i="2"/>
  <c r="BB625" i="2" s="1"/>
  <c r="BB633" i="2" s="1"/>
  <c r="BB641" i="2" s="1"/>
  <c r="AZ450" i="2"/>
  <c r="AZ759" i="2"/>
  <c r="AY447" i="2"/>
  <c r="AY670" i="2"/>
  <c r="AZ423" i="2"/>
  <c r="AY449" i="2"/>
  <c r="AY446" i="2"/>
  <c r="AZ438" i="2"/>
  <c r="BC438" i="2" s="1"/>
  <c r="BB623" i="2"/>
  <c r="BB631" i="2" s="1"/>
  <c r="BB639" i="2" s="1"/>
  <c r="BB747" i="2"/>
  <c r="BA619" i="2"/>
  <c r="BA743" i="2"/>
  <c r="BA752" i="2" s="1"/>
  <c r="BA625" i="2"/>
  <c r="BA749" i="2"/>
  <c r="BA758" i="2" s="1"/>
  <c r="AY448" i="2"/>
  <c r="AZ652" i="2"/>
  <c r="AZ439" i="2"/>
  <c r="BA622" i="2"/>
  <c r="BA630" i="2" s="1"/>
  <c r="BA638" i="2" s="1"/>
  <c r="BA746" i="2"/>
  <c r="BA755" i="2" s="1"/>
  <c r="AZ413" i="2"/>
  <c r="AZ414" i="2"/>
  <c r="BA621" i="2"/>
  <c r="BA629" i="2" s="1"/>
  <c r="BA637" i="2" s="1"/>
  <c r="BA745" i="2"/>
  <c r="BA754" i="2" s="1"/>
  <c r="AZ421" i="2"/>
  <c r="BA624" i="2"/>
  <c r="BA632" i="2" s="1"/>
  <c r="BA640" i="2" s="1"/>
  <c r="BA748" i="2"/>
  <c r="BA757" i="2" s="1"/>
  <c r="BA439" i="2"/>
  <c r="AZ422" i="2"/>
  <c r="BA623" i="2"/>
  <c r="BA631" i="2" s="1"/>
  <c r="BA639" i="2" s="1"/>
  <c r="BA747" i="2"/>
  <c r="BA756" i="2" s="1"/>
  <c r="AZ440" i="2"/>
  <c r="AZ750" i="2"/>
  <c r="BA618" i="2"/>
  <c r="BA742" i="2"/>
  <c r="BA751" i="2" s="1"/>
  <c r="AZ654" i="2"/>
  <c r="AZ441" i="2"/>
  <c r="AW722" i="2"/>
  <c r="AX721" i="2"/>
  <c r="BA412" i="2"/>
  <c r="BA420" i="2"/>
  <c r="BA446" i="2" s="1"/>
  <c r="BA413" i="2"/>
  <c r="BA421" i="2"/>
  <c r="AZ690" i="2"/>
  <c r="AZ706" i="2"/>
  <c r="AZ672" i="2"/>
  <c r="AZ293" i="2" s="1"/>
  <c r="AZ309" i="2" s="1"/>
  <c r="BB666" i="2"/>
  <c r="BB287" i="2" s="1"/>
  <c r="BB303" i="2" s="1"/>
  <c r="BC419" i="2"/>
  <c r="BB413" i="2"/>
  <c r="BB421" i="2"/>
  <c r="AZ671" i="2"/>
  <c r="AZ673" i="2"/>
  <c r="AZ294" i="2" s="1"/>
  <c r="AZ310" i="2" s="1"/>
  <c r="AY696" i="2"/>
  <c r="AY712" i="2"/>
  <c r="BB97" i="2"/>
  <c r="BB103" i="2" s="1"/>
  <c r="BB61" i="2"/>
  <c r="BC411" i="2"/>
  <c r="AY697" i="2"/>
  <c r="AY713" i="2"/>
  <c r="BA666" i="2"/>
  <c r="BA287" i="2" s="1"/>
  <c r="BA303" i="2" s="1"/>
  <c r="BB420" i="2"/>
  <c r="BB446" i="2" s="1"/>
  <c r="BB412" i="2"/>
  <c r="BA418" i="2"/>
  <c r="BA426" i="2"/>
  <c r="BA452" i="2" s="1"/>
  <c r="AX716" i="2"/>
  <c r="AV182" i="2" l="1"/>
  <c r="AW180" i="2"/>
  <c r="AW181" i="2" s="1"/>
  <c r="AW88" i="2" s="1"/>
  <c r="AV267" i="2"/>
  <c r="AV268" i="2"/>
  <c r="BB624" i="2"/>
  <c r="BB632" i="2" s="1"/>
  <c r="BB640" i="2" s="1"/>
  <c r="BB648" i="2" s="1"/>
  <c r="AY692" i="2"/>
  <c r="AY716" i="2" s="1"/>
  <c r="AY710" i="2"/>
  <c r="AY718" i="2" s="1"/>
  <c r="AY709" i="2"/>
  <c r="AY717" i="2" s="1"/>
  <c r="BC445" i="2"/>
  <c r="AX311" i="2"/>
  <c r="AY707" i="2"/>
  <c r="AY715" i="2" s="1"/>
  <c r="AZ677" i="2"/>
  <c r="AZ175" i="2" s="1"/>
  <c r="AZ290" i="2"/>
  <c r="AZ306" i="2" s="1"/>
  <c r="AY172" i="2"/>
  <c r="BC172" i="2" s="1"/>
  <c r="AY257" i="2"/>
  <c r="BC257" i="2" s="1"/>
  <c r="AZ679" i="2"/>
  <c r="AZ177" i="2" s="1"/>
  <c r="AZ292" i="2"/>
  <c r="AZ308" i="2" s="1"/>
  <c r="AY678" i="2"/>
  <c r="AY261" i="2" s="1"/>
  <c r="AY291" i="2"/>
  <c r="AY307" i="2" s="1"/>
  <c r="AX81" i="2"/>
  <c r="AY679" i="2"/>
  <c r="AY292" i="2"/>
  <c r="AY308" i="2" s="1"/>
  <c r="AX176" i="2"/>
  <c r="AX261" i="2"/>
  <c r="AY675" i="2"/>
  <c r="AY288" i="2"/>
  <c r="AY304" i="2" s="1"/>
  <c r="AZ660" i="2"/>
  <c r="AZ684" i="2" s="1"/>
  <c r="AZ692" i="2" s="1"/>
  <c r="AZ281" i="2"/>
  <c r="AX173" i="2"/>
  <c r="AX258" i="2"/>
  <c r="AZ662" i="2"/>
  <c r="AZ686" i="2" s="1"/>
  <c r="AZ694" i="2" s="1"/>
  <c r="AZ283" i="2"/>
  <c r="BA660" i="2"/>
  <c r="BA684" i="2" s="1"/>
  <c r="BA281" i="2"/>
  <c r="AZ659" i="2"/>
  <c r="AZ683" i="2" s="1"/>
  <c r="AZ691" i="2" s="1"/>
  <c r="AZ280" i="2"/>
  <c r="AZ661" i="2"/>
  <c r="AZ685" i="2" s="1"/>
  <c r="AZ709" i="2" s="1"/>
  <c r="AZ282" i="2"/>
  <c r="AY676" i="2"/>
  <c r="AY174" i="2" s="1"/>
  <c r="AY289" i="2"/>
  <c r="AY305" i="2" s="1"/>
  <c r="AY711" i="2"/>
  <c r="AY719" i="2" s="1"/>
  <c r="BC303" i="2"/>
  <c r="AZ428" i="2" a="1"/>
  <c r="AZ428" i="2" s="1"/>
  <c r="AZ667" i="2"/>
  <c r="BB746" i="2"/>
  <c r="BC746" i="2" s="1"/>
  <c r="BB655" i="2"/>
  <c r="BB671" i="2" s="1"/>
  <c r="BB647" i="2"/>
  <c r="BB653" i="2"/>
  <c r="BB645" i="2"/>
  <c r="BA656" i="2"/>
  <c r="BA648" i="2"/>
  <c r="BA654" i="2"/>
  <c r="BA646" i="2"/>
  <c r="BB654" i="2"/>
  <c r="BB646" i="2"/>
  <c r="BA653" i="2"/>
  <c r="BA645" i="2"/>
  <c r="AW91" i="2"/>
  <c r="BA655" i="2"/>
  <c r="BA647" i="2"/>
  <c r="BB657" i="2"/>
  <c r="BB649" i="2"/>
  <c r="BC649" i="2" s="1"/>
  <c r="BB745" i="2"/>
  <c r="BB754" i="2" s="1"/>
  <c r="BC754" i="2" s="1"/>
  <c r="AZ427" i="2"/>
  <c r="AZ74" i="2" s="1"/>
  <c r="AZ71" i="2" s="1"/>
  <c r="BB619" i="2"/>
  <c r="AY81" i="2"/>
  <c r="BA417" i="2"/>
  <c r="BB749" i="2"/>
  <c r="BB758" i="2" s="1"/>
  <c r="BC758" i="2" s="1"/>
  <c r="BB744" i="2"/>
  <c r="BB753" i="2" s="1"/>
  <c r="BC753" i="2" s="1"/>
  <c r="BB618" i="2"/>
  <c r="BB742" i="2"/>
  <c r="BB751" i="2" s="1"/>
  <c r="BC751" i="2" s="1"/>
  <c r="BC439" i="2"/>
  <c r="BA447" i="2"/>
  <c r="BB752" i="2"/>
  <c r="BC752" i="2" s="1"/>
  <c r="BC743" i="2"/>
  <c r="BB756" i="2"/>
  <c r="BC756" i="2" s="1"/>
  <c r="BC747" i="2"/>
  <c r="BB757" i="2"/>
  <c r="BC757" i="2" s="1"/>
  <c r="BC748" i="2"/>
  <c r="AY453" i="2"/>
  <c r="AZ446" i="2"/>
  <c r="BC446" i="2" s="1"/>
  <c r="AZ668" i="2"/>
  <c r="BB441" i="2"/>
  <c r="BB416" i="2"/>
  <c r="BB418" i="2"/>
  <c r="BC418" i="2" s="1"/>
  <c r="BB422" i="2"/>
  <c r="BB426" i="2"/>
  <c r="BC426" i="2" s="1"/>
  <c r="BA759" i="2"/>
  <c r="AZ449" i="2"/>
  <c r="BA423" i="2"/>
  <c r="BB424" i="2"/>
  <c r="BA415" i="2"/>
  <c r="BA422" i="2"/>
  <c r="AZ447" i="2"/>
  <c r="BA441" i="2"/>
  <c r="BB444" i="2"/>
  <c r="BC444" i="2" s="1"/>
  <c r="BB440" i="2"/>
  <c r="BA414" i="2"/>
  <c r="BB414" i="2"/>
  <c r="BB442" i="2"/>
  <c r="AZ448" i="2"/>
  <c r="BA425" i="2"/>
  <c r="BA443" i="2"/>
  <c r="AZ670" i="2"/>
  <c r="BB415" i="2"/>
  <c r="BA442" i="2"/>
  <c r="BA424" i="2"/>
  <c r="BB423" i="2"/>
  <c r="BA416" i="2"/>
  <c r="BA440" i="2"/>
  <c r="BA750" i="2"/>
  <c r="AW268" i="2"/>
  <c r="BC421" i="2"/>
  <c r="BB447" i="2"/>
  <c r="AX722" i="2"/>
  <c r="BC413" i="2"/>
  <c r="AY720" i="2"/>
  <c r="BB690" i="2"/>
  <c r="BB706" i="2"/>
  <c r="BA667" i="2"/>
  <c r="BA288" i="2" s="1"/>
  <c r="BA304" i="2" s="1"/>
  <c r="AZ695" i="2"/>
  <c r="AZ711" i="2"/>
  <c r="AZ714" i="2"/>
  <c r="AY721" i="2"/>
  <c r="BA668" i="2"/>
  <c r="BC420" i="2"/>
  <c r="BC61" i="2"/>
  <c r="AP60" i="2"/>
  <c r="BA673" i="2"/>
  <c r="BA294" i="2" s="1"/>
  <c r="BA310" i="2" s="1"/>
  <c r="BC412" i="2"/>
  <c r="BB668" i="2"/>
  <c r="BB289" i="2" s="1"/>
  <c r="BB305" i="2" s="1"/>
  <c r="BB667" i="2"/>
  <c r="BB288" i="2" s="1"/>
  <c r="BB304" i="2" s="1"/>
  <c r="BA706" i="2"/>
  <c r="BA690" i="2"/>
  <c r="AZ713" i="2"/>
  <c r="AZ697" i="2"/>
  <c r="AZ712" i="2"/>
  <c r="AZ696" i="2"/>
  <c r="BB443" i="2" l="1"/>
  <c r="BC443" i="2" s="1"/>
  <c r="BB417" i="2"/>
  <c r="BC417" i="2" s="1"/>
  <c r="BB425" i="2"/>
  <c r="BC425" i="2" s="1"/>
  <c r="AW182" i="2"/>
  <c r="AW267" i="2"/>
  <c r="BB656" i="2"/>
  <c r="BB672" i="2" s="1"/>
  <c r="AZ693" i="2"/>
  <c r="AZ717" i="2" s="1"/>
  <c r="AZ707" i="2"/>
  <c r="AZ715" i="2" s="1"/>
  <c r="AX265" i="2"/>
  <c r="AX266" i="2" s="1"/>
  <c r="AX91" i="2" s="1"/>
  <c r="AZ260" i="2"/>
  <c r="AZ262" i="2"/>
  <c r="AY259" i="2"/>
  <c r="AZ708" i="2"/>
  <c r="AZ716" i="2" s="1"/>
  <c r="AY311" i="2"/>
  <c r="AY176" i="2"/>
  <c r="BA428" i="2" a="1"/>
  <c r="BA428" i="2" s="1"/>
  <c r="BA664" i="2"/>
  <c r="BA688" i="2" s="1"/>
  <c r="BA712" i="2" s="1"/>
  <c r="BA285" i="2"/>
  <c r="BA663" i="2"/>
  <c r="BA687" i="2" s="1"/>
  <c r="BA695" i="2" s="1"/>
  <c r="BA284" i="2"/>
  <c r="AX180" i="2"/>
  <c r="AX181" i="2" s="1"/>
  <c r="BB663" i="2"/>
  <c r="BB687" i="2" s="1"/>
  <c r="BB695" i="2" s="1"/>
  <c r="BB284" i="2"/>
  <c r="AZ710" i="2"/>
  <c r="AZ718" i="2" s="1"/>
  <c r="BB662" i="2"/>
  <c r="BB686" i="2" s="1"/>
  <c r="BB694" i="2" s="1"/>
  <c r="BB283" i="2"/>
  <c r="AY173" i="2"/>
  <c r="AY258" i="2"/>
  <c r="BB665" i="2"/>
  <c r="BB689" i="2" s="1"/>
  <c r="BB713" i="2" s="1"/>
  <c r="BB286" i="2"/>
  <c r="AY262" i="2"/>
  <c r="AY177" i="2"/>
  <c r="BB679" i="2"/>
  <c r="BB177" i="2" s="1"/>
  <c r="BB292" i="2"/>
  <c r="BB308" i="2" s="1"/>
  <c r="BB661" i="2"/>
  <c r="BB685" i="2" s="1"/>
  <c r="BB709" i="2" s="1"/>
  <c r="BB282" i="2"/>
  <c r="AZ678" i="2"/>
  <c r="AZ261" i="2" s="1"/>
  <c r="AZ291" i="2"/>
  <c r="AZ307" i="2" s="1"/>
  <c r="BA661" i="2"/>
  <c r="BA685" i="2" s="1"/>
  <c r="BA709" i="2" s="1"/>
  <c r="BA282" i="2"/>
  <c r="AZ676" i="2"/>
  <c r="AZ174" i="2" s="1"/>
  <c r="AZ289" i="2"/>
  <c r="AZ305" i="2" s="1"/>
  <c r="BA676" i="2"/>
  <c r="BA259" i="2" s="1"/>
  <c r="BA289" i="2"/>
  <c r="BA305" i="2" s="1"/>
  <c r="AZ675" i="2"/>
  <c r="AZ288" i="2"/>
  <c r="AZ304" i="2" s="1"/>
  <c r="BC304" i="2" s="1"/>
  <c r="BA662" i="2"/>
  <c r="BA686" i="2" s="1"/>
  <c r="BA694" i="2" s="1"/>
  <c r="BA283" i="2"/>
  <c r="BB755" i="2"/>
  <c r="BC755" i="2" s="1"/>
  <c r="BC645" i="2"/>
  <c r="BA669" i="2"/>
  <c r="BB673" i="2"/>
  <c r="BB670" i="2"/>
  <c r="BA671" i="2"/>
  <c r="BB669" i="2"/>
  <c r="BC745" i="2"/>
  <c r="BC648" i="2"/>
  <c r="BA670" i="2"/>
  <c r="BC646" i="2"/>
  <c r="BC647" i="2"/>
  <c r="BA672" i="2"/>
  <c r="BC742" i="2"/>
  <c r="BB427" i="2"/>
  <c r="BB74" i="2" s="1"/>
  <c r="BB71" i="2" s="1"/>
  <c r="BC749" i="2"/>
  <c r="BA427" i="2"/>
  <c r="BA74" i="2" s="1"/>
  <c r="BA71" i="2" s="1"/>
  <c r="BC422" i="2"/>
  <c r="BB750" i="2"/>
  <c r="BC750" i="2" s="1"/>
  <c r="BC744" i="2"/>
  <c r="BC414" i="2"/>
  <c r="BB450" i="2"/>
  <c r="BC416" i="2"/>
  <c r="BB448" i="2"/>
  <c r="BB449" i="2"/>
  <c r="BA450" i="2"/>
  <c r="BC441" i="2"/>
  <c r="BC442" i="2"/>
  <c r="AZ453" i="2"/>
  <c r="BC447" i="2"/>
  <c r="BC424" i="2"/>
  <c r="BA448" i="2"/>
  <c r="BB452" i="2"/>
  <c r="BC452" i="2" s="1"/>
  <c r="BA451" i="2"/>
  <c r="BC440" i="2"/>
  <c r="BA449" i="2"/>
  <c r="BC415" i="2"/>
  <c r="BC423" i="2"/>
  <c r="BC706" i="2"/>
  <c r="C759" i="2"/>
  <c r="D318" i="2"/>
  <c r="E848" i="2" s="1"/>
  <c r="AZ721" i="2"/>
  <c r="AY722" i="2"/>
  <c r="AZ719" i="2"/>
  <c r="BC249" i="2"/>
  <c r="BD249" i="2" s="1"/>
  <c r="BB691" i="2"/>
  <c r="BB707" i="2"/>
  <c r="D935" i="2"/>
  <c r="BC60" i="2"/>
  <c r="BA691" i="2"/>
  <c r="BA707" i="2"/>
  <c r="BA714" i="2"/>
  <c r="BB708" i="2"/>
  <c r="BB692" i="2"/>
  <c r="BA713" i="2"/>
  <c r="BA697" i="2"/>
  <c r="BA708" i="2"/>
  <c r="BA692" i="2"/>
  <c r="AZ720" i="2"/>
  <c r="BB714" i="2"/>
  <c r="BC690" i="2"/>
  <c r="BB428" i="2" l="1" a="1"/>
  <c r="BB428" i="2" s="1"/>
  <c r="BB451" i="2"/>
  <c r="BC451" i="2" s="1"/>
  <c r="AX268" i="2"/>
  <c r="BB693" i="2"/>
  <c r="BB717" i="2" s="1"/>
  <c r="BB710" i="2"/>
  <c r="BB718" i="2" s="1"/>
  <c r="BB664" i="2"/>
  <c r="BB688" i="2" s="1"/>
  <c r="BB696" i="2" s="1"/>
  <c r="AZ81" i="2"/>
  <c r="BB285" i="2"/>
  <c r="AX267" i="2"/>
  <c r="BA696" i="2"/>
  <c r="BA720" i="2" s="1"/>
  <c r="AY265" i="2"/>
  <c r="AY266" i="2" s="1"/>
  <c r="AY91" i="2" s="1"/>
  <c r="BB711" i="2"/>
  <c r="BB719" i="2" s="1"/>
  <c r="BA693" i="2"/>
  <c r="BA174" i="2"/>
  <c r="BC174" i="2" s="1"/>
  <c r="BC305" i="2"/>
  <c r="BA711" i="2"/>
  <c r="BA719" i="2" s="1"/>
  <c r="AY180" i="2"/>
  <c r="AY181" i="2" s="1"/>
  <c r="AY88" i="2" s="1"/>
  <c r="AZ176" i="2"/>
  <c r="BA677" i="2"/>
  <c r="BA290" i="2"/>
  <c r="BA306" i="2" s="1"/>
  <c r="BB262" i="2"/>
  <c r="BA678" i="2"/>
  <c r="BA176" i="2" s="1"/>
  <c r="BA291" i="2"/>
  <c r="BA307" i="2" s="1"/>
  <c r="BB697" i="2"/>
  <c r="BC697" i="2" s="1"/>
  <c r="BB677" i="2"/>
  <c r="BB175" i="2" s="1"/>
  <c r="BB290" i="2"/>
  <c r="BB306" i="2" s="1"/>
  <c r="BA680" i="2"/>
  <c r="BA178" i="2" s="1"/>
  <c r="BA293" i="2"/>
  <c r="BA309" i="2" s="1"/>
  <c r="AZ259" i="2"/>
  <c r="BC259" i="2" s="1"/>
  <c r="AZ258" i="2"/>
  <c r="BC258" i="2" s="1"/>
  <c r="AZ173" i="2"/>
  <c r="BC173" i="2" s="1"/>
  <c r="BA679" i="2"/>
  <c r="BA262" i="2" s="1"/>
  <c r="BA292" i="2"/>
  <c r="BA308" i="2" s="1"/>
  <c r="BC308" i="2" s="1"/>
  <c r="BB681" i="2"/>
  <c r="BB179" i="2" s="1"/>
  <c r="BC179" i="2" s="1"/>
  <c r="BB294" i="2"/>
  <c r="BB310" i="2" s="1"/>
  <c r="BC310" i="2" s="1"/>
  <c r="BB680" i="2"/>
  <c r="BB178" i="2" s="1"/>
  <c r="BB293" i="2"/>
  <c r="BB309" i="2" s="1"/>
  <c r="AX88" i="2"/>
  <c r="AX182" i="2"/>
  <c r="AZ311" i="2"/>
  <c r="BA710" i="2"/>
  <c r="BC710" i="2" s="1"/>
  <c r="BB759" i="2"/>
  <c r="AD39" i="2" s="1"/>
  <c r="BB678" i="2"/>
  <c r="BB176" i="2" s="1"/>
  <c r="BB291" i="2"/>
  <c r="BB307" i="2" s="1"/>
  <c r="BC448" i="2"/>
  <c r="BC428" i="2" a="1"/>
  <c r="BC428" i="2" s="1"/>
  <c r="BC450" i="2"/>
  <c r="BC449" i="2"/>
  <c r="BA453" i="2"/>
  <c r="BC707" i="2"/>
  <c r="BC709" i="2"/>
  <c r="BC708" i="2"/>
  <c r="BC713" i="2"/>
  <c r="E318" i="2"/>
  <c r="F848" i="2" s="1"/>
  <c r="BA721" i="2"/>
  <c r="AZ722" i="2"/>
  <c r="BA716" i="2"/>
  <c r="BC714" i="2"/>
  <c r="BC695" i="2"/>
  <c r="BB715" i="2"/>
  <c r="BC691" i="2"/>
  <c r="BC694" i="2"/>
  <c r="BB716" i="2"/>
  <c r="BC692" i="2"/>
  <c r="BA715" i="2"/>
  <c r="BB453" i="2" l="1"/>
  <c r="BB712" i="2"/>
  <c r="BB720" i="2" s="1"/>
  <c r="BC720" i="2" s="1"/>
  <c r="BC696" i="2"/>
  <c r="AY268" i="2"/>
  <c r="H34" i="1"/>
  <c r="BB260" i="2"/>
  <c r="BA81" i="2"/>
  <c r="BB264" i="2"/>
  <c r="BC264" i="2" s="1"/>
  <c r="BC711" i="2"/>
  <c r="AY267" i="2"/>
  <c r="AY182" i="2"/>
  <c r="BA263" i="2"/>
  <c r="BA311" i="2"/>
  <c r="BC693" i="2"/>
  <c r="BC262" i="2"/>
  <c r="BA717" i="2"/>
  <c r="BC717" i="2" s="1"/>
  <c r="AZ265" i="2"/>
  <c r="AZ266" i="2" s="1"/>
  <c r="AZ91" i="2" s="1"/>
  <c r="AZ180" i="2"/>
  <c r="AZ181" i="2" s="1"/>
  <c r="AZ88" i="2" s="1"/>
  <c r="BC178" i="2"/>
  <c r="BB721" i="2"/>
  <c r="BC759" i="2"/>
  <c r="BC176" i="2"/>
  <c r="BB180" i="2"/>
  <c r="BB181" i="2" s="1"/>
  <c r="BB88" i="2" s="1"/>
  <c r="BA177" i="2"/>
  <c r="BA260" i="2"/>
  <c r="BA175" i="2"/>
  <c r="BC175" i="2" s="1"/>
  <c r="BB261" i="2"/>
  <c r="BB263" i="2"/>
  <c r="BA261" i="2"/>
  <c r="BC306" i="2"/>
  <c r="BB311" i="2"/>
  <c r="BC307" i="2"/>
  <c r="BB81" i="2"/>
  <c r="BA718" i="2"/>
  <c r="BC718" i="2" s="1"/>
  <c r="BC309" i="2"/>
  <c r="BC177" i="2"/>
  <c r="D31" i="1"/>
  <c r="E31" i="1" s="1"/>
  <c r="H31" i="1" s="1"/>
  <c r="BC453" i="2"/>
  <c r="F318" i="2"/>
  <c r="G848" i="2" s="1"/>
  <c r="BC716" i="2"/>
  <c r="BC719" i="2"/>
  <c r="BC715" i="2"/>
  <c r="BC260" i="2" l="1"/>
  <c r="BB722" i="2"/>
  <c r="BC712" i="2"/>
  <c r="BC263" i="2"/>
  <c r="AZ268" i="2"/>
  <c r="BC311" i="2"/>
  <c r="AE4" i="2" s="1"/>
  <c r="U38" i="2" s="1"/>
  <c r="X38" i="2" s="1"/>
  <c r="AD38" i="2" s="1"/>
  <c r="BC721" i="2"/>
  <c r="BB182" i="2"/>
  <c r="BA722" i="2"/>
  <c r="AZ267" i="2"/>
  <c r="AZ182" i="2"/>
  <c r="BA265" i="2"/>
  <c r="BA266" i="2" s="1"/>
  <c r="BA268" i="2" s="1"/>
  <c r="BC261" i="2"/>
  <c r="BB265" i="2"/>
  <c r="BB266" i="2" s="1"/>
  <c r="BA180" i="2"/>
  <c r="C5" i="4"/>
  <c r="F31" i="1"/>
  <c r="G31" i="1" s="1"/>
  <c r="C316" i="2"/>
  <c r="G318" i="2"/>
  <c r="H848" i="2" s="1"/>
  <c r="D32" i="1"/>
  <c r="BC722" i="2" l="1"/>
  <c r="C317" i="2" s="1"/>
  <c r="D317" i="2" s="1"/>
  <c r="E317" i="2" s="1"/>
  <c r="F317" i="2" s="1"/>
  <c r="G317" i="2" s="1"/>
  <c r="H317" i="2" s="1"/>
  <c r="I317" i="2" s="1"/>
  <c r="J317" i="2" s="1"/>
  <c r="K317" i="2" s="1"/>
  <c r="L317" i="2" s="1"/>
  <c r="M317" i="2" s="1"/>
  <c r="N317" i="2" s="1"/>
  <c r="O317" i="2" s="1"/>
  <c r="P317" i="2" s="1"/>
  <c r="Q317" i="2" s="1"/>
  <c r="R317" i="2" s="1"/>
  <c r="S317" i="2" s="1"/>
  <c r="T317" i="2" s="1"/>
  <c r="U317" i="2" s="1"/>
  <c r="V317" i="2" s="1"/>
  <c r="W317" i="2" s="1"/>
  <c r="X317" i="2" s="1"/>
  <c r="Y317" i="2" s="1"/>
  <c r="Z317" i="2" s="1"/>
  <c r="AA317" i="2" s="1"/>
  <c r="AB317" i="2" s="1"/>
  <c r="AC317" i="2" s="1"/>
  <c r="AD317" i="2" s="1"/>
  <c r="AE317" i="2" s="1"/>
  <c r="AF317" i="2" s="1"/>
  <c r="AG317" i="2" s="1"/>
  <c r="AH317" i="2" s="1"/>
  <c r="AI317" i="2" s="1"/>
  <c r="AJ317" i="2" s="1"/>
  <c r="AK317" i="2" s="1"/>
  <c r="AL317" i="2" s="1"/>
  <c r="AM317" i="2" s="1"/>
  <c r="AN317" i="2" s="1"/>
  <c r="AO317" i="2" s="1"/>
  <c r="AP317" i="2" s="1"/>
  <c r="AQ317" i="2" s="1"/>
  <c r="AR317" i="2" s="1"/>
  <c r="AS317" i="2" s="1"/>
  <c r="AT317" i="2" s="1"/>
  <c r="AU317" i="2" s="1"/>
  <c r="AV317" i="2" s="1"/>
  <c r="AW317" i="2" s="1"/>
  <c r="AX317" i="2" s="1"/>
  <c r="AY317" i="2" s="1"/>
  <c r="AZ317" i="2" s="1"/>
  <c r="BA317" i="2" s="1"/>
  <c r="BB317" i="2" s="1"/>
  <c r="AA38" i="2"/>
  <c r="BD257" i="2"/>
  <c r="BA181" i="2"/>
  <c r="BA267" i="2" s="1"/>
  <c r="BC180" i="2"/>
  <c r="BB91" i="2"/>
  <c r="BB267" i="2"/>
  <c r="BC265" i="2"/>
  <c r="U35" i="2" s="1"/>
  <c r="BA91" i="2"/>
  <c r="BC91" i="2" s="1"/>
  <c r="D316" i="2"/>
  <c r="R5" i="2"/>
  <c r="H318" i="2"/>
  <c r="I848" i="2" s="1"/>
  <c r="BB268" i="2"/>
  <c r="BC268" i="2" s="1"/>
  <c r="E32" i="1"/>
  <c r="W3" i="2" l="1"/>
  <c r="U37" i="2" s="1"/>
  <c r="X37" i="2" s="1"/>
  <c r="W4" i="2"/>
  <c r="D29" i="1" s="1"/>
  <c r="C315" i="2"/>
  <c r="D315" i="2" s="1"/>
  <c r="BA88" i="2"/>
  <c r="BA182" i="2"/>
  <c r="BC182" i="2" s="1"/>
  <c r="U36" i="2"/>
  <c r="X36" i="2" s="1"/>
  <c r="AA36" i="2" s="1"/>
  <c r="U41" i="2"/>
  <c r="X41" i="2" s="1"/>
  <c r="AA41" i="2" s="1"/>
  <c r="E316" i="2"/>
  <c r="C78" i="2"/>
  <c r="C82" i="2" s="1"/>
  <c r="I318" i="2"/>
  <c r="J848" i="2" s="1"/>
  <c r="C183" i="2"/>
  <c r="F32" i="1"/>
  <c r="G32" i="1" s="1"/>
  <c r="C6" i="4"/>
  <c r="H32" i="1"/>
  <c r="E29" i="1" l="1"/>
  <c r="D30" i="1"/>
  <c r="E30" i="1" s="1"/>
  <c r="AD37" i="2"/>
  <c r="AA37" i="2"/>
  <c r="D83" i="2"/>
  <c r="F316" i="2"/>
  <c r="AD36" i="2"/>
  <c r="D78" i="2"/>
  <c r="D82" i="2" s="1"/>
  <c r="J318" i="2"/>
  <c r="K848" i="2" s="1"/>
  <c r="E315" i="2"/>
  <c r="D183" i="2"/>
  <c r="F30" i="1" l="1"/>
  <c r="G30" i="1" s="1"/>
  <c r="C4" i="4"/>
  <c r="F29" i="1"/>
  <c r="G29" i="1" s="1"/>
  <c r="C3" i="4"/>
  <c r="H29" i="1"/>
  <c r="E39" i="1"/>
  <c r="E83" i="2"/>
  <c r="G316" i="2"/>
  <c r="E78" i="2"/>
  <c r="E82" i="2" s="1"/>
  <c r="K318" i="2"/>
  <c r="L848" i="2" s="1"/>
  <c r="F315" i="2"/>
  <c r="E183" i="2"/>
  <c r="C73" i="2" l="1"/>
  <c r="F83" i="2"/>
  <c r="H316" i="2"/>
  <c r="F78" i="2"/>
  <c r="F82" i="2" s="1"/>
  <c r="L318" i="2"/>
  <c r="M848" i="2" s="1"/>
  <c r="G315" i="2"/>
  <c r="F183" i="2"/>
  <c r="G83" i="2" l="1"/>
  <c r="I316" i="2"/>
  <c r="G78" i="2"/>
  <c r="G82" i="2" s="1"/>
  <c r="C80" i="2"/>
  <c r="M318" i="2"/>
  <c r="N848" i="2" s="1"/>
  <c r="C86" i="2"/>
  <c r="H315" i="2"/>
  <c r="G183" i="2"/>
  <c r="H83" i="2" l="1"/>
  <c r="J316" i="2"/>
  <c r="H78" i="2"/>
  <c r="H82" i="2" s="1"/>
  <c r="N318" i="2"/>
  <c r="O848" i="2" s="1"/>
  <c r="I315" i="2"/>
  <c r="H183" i="2"/>
  <c r="I83" i="2" l="1"/>
  <c r="K316" i="2"/>
  <c r="I78" i="2"/>
  <c r="I82" i="2" s="1"/>
  <c r="O318" i="2"/>
  <c r="P848" i="2" s="1"/>
  <c r="I183" i="2"/>
  <c r="J315" i="2"/>
  <c r="J83" i="2" l="1"/>
  <c r="G73" i="2"/>
  <c r="L316" i="2"/>
  <c r="J78" i="2"/>
  <c r="J82" i="2" s="1"/>
  <c r="P318" i="2"/>
  <c r="Q848" i="2" s="1"/>
  <c r="J183" i="2"/>
  <c r="K315" i="2"/>
  <c r="K83" i="2" l="1"/>
  <c r="M316" i="2"/>
  <c r="K78" i="2"/>
  <c r="K82" i="2" s="1"/>
  <c r="G80" i="2"/>
  <c r="Q318" i="2"/>
  <c r="R848" i="2" s="1"/>
  <c r="G86" i="2"/>
  <c r="K183" i="2"/>
  <c r="L315" i="2"/>
  <c r="L83" i="2" l="1"/>
  <c r="N316" i="2"/>
  <c r="L78" i="2"/>
  <c r="L82" i="2" s="1"/>
  <c r="R318" i="2"/>
  <c r="S848" i="2" s="1"/>
  <c r="L183" i="2"/>
  <c r="M315" i="2"/>
  <c r="M83" i="2" l="1"/>
  <c r="O316" i="2"/>
  <c r="M78" i="2"/>
  <c r="M82" i="2" s="1"/>
  <c r="S318" i="2"/>
  <c r="T848" i="2" s="1"/>
  <c r="M183" i="2"/>
  <c r="N315" i="2"/>
  <c r="N83" i="2" l="1"/>
  <c r="K73" i="2"/>
  <c r="P316" i="2"/>
  <c r="N78" i="2"/>
  <c r="N82" i="2" s="1"/>
  <c r="T318" i="2"/>
  <c r="U848" i="2" s="1"/>
  <c r="N183" i="2"/>
  <c r="O315" i="2"/>
  <c r="O83" i="2" l="1"/>
  <c r="C72" i="2"/>
  <c r="Q316" i="2"/>
  <c r="K80" i="2"/>
  <c r="O78" i="2"/>
  <c r="O82" i="2" s="1"/>
  <c r="U318" i="2"/>
  <c r="V848" i="2" s="1"/>
  <c r="P315" i="2"/>
  <c r="O183" i="2"/>
  <c r="K86" i="2"/>
  <c r="P83" i="2" l="1"/>
  <c r="R316" i="2"/>
  <c r="C79" i="2"/>
  <c r="P78" i="2"/>
  <c r="P82" i="2" s="1"/>
  <c r="V318" i="2"/>
  <c r="W848" i="2" s="1"/>
  <c r="P183" i="2"/>
  <c r="Q315" i="2"/>
  <c r="C87" i="2"/>
  <c r="Q83" i="2" l="1"/>
  <c r="S316" i="2"/>
  <c r="O73" i="2"/>
  <c r="Q78" i="2"/>
  <c r="Q82" i="2" s="1"/>
  <c r="W318" i="2"/>
  <c r="X848" i="2" s="1"/>
  <c r="Q183" i="2"/>
  <c r="R315" i="2"/>
  <c r="R83" i="2" l="1"/>
  <c r="T316" i="2"/>
  <c r="R78" i="2"/>
  <c r="R82" i="2" s="1"/>
  <c r="X318" i="2"/>
  <c r="Y848" i="2" s="1"/>
  <c r="S315" i="2"/>
  <c r="R183" i="2"/>
  <c r="S83" i="2" l="1"/>
  <c r="U316" i="2"/>
  <c r="S78" i="2"/>
  <c r="S82" i="2" s="1"/>
  <c r="O80" i="2"/>
  <c r="Y318" i="2"/>
  <c r="Z848" i="2" s="1"/>
  <c r="S183" i="2"/>
  <c r="T315" i="2"/>
  <c r="O86" i="2"/>
  <c r="T83" i="2" l="1"/>
  <c r="V316" i="2"/>
  <c r="T78" i="2"/>
  <c r="T82" i="2" s="1"/>
  <c r="Z318" i="2"/>
  <c r="AA848" i="2" s="1"/>
  <c r="U315" i="2"/>
  <c r="T183" i="2"/>
  <c r="U83" i="2" l="1"/>
  <c r="W316" i="2"/>
  <c r="U78" i="2"/>
  <c r="U82" i="2" s="1"/>
  <c r="AA318" i="2"/>
  <c r="AB848" i="2" s="1"/>
  <c r="V315" i="2"/>
  <c r="U183" i="2"/>
  <c r="V83" i="2" l="1"/>
  <c r="S73" i="2"/>
  <c r="X316" i="2"/>
  <c r="V78" i="2"/>
  <c r="V82" i="2" s="1"/>
  <c r="AB318" i="2"/>
  <c r="AC848" i="2" s="1"/>
  <c r="W315" i="2"/>
  <c r="V183" i="2"/>
  <c r="W83" i="2" l="1"/>
  <c r="Y316" i="2"/>
  <c r="S80" i="2"/>
  <c r="W78" i="2"/>
  <c r="W82" i="2" s="1"/>
  <c r="AC318" i="2"/>
  <c r="AD848" i="2" s="1"/>
  <c r="S86" i="2"/>
  <c r="X315" i="2"/>
  <c r="W183" i="2"/>
  <c r="X83" i="2" l="1"/>
  <c r="Z316" i="2"/>
  <c r="X78" i="2"/>
  <c r="X82" i="2" s="1"/>
  <c r="AD318" i="2"/>
  <c r="AE848" i="2" s="1"/>
  <c r="X183" i="2"/>
  <c r="Y315" i="2"/>
  <c r="Y83" i="2" l="1"/>
  <c r="AA316" i="2"/>
  <c r="Y78" i="2"/>
  <c r="Y82" i="2" s="1"/>
  <c r="AE318" i="2"/>
  <c r="AF848" i="2" s="1"/>
  <c r="Z315" i="2"/>
  <c r="Y183" i="2"/>
  <c r="Z83" i="2" l="1"/>
  <c r="W73" i="2"/>
  <c r="AB316" i="2"/>
  <c r="Z78" i="2"/>
  <c r="AF318" i="2"/>
  <c r="AG848" i="2" s="1"/>
  <c r="Z183" i="2"/>
  <c r="AA315" i="2"/>
  <c r="AA83" i="2" l="1"/>
  <c r="AC316" i="2"/>
  <c r="W80" i="2"/>
  <c r="Z82" i="2"/>
  <c r="AA78" i="2"/>
  <c r="AA82" i="2" s="1"/>
  <c r="AG318" i="2"/>
  <c r="AH848" i="2" s="1"/>
  <c r="AB315" i="2"/>
  <c r="AA183" i="2"/>
  <c r="W86" i="2"/>
  <c r="AB83" i="2" l="1"/>
  <c r="P72" i="2"/>
  <c r="AD316" i="2"/>
  <c r="AB78" i="2"/>
  <c r="AB82" i="2" s="1"/>
  <c r="AH318" i="2"/>
  <c r="AI848" i="2" s="1"/>
  <c r="AC315" i="2"/>
  <c r="AB183" i="2"/>
  <c r="AC83" i="2" l="1"/>
  <c r="AE316" i="2"/>
  <c r="P79" i="2"/>
  <c r="AC78" i="2"/>
  <c r="AC82" i="2" s="1"/>
  <c r="AI318" i="2"/>
  <c r="AJ848" i="2" s="1"/>
  <c r="AC183" i="2"/>
  <c r="AD315" i="2"/>
  <c r="P87" i="2"/>
  <c r="AF316" i="2" l="1"/>
  <c r="AA73" i="2"/>
  <c r="AD83" i="2"/>
  <c r="AD78" i="2"/>
  <c r="AD82" i="2" s="1"/>
  <c r="AJ318" i="2"/>
  <c r="AK848" i="2" s="1"/>
  <c r="AD183" i="2"/>
  <c r="AE315" i="2"/>
  <c r="AE83" i="2" l="1"/>
  <c r="AG316" i="2"/>
  <c r="AE78" i="2"/>
  <c r="AE82" i="2" s="1"/>
  <c r="AA80" i="2"/>
  <c r="AK318" i="2"/>
  <c r="AL848" i="2" s="1"/>
  <c r="AF315" i="2"/>
  <c r="AE183" i="2"/>
  <c r="AA86" i="2"/>
  <c r="AF83" i="2" l="1"/>
  <c r="AH316" i="2"/>
  <c r="AF78" i="2"/>
  <c r="AF82" i="2" s="1"/>
  <c r="AL318" i="2"/>
  <c r="AM848" i="2" s="1"/>
  <c r="AG315" i="2"/>
  <c r="AF183" i="2"/>
  <c r="AG83" i="2" l="1"/>
  <c r="AI316" i="2"/>
  <c r="AG78" i="2"/>
  <c r="AG82" i="2" s="1"/>
  <c r="AM318" i="2"/>
  <c r="AN848" i="2" s="1"/>
  <c r="AG183" i="2"/>
  <c r="AH315" i="2"/>
  <c r="AH83" i="2" l="1"/>
  <c r="AE73" i="2"/>
  <c r="AJ316" i="2"/>
  <c r="AH78" i="2"/>
  <c r="AH82" i="2" s="1"/>
  <c r="AN318" i="2"/>
  <c r="AO848" i="2" s="1"/>
  <c r="AI315" i="2"/>
  <c r="AH183" i="2"/>
  <c r="AI83" i="2" l="1"/>
  <c r="AK316" i="2"/>
  <c r="AI78" i="2"/>
  <c r="AI82" i="2" s="1"/>
  <c r="AE80" i="2"/>
  <c r="AO318" i="2"/>
  <c r="AP848" i="2" s="1"/>
  <c r="AE86" i="2"/>
  <c r="AI183" i="2"/>
  <c r="AJ315" i="2"/>
  <c r="AJ83" i="2" l="1"/>
  <c r="AL316" i="2"/>
  <c r="AJ78" i="2"/>
  <c r="AJ82" i="2" s="1"/>
  <c r="AP318" i="2"/>
  <c r="AQ848" i="2" s="1"/>
  <c r="AJ183" i="2"/>
  <c r="AK315" i="2"/>
  <c r="AK83" i="2" l="1"/>
  <c r="AM316" i="2"/>
  <c r="AK78" i="2"/>
  <c r="AK82" i="2" s="1"/>
  <c r="AQ318" i="2"/>
  <c r="AR848" i="2" s="1"/>
  <c r="AL315" i="2"/>
  <c r="AK183" i="2"/>
  <c r="AL83" i="2" l="1"/>
  <c r="AI73" i="2"/>
  <c r="AN316" i="2"/>
  <c r="AL78" i="2"/>
  <c r="AL82" i="2" s="1"/>
  <c r="AR318" i="2"/>
  <c r="AS848" i="2" s="1"/>
  <c r="AL183" i="2"/>
  <c r="AM315" i="2"/>
  <c r="AM83" i="2" l="1"/>
  <c r="AO316" i="2"/>
  <c r="AM78" i="2"/>
  <c r="AM82" i="2" s="1"/>
  <c r="AI80" i="2"/>
  <c r="AS318" i="2"/>
  <c r="AT848" i="2" s="1"/>
  <c r="AI86" i="2"/>
  <c r="AM183" i="2"/>
  <c r="AN315" i="2"/>
  <c r="AN83" i="2" l="1"/>
  <c r="AP316" i="2"/>
  <c r="AC72" i="2"/>
  <c r="AN78" i="2"/>
  <c r="AN82" i="2" s="1"/>
  <c r="AT318" i="2"/>
  <c r="AU848" i="2" s="1"/>
  <c r="AO315" i="2"/>
  <c r="AN183" i="2"/>
  <c r="AO83" i="2" l="1"/>
  <c r="AQ316" i="2"/>
  <c r="AO78" i="2"/>
  <c r="AO82" i="2" s="1"/>
  <c r="AU318" i="2"/>
  <c r="AV848" i="2" s="1"/>
  <c r="AO183" i="2"/>
  <c r="AP315" i="2"/>
  <c r="AM73" i="2" l="1"/>
  <c r="AP83" i="2"/>
  <c r="AR316" i="2"/>
  <c r="AC79" i="2"/>
  <c r="AP78" i="2"/>
  <c r="AP82" i="2" s="1"/>
  <c r="AV318" i="2"/>
  <c r="AW848" i="2" s="1"/>
  <c r="AC87" i="2"/>
  <c r="AP183" i="2"/>
  <c r="AQ315" i="2"/>
  <c r="AQ83" i="2" l="1"/>
  <c r="AS316" i="2"/>
  <c r="AM80" i="2"/>
  <c r="AQ78" i="2"/>
  <c r="AQ82" i="2" s="1"/>
  <c r="AW318" i="2"/>
  <c r="AX848" i="2" s="1"/>
  <c r="AQ183" i="2"/>
  <c r="AR315" i="2"/>
  <c r="AM86" i="2"/>
  <c r="AR83" i="2" l="1"/>
  <c r="AT316" i="2"/>
  <c r="AR78" i="2"/>
  <c r="AR82" i="2" s="1"/>
  <c r="AX318" i="2"/>
  <c r="AY848" i="2" s="1"/>
  <c r="AS315" i="2"/>
  <c r="AR183" i="2"/>
  <c r="AS83" i="2" l="1"/>
  <c r="AU316" i="2"/>
  <c r="AS78" i="2"/>
  <c r="AS82" i="2" s="1"/>
  <c r="AY318" i="2"/>
  <c r="AZ848" i="2" s="1"/>
  <c r="AT315" i="2"/>
  <c r="AS183" i="2"/>
  <c r="AT83" i="2" l="1"/>
  <c r="AQ73" i="2"/>
  <c r="AV316" i="2"/>
  <c r="AT78" i="2"/>
  <c r="AT82" i="2" s="1"/>
  <c r="AZ318" i="2"/>
  <c r="BA848" i="2" s="1"/>
  <c r="AT183" i="2"/>
  <c r="AU315" i="2"/>
  <c r="AU83" i="2" l="1"/>
  <c r="AW316" i="2"/>
  <c r="AU78" i="2"/>
  <c r="AU82" i="2" s="1"/>
  <c r="AQ80" i="2"/>
  <c r="BA318" i="2"/>
  <c r="BB848" i="2" s="1"/>
  <c r="AU183" i="2"/>
  <c r="AV315" i="2"/>
  <c r="AQ86" i="2"/>
  <c r="AV83" i="2" l="1"/>
  <c r="AX316" i="2"/>
  <c r="AV78" i="2"/>
  <c r="AV82" i="2" s="1"/>
  <c r="BB318" i="2"/>
  <c r="BC848" i="2" s="1"/>
  <c r="AW315" i="2"/>
  <c r="AV183" i="2"/>
  <c r="AW83" i="2" l="1"/>
  <c r="AY316" i="2"/>
  <c r="AW78" i="2"/>
  <c r="AW82" i="2" s="1"/>
  <c r="BD848" i="2"/>
  <c r="H33" i="1" s="1"/>
  <c r="AW183" i="2"/>
  <c r="AX315" i="2"/>
  <c r="AZ316" i="2" l="1"/>
  <c r="AX83" i="2"/>
  <c r="AU73" i="2"/>
  <c r="AX78" i="2"/>
  <c r="AX82" i="2" s="1"/>
  <c r="AX183" i="2"/>
  <c r="AY315" i="2"/>
  <c r="AY83" i="2" l="1"/>
  <c r="BA316" i="2"/>
  <c r="AU80" i="2"/>
  <c r="AY78" i="2"/>
  <c r="AY82" i="2" s="1"/>
  <c r="AU86" i="2"/>
  <c r="AY183" i="2"/>
  <c r="AZ315" i="2"/>
  <c r="AZ83" i="2" l="1"/>
  <c r="BB316" i="2"/>
  <c r="AZ78" i="2"/>
  <c r="AZ82" i="2" s="1"/>
  <c r="AZ183" i="2"/>
  <c r="BA315" i="2"/>
  <c r="AY73" i="2" l="1"/>
  <c r="BC73" i="2" s="1"/>
  <c r="BC71" i="2"/>
  <c r="AP72" i="2"/>
  <c r="BC72" i="2" s="1"/>
  <c r="BA83" i="2"/>
  <c r="BB83" i="2"/>
  <c r="BA78" i="2"/>
  <c r="BA82" i="2" s="1"/>
  <c r="BB315" i="2"/>
  <c r="BB183" i="2" s="1"/>
  <c r="BA183" i="2"/>
  <c r="BB78" i="2" l="1"/>
  <c r="BB82" i="2" s="1"/>
  <c r="AY86" i="2"/>
  <c r="BC86" i="2" s="1"/>
  <c r="BC88" i="2"/>
  <c r="AP87" i="2"/>
  <c r="BC87" i="2" s="1"/>
  <c r="BC183" i="2" l="1"/>
  <c r="R6" i="2"/>
  <c r="AP79" i="2"/>
  <c r="BC79" i="2" s="1"/>
  <c r="AY80" i="2"/>
  <c r="BC80" i="2" s="1"/>
  <c r="BC78" i="2"/>
  <c r="U34" i="2" l="1"/>
  <c r="X34" i="2" s="1"/>
  <c r="X35" i="2"/>
  <c r="AA35" i="2" l="1"/>
  <c r="AD35" i="2"/>
  <c r="AD34" i="2"/>
  <c r="AA3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<sst xmlns="http://schemas.openxmlformats.org/spreadsheetml/2006/main" count="689" uniqueCount="547">
  <si>
    <t>Category</t>
  </si>
  <si>
    <t>Metric Description</t>
  </si>
  <si>
    <t>Unit</t>
  </si>
  <si>
    <t>Current Value</t>
  </si>
  <si>
    <t>Target Value</t>
  </si>
  <si>
    <t>Gap</t>
  </si>
  <si>
    <t>Notes</t>
  </si>
  <si>
    <t>Machine Failure</t>
  </si>
  <si>
    <t>Machine Assist</t>
  </si>
  <si>
    <t>Defect Rate (-Yield)</t>
  </si>
  <si>
    <t>Rework Rate</t>
  </si>
  <si>
    <t>Speed Loss</t>
  </si>
  <si>
    <t>Actual Vs POR CT</t>
  </si>
  <si>
    <t>Extra Manpower</t>
  </si>
  <si>
    <t>Energy / Utility Waste</t>
  </si>
  <si>
    <t>Customer Return</t>
  </si>
  <si>
    <t>Hours</t>
  </si>
  <si>
    <t>Seconds</t>
  </si>
  <si>
    <t>Units</t>
  </si>
  <si>
    <t>Unscheduled Downtime</t>
  </si>
  <si>
    <t>Cost / Unit</t>
  </si>
  <si>
    <t>Annual VaS</t>
  </si>
  <si>
    <t>USDT - Machine Failure</t>
  </si>
  <si>
    <t>USDT - Machine Assist</t>
  </si>
  <si>
    <t>Quality Loss - Defect</t>
  </si>
  <si>
    <t>Quality Loss - Rework</t>
  </si>
  <si>
    <t>Rework Loss / Unit</t>
  </si>
  <si>
    <t>Standard Cycle Time</t>
  </si>
  <si>
    <t>Contribution Margin / Unit</t>
  </si>
  <si>
    <t>Extra Utility Cost / unit</t>
  </si>
  <si>
    <t>Extra Material Cost / unit</t>
  </si>
  <si>
    <t>Material Cost per unit</t>
  </si>
  <si>
    <t>Direct Labor Cost Per unit</t>
  </si>
  <si>
    <t>Cost Per Hour Downtime</t>
  </si>
  <si>
    <t>Overhead Cost Per Hour</t>
  </si>
  <si>
    <t>Opportunity Cost Per Hour</t>
  </si>
  <si>
    <t>Selling Price / unit</t>
  </si>
  <si>
    <t>Material Waste</t>
  </si>
  <si>
    <t xml:space="preserve">Tooling / Consumables </t>
  </si>
  <si>
    <t>Over-Consumption</t>
  </si>
  <si>
    <t>Premature Wear / Tear / Etc</t>
  </si>
  <si>
    <t>Tooling / Consulables Waste</t>
  </si>
  <si>
    <t>Utility Cost Per Unit</t>
  </si>
  <si>
    <t>% Percent</t>
  </si>
  <si>
    <t>Speed Loss (ACT-TCT)</t>
  </si>
  <si>
    <t>Excess Consumption</t>
  </si>
  <si>
    <t>Mis-Processing</t>
  </si>
  <si>
    <t>Opportunity Cost / Unit</t>
  </si>
  <si>
    <t>Rework Time/unit (sec)</t>
  </si>
  <si>
    <t>Labor Rate/sec (rm/sec)</t>
  </si>
  <si>
    <t>Analysis Time Period</t>
  </si>
  <si>
    <t>Assumption</t>
  </si>
  <si>
    <t>Validation Range (Day)</t>
  </si>
  <si>
    <t>Total Volume (units)</t>
  </si>
  <si>
    <t>Working Hours</t>
  </si>
  <si>
    <t>Cycle Time/ Unit(Sec)</t>
  </si>
  <si>
    <t>Average KPI Summary</t>
  </si>
  <si>
    <t>Gap Value (Per Val Size)</t>
  </si>
  <si>
    <t>Val Size VaS</t>
  </si>
  <si>
    <t>5 Years VaS</t>
  </si>
  <si>
    <t>Overall Equipment Effectiveness</t>
  </si>
  <si>
    <t>Availability</t>
  </si>
  <si>
    <t>Performance</t>
  </si>
  <si>
    <t>Quality</t>
  </si>
  <si>
    <t>Operating Time</t>
  </si>
  <si>
    <t>Planned Production Time</t>
  </si>
  <si>
    <t>Labor Loss</t>
  </si>
  <si>
    <t>SDT (secs)</t>
  </si>
  <si>
    <t>Total Operation Time (seconds)</t>
  </si>
  <si>
    <t>Summary For OEE (%)</t>
  </si>
  <si>
    <t>Summary Total Downtime</t>
  </si>
  <si>
    <t>OEE (%)</t>
  </si>
  <si>
    <t>Customer Return (unit)</t>
  </si>
  <si>
    <t>Standard Labor Hours (SLH)</t>
  </si>
  <si>
    <t>Actual Labor hours (ALH)</t>
  </si>
  <si>
    <t>Labor Loss (Hours)</t>
  </si>
  <si>
    <t>Headcount</t>
  </si>
  <si>
    <t>Electricity</t>
  </si>
  <si>
    <t>Gas</t>
  </si>
  <si>
    <t>Water</t>
  </si>
  <si>
    <t>Multiplier Constant, K</t>
  </si>
  <si>
    <t>Utility Waste</t>
  </si>
  <si>
    <t>RM</t>
  </si>
  <si>
    <t>Target Utilization (RM)</t>
  </si>
  <si>
    <t>Actual Utilization (RM)</t>
  </si>
  <si>
    <t>Waste (RM)</t>
  </si>
  <si>
    <t>Consumables / Tooling</t>
  </si>
  <si>
    <t>Direct Material Waste</t>
  </si>
  <si>
    <t>TOTAL</t>
  </si>
  <si>
    <t>Week</t>
  </si>
  <si>
    <t>Yield / Quality (%) - Weekly</t>
  </si>
  <si>
    <t>Yield / Quality (%) - Quarterly</t>
  </si>
  <si>
    <t>Production (Volume) - QuadWeek</t>
  </si>
  <si>
    <t>Yield / Quality (%) - QuadWeek</t>
  </si>
  <si>
    <t>Standard Operating Hours / Shift (Hr)</t>
  </si>
  <si>
    <t xml:space="preserve">Number of Shift / Day </t>
  </si>
  <si>
    <t>Operation Day / weekv(day)</t>
  </si>
  <si>
    <t>Operation Day / Week</t>
  </si>
  <si>
    <t>Planned Production Time (seconds)</t>
  </si>
  <si>
    <t>Target Cycle Time (seconds)</t>
  </si>
  <si>
    <t>USDT (Seconds)</t>
  </si>
  <si>
    <t>Counter Variable</t>
  </si>
  <si>
    <t>Multiplier</t>
  </si>
  <si>
    <t>Per Shift (seconds)</t>
  </si>
  <si>
    <t>Per Day Seconds</t>
  </si>
  <si>
    <t>Weekly OEE</t>
  </si>
  <si>
    <t>Quarterly OEE</t>
  </si>
  <si>
    <t>QUADWeek OEE</t>
  </si>
  <si>
    <t>Performance - Weekly</t>
  </si>
  <si>
    <t>Performance - Quarterly</t>
  </si>
  <si>
    <t>Performance-QuakWeek</t>
  </si>
  <si>
    <t>Availability - Weekly</t>
  </si>
  <si>
    <t>Availability - Quarterly</t>
  </si>
  <si>
    <t>Availability  - Quadweek</t>
  </si>
  <si>
    <t>Shift / Day</t>
  </si>
  <si>
    <t>Hours / Shift</t>
  </si>
  <si>
    <t>Total Production Planned Time (Seconds)</t>
  </si>
  <si>
    <t>Closed Loop Check</t>
  </si>
  <si>
    <t>Operation Time(sec)</t>
  </si>
  <si>
    <t>Total SDT (Seconds) - Weekly</t>
  </si>
  <si>
    <t>Speed Loss (CT) - Overall</t>
  </si>
  <si>
    <t>Defect Loss Per Unit (Scrap)</t>
  </si>
  <si>
    <t>Labor Cost Per Hour / Pax</t>
  </si>
  <si>
    <t>Total Labor Cost With Labor Count)/Hour</t>
  </si>
  <si>
    <t>Variable Cost / Unit (avg)</t>
  </si>
  <si>
    <t>Total USDT VAS - Weekly (RM)</t>
  </si>
  <si>
    <t>Total USDT VAS - Quarterly (RM)</t>
  </si>
  <si>
    <t>Total USDT VAS - QuadWeek (RM)</t>
  </si>
  <si>
    <t>Total USDT (Hour) - Weekly</t>
  </si>
  <si>
    <t>Total SDT (Hour) - Weekly</t>
  </si>
  <si>
    <t>USDT (Hour)</t>
  </si>
  <si>
    <t>Total USDT (Seconds) - Weekly</t>
  </si>
  <si>
    <t>Extra Labor Cost (RM)</t>
  </si>
  <si>
    <t>a</t>
  </si>
  <si>
    <t>b</t>
  </si>
  <si>
    <t>c</t>
  </si>
  <si>
    <t>d</t>
  </si>
  <si>
    <t>Production Output Target</t>
  </si>
  <si>
    <t xml:space="preserve">Yield / Quality Target (%) 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</si>
  <si>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</si>
  <si>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</si>
  <si>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</si>
  <si>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</si>
  <si>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</si>
  <si>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</si>
  <si>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</si>
  <si>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</si>
  <si>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</si>
  <si>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</si>
  <si>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</si>
  <si>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</si>
  <si>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</si>
  <si>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</t>
  </si>
  <si>
    <t>Production (Volume) - Weekly (Unit)</t>
  </si>
  <si>
    <t>Production (Volume) - Quarterly (Unit)</t>
  </si>
  <si>
    <t>Production (Volume) - QuadWeek (Unit)</t>
  </si>
  <si>
    <t>Quality Defect Loss Qty - Weekly (Unit)</t>
  </si>
  <si>
    <t>Quality Defect Loss Qty Quarterly (Unit)</t>
  </si>
  <si>
    <t>Quality Defect Loss Qty Quadweek (Unit)</t>
  </si>
  <si>
    <t>Quality Defect Loss VAS - Weekly (RM)</t>
  </si>
  <si>
    <t>Quality Defect Loss VAS - Quarterly (RM)</t>
  </si>
  <si>
    <t>Quality Defect Loss VAS - QuadWeek (RM)</t>
  </si>
  <si>
    <t>Operation Time (Seconds)</t>
  </si>
  <si>
    <t>Quality Rework Loss Qty Weekly (Unit)</t>
  </si>
  <si>
    <t>Quality Rework Loss Qty Quarterly (Unit)</t>
  </si>
  <si>
    <t>Quality Rework Loss Qty QuadWeek (Unit)</t>
  </si>
  <si>
    <t>Yield Vs Quality (%)</t>
  </si>
  <si>
    <t>Rework Losses</t>
  </si>
  <si>
    <t>Quality Rework Loss VAS Weekly (RM)</t>
  </si>
  <si>
    <t>Quality Rework Loss VAS Quarterly (RM)</t>
  </si>
  <si>
    <t>Quality Rework Loss VAS QuadWeek (RM)</t>
  </si>
  <si>
    <t>Product A</t>
  </si>
  <si>
    <t>Product B</t>
  </si>
  <si>
    <t>Product C</t>
  </si>
  <si>
    <t>Product D</t>
  </si>
  <si>
    <t>Product E</t>
  </si>
  <si>
    <t>Product F</t>
  </si>
  <si>
    <t>Product G</t>
  </si>
  <si>
    <t>Product H</t>
  </si>
  <si>
    <t>Defect Loss Product A</t>
  </si>
  <si>
    <t>Production Output Target Weekly (Unit)</t>
  </si>
  <si>
    <t>Production Output Target QuadWeek (Unit)</t>
  </si>
  <si>
    <t>Production Volume</t>
  </si>
  <si>
    <t>Production Target</t>
  </si>
  <si>
    <t>Yield Target</t>
  </si>
  <si>
    <t>Yield Performance</t>
  </si>
  <si>
    <t>1-Quarter Trend (Per Week Data)</t>
  </si>
  <si>
    <t>1-YEAR ROUND Trend (Per Quad Week Data)</t>
  </si>
  <si>
    <t>24-Weeks Trend (Per Quad Week Data)</t>
  </si>
  <si>
    <t>Utilization Target (%)</t>
  </si>
  <si>
    <t>Utilization Target</t>
  </si>
  <si>
    <t>Production Output Target Quarterly (unit)</t>
  </si>
  <si>
    <t>1-Year Trend (Quarterly Data)</t>
  </si>
  <si>
    <t>Cycle Time By Product</t>
  </si>
  <si>
    <t>Target</t>
  </si>
  <si>
    <t>Product Name</t>
  </si>
  <si>
    <t>Product Count</t>
  </si>
  <si>
    <t>Estimate Average Operation Time</t>
  </si>
  <si>
    <t>Tester Logic</t>
  </si>
  <si>
    <t>Total Operation Time</t>
  </si>
  <si>
    <t>Estimate Average Cycle Time</t>
  </si>
  <si>
    <t>Product Name &amp; Output Volume</t>
  </si>
  <si>
    <t>Rework Loss Type</t>
  </si>
  <si>
    <t>Rework Loss Type A</t>
  </si>
  <si>
    <t>Rework Loss Type B</t>
  </si>
  <si>
    <t>Rework Loss Type C</t>
  </si>
  <si>
    <t>Rework Loss Type D</t>
  </si>
  <si>
    <t>Rework Loss Type E</t>
  </si>
  <si>
    <t>Rework Loss Type F</t>
  </si>
  <si>
    <t>Rework Loss Type G</t>
  </si>
  <si>
    <t>Rework Loss Type H</t>
  </si>
  <si>
    <t>Product</t>
  </si>
  <si>
    <t>Rework Type Count</t>
  </si>
  <si>
    <t>PRODUCT</t>
  </si>
  <si>
    <t>Equipment Utilization (%)</t>
  </si>
  <si>
    <t>Number shift/Day</t>
  </si>
  <si>
    <t>Opt Day / Week</t>
  </si>
  <si>
    <t>Rework Target (%)</t>
  </si>
  <si>
    <t>CT Target Avg (sec)</t>
  </si>
  <si>
    <t>Manning Ratio</t>
  </si>
  <si>
    <t>Price / Unit</t>
  </si>
  <si>
    <t>Material Cost / Unit</t>
  </si>
  <si>
    <t>Utility Cost / Unit</t>
  </si>
  <si>
    <t>LaborCost/ Hour/Pax</t>
  </si>
  <si>
    <t>OverheadCost / Hour</t>
  </si>
  <si>
    <t>Estimated Actual Cycle Time</t>
  </si>
  <si>
    <t>Total</t>
  </si>
  <si>
    <t>DT</t>
  </si>
  <si>
    <t>Speed Loss Test</t>
  </si>
  <si>
    <t>Logical Test</t>
  </si>
  <si>
    <t>Cumulative Weekly Speed Loss (secs)</t>
  </si>
  <si>
    <t>Speed Loss ValueAt-Stake RM/Week</t>
  </si>
  <si>
    <t>Total Operation Time (secs)</t>
  </si>
  <si>
    <t>Actual Average</t>
  </si>
  <si>
    <t>DownTime A</t>
  </si>
  <si>
    <t>DownTime B</t>
  </si>
  <si>
    <t>DownTime C</t>
  </si>
  <si>
    <t>DownTime D</t>
  </si>
  <si>
    <t>DownTime E</t>
  </si>
  <si>
    <t>DownTime F</t>
  </si>
  <si>
    <t>Tool USDT A (Hour)</t>
  </si>
  <si>
    <t>Tool USDT B (Hour)</t>
  </si>
  <si>
    <t>Tool USDT C (Hour)</t>
  </si>
  <si>
    <t>Tool USDT D (Hour)</t>
  </si>
  <si>
    <t>Tool USDT E (Hour)</t>
  </si>
  <si>
    <t>Tool USDT F (Hour)</t>
  </si>
  <si>
    <t>Tool USDT G (Hour)</t>
  </si>
  <si>
    <t>Tool USDT H(Hour)</t>
  </si>
  <si>
    <t>SDT Type A</t>
  </si>
  <si>
    <t>SDT Type B</t>
  </si>
  <si>
    <t>SDT1</t>
  </si>
  <si>
    <t>SDT2</t>
  </si>
  <si>
    <t>SDT3</t>
  </si>
  <si>
    <t>SDT4</t>
  </si>
  <si>
    <t>SDT5</t>
  </si>
  <si>
    <t>SDT6</t>
  </si>
  <si>
    <t>SDT Type C</t>
  </si>
  <si>
    <t>SDT Type D</t>
  </si>
  <si>
    <t>SDT Type E</t>
  </si>
  <si>
    <t>SDT Type F</t>
  </si>
  <si>
    <t>SDT Type G</t>
  </si>
  <si>
    <t>SDT Type H</t>
  </si>
  <si>
    <t>USDT Total</t>
  </si>
  <si>
    <t>SDT Total</t>
  </si>
  <si>
    <t>Rework: Extra Material Cost (RM)</t>
  </si>
  <si>
    <t>Rework: Time Per Unit (sec)</t>
  </si>
  <si>
    <t>Rework: Extra Utility Cost (RM)</t>
  </si>
  <si>
    <t>Material Cost / Unit (RM)</t>
  </si>
  <si>
    <t>Utility Cost / Unit (RM)</t>
  </si>
  <si>
    <t>Rework Loss Type I</t>
  </si>
  <si>
    <t>Rework Loss Calculation</t>
  </si>
  <si>
    <t>Yield Loss Calculation</t>
  </si>
  <si>
    <t>Yield Defect Loss Type A</t>
  </si>
  <si>
    <t>Yield Defect Loss Type B</t>
  </si>
  <si>
    <t>Yield Defect Loss Type C</t>
  </si>
  <si>
    <t>Yield Defect Loss Type D</t>
  </si>
  <si>
    <t>Yield Defect Loss Type E</t>
  </si>
  <si>
    <t>Yield Defect Loss Type F</t>
  </si>
  <si>
    <t>Yield Defect Loss Type G</t>
  </si>
  <si>
    <t>Yield Defect Loss Type H</t>
  </si>
  <si>
    <t>Total Weekly VAS - Rework Gap (RM)</t>
  </si>
  <si>
    <t>Yeild Target (%)</t>
  </si>
  <si>
    <t>Baseline Yield Loss / Allowable Yield Loss (%)</t>
  </si>
  <si>
    <t>Rework Target / Baseline Quantity</t>
  </si>
  <si>
    <t>Yield Target AVG (%)</t>
  </si>
  <si>
    <t>Yield Loss Target / Baseline Quantity</t>
  </si>
  <si>
    <t>Weekly Standard Labor Hours</t>
  </si>
  <si>
    <t>Total Overall Labor Loss Hours</t>
  </si>
  <si>
    <t>Total Overall Labor Loss VAS</t>
  </si>
  <si>
    <t>Quality Loss (Yield Loss)</t>
  </si>
  <si>
    <t>Quality Loss (Rework Loss)</t>
  </si>
  <si>
    <t>Total VAS USDT</t>
  </si>
  <si>
    <t>Average Cost / Hour Downtime</t>
  </si>
  <si>
    <t>Weekly VAS Downtime Loss</t>
  </si>
  <si>
    <t xml:space="preserve"> </t>
  </si>
  <si>
    <t>Weekly SDT VAS</t>
  </si>
  <si>
    <t>AVG Cost Per hour Downtime (RM)</t>
  </si>
  <si>
    <t>Average Opportunity Cost Per Hour (RM)</t>
  </si>
  <si>
    <t>VAS Speed Loss Product A</t>
  </si>
  <si>
    <t>VAS Speed Loss Product B</t>
  </si>
  <si>
    <t>VAS Speed Loss Product C</t>
  </si>
  <si>
    <t>VAS Speed Loss Product D</t>
  </si>
  <si>
    <t>VAS Speed Loss Product E</t>
  </si>
  <si>
    <t>VAS Speed Loss Product F</t>
  </si>
  <si>
    <t>VAS Speed Loss Product G</t>
  </si>
  <si>
    <t>VAS Speed Loss Product H</t>
  </si>
  <si>
    <t>Product A Margin</t>
  </si>
  <si>
    <t>Product B Margin</t>
  </si>
  <si>
    <t>Product C Margin</t>
  </si>
  <si>
    <t>Product D Margin</t>
  </si>
  <si>
    <t>Product E Margin</t>
  </si>
  <si>
    <t>Product F Margin</t>
  </si>
  <si>
    <t>Product G Margin</t>
  </si>
  <si>
    <t>Product H Margin</t>
  </si>
  <si>
    <t>Opportunithy Cost / Hour Product A</t>
  </si>
  <si>
    <t>Opportunithy Cost / Hour Product B</t>
  </si>
  <si>
    <t>Opportunithy Cost / Hour Product C</t>
  </si>
  <si>
    <t>Opportunithy Cost / Hour Product D</t>
  </si>
  <si>
    <t>Opportunithy Cost / Hour Product E</t>
  </si>
  <si>
    <t>Opportunithy Cost / Hour Product F</t>
  </si>
  <si>
    <t>Opportunithy Cost / Hour Product G</t>
  </si>
  <si>
    <t>Opportunithy Cost / Hour Product H</t>
  </si>
  <si>
    <t>Standard Time</t>
  </si>
  <si>
    <t>Total Quantity</t>
  </si>
  <si>
    <t>Total Speed Loss Prodiuct A (Hour)</t>
  </si>
  <si>
    <t>Total Speed Loss Prodiuct B (Hour)</t>
  </si>
  <si>
    <t>Total Speed Loss Prodiuct C (Hour)</t>
  </si>
  <si>
    <t>Total Speed Loss Prodiuct D (Hour)</t>
  </si>
  <si>
    <t>Total Speed Loss Prodiuct E (Hour)</t>
  </si>
  <si>
    <t>Total Speed Loss Prodiuct F (Hour)</t>
  </si>
  <si>
    <t>Total Speed Loss Prodiuct G (Hour)</t>
  </si>
  <si>
    <t>Total Speed Loss Prodiuct H (Hour)</t>
  </si>
  <si>
    <t>Average Opportunity Cost / Hour</t>
  </si>
  <si>
    <t>LoGICAL Test</t>
  </si>
  <si>
    <t>Operation Day / Per Week (day)</t>
  </si>
  <si>
    <t>Total Number of Validated Week</t>
  </si>
  <si>
    <t>Total Number of Validated Days</t>
  </si>
  <si>
    <t>Number of Hours / Shift (Hours)</t>
  </si>
  <si>
    <t>Number of Shift Per Day (Shift)</t>
  </si>
  <si>
    <t>Number of Validated Days</t>
  </si>
  <si>
    <t>Validated Weeks</t>
  </si>
  <si>
    <t>Unscheduled DT Baseline (Hours)</t>
  </si>
  <si>
    <t>Cycle Time Target Average (Seconds)</t>
  </si>
  <si>
    <t>Equipment Target Utilizatiion (%)</t>
  </si>
  <si>
    <t>Number Of Customer Return Total</t>
  </si>
  <si>
    <t>Rework Extra Material Cost / Unit (RM)</t>
  </si>
  <si>
    <t>Labor Cost / Pax / Hour (RM)</t>
  </si>
  <si>
    <t>Overhead Cost / Hr (RM)</t>
  </si>
  <si>
    <t>Standard CT (Seconds)</t>
  </si>
  <si>
    <t>Standard Rework Time (Seconds)</t>
  </si>
  <si>
    <t>Standard Rework Baseline (%)</t>
  </si>
  <si>
    <t>Product Price / Unit (RM)</t>
  </si>
  <si>
    <t>Allowable Yield Loss Baseline (%)</t>
  </si>
  <si>
    <t>Output Quantity</t>
  </si>
  <si>
    <t xml:space="preserve">Standard Total Operation Time (Seconds) </t>
  </si>
  <si>
    <t>Allowable Rework Baseline (%)</t>
  </si>
  <si>
    <t>Total Volume (Output)</t>
  </si>
  <si>
    <t>Validated Period (Hours)</t>
  </si>
  <si>
    <t>Total Unscheduled Downtime (Hours)</t>
  </si>
  <si>
    <t>Total Scheduled Downtime (Hours)</t>
  </si>
  <si>
    <t>Total Production Planned Time (seconds)</t>
  </si>
  <si>
    <t>Unscheduled DT Baseliner (hr)</t>
  </si>
  <si>
    <t>Scheduled Downtime</t>
  </si>
  <si>
    <t>Planned Tool / Process Activities</t>
  </si>
  <si>
    <t>Product Reject Rate</t>
  </si>
  <si>
    <t>Product Rework Rate</t>
  </si>
  <si>
    <t>Actual / Standard Operation Time</t>
  </si>
  <si>
    <t>Actual / Standard Labor Hours</t>
  </si>
  <si>
    <t>Actual / Standard Utility Consumption</t>
  </si>
  <si>
    <t>Actual / Standard Material Consumption</t>
  </si>
  <si>
    <t>Actual / Standard Others Consumption</t>
  </si>
  <si>
    <t>Product Failure Escapee</t>
  </si>
  <si>
    <t>Sec</t>
  </si>
  <si>
    <t>sec</t>
  </si>
  <si>
    <t>%</t>
  </si>
  <si>
    <t>Hr</t>
  </si>
  <si>
    <t>unit</t>
  </si>
  <si>
    <t>Standard Value</t>
  </si>
  <si>
    <t>Actual Value</t>
  </si>
  <si>
    <t>Logic</t>
  </si>
  <si>
    <t>Scheduled Downtime Baseline (Hours)</t>
  </si>
  <si>
    <t>SDT Baseline (Hr)</t>
  </si>
  <si>
    <t>Customer Return Baseline</t>
  </si>
  <si>
    <t>Cust Rtn Baseline</t>
  </si>
  <si>
    <t>AVG Cost Per Unit Defect Loss (Scrao) (RM)</t>
  </si>
  <si>
    <t>AVG Cost Per Unit Defect Loss (Rework) (RM)</t>
  </si>
  <si>
    <t>Total Operation Time (hour)</t>
  </si>
  <si>
    <t>Gap Value</t>
  </si>
  <si>
    <t>Cost / Unit (RM)</t>
  </si>
  <si>
    <t>VAS (Validated Size)</t>
  </si>
  <si>
    <t>5-Years VAS</t>
  </si>
  <si>
    <t>Average Rework Cost / Unit (RM)</t>
  </si>
  <si>
    <t>Average Yield Scrap Cost / Unit (RM)</t>
  </si>
  <si>
    <t>Standard Cumulative Cycle Time</t>
  </si>
  <si>
    <t>Total Weekly Cumulative Standard CT</t>
  </si>
  <si>
    <t>Standard Total Time</t>
  </si>
  <si>
    <t>Yield Loss Target Average (%)</t>
  </si>
  <si>
    <t>Rework Loss Target Average (%)</t>
  </si>
  <si>
    <t>Logical Test (Rework)</t>
  </si>
  <si>
    <t>Logical Test (Yield)</t>
  </si>
  <si>
    <t>Average DT cost / hour</t>
  </si>
  <si>
    <t>Weekly Rework Defect Cost / Unit (AVG)</t>
  </si>
  <si>
    <t>Weekly Yield Defect Loss Cost / Unit</t>
  </si>
  <si>
    <t>Yield Defect Average Cost / Unit</t>
  </si>
  <si>
    <t>SDT VAS Weekly (RM)</t>
  </si>
  <si>
    <t>Average DT Cost / Hour (Hour)</t>
  </si>
  <si>
    <t>Product A Variable Total Cost Produced</t>
  </si>
  <si>
    <t>Product B Variable Total Cost Produced</t>
  </si>
  <si>
    <t>Product C Variable Total Cost Produced</t>
  </si>
  <si>
    <t>Product D Variable Total Cost Produced</t>
  </si>
  <si>
    <t>Product E Variable Total Cost Produced</t>
  </si>
  <si>
    <t>Product F Variable Total Cost Produced</t>
  </si>
  <si>
    <t>Product G Variable Total Cost Produced</t>
  </si>
  <si>
    <t>Product H Variable Total Cost Produced</t>
  </si>
  <si>
    <t>Total VAS Weekly Speed Loss</t>
  </si>
  <si>
    <t>Tooling / Consumables Waste</t>
  </si>
  <si>
    <t>Opportunity Cost / Hour</t>
  </si>
  <si>
    <t>Unit Metric</t>
  </si>
  <si>
    <t>Standard Nozzle Tip Consumption Rate / 10000units</t>
  </si>
  <si>
    <t>Comment</t>
  </si>
  <si>
    <t>Utility / Tooling  / Material Waste</t>
  </si>
  <si>
    <t>StandardMetrology Calibration Frame Consumption Rate / 10000units</t>
  </si>
  <si>
    <t>per KWH</t>
  </si>
  <si>
    <t>StandardElectricity Consumption Rate KWH / 10000units</t>
  </si>
  <si>
    <t>per KG</t>
  </si>
  <si>
    <t>per Litre</t>
  </si>
  <si>
    <t>per pieces</t>
  </si>
  <si>
    <t>electric/unit</t>
  </si>
  <si>
    <t>gas/unit</t>
  </si>
  <si>
    <t>water/unit</t>
  </si>
  <si>
    <t>total cost electric target</t>
  </si>
  <si>
    <t>total cost gas target</t>
  </si>
  <si>
    <t>total cost water target</t>
  </si>
  <si>
    <t>Total KWH</t>
  </si>
  <si>
    <t>Total KG</t>
  </si>
  <si>
    <t>Total Liter</t>
  </si>
  <si>
    <t>Electricity (Standard)</t>
  </si>
  <si>
    <t>Gas (Standard)</t>
  </si>
  <si>
    <t>Water (Standard)</t>
  </si>
  <si>
    <t>Actual Consumption</t>
  </si>
  <si>
    <t>Substrate / unit</t>
  </si>
  <si>
    <t>Die / unit</t>
  </si>
  <si>
    <t>Epoxy /unit</t>
  </si>
  <si>
    <t>Sealant / unit</t>
  </si>
  <si>
    <t>lid per unit</t>
  </si>
  <si>
    <t>Total cost substrate</t>
  </si>
  <si>
    <t>total cost die</t>
  </si>
  <si>
    <t>total cost epoxy</t>
  </si>
  <si>
    <t>total cost sealant</t>
  </si>
  <si>
    <t>total cost lid</t>
  </si>
  <si>
    <t>per piece</t>
  </si>
  <si>
    <t>Total Substrate Pcs</t>
  </si>
  <si>
    <t>Total Die Pcs</t>
  </si>
  <si>
    <t>Total Epoxy gram</t>
  </si>
  <si>
    <t>Total Sealant gram</t>
  </si>
  <si>
    <t>Total Lid pcs</t>
  </si>
  <si>
    <t>Substrate Product A</t>
  </si>
  <si>
    <t>Substrate Product B</t>
  </si>
  <si>
    <t>Substrate Product C</t>
  </si>
  <si>
    <t>Substrate Product D</t>
  </si>
  <si>
    <t>Substrate Product E</t>
  </si>
  <si>
    <t>Substrate Product F</t>
  </si>
  <si>
    <t>Substrate Product G</t>
  </si>
  <si>
    <t>Substrate Product H</t>
  </si>
  <si>
    <t>Die Product A</t>
  </si>
  <si>
    <t>Die Product B</t>
  </si>
  <si>
    <t>Die Product C</t>
  </si>
  <si>
    <t>Die Product D</t>
  </si>
  <si>
    <t>Die Product E</t>
  </si>
  <si>
    <t>Die Product F</t>
  </si>
  <si>
    <t>Die Product G</t>
  </si>
  <si>
    <t>Die Product H</t>
  </si>
  <si>
    <t>Epoxy Product A</t>
  </si>
  <si>
    <t>Epoxy Product B</t>
  </si>
  <si>
    <t>Epoxy Product C</t>
  </si>
  <si>
    <t>Epoxy Product D</t>
  </si>
  <si>
    <t>Epoxy Product E</t>
  </si>
  <si>
    <t>Epoxy Product F</t>
  </si>
  <si>
    <t>Epoxy Product G</t>
  </si>
  <si>
    <t>Epoxy Product H</t>
  </si>
  <si>
    <t>Standard Consumption Cost / Utility unit</t>
  </si>
  <si>
    <t>Sealant Product A</t>
  </si>
  <si>
    <t>Sealant Product B</t>
  </si>
  <si>
    <t>Sealant Product C</t>
  </si>
  <si>
    <t>Sealant Product D</t>
  </si>
  <si>
    <t>Sealant Product E</t>
  </si>
  <si>
    <t>Sealant Product F</t>
  </si>
  <si>
    <t>Sealant Product G</t>
  </si>
  <si>
    <t>Sealant Product H</t>
  </si>
  <si>
    <t>LID Product A</t>
  </si>
  <si>
    <t>LID Product B</t>
  </si>
  <si>
    <t>LID Product C</t>
  </si>
  <si>
    <t>LID Product D</t>
  </si>
  <si>
    <t>LID Product E</t>
  </si>
  <si>
    <t>LID Product F</t>
  </si>
  <si>
    <t>LID Product G</t>
  </si>
  <si>
    <t>LID Product H</t>
  </si>
  <si>
    <t>8 grams / unit</t>
  </si>
  <si>
    <t>12 grams / unit</t>
  </si>
  <si>
    <t>StandardGas Consumption Rate KG / 10000units</t>
  </si>
  <si>
    <t>StandardWater Consumption Rate Liter / 10000units</t>
  </si>
  <si>
    <t>StandardSubstrate Consumption Rate pieces / 10000units</t>
  </si>
  <si>
    <t>StandardDie Consumption Rate pieces / 10000units0</t>
  </si>
  <si>
    <t>StandardEpoxy Consumption Rate gram / 10000units</t>
  </si>
  <si>
    <t>StandardSealant Consumption Rate gram  / 10000units</t>
  </si>
  <si>
    <t>Standard Lid Consumption Rate gram / 10000units</t>
  </si>
  <si>
    <t>StandardGlove Consumption Rate Pair / 10000units</t>
  </si>
  <si>
    <t>Glove</t>
  </si>
  <si>
    <t>Metrology Calibration Frame</t>
  </si>
  <si>
    <t>Nozzle Tip</t>
  </si>
  <si>
    <t>10 pairs / 10000 unit</t>
  </si>
  <si>
    <t>2 pcs / 10000 unit</t>
  </si>
  <si>
    <t>8 piece / 10000 unit</t>
  </si>
  <si>
    <t>Electrical (KWH)</t>
  </si>
  <si>
    <t>Utility / DM / Tools Consumption (Standard)</t>
  </si>
  <si>
    <t>Gas (Kg)</t>
  </si>
  <si>
    <t>Water (Liter)</t>
  </si>
  <si>
    <t>Standard Die Pieces</t>
  </si>
  <si>
    <t>Standard Substrate Pieces</t>
  </si>
  <si>
    <t>Standard Epoxy (Gram)</t>
  </si>
  <si>
    <t>Standard Sealant (Gram)</t>
  </si>
  <si>
    <t>Standard Lid Pieces</t>
  </si>
  <si>
    <t>Standard Glove Consumption</t>
  </si>
  <si>
    <t>Standard Metrology Frame Consunption</t>
  </si>
  <si>
    <t>Standard Nozzle Tip Consumption</t>
  </si>
  <si>
    <t>Total Standard Electrical Cost / KWH</t>
  </si>
  <si>
    <t>Total Standard Gas Cost / KG</t>
  </si>
  <si>
    <t>Total Standard Water / Liter</t>
  </si>
  <si>
    <t>Substrate Cost / Unit</t>
  </si>
  <si>
    <t>Die Cost / Unit</t>
  </si>
  <si>
    <t>Epoxy Cost / unit</t>
  </si>
  <si>
    <t>Sealant Cost / Unit</t>
  </si>
  <si>
    <t>Lid Cost / unit</t>
  </si>
  <si>
    <t>Standard Glove Cost / pair</t>
  </si>
  <si>
    <t>Standard Metrology Frame / Pcs</t>
  </si>
  <si>
    <t>Standard Nozzle Tip / Pcs</t>
  </si>
  <si>
    <t>Standard Electrical  Total Cost</t>
  </si>
  <si>
    <t>Standard Gas Total Cost</t>
  </si>
  <si>
    <t>Standard Water total Cost</t>
  </si>
  <si>
    <t>StandardSubstrate Total Cost</t>
  </si>
  <si>
    <t>Standard Die Total Cost</t>
  </si>
  <si>
    <t>tandard Epoxy Toal Cost</t>
  </si>
  <si>
    <t>Standard Sealant Total Cost</t>
  </si>
  <si>
    <t>Standard Lid Total Cost</t>
  </si>
  <si>
    <t>Standard Glove Total Cost</t>
  </si>
  <si>
    <t>Standard Metrology Frame Total Cost</t>
  </si>
  <si>
    <t>Standard Nozzle Tip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</si>
</sst>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&quot;RM&quot;#,##0.00"/>
    <numFmt numFmtId="166" formatCode="0.0000%"/>
    <numFmt numFmtId="167" formatCode="&quot;RM&quot;#,##0.00000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3" xfId="0" applyFont="1" applyBorder="1"/>
    <xf numFmtId="0" fontId="3" fillId="0" borderId="5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10" xfId="0" applyFont="1" applyBorder="1"/>
    <xf numFmtId="0" fontId="3" fillId="0" borderId="12" xfId="0" applyFont="1" applyBorder="1"/>
    <xf numFmtId="0" fontId="3" fillId="3" borderId="4" xfId="0" applyFont="1" applyFill="1" applyBorder="1"/>
    <xf numFmtId="0" fontId="3" fillId="3" borderId="9" xfId="0" applyFont="1" applyFill="1" applyBorder="1"/>
    <xf numFmtId="0" fontId="2" fillId="4" borderId="3" xfId="0" applyFont="1" applyFill="1" applyBorder="1"/>
    <xf numFmtId="0" fontId="3" fillId="5" borderId="3" xfId="0" applyFont="1" applyFill="1" applyBorder="1"/>
    <xf numFmtId="0" fontId="3" fillId="0" borderId="14" xfId="0" applyFont="1" applyBorder="1"/>
    <xf numFmtId="0" fontId="3" fillId="0" borderId="15" xfId="0" applyFont="1" applyBorder="1"/>
    <xf numFmtId="0" fontId="3" fillId="3" borderId="1" xfId="0" applyFont="1" applyFill="1" applyBorder="1"/>
    <xf numFmtId="0" fontId="0" fillId="0" borderId="1" xfId="0" applyBorder="1"/>
    <xf numFmtId="0" fontId="3" fillId="0" borderId="17" xfId="0" applyFont="1" applyBorder="1"/>
    <xf numFmtId="0" fontId="3" fillId="3" borderId="2" xfId="0" applyFont="1" applyFill="1" applyBorder="1"/>
    <xf numFmtId="0" fontId="2" fillId="0" borderId="18" xfId="0" applyFont="1" applyBorder="1"/>
    <xf numFmtId="0" fontId="2" fillId="0" borderId="19" xfId="0" applyFont="1" applyBorder="1"/>
    <xf numFmtId="0" fontId="3" fillId="3" borderId="20" xfId="0" applyFont="1" applyFill="1" applyBorder="1"/>
    <xf numFmtId="0" fontId="3" fillId="3" borderId="21" xfId="0" applyFont="1" applyFill="1" applyBorder="1"/>
    <xf numFmtId="0" fontId="2" fillId="0" borderId="22" xfId="0" applyFont="1" applyBorder="1"/>
    <xf numFmtId="0" fontId="2" fillId="0" borderId="3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6" xfId="0" applyFont="1" applyBorder="1"/>
    <xf numFmtId="0" fontId="2" fillId="0" borderId="1" xfId="0" applyFont="1" applyBorder="1"/>
    <xf numFmtId="0" fontId="4" fillId="0" borderId="0" xfId="0" applyFont="1"/>
    <xf numFmtId="0" fontId="3" fillId="3" borderId="7" xfId="0" applyFont="1" applyFill="1" applyBorder="1"/>
    <xf numFmtId="0" fontId="3" fillId="3" borderId="11" xfId="0" applyFont="1" applyFill="1" applyBorder="1"/>
    <xf numFmtId="0" fontId="0" fillId="2" borderId="1" xfId="0" applyFill="1" applyBorder="1"/>
    <xf numFmtId="0" fontId="2" fillId="0" borderId="25" xfId="0" applyFont="1" applyBorder="1"/>
    <xf numFmtId="0" fontId="2" fillId="0" borderId="4" xfId="0" applyFont="1" applyBorder="1"/>
    <xf numFmtId="0" fontId="3" fillId="7" borderId="16" xfId="0" applyFont="1" applyFill="1" applyBorder="1"/>
    <xf numFmtId="0" fontId="3" fillId="7" borderId="13" xfId="0" applyFont="1" applyFill="1" applyBorder="1"/>
    <xf numFmtId="0" fontId="3" fillId="7" borderId="4" xfId="0" applyFont="1" applyFill="1" applyBorder="1"/>
    <xf numFmtId="0" fontId="3" fillId="7" borderId="17" xfId="0" applyFont="1" applyFill="1" applyBorder="1"/>
    <xf numFmtId="0" fontId="1" fillId="0" borderId="28" xfId="0" applyFont="1" applyBorder="1"/>
    <xf numFmtId="0" fontId="0" fillId="7" borderId="1" xfId="0" applyFill="1" applyBorder="1"/>
    <xf numFmtId="2" fontId="0" fillId="7" borderId="1" xfId="0" applyNumberFormat="1" applyFill="1" applyBorder="1"/>
    <xf numFmtId="2" fontId="3" fillId="7" borderId="1" xfId="0" applyNumberFormat="1" applyFont="1" applyFill="1" applyBorder="1"/>
    <xf numFmtId="0" fontId="0" fillId="7" borderId="21" xfId="0" applyFill="1" applyBorder="1"/>
    <xf numFmtId="164" fontId="0" fillId="7" borderId="1" xfId="0" applyNumberFormat="1" applyFill="1" applyBorder="1"/>
    <xf numFmtId="0" fontId="2" fillId="7" borderId="1" xfId="0" applyFont="1" applyFill="1" applyBorder="1"/>
    <xf numFmtId="0" fontId="1" fillId="8" borderId="28" xfId="0" applyFont="1" applyFill="1" applyBorder="1"/>
    <xf numFmtId="0" fontId="0" fillId="3" borderId="1" xfId="0" applyFill="1" applyBorder="1"/>
    <xf numFmtId="2" fontId="3" fillId="3" borderId="1" xfId="0" applyNumberFormat="1" applyFont="1" applyFill="1" applyBorder="1"/>
    <xf numFmtId="0" fontId="3" fillId="7" borderId="1" xfId="0" applyFont="1" applyFill="1" applyBorder="1"/>
    <xf numFmtId="0" fontId="3" fillId="0" borderId="29" xfId="0" applyFont="1" applyBorder="1"/>
    <xf numFmtId="0" fontId="0" fillId="7" borderId="28" xfId="0" applyFill="1" applyBorder="1"/>
    <xf numFmtId="0" fontId="2" fillId="7" borderId="4" xfId="0" applyFont="1" applyFill="1" applyBorder="1"/>
    <xf numFmtId="0" fontId="3" fillId="7" borderId="9" xfId="0" applyFont="1" applyFill="1" applyBorder="1"/>
    <xf numFmtId="0" fontId="0" fillId="3" borderId="15" xfId="0" applyFill="1" applyBorder="1"/>
    <xf numFmtId="2" fontId="0" fillId="3" borderId="13" xfId="0" applyNumberFormat="1" applyFill="1" applyBorder="1"/>
    <xf numFmtId="2" fontId="0" fillId="3" borderId="30" xfId="0" applyNumberFormat="1" applyFill="1" applyBorder="1"/>
    <xf numFmtId="0" fontId="2" fillId="3" borderId="9" xfId="0" applyFont="1" applyFill="1" applyBorder="1"/>
    <xf numFmtId="0" fontId="1" fillId="0" borderId="1" xfId="0" applyFont="1" applyBorder="1"/>
    <xf numFmtId="2" fontId="3" fillId="3" borderId="5" xfId="0" applyNumberFormat="1" applyFont="1" applyFill="1" applyBorder="1"/>
    <xf numFmtId="2" fontId="3" fillId="3" borderId="17" xfId="0" applyNumberFormat="1" applyFont="1" applyFill="1" applyBorder="1"/>
    <xf numFmtId="0" fontId="0" fillId="3" borderId="0" xfId="0" applyFill="1"/>
    <xf numFmtId="1" fontId="0" fillId="7" borderId="1" xfId="0" applyNumberFormat="1" applyFill="1" applyBorder="1"/>
    <xf numFmtId="0" fontId="3" fillId="3" borderId="12" xfId="0" applyFont="1" applyFill="1" applyBorder="1"/>
    <xf numFmtId="0" fontId="0" fillId="0" borderId="31" xfId="0" applyBorder="1"/>
    <xf numFmtId="0" fontId="1" fillId="3" borderId="1" xfId="0" applyFont="1" applyFill="1" applyBorder="1"/>
    <xf numFmtId="1" fontId="3" fillId="0" borderId="2" xfId="0" applyNumberFormat="1" applyFont="1" applyBorder="1"/>
    <xf numFmtId="0" fontId="3" fillId="3" borderId="13" xfId="0" applyFont="1" applyFill="1" applyBorder="1"/>
    <xf numFmtId="2" fontId="3" fillId="7" borderId="16" xfId="0" applyNumberFormat="1" applyFont="1" applyFill="1" applyBorder="1"/>
    <xf numFmtId="10" fontId="0" fillId="0" borderId="0" xfId="0" applyNumberFormat="1"/>
    <xf numFmtId="0" fontId="0" fillId="2" borderId="0" xfId="0" applyFill="1"/>
    <xf numFmtId="165" fontId="3" fillId="3" borderId="23" xfId="0" applyNumberFormat="1" applyFont="1" applyFill="1" applyBorder="1"/>
    <xf numFmtId="165" fontId="3" fillId="7" borderId="1" xfId="0" applyNumberFormat="1" applyFont="1" applyFill="1" applyBorder="1"/>
    <xf numFmtId="165" fontId="3" fillId="3" borderId="24" xfId="0" applyNumberFormat="1" applyFont="1" applyFill="1" applyBorder="1"/>
    <xf numFmtId="165" fontId="3" fillId="3" borderId="1" xfId="0" applyNumberFormat="1" applyFont="1" applyFill="1" applyBorder="1"/>
    <xf numFmtId="165" fontId="0" fillId="0" borderId="1" xfId="0" applyNumberFormat="1" applyBorder="1"/>
    <xf numFmtId="0" fontId="1" fillId="2" borderId="1" xfId="0" applyFont="1" applyFill="1" applyBorder="1"/>
    <xf numFmtId="0" fontId="0" fillId="10" borderId="1" xfId="0" applyFill="1" applyBorder="1"/>
    <xf numFmtId="0" fontId="0" fillId="3" borderId="1" xfId="0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10" fontId="0" fillId="0" borderId="1" xfId="0" applyNumberFormat="1" applyBorder="1"/>
    <xf numFmtId="10" fontId="0" fillId="3" borderId="1" xfId="0" applyNumberFormat="1" applyFill="1" applyBorder="1"/>
    <xf numFmtId="165" fontId="0" fillId="3" borderId="1" xfId="0" applyNumberFormat="1" applyFill="1" applyBorder="1"/>
    <xf numFmtId="0" fontId="0" fillId="11" borderId="1" xfId="0" applyFill="1" applyBorder="1"/>
    <xf numFmtId="10" fontId="1" fillId="2" borderId="1" xfId="0" applyNumberFormat="1" applyFont="1" applyFill="1" applyBorder="1"/>
    <xf numFmtId="0" fontId="0" fillId="12" borderId="1" xfId="0" applyFill="1" applyBorder="1"/>
    <xf numFmtId="0" fontId="1" fillId="0" borderId="21" xfId="0" applyFont="1" applyBorder="1"/>
    <xf numFmtId="0" fontId="1" fillId="0" borderId="31" xfId="0" applyFont="1" applyBorder="1"/>
    <xf numFmtId="0" fontId="3" fillId="7" borderId="6" xfId="0" applyFont="1" applyFill="1" applyBorder="1"/>
    <xf numFmtId="0" fontId="2" fillId="0" borderId="28" xfId="0" applyFont="1" applyBorder="1"/>
    <xf numFmtId="165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/>
    <xf numFmtId="0" fontId="0" fillId="9" borderId="1" xfId="0" applyFill="1" applyBorder="1" applyAlignment="1">
      <alignment horizontal="right"/>
    </xf>
    <xf numFmtId="0" fontId="0" fillId="7" borderId="0" xfId="0" applyFill="1"/>
    <xf numFmtId="0" fontId="1" fillId="7" borderId="1" xfId="0" applyFont="1" applyFill="1" applyBorder="1"/>
    <xf numFmtId="2" fontId="3" fillId="7" borderId="2" xfId="0" applyNumberFormat="1" applyFont="1" applyFill="1" applyBorder="1"/>
    <xf numFmtId="0" fontId="5" fillId="0" borderId="1" xfId="0" applyFont="1" applyBorder="1"/>
    <xf numFmtId="165" fontId="1" fillId="0" borderId="1" xfId="0" applyNumberFormat="1" applyFont="1" applyBorder="1"/>
    <xf numFmtId="0" fontId="6" fillId="3" borderId="0" xfId="0" applyFont="1" applyFill="1"/>
    <xf numFmtId="0" fontId="6" fillId="0" borderId="1" xfId="0" applyFont="1" applyBorder="1"/>
    <xf numFmtId="0" fontId="6" fillId="0" borderId="0" xfId="0" applyFont="1"/>
    <xf numFmtId="0" fontId="6" fillId="7" borderId="1" xfId="0" applyFont="1" applyFill="1" applyBorder="1"/>
    <xf numFmtId="0" fontId="6" fillId="12" borderId="1" xfId="0" applyFont="1" applyFill="1" applyBorder="1"/>
    <xf numFmtId="0" fontId="6" fillId="2" borderId="1" xfId="0" applyFont="1" applyFill="1" applyBorder="1"/>
    <xf numFmtId="0" fontId="6" fillId="13" borderId="1" xfId="0" applyFont="1" applyFill="1" applyBorder="1"/>
    <xf numFmtId="0" fontId="0" fillId="13" borderId="0" xfId="0" applyFill="1"/>
    <xf numFmtId="0" fontId="7" fillId="12" borderId="1" xfId="0" applyFont="1" applyFill="1" applyBorder="1"/>
    <xf numFmtId="0" fontId="7" fillId="0" borderId="1" xfId="0" applyFont="1" applyBorder="1"/>
    <xf numFmtId="0" fontId="7" fillId="7" borderId="1" xfId="0" applyFont="1" applyFill="1" applyBorder="1"/>
    <xf numFmtId="0" fontId="1" fillId="0" borderId="0" xfId="0" applyFont="1" applyAlignment="1">
      <alignment wrapText="1"/>
    </xf>
    <xf numFmtId="0" fontId="0" fillId="13" borderId="1" xfId="0" applyFill="1" applyBorder="1"/>
    <xf numFmtId="0" fontId="1" fillId="0" borderId="34" xfId="0" applyFont="1" applyBorder="1"/>
    <xf numFmtId="0" fontId="0" fillId="0" borderId="34" xfId="0" applyBorder="1"/>
    <xf numFmtId="10" fontId="0" fillId="2" borderId="1" xfId="0" applyNumberFormat="1" applyFill="1" applyBorder="1"/>
    <xf numFmtId="10" fontId="0" fillId="7" borderId="1" xfId="0" applyNumberFormat="1" applyFill="1" applyBorder="1"/>
    <xf numFmtId="0" fontId="1" fillId="0" borderId="1" xfId="0" applyFont="1" applyBorder="1" applyAlignment="1">
      <alignment wrapText="1"/>
    </xf>
    <xf numFmtId="0" fontId="0" fillId="13" borderId="33" xfId="0" applyFill="1" applyBorder="1"/>
    <xf numFmtId="10" fontId="1" fillId="7" borderId="1" xfId="0" applyNumberFormat="1" applyFont="1" applyFill="1" applyBorder="1"/>
    <xf numFmtId="0" fontId="1" fillId="14" borderId="1" xfId="0" applyFont="1" applyFill="1" applyBorder="1" applyAlignment="1">
      <alignment wrapText="1"/>
    </xf>
    <xf numFmtId="0" fontId="1" fillId="13" borderId="1" xfId="0" applyFont="1" applyFill="1" applyBorder="1"/>
    <xf numFmtId="0" fontId="0" fillId="15" borderId="1" xfId="0" applyFill="1" applyBorder="1"/>
    <xf numFmtId="0" fontId="0" fillId="3" borderId="33" xfId="0" applyFill="1" applyBorder="1"/>
    <xf numFmtId="0" fontId="0" fillId="16" borderId="1" xfId="0" applyFill="1" applyBorder="1"/>
    <xf numFmtId="10" fontId="1" fillId="0" borderId="1" xfId="0" applyNumberFormat="1" applyFont="1" applyBorder="1" applyAlignment="1">
      <alignment wrapText="1"/>
    </xf>
    <xf numFmtId="166" fontId="3" fillId="7" borderId="1" xfId="0" applyNumberFormat="1" applyFont="1" applyFill="1" applyBorder="1"/>
    <xf numFmtId="166" fontId="3" fillId="7" borderId="16" xfId="0" applyNumberFormat="1" applyFont="1" applyFill="1" applyBorder="1"/>
    <xf numFmtId="0" fontId="0" fillId="0" borderId="33" xfId="0" applyBorder="1"/>
    <xf numFmtId="165" fontId="0" fillId="0" borderId="0" xfId="0" applyNumberFormat="1"/>
    <xf numFmtId="0" fontId="0" fillId="17" borderId="1" xfId="0" applyFill="1" applyBorder="1"/>
    <xf numFmtId="0" fontId="0" fillId="13" borderId="31" xfId="0" applyFill="1" applyBorder="1"/>
    <xf numFmtId="0" fontId="0" fillId="17" borderId="31" xfId="0" applyFill="1" applyBorder="1"/>
    <xf numFmtId="0" fontId="0" fillId="13" borderId="1" xfId="0" quotePrefix="1" applyFill="1" applyBorder="1"/>
    <xf numFmtId="0" fontId="7" fillId="0" borderId="0" xfId="0" applyFont="1"/>
    <xf numFmtId="0" fontId="1" fillId="0" borderId="33" xfId="0" applyFont="1" applyBorder="1"/>
    <xf numFmtId="0" fontId="8" fillId="0" borderId="22" xfId="0" applyFont="1" applyBorder="1" applyAlignment="1">
      <alignment horizontal="center"/>
    </xf>
    <xf numFmtId="0" fontId="8" fillId="0" borderId="35" xfId="0" applyFont="1" applyBorder="1"/>
    <xf numFmtId="0" fontId="8" fillId="0" borderId="24" xfId="0" applyFont="1" applyBorder="1"/>
    <xf numFmtId="0" fontId="8" fillId="0" borderId="36" xfId="0" applyFont="1" applyBorder="1"/>
    <xf numFmtId="0" fontId="8" fillId="0" borderId="37" xfId="0" applyFont="1" applyBorder="1"/>
    <xf numFmtId="0" fontId="8" fillId="0" borderId="1" xfId="0" applyFont="1" applyBorder="1"/>
    <xf numFmtId="166" fontId="0" fillId="0" borderId="0" xfId="0" applyNumberFormat="1"/>
    <xf numFmtId="0" fontId="0" fillId="7" borderId="33" xfId="0" applyFill="1" applyBorder="1"/>
    <xf numFmtId="165" fontId="0" fillId="17" borderId="1" xfId="0" applyNumberFormat="1" applyFill="1" applyBorder="1"/>
    <xf numFmtId="0" fontId="1" fillId="0" borderId="33" xfId="0" applyFont="1" applyBorder="1" applyAlignment="1">
      <alignment wrapText="1"/>
    </xf>
    <xf numFmtId="166" fontId="0" fillId="17" borderId="1" xfId="0" applyNumberFormat="1" applyFill="1" applyBorder="1"/>
    <xf numFmtId="0" fontId="0" fillId="12" borderId="33" xfId="0" applyFill="1" applyBorder="1"/>
    <xf numFmtId="0" fontId="0" fillId="17" borderId="33" xfId="0" applyFill="1" applyBorder="1"/>
    <xf numFmtId="165" fontId="0" fillId="0" borderId="1" xfId="0" applyNumberFormat="1" applyBorder="1" applyAlignment="1">
      <alignment horizontal="center"/>
    </xf>
    <xf numFmtId="0" fontId="7" fillId="17" borderId="1" xfId="0" applyFont="1" applyFill="1" applyBorder="1"/>
    <xf numFmtId="165" fontId="7" fillId="7" borderId="1" xfId="0" applyNumberFormat="1" applyFont="1" applyFill="1" applyBorder="1"/>
    <xf numFmtId="0" fontId="6" fillId="17" borderId="1" xfId="0" applyFont="1" applyFill="1" applyBorder="1"/>
    <xf numFmtId="0" fontId="0" fillId="15" borderId="33" xfId="0" applyFill="1" applyBorder="1"/>
    <xf numFmtId="0" fontId="7" fillId="0" borderId="32" xfId="0" applyFont="1" applyBorder="1"/>
    <xf numFmtId="165" fontId="7" fillId="0" borderId="1" xfId="0" applyNumberFormat="1" applyFont="1" applyBorder="1"/>
    <xf numFmtId="165" fontId="7" fillId="0" borderId="0" xfId="0" applyNumberFormat="1" applyFont="1"/>
    <xf numFmtId="165" fontId="7" fillId="0" borderId="32" xfId="0" applyNumberFormat="1" applyFont="1" applyBorder="1"/>
    <xf numFmtId="167" fontId="7" fillId="0" borderId="0" xfId="0" applyNumberFormat="1" applyFont="1"/>
    <xf numFmtId="165" fontId="7" fillId="17" borderId="1" xfId="0" applyNumberFormat="1" applyFont="1" applyFill="1" applyBorder="1"/>
    <xf numFmtId="0" fontId="7" fillId="0" borderId="33" xfId="0" applyFont="1" applyBorder="1"/>
    <xf numFmtId="0" fontId="1" fillId="17" borderId="1" xfId="0" applyFont="1" applyFill="1" applyBorder="1"/>
    <xf numFmtId="0" fontId="7" fillId="17" borderId="33" xfId="0" applyFont="1" applyFill="1" applyBorder="1"/>
    <xf numFmtId="0" fontId="0" fillId="2" borderId="21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10" fillId="0" borderId="1" xfId="0" applyFont="1" applyBorder="1" applyAlignment="1">
      <alignment wrapText="1"/>
    </xf>
    <xf numFmtId="165" fontId="0" fillId="2" borderId="1" xfId="0" applyNumberFormat="1" applyFill="1" applyBorder="1"/>
    <xf numFmtId="0" fontId="0" fillId="2" borderId="33" xfId="0" applyFill="1" applyBorder="1"/>
    <xf numFmtId="165" fontId="0" fillId="2" borderId="21" xfId="0" applyNumberFormat="1" applyFill="1" applyBorder="1" applyAlignment="1">
      <alignment horizontal="center"/>
    </xf>
    <xf numFmtId="165" fontId="0" fillId="2" borderId="31" xfId="0" applyNumberForma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1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2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left"/>
    </xf>
    <xf numFmtId="0" fontId="3" fillId="6" borderId="7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5" fontId="0" fillId="17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17" borderId="21" xfId="0" applyNumberFormat="1" applyFill="1" applyBorder="1" applyAlignment="1">
      <alignment horizontal="center"/>
    </xf>
    <xf numFmtId="165" fontId="0" fillId="17" borderId="31" xfId="0" applyNumberForma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1" xfId="0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8" fillId="0" borderId="21" xfId="0" applyNumberFormat="1" applyFont="1" applyBorder="1" applyAlignment="1">
      <alignment horizontal="center"/>
    </xf>
    <xf numFmtId="165" fontId="8" fillId="0" borderId="32" xfId="0" applyNumberFormat="1" applyFont="1" applyBorder="1" applyAlignment="1">
      <alignment horizontal="center"/>
    </xf>
    <xf numFmtId="165" fontId="8" fillId="0" borderId="31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66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Scheduled</a:t>
            </a:r>
            <a:r>
              <a:rPr lang="en-US" b="1" baseline="0"/>
              <a:t> Down Time Pareto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'Micro Data Tabulation'!$B$191:$B$246</c:f>
              <c:strCache>
                <c:ptCount val="56"/>
                <c:pt idx="0">
                  <c:v>SDT Type A</c:v>
                </c:pt>
                <c:pt idx="1">
                  <c:v>SDT1</c:v>
                </c:pt>
                <c:pt idx="2">
                  <c:v>SDT2</c:v>
                </c:pt>
                <c:pt idx="3">
                  <c:v>SDT3</c:v>
                </c:pt>
                <c:pt idx="4">
                  <c:v>SDT4</c:v>
                </c:pt>
                <c:pt idx="5">
                  <c:v>SDT5</c:v>
                </c:pt>
                <c:pt idx="6">
                  <c:v>SDT6</c:v>
                </c:pt>
                <c:pt idx="7">
                  <c:v>SDT Type B</c:v>
                </c:pt>
                <c:pt idx="8">
                  <c:v>SDT1</c:v>
                </c:pt>
                <c:pt idx="9">
                  <c:v>SDT2</c:v>
                </c:pt>
                <c:pt idx="10">
                  <c:v>SDT3</c:v>
                </c:pt>
                <c:pt idx="11">
                  <c:v>SDT4</c:v>
                </c:pt>
                <c:pt idx="12">
                  <c:v>SDT5</c:v>
                </c:pt>
                <c:pt idx="13">
                  <c:v>SDT6</c:v>
                </c:pt>
                <c:pt idx="14">
                  <c:v>SDT Type C</c:v>
                </c:pt>
                <c:pt idx="15">
                  <c:v>SDT1</c:v>
                </c:pt>
                <c:pt idx="16">
                  <c:v>SDT2</c:v>
                </c:pt>
                <c:pt idx="17">
                  <c:v>SDT3</c:v>
                </c:pt>
                <c:pt idx="18">
                  <c:v>SDT4</c:v>
                </c:pt>
                <c:pt idx="19">
                  <c:v>SDT5</c:v>
                </c:pt>
                <c:pt idx="20">
                  <c:v>SDT6</c:v>
                </c:pt>
                <c:pt idx="21">
                  <c:v>SDT Type D</c:v>
                </c:pt>
                <c:pt idx="22">
                  <c:v>SDT1</c:v>
                </c:pt>
                <c:pt idx="23">
                  <c:v>SDT2</c:v>
                </c:pt>
                <c:pt idx="24">
                  <c:v>SDT3</c:v>
                </c:pt>
                <c:pt idx="25">
                  <c:v>SDT4</c:v>
                </c:pt>
                <c:pt idx="26">
                  <c:v>SDT5</c:v>
                </c:pt>
                <c:pt idx="27">
                  <c:v>SDT6</c:v>
                </c:pt>
                <c:pt idx="28">
                  <c:v>SDT Type E</c:v>
                </c:pt>
                <c:pt idx="29">
                  <c:v>SDT1</c:v>
                </c:pt>
                <c:pt idx="30">
                  <c:v>SDT2</c:v>
                </c:pt>
                <c:pt idx="31">
                  <c:v>SDT3</c:v>
                </c:pt>
                <c:pt idx="32">
                  <c:v>SDT4</c:v>
                </c:pt>
                <c:pt idx="33">
                  <c:v>SDT5</c:v>
                </c:pt>
                <c:pt idx="34">
                  <c:v>SDT6</c:v>
                </c:pt>
                <c:pt idx="35">
                  <c:v>SDT Type F</c:v>
                </c:pt>
                <c:pt idx="36">
                  <c:v>SDT1</c:v>
                </c:pt>
                <c:pt idx="37">
                  <c:v>SDT2</c:v>
                </c:pt>
                <c:pt idx="38">
                  <c:v>SDT3</c:v>
                </c:pt>
                <c:pt idx="39">
                  <c:v>SDT4</c:v>
                </c:pt>
                <c:pt idx="40">
                  <c:v>SDT5</c:v>
                </c:pt>
                <c:pt idx="41">
                  <c:v>SDT6</c:v>
                </c:pt>
                <c:pt idx="42">
                  <c:v>SDT Type G</c:v>
                </c:pt>
                <c:pt idx="43">
                  <c:v>SDT1</c:v>
                </c:pt>
                <c:pt idx="44">
                  <c:v>SDT2</c:v>
                </c:pt>
                <c:pt idx="45">
                  <c:v>SDT3</c:v>
                </c:pt>
                <c:pt idx="46">
                  <c:v>SDT4</c:v>
                </c:pt>
                <c:pt idx="47">
                  <c:v>SDT5</c:v>
                </c:pt>
                <c:pt idx="48">
                  <c:v>SDT6</c:v>
                </c:pt>
                <c:pt idx="49">
                  <c:v>SDT Type H</c:v>
                </c:pt>
                <c:pt idx="50">
                  <c:v>SDT1</c:v>
                </c:pt>
                <c:pt idx="51">
                  <c:v>SDT2</c:v>
                </c:pt>
                <c:pt idx="52">
                  <c:v>SDT3</c:v>
                </c:pt>
                <c:pt idx="53">
                  <c:v>SDT4</c:v>
                </c:pt>
                <c:pt idx="54">
                  <c:v>SDT5</c:v>
                </c:pt>
                <c:pt idx="55">
                  <c:v>SDT6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2F-4547-96D9-A27985D350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2F-4547-96D9-A27985D350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2F-4547-96D9-A27985D350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2F-4547-96D9-A27985D350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2F-4547-96D9-A27985D350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2F-4547-96D9-A27985D3509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4C7-415E-A1B6-8671972B630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4C7-415E-A1B6-8671972B630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4C7-415E-A1B6-8671972B630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4C7-415E-A1B6-8671972B630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4C7-415E-A1B6-8671972B630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4C7-415E-A1B6-8671972B630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4C7-415E-A1B6-8671972B630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4C7-415E-A1B6-8671972B630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4C7-415E-A1B6-8671972B630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4C7-415E-A1B6-8671972B630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4C7-415E-A1B6-8671972B630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4C7-415E-A1B6-8671972B630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4C7-415E-A1B6-8671972B630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4C7-415E-A1B6-8671972B630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4C7-415E-A1B6-8671972B630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4C7-415E-A1B6-8671972B630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4C7-415E-A1B6-8671972B630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4C7-415E-A1B6-8671972B630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4C7-415E-A1B6-8671972B6303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4C7-415E-A1B6-8671972B6303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4C7-415E-A1B6-8671972B6303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D4C7-415E-A1B6-8671972B6303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D4C7-415E-A1B6-8671972B6303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D4C7-415E-A1B6-8671972B630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D4C7-415E-A1B6-8671972B6303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D4C7-415E-A1B6-8671972B6303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D4C7-415E-A1B6-8671972B6303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D4C7-415E-A1B6-8671972B6303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D4C7-415E-A1B6-8671972B6303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D4C7-415E-A1B6-8671972B6303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D4C7-415E-A1B6-8671972B6303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D4C7-415E-A1B6-8671972B6303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D4C7-415E-A1B6-8671972B6303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D4C7-415E-A1B6-8671972B6303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D4C7-415E-A1B6-8671972B6303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D4C7-415E-A1B6-8671972B6303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D4C7-415E-A1B6-8671972B6303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D4C7-415E-A1B6-8671972B6303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D4C7-415E-A1B6-8671972B6303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D4C7-415E-A1B6-8671972B6303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D4C7-415E-A1B6-8671972B6303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D4C7-415E-A1B6-8671972B6303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D4C7-415E-A1B6-8671972B6303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D4C7-415E-A1B6-8671972B6303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D4C7-415E-A1B6-8671972B6303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D4C7-415E-A1B6-8671972B6303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D4C7-415E-A1B6-8671972B6303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D4C7-415E-A1B6-8671972B6303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D4C7-415E-A1B6-8671972B6303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D4C7-415E-A1B6-8671972B63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'Micro Data Tabulation'!$B$191:$B$246</c:f>
              <c:strCache>
                <c:ptCount val="56"/>
                <c:pt idx="0">
                  <c:v>SDT Type A</c:v>
                </c:pt>
                <c:pt idx="1">
                  <c:v>SDT1</c:v>
                </c:pt>
                <c:pt idx="2">
                  <c:v>SDT2</c:v>
                </c:pt>
                <c:pt idx="3">
                  <c:v>SDT3</c:v>
                </c:pt>
                <c:pt idx="4">
                  <c:v>SDT4</c:v>
                </c:pt>
                <c:pt idx="5">
                  <c:v>SDT5</c:v>
                </c:pt>
                <c:pt idx="6">
                  <c:v>SDT6</c:v>
                </c:pt>
                <c:pt idx="7">
                  <c:v>SDT Type B</c:v>
                </c:pt>
                <c:pt idx="8">
                  <c:v>SDT1</c:v>
                </c:pt>
                <c:pt idx="9">
                  <c:v>SDT2</c:v>
                </c:pt>
                <c:pt idx="10">
                  <c:v>SDT3</c:v>
                </c:pt>
                <c:pt idx="11">
                  <c:v>SDT4</c:v>
                </c:pt>
                <c:pt idx="12">
                  <c:v>SDT5</c:v>
                </c:pt>
                <c:pt idx="13">
                  <c:v>SDT6</c:v>
                </c:pt>
                <c:pt idx="14">
                  <c:v>SDT Type C</c:v>
                </c:pt>
                <c:pt idx="15">
                  <c:v>SDT1</c:v>
                </c:pt>
                <c:pt idx="16">
                  <c:v>SDT2</c:v>
                </c:pt>
                <c:pt idx="17">
                  <c:v>SDT3</c:v>
                </c:pt>
                <c:pt idx="18">
                  <c:v>SDT4</c:v>
                </c:pt>
                <c:pt idx="19">
                  <c:v>SDT5</c:v>
                </c:pt>
                <c:pt idx="20">
                  <c:v>SDT6</c:v>
                </c:pt>
                <c:pt idx="21">
                  <c:v>SDT Type D</c:v>
                </c:pt>
                <c:pt idx="22">
                  <c:v>SDT1</c:v>
                </c:pt>
                <c:pt idx="23">
                  <c:v>SDT2</c:v>
                </c:pt>
                <c:pt idx="24">
                  <c:v>SDT3</c:v>
                </c:pt>
                <c:pt idx="25">
                  <c:v>SDT4</c:v>
                </c:pt>
                <c:pt idx="26">
                  <c:v>SDT5</c:v>
                </c:pt>
                <c:pt idx="27">
                  <c:v>SDT6</c:v>
                </c:pt>
                <c:pt idx="28">
                  <c:v>SDT Type E</c:v>
                </c:pt>
                <c:pt idx="29">
                  <c:v>SDT1</c:v>
                </c:pt>
                <c:pt idx="30">
                  <c:v>SDT2</c:v>
                </c:pt>
                <c:pt idx="31">
                  <c:v>SDT3</c:v>
                </c:pt>
                <c:pt idx="32">
                  <c:v>SDT4</c:v>
                </c:pt>
                <c:pt idx="33">
                  <c:v>SDT5</c:v>
                </c:pt>
                <c:pt idx="34">
                  <c:v>SDT6</c:v>
                </c:pt>
                <c:pt idx="35">
                  <c:v>SDT Type F</c:v>
                </c:pt>
                <c:pt idx="36">
                  <c:v>SDT1</c:v>
                </c:pt>
                <c:pt idx="37">
                  <c:v>SDT2</c:v>
                </c:pt>
                <c:pt idx="38">
                  <c:v>SDT3</c:v>
                </c:pt>
                <c:pt idx="39">
                  <c:v>SDT4</c:v>
                </c:pt>
                <c:pt idx="40">
                  <c:v>SDT5</c:v>
                </c:pt>
                <c:pt idx="41">
                  <c:v>SDT6</c:v>
                </c:pt>
                <c:pt idx="42">
                  <c:v>SDT Type G</c:v>
                </c:pt>
                <c:pt idx="43">
                  <c:v>SDT1</c:v>
                </c:pt>
                <c:pt idx="44">
                  <c:v>SDT2</c:v>
                </c:pt>
                <c:pt idx="45">
                  <c:v>SDT3</c:v>
                </c:pt>
                <c:pt idx="46">
                  <c:v>SDT4</c:v>
                </c:pt>
                <c:pt idx="47">
                  <c:v>SDT5</c:v>
                </c:pt>
                <c:pt idx="48">
                  <c:v>SDT6</c:v>
                </c:pt>
                <c:pt idx="49">
                  <c:v>SDT Type H</c:v>
                </c:pt>
                <c:pt idx="50">
                  <c:v>SDT1</c:v>
                </c:pt>
                <c:pt idx="51">
                  <c:v>SDT2</c:v>
                </c:pt>
                <c:pt idx="52">
                  <c:v>SDT3</c:v>
                </c:pt>
                <c:pt idx="53">
                  <c:v>SDT4</c:v>
                </c:pt>
                <c:pt idx="54">
                  <c:v>SDT5</c:v>
                </c:pt>
                <c:pt idx="55">
                  <c:v>SDT6</c:v>
                </c:pt>
              </c:strCache>
            </c:strRef>
          </c:cat>
          <c:val>
            <c:numRef>
              <c:f>'Micro Data Tabulation'!$BC$191:$BC$246</c:f>
              <c:numCache>
                <c:formatCode>General</c:formatCode>
                <c:ptCount val="56"/>
                <c:pt idx="0">
                  <c:v>42.800000000000004</c:v>
                </c:pt>
                <c:pt idx="1">
                  <c:v>21.400000000000002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21.400000000000002</c:v>
                </c:pt>
                <c:pt idx="7">
                  <c:v>42.800000000000004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21.400000000000002</c:v>
                </c:pt>
                <c:pt idx="12">
                  <c:v>21.400000000000002</c:v>
                </c:pt>
                <c:pt idx="13">
                  <c:v>0</c:v>
                </c:pt>
                <c:pt idx="14">
                  <c:v>42.699999999999996</c:v>
                </c:pt>
                <c:pt idx="15">
                  <c:v>0</c:v>
                </c:pt>
                <c:pt idx="16">
                  <c:v>0</c:v>
                </c:pt>
                <c:pt idx="17">
                  <c:v>21.299999999999997</c:v>
                </c:pt>
                <c:pt idx="18">
                  <c:v>0</c:v>
                </c:pt>
                <c:pt idx="19">
                  <c:v>0</c:v>
                </c:pt>
                <c:pt idx="20">
                  <c:v>21.400000000000002</c:v>
                </c:pt>
                <c:pt idx="21">
                  <c:v>42.899999999999984</c:v>
                </c:pt>
                <c:pt idx="22">
                  <c:v>21.400000000000002</c:v>
                </c:pt>
                <c:pt idx="23">
                  <c:v>0</c:v>
                </c:pt>
                <c:pt idx="24">
                  <c:v>0</c:v>
                </c:pt>
                <c:pt idx="25">
                  <c:v>21.499999999999996</c:v>
                </c:pt>
                <c:pt idx="26">
                  <c:v>0</c:v>
                </c:pt>
                <c:pt idx="27">
                  <c:v>0</c:v>
                </c:pt>
                <c:pt idx="28">
                  <c:v>42.4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20.999999999999993</c:v>
                </c:pt>
                <c:pt idx="34">
                  <c:v>21.400000000000002</c:v>
                </c:pt>
                <c:pt idx="35">
                  <c:v>42.800000000000004</c:v>
                </c:pt>
                <c:pt idx="36">
                  <c:v>0</c:v>
                </c:pt>
                <c:pt idx="37">
                  <c:v>21.400000000000002</c:v>
                </c:pt>
                <c:pt idx="38">
                  <c:v>0</c:v>
                </c:pt>
                <c:pt idx="39">
                  <c:v>21.400000000000002</c:v>
                </c:pt>
                <c:pt idx="40">
                  <c:v>0</c:v>
                </c:pt>
                <c:pt idx="41">
                  <c:v>0</c:v>
                </c:pt>
                <c:pt idx="42">
                  <c:v>64.599999999999994</c:v>
                </c:pt>
                <c:pt idx="43">
                  <c:v>21.799999999999994</c:v>
                </c:pt>
                <c:pt idx="44">
                  <c:v>0</c:v>
                </c:pt>
                <c:pt idx="45">
                  <c:v>21.400000000000002</c:v>
                </c:pt>
                <c:pt idx="46">
                  <c:v>0</c:v>
                </c:pt>
                <c:pt idx="47">
                  <c:v>21.400000000000002</c:v>
                </c:pt>
                <c:pt idx="48">
                  <c:v>0</c:v>
                </c:pt>
                <c:pt idx="49">
                  <c:v>42.7</c:v>
                </c:pt>
                <c:pt idx="50">
                  <c:v>0</c:v>
                </c:pt>
                <c:pt idx="51">
                  <c:v>21.299999999999997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21.400000000000002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6E-4D14-A8CF-BCF497F2A4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USDT</a:t>
            </a:r>
            <a:r>
              <a:rPr lang="en-US" baseline="0"/>
              <a:t> PARETO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76-4C52-87D0-19FE53A221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76-4C52-87D0-19FE53A221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76-4C52-87D0-19FE53A221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76-4C52-87D0-19FE53A221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376-4C52-87D0-19FE53A2210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376-4C52-87D0-19FE53A2210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6F3-49E1-853B-853BE73A443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6F3-49E1-853B-853BE73A443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6F3-49E1-853B-853BE73A443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6F3-49E1-853B-853BE73A443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6F3-49E1-853B-853BE73A443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6F3-49E1-853B-853BE73A443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6F3-49E1-853B-853BE73A443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6F3-49E1-853B-853BE73A443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6F3-49E1-853B-853BE73A443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6F3-49E1-853B-853BE73A443A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6F3-49E1-853B-853BE73A443A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6F3-49E1-853B-853BE73A443A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6F3-49E1-853B-853BE73A443A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6F3-49E1-853B-853BE73A443A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6F3-49E1-853B-853BE73A443A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6F3-49E1-853B-853BE73A443A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6F3-49E1-853B-853BE73A443A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76F3-49E1-853B-853BE73A443A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76F3-49E1-853B-853BE73A443A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76F3-49E1-853B-853BE73A443A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76F3-49E1-853B-853BE73A443A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76F3-49E1-853B-853BE73A443A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76F3-49E1-853B-853BE73A443A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76F3-49E1-853B-853BE73A443A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76F3-49E1-853B-853BE73A443A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76F3-49E1-853B-853BE73A443A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76F3-49E1-853B-853BE73A443A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76F3-49E1-853B-853BE73A443A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76F3-49E1-853B-853BE73A443A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76F3-49E1-853B-853BE73A443A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76F3-49E1-853B-853BE73A443A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76F3-49E1-853B-853BE73A443A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76F3-49E1-853B-853BE73A443A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76F3-49E1-853B-853BE73A443A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76F3-49E1-853B-853BE73A443A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76F3-49E1-853B-853BE73A443A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76F3-49E1-853B-853BE73A443A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76F3-49E1-853B-853BE73A443A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76F3-49E1-853B-853BE73A443A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76F3-49E1-853B-853BE73A443A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76F3-49E1-853B-853BE73A443A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76F3-49E1-853B-853BE73A443A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76F3-49E1-853B-853BE73A443A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76F3-49E1-853B-853BE73A443A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76F3-49E1-853B-853BE73A443A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76F3-49E1-853B-853BE73A443A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76F3-49E1-853B-853BE73A443A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76F3-49E1-853B-853BE73A443A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76F3-49E1-853B-853BE73A443A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76F3-49E1-853B-853BE73A44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'Micro Data Tabulation'!$B$106:$B$161</c:f>
              <c:strCache>
                <c:ptCount val="56"/>
                <c:pt idx="0">
                  <c:v>Tool USDT A (Hour)</c:v>
                </c:pt>
                <c:pt idx="1">
                  <c:v>DownTime A</c:v>
                </c:pt>
                <c:pt idx="2">
                  <c:v>DownTime B</c:v>
                </c:pt>
                <c:pt idx="3">
                  <c:v>DownTime C</c:v>
                </c:pt>
                <c:pt idx="4">
                  <c:v>DownTime D</c:v>
                </c:pt>
                <c:pt idx="5">
                  <c:v>DownTime E</c:v>
                </c:pt>
                <c:pt idx="6">
                  <c:v>DownTime F</c:v>
                </c:pt>
                <c:pt idx="7">
                  <c:v>Tool USDT B (Hour)</c:v>
                </c:pt>
                <c:pt idx="8">
                  <c:v>DownTime A</c:v>
                </c:pt>
                <c:pt idx="9">
                  <c:v>DownTime B</c:v>
                </c:pt>
                <c:pt idx="10">
                  <c:v>DownTime C</c:v>
                </c:pt>
                <c:pt idx="11">
                  <c:v>DownTime D</c:v>
                </c:pt>
                <c:pt idx="12">
                  <c:v>DownTime E</c:v>
                </c:pt>
                <c:pt idx="13">
                  <c:v>DownTime F</c:v>
                </c:pt>
                <c:pt idx="14">
                  <c:v>Tool USDT C (Hour)</c:v>
                </c:pt>
                <c:pt idx="15">
                  <c:v>DownTime A</c:v>
                </c:pt>
                <c:pt idx="16">
                  <c:v>DownTime B</c:v>
                </c:pt>
                <c:pt idx="17">
                  <c:v>DownTime C</c:v>
                </c:pt>
                <c:pt idx="18">
                  <c:v>DownTime D</c:v>
                </c:pt>
                <c:pt idx="19">
                  <c:v>DownTime E</c:v>
                </c:pt>
                <c:pt idx="20">
                  <c:v>DownTime F</c:v>
                </c:pt>
                <c:pt idx="21">
                  <c:v>Tool USDT D (Hour)</c:v>
                </c:pt>
                <c:pt idx="22">
                  <c:v>DownTime A</c:v>
                </c:pt>
                <c:pt idx="23">
                  <c:v>DownTime B</c:v>
                </c:pt>
                <c:pt idx="24">
                  <c:v>DownTime C</c:v>
                </c:pt>
                <c:pt idx="25">
                  <c:v>DownTime D</c:v>
                </c:pt>
                <c:pt idx="26">
                  <c:v>DownTime E</c:v>
                </c:pt>
                <c:pt idx="27">
                  <c:v>DownTime F</c:v>
                </c:pt>
                <c:pt idx="28">
                  <c:v>Tool USDT E (Hour)</c:v>
                </c:pt>
                <c:pt idx="29">
                  <c:v>DownTime A</c:v>
                </c:pt>
                <c:pt idx="30">
                  <c:v>DownTime B</c:v>
                </c:pt>
                <c:pt idx="31">
                  <c:v>DownTime C</c:v>
                </c:pt>
                <c:pt idx="32">
                  <c:v>DownTime D</c:v>
                </c:pt>
                <c:pt idx="33">
                  <c:v>DownTime E</c:v>
                </c:pt>
                <c:pt idx="34">
                  <c:v>DownTime F</c:v>
                </c:pt>
                <c:pt idx="35">
                  <c:v>Tool USDT F (Hour)</c:v>
                </c:pt>
                <c:pt idx="36">
                  <c:v>DownTime A</c:v>
                </c:pt>
                <c:pt idx="37">
                  <c:v>DownTime B</c:v>
                </c:pt>
                <c:pt idx="38">
                  <c:v>DownTime C</c:v>
                </c:pt>
                <c:pt idx="39">
                  <c:v>DownTime D</c:v>
                </c:pt>
                <c:pt idx="40">
                  <c:v>DownTime E</c:v>
                </c:pt>
                <c:pt idx="41">
                  <c:v>DownTime F</c:v>
                </c:pt>
                <c:pt idx="42">
                  <c:v>Tool USDT G (Hour)</c:v>
                </c:pt>
                <c:pt idx="43">
                  <c:v>DownTime A</c:v>
                </c:pt>
                <c:pt idx="44">
                  <c:v>DownTime B</c:v>
                </c:pt>
                <c:pt idx="45">
                  <c:v>DownTime C</c:v>
                </c:pt>
                <c:pt idx="46">
                  <c:v>DownTime D</c:v>
                </c:pt>
                <c:pt idx="47">
                  <c:v>DownTime E</c:v>
                </c:pt>
                <c:pt idx="48">
                  <c:v>DownTime F</c:v>
                </c:pt>
                <c:pt idx="49">
                  <c:v>Tool USDT H(Hour)</c:v>
                </c:pt>
                <c:pt idx="50">
                  <c:v>DownTime A</c:v>
                </c:pt>
                <c:pt idx="51">
                  <c:v>DownTime B</c:v>
                </c:pt>
                <c:pt idx="52">
                  <c:v>DownTime C</c:v>
                </c:pt>
                <c:pt idx="53">
                  <c:v>DownTime D</c:v>
                </c:pt>
                <c:pt idx="54">
                  <c:v>DownTime E</c:v>
                </c:pt>
                <c:pt idx="55">
                  <c:v>DownTime F</c:v>
                </c:pt>
              </c:strCache>
            </c:strRef>
          </c:cat>
          <c:val>
            <c:numRef>
              <c:f>'Micro Data Tabulation'!$BC$106:$BC$161</c:f>
              <c:numCache>
                <c:formatCode>General</c:formatCode>
                <c:ptCount val="56"/>
                <c:pt idx="0">
                  <c:v>21.400000000000002</c:v>
                </c:pt>
                <c:pt idx="1">
                  <c:v>21.400000000000002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21.599999999999994</c:v>
                </c:pt>
                <c:pt idx="8">
                  <c:v>0</c:v>
                </c:pt>
                <c:pt idx="9">
                  <c:v>21.599999999999994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21.299999999999997</c:v>
                </c:pt>
                <c:pt idx="15">
                  <c:v>0</c:v>
                </c:pt>
                <c:pt idx="16">
                  <c:v>0</c:v>
                </c:pt>
                <c:pt idx="17">
                  <c:v>21.299999999999997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21.499999999999996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21.499999999999996</c:v>
                </c:pt>
                <c:pt idx="26">
                  <c:v>0</c:v>
                </c:pt>
                <c:pt idx="27">
                  <c:v>0</c:v>
                </c:pt>
                <c:pt idx="28">
                  <c:v>20.999999999999993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20.999999999999993</c:v>
                </c:pt>
                <c:pt idx="34">
                  <c:v>0</c:v>
                </c:pt>
                <c:pt idx="35">
                  <c:v>17.2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17.2</c:v>
                </c:pt>
                <c:pt idx="42">
                  <c:v>21.799999999999994</c:v>
                </c:pt>
                <c:pt idx="43">
                  <c:v>21.799999999999994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21.299999999999997</c:v>
                </c:pt>
                <c:pt idx="50">
                  <c:v>0</c:v>
                </c:pt>
                <c:pt idx="51">
                  <c:v>21.299999999999997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6A-47F1-8F24-5FFAD1FC13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MY" b="1">
                <a:solidFill>
                  <a:srgbClr val="FF0000"/>
                </a:solidFill>
              </a:rPr>
              <a:t>Yield</a:t>
            </a:r>
            <a:r>
              <a:rPr lang="en-MY" b="1" baseline="0">
                <a:solidFill>
                  <a:srgbClr val="FF0000"/>
                </a:solidFill>
              </a:rPr>
              <a:t> &amp; Productivity Performance (1-YEAR)</a:t>
            </a:r>
            <a:endParaRPr lang="en-MY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'Micro Data Tabulation'!$C$892</c:f>
              <c:strCache>
                <c:ptCount val="1"/>
                <c:pt idx="0">
                  <c:v>Production Output 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'Micro Data Tabulation'!$G$893:$G$905</c:f>
              <c:numCache>
                <c:formatCode>General</c:formatCode>
                <c:ptCount val="13"/>
              </c:numCache>
            </c:numRef>
          </c:cat>
          <c:val>
            <c:numRef>
              <c:f>'Micro Data Tabulation'!$C$893:$C$905</c:f>
              <c:numCache>
                <c:formatCode>General</c:formatCode>
                <c:ptCount val="13"/>
                <c:pt idx="0">
                  <c:v>204364.85143052088</c:v>
                </c:pt>
                <c:pt idx="1">
                  <c:v>205767.44906941388</c:v>
                </c:pt>
                <c:pt idx="2">
                  <c:v>205289.29078342763</c:v>
                </c:pt>
                <c:pt idx="3">
                  <c:v>205034.27303090165</c:v>
                </c:pt>
                <c:pt idx="4">
                  <c:v>205639.94019315089</c:v>
                </c:pt>
                <c:pt idx="5">
                  <c:v>204460.48308771814</c:v>
                </c:pt>
                <c:pt idx="6">
                  <c:v>205544.30853595363</c:v>
                </c:pt>
                <c:pt idx="7">
                  <c:v>204715.50084024415</c:v>
                </c:pt>
                <c:pt idx="8">
                  <c:v>205926.83516474263</c:v>
                </c:pt>
                <c:pt idx="9">
                  <c:v>205161.78190716464</c:v>
                </c:pt>
                <c:pt idx="10">
                  <c:v>205512.43131688787</c:v>
                </c:pt>
                <c:pt idx="11">
                  <c:v>204460.48308771814</c:v>
                </c:pt>
                <c:pt idx="12">
                  <c:v>206978.78339391237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9-4079-811A-2AFDBCAA9DDE}"/>
            </c:ext>
          </c:extLst>
        </c:ser>
        <c:ser>
          <c:idx val="1"/>
          <c:order val="1"/>
          <c:tx>
            <c:strRef>
              <c:f>'Micro Data Tabulation'!$D$892</c:f>
              <c:strCache>
                <c:ptCount val="1"/>
                <c:pt idx="0">
                  <c:v>Production (Volume) - QuadWeek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'Micro Data Tabulation'!$G$893:$G$905</c:f>
              <c:numCache>
                <c:formatCode>General</c:formatCode>
                <c:ptCount val="13"/>
              </c:numCache>
            </c:numRef>
          </c:cat>
          <c:val>
            <c:numRef>
              <c:f>'Micro Data Tabulation'!$D$893:$D$905</c:f>
              <c:numCache>
                <c:formatCode>General</c:formatCode>
                <c:ptCount val="13"/>
                <c:pt idx="0">
                  <c:v>183000</c:v>
                </c:pt>
                <c:pt idx="1">
                  <c:v>177000</c:v>
                </c:pt>
                <c:pt idx="2">
                  <c:v>174000</c:v>
                </c:pt>
                <c:pt idx="3">
                  <c:v>183000</c:v>
                </c:pt>
                <c:pt idx="4">
                  <c:v>177000</c:v>
                </c:pt>
                <c:pt idx="5">
                  <c:v>174000</c:v>
                </c:pt>
                <c:pt idx="6">
                  <c:v>183000</c:v>
                </c:pt>
                <c:pt idx="7">
                  <c:v>177000</c:v>
                </c:pt>
                <c:pt idx="8">
                  <c:v>174000</c:v>
                </c:pt>
                <c:pt idx="9">
                  <c:v>183000</c:v>
                </c:pt>
                <c:pt idx="10">
                  <c:v>184000</c:v>
                </c:pt>
                <c:pt idx="11">
                  <c:v>193000</c:v>
                </c:pt>
                <c:pt idx="12">
                  <c:v>174000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B9-4079-811A-2AFDBCAA9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696959"/>
        <c:axId val="1665706079"/>
      </c:barChart>
      <c:lineChart>
        <c:grouping val="standard"/>
        <c:varyColors val="0"/>
        <c:ser>
          <c:idx val="2"/>
          <c:order val="2"/>
          <c:tx>
            <c:strRef>
              <c:f>'Micro Data Tabulation'!$E$892</c:f>
              <c:strCache>
                <c:ptCount val="1"/>
                <c:pt idx="0">
                  <c:v>Yield / Quality Target (%)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'Micro Data Tabulation'!$E$893:$E$905</c:f>
              <c:numCache>
                <c:formatCode>0.00%</c:formatCode>
                <c:ptCount val="13"/>
                <c:pt idx="0">
                  <c:v>2.4645547945206179E-4</c:v>
                </c:pt>
                <c:pt idx="1">
                  <c:v>2.4645547945206179E-4</c:v>
                </c:pt>
                <c:pt idx="2">
                  <c:v>2.4645547945206179E-4</c:v>
                </c:pt>
                <c:pt idx="3">
                  <c:v>2.4645547945206179E-4</c:v>
                </c:pt>
                <c:pt idx="4">
                  <c:v>2.4645547945206179E-4</c:v>
                </c:pt>
                <c:pt idx="5">
                  <c:v>2.4645547945206179E-4</c:v>
                </c:pt>
                <c:pt idx="6">
                  <c:v>2.4645547945206179E-4</c:v>
                </c:pt>
                <c:pt idx="7">
                  <c:v>2.4645547945206179E-4</c:v>
                </c:pt>
                <c:pt idx="8">
                  <c:v>2.4645547945206179E-4</c:v>
                </c:pt>
                <c:pt idx="9">
                  <c:v>2.4645547945206179E-4</c:v>
                </c:pt>
                <c:pt idx="10">
                  <c:v>2.4645547945206179E-4</c:v>
                </c:pt>
                <c:pt idx="11">
                  <c:v>2.4645547945206179E-4</c:v>
                </c:pt>
                <c:pt idx="12">
                  <c:v>2.4645547945206179E-4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B9-4079-811A-2AFDBCAA9DDE}"/>
            </c:ext>
          </c:extLst>
        </c:ser>
        <c:ser>
          <c:idx val="3"/>
          <c:order val="3"/>
          <c:tx>
            <c:strRef>
              <c:f>'Micro Data Tabulation'!$F$892</c:f>
              <c:strCache>
                <c:ptCount val="1"/>
                <c:pt idx="0">
                  <c:v>Yield / Quality (%) - QuadWeek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'Micro Data Tabulation'!$F$893:$F$905</c:f>
              <c:numCache>
                <c:formatCode>0.00%</c:formatCode>
                <c:ptCount val="13"/>
                <c:pt idx="0">
                  <c:v>0.99954644808743165</c:v>
                </c:pt>
                <c:pt idx="1">
                  <c:v>0.9995480225988701</c:v>
                </c:pt>
                <c:pt idx="2">
                  <c:v>0.99955172413793103</c:v>
                </c:pt>
                <c:pt idx="3">
                  <c:v>0.99954644808743165</c:v>
                </c:pt>
                <c:pt idx="4">
                  <c:v>0.99956497175141246</c:v>
                </c:pt>
                <c:pt idx="5">
                  <c:v>0.99955172413793103</c:v>
                </c:pt>
                <c:pt idx="6">
                  <c:v>0.99956284153005459</c:v>
                </c:pt>
                <c:pt idx="7">
                  <c:v>0.99953672316384179</c:v>
                </c:pt>
                <c:pt idx="8">
                  <c:v>0.99954597701149428</c:v>
                </c:pt>
                <c:pt idx="9">
                  <c:v>0.99953551912568306</c:v>
                </c:pt>
                <c:pt idx="10">
                  <c:v>0.99953804347826092</c:v>
                </c:pt>
                <c:pt idx="11">
                  <c:v>0.99956476683937823</c:v>
                </c:pt>
                <c:pt idx="12">
                  <c:v>0.99955172413793103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B9-4079-811A-2AFDBCAA9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763695"/>
        <c:axId val="1891761295"/>
      </c:lineChart>
      <c:catAx>
        <c:axId val="16656969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706079"/>
        <c:crosses val="autoZero"/>
        <c:auto val="1"/>
        <c:lblAlgn val="ctr"/>
        <c:lblOffset val="100"/>
        <c:noMultiLvlLbl val="0"/>
      </c:catAx>
      <c:valAx>
        <c:axId val="166570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  <a:r>
                  <a:rPr lang="en-US" baseline="0"/>
                  <a:t> Volume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696959"/>
        <c:crosses val="autoZero"/>
        <c:crossBetween val="between"/>
      </c:valAx>
      <c:valAx>
        <c:axId val="189176129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Yield</a:t>
                </a:r>
                <a:r>
                  <a:rPr lang="en-MY" baseline="0"/>
                  <a:t> Performance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763695"/>
        <c:crosses val="max"/>
        <c:crossBetween val="between"/>
      </c:valAx>
      <c:catAx>
        <c:axId val="1891763695"/>
        <c:scaling>
          <c:orientation val="minMax"/>
        </c:scaling>
        <c:delete val="1"/>
        <c:axPos val="t"/>
        <c:majorTickMark val="out"/>
        <c:minorTickMark val="none"/>
        <c:tickLblPos val="nextTo"/>
        <c:crossAx val="1891761295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Yield</a:t>
            </a:r>
            <a:r>
              <a:rPr lang="en-MY" baseline="0"/>
              <a:t> &amp; Productivity Performance (1-Quarter)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'Micro Data Tabulation'!$C$908</c:f>
              <c:strCache>
                <c:ptCount val="1"/>
                <c:pt idx="0">
                  <c:v>Production 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'Micro Data Tabulation'!$C$909:$C$921</c:f>
              <c:numCache>
                <c:formatCode>General</c:formatCode>
                <c:ptCount val="13"/>
                <c:pt idx="0">
                  <c:v>45000</c:v>
                </c:pt>
                <c:pt idx="1">
                  <c:v>48000</c:v>
                </c:pt>
                <c:pt idx="2">
                  <c:v>51000</c:v>
                </c:pt>
                <c:pt idx="3">
                  <c:v>39000</c:v>
                </c:pt>
                <c:pt idx="4">
                  <c:v>41000</c:v>
                </c:pt>
                <c:pt idx="5">
                  <c:v>43000</c:v>
                </c:pt>
                <c:pt idx="6">
                  <c:v>45000</c:v>
                </c:pt>
                <c:pt idx="7">
                  <c:v>48000</c:v>
                </c:pt>
                <c:pt idx="8">
                  <c:v>51000</c:v>
                </c:pt>
                <c:pt idx="9">
                  <c:v>39000</c:v>
                </c:pt>
                <c:pt idx="10">
                  <c:v>41000</c:v>
                </c:pt>
                <c:pt idx="11">
                  <c:v>43000</c:v>
                </c:pt>
                <c:pt idx="12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C-48BE-B80E-1C8288670311}"/>
            </c:ext>
          </c:extLst>
        </c:ser>
        <c:ser>
          <c:idx val="1"/>
          <c:order val="1"/>
          <c:tx>
            <c:strRef>
              <c:f>'Micro Data Tabulation'!$D$908</c:f>
              <c:strCache>
                <c:ptCount val="1"/>
                <c:pt idx="0">
                  <c:v>Production 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'Micro Data Tabulation'!$D$909:$D$921</c:f>
              <c:numCache>
                <c:formatCode>General</c:formatCode>
                <c:ptCount val="13"/>
                <c:pt idx="0">
                  <c:v>51226.691038659657</c:v>
                </c:pt>
                <c:pt idx="1">
                  <c:v>50939.796067067909</c:v>
                </c:pt>
                <c:pt idx="2">
                  <c:v>51768.603762777406</c:v>
                </c:pt>
                <c:pt idx="3">
                  <c:v>50429.760562015923</c:v>
                </c:pt>
                <c:pt idx="4">
                  <c:v>51832.3582009089</c:v>
                </c:pt>
                <c:pt idx="5">
                  <c:v>51513.586010251405</c:v>
                </c:pt>
                <c:pt idx="6">
                  <c:v>51322.322695856907</c:v>
                </c:pt>
                <c:pt idx="7">
                  <c:v>51099.182162396661</c:v>
                </c:pt>
                <c:pt idx="8">
                  <c:v>51832.3582009089</c:v>
                </c:pt>
                <c:pt idx="9">
                  <c:v>50461.63778108167</c:v>
                </c:pt>
                <c:pt idx="10">
                  <c:v>51672.972105580156</c:v>
                </c:pt>
                <c:pt idx="11">
                  <c:v>51322.322695856907</c:v>
                </c:pt>
                <c:pt idx="12">
                  <c:v>50971.673286133664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6C-48BE-B80E-1C8288670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1127215"/>
        <c:axId val="1881122895"/>
      </c:barChart>
      <c:lineChart>
        <c:grouping val="standard"/>
        <c:varyColors val="0"/>
        <c:ser>
          <c:idx val="2"/>
          <c:order val="2"/>
          <c:tx>
            <c:strRef>
              <c:f>'Micro Data Tabulation'!$E$908</c:f>
              <c:strCache>
                <c:ptCount val="1"/>
                <c:pt idx="0">
                  <c:v>Yield Target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'Micro Data Tabulation'!$E$909:$E$921</c:f>
              <c:numCache>
                <c:formatCode>0.00%</c:formatCode>
                <c:ptCount val="13"/>
                <c:pt idx="0">
                  <c:v>2.4645547945206179E-4</c:v>
                </c:pt>
                <c:pt idx="1">
                  <c:v>2.4645547945206179E-4</c:v>
                </c:pt>
                <c:pt idx="2">
                  <c:v>2.4645547945206179E-4</c:v>
                </c:pt>
                <c:pt idx="3">
                  <c:v>2.4645547945206179E-4</c:v>
                </c:pt>
                <c:pt idx="4">
                  <c:v>2.4645547945206179E-4</c:v>
                </c:pt>
                <c:pt idx="5">
                  <c:v>2.4645547945206179E-4</c:v>
                </c:pt>
                <c:pt idx="6">
                  <c:v>2.4645547945206179E-4</c:v>
                </c:pt>
                <c:pt idx="7">
                  <c:v>2.4645547945206179E-4</c:v>
                </c:pt>
                <c:pt idx="8">
                  <c:v>2.4645547945206179E-4</c:v>
                </c:pt>
                <c:pt idx="9">
                  <c:v>2.4645547945206179E-4</c:v>
                </c:pt>
                <c:pt idx="10">
                  <c:v>2.4645547945206179E-4</c:v>
                </c:pt>
                <c:pt idx="11">
                  <c:v>2.4645547945206179E-4</c:v>
                </c:pt>
                <c:pt idx="12">
                  <c:v>2.4645547945206179E-4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6C-48BE-B80E-1C8288670311}"/>
            </c:ext>
          </c:extLst>
        </c:ser>
        <c:ser>
          <c:idx val="3"/>
          <c:order val="3"/>
          <c:tx>
            <c:strRef>
              <c:f>'Micro Data Tabulation'!$F$908</c:f>
              <c:strCache>
                <c:ptCount val="1"/>
                <c:pt idx="0">
                  <c:v>Yield Performance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'Micro Data Tabulation'!$F$909:$F$921</c:f>
              <c:numCache>
                <c:formatCode>0.00%</c:formatCode>
                <c:ptCount val="13"/>
                <c:pt idx="0">
                  <c:v>0.99953333333333338</c:v>
                </c:pt>
                <c:pt idx="1">
                  <c:v>0.99958333333333338</c:v>
                </c:pt>
                <c:pt idx="2">
                  <c:v>0.99952941176470589</c:v>
                </c:pt>
                <c:pt idx="3">
                  <c:v>0.99953846153846149</c:v>
                </c:pt>
                <c:pt idx="4">
                  <c:v>0.99953658536585366</c:v>
                </c:pt>
                <c:pt idx="5">
                  <c:v>0.99953488372093025</c:v>
                </c:pt>
                <c:pt idx="6">
                  <c:v>0.99957777777777779</c:v>
                </c:pt>
                <c:pt idx="7">
                  <c:v>0.99954166666666666</c:v>
                </c:pt>
                <c:pt idx="8">
                  <c:v>0.99958823529411767</c:v>
                </c:pt>
                <c:pt idx="9">
                  <c:v>0.99953846153846149</c:v>
                </c:pt>
                <c:pt idx="10">
                  <c:v>0.99953658536585366</c:v>
                </c:pt>
                <c:pt idx="11">
                  <c:v>0.99953488372093025</c:v>
                </c:pt>
                <c:pt idx="12">
                  <c:v>0.99957777777777779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6C-48BE-B80E-1C8288670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819327"/>
        <c:axId val="1881129615"/>
      </c:lineChart>
      <c:catAx>
        <c:axId val="1881127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b="0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122895"/>
        <c:crosses val="autoZero"/>
        <c:auto val="1"/>
        <c:lblAlgn val="ctr"/>
        <c:lblOffset val="100"/>
        <c:noMultiLvlLbl val="0"/>
      </c:catAx>
      <c:valAx>
        <c:axId val="188112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b="1"/>
                  <a:t>Production</a:t>
                </a:r>
                <a:r>
                  <a:rPr lang="en-MY" b="1" baseline="0"/>
                  <a:t> Volume</a:t>
                </a:r>
                <a:endParaRPr lang="en-MY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127215"/>
        <c:crosses val="autoZero"/>
        <c:crossBetween val="between"/>
      </c:valAx>
      <c:valAx>
        <c:axId val="18811296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b="1"/>
                  <a:t>YIELD</a:t>
                </a:r>
                <a:r>
                  <a:rPr lang="en-MY" b="1" baseline="0"/>
                  <a:t> (%)</a:t>
                </a:r>
                <a:endParaRPr lang="en-MY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19327"/>
        <c:crosses val="max"/>
        <c:crossBetween val="between"/>
      </c:valAx>
      <c:catAx>
        <c:axId val="127819327"/>
        <c:scaling>
          <c:orientation val="minMax"/>
        </c:scaling>
        <c:delete val="1"/>
        <c:axPos val="b"/>
        <c:majorTickMark val="out"/>
        <c:minorTickMark val="none"/>
        <c:tickLblPos val="nextTo"/>
        <c:crossAx val="18811296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Yield</a:t>
            </a:r>
            <a:r>
              <a:rPr lang="en-MY" baseline="0"/>
              <a:t> &amp; Productivity Performance (24-Weeks)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'Micro Data Tabulation'!$C$923</c:f>
              <c:strCache>
                <c:ptCount val="1"/>
                <c:pt idx="0">
                  <c:v>Production 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'Micro Data Tabulation'!$C$924:$C$929</c:f>
              <c:numCache>
                <c:formatCode>General</c:formatCode>
                <c:ptCount val="6"/>
                <c:pt idx="0">
                  <c:v>183000</c:v>
                </c:pt>
                <c:pt idx="1">
                  <c:v>177000</c:v>
                </c:pt>
                <c:pt idx="2">
                  <c:v>174000</c:v>
                </c:pt>
                <c:pt idx="3">
                  <c:v>183000</c:v>
                </c:pt>
                <c:pt idx="4">
                  <c:v>177000</c:v>
                </c:pt>
                <c:pt idx="5">
                  <c:v>174000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8-4340-9B05-DAE1E5A8FDDA}"/>
            </c:ext>
          </c:extLst>
        </c:ser>
        <c:ser>
          <c:idx val="1"/>
          <c:order val="1"/>
          <c:tx>
            <c:strRef>
              <c:f>'Micro Data Tabulation'!$D$923</c:f>
              <c:strCache>
                <c:ptCount val="1"/>
                <c:pt idx="0">
                  <c:v>Production 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'Micro Data Tabulation'!$D$924:$D$929</c:f>
              <c:numCache>
                <c:formatCode>General</c:formatCode>
                <c:ptCount val="6"/>
                <c:pt idx="0">
                  <c:v>204364.85143052088</c:v>
                </c:pt>
                <c:pt idx="1">
                  <c:v>205767.44906941388</c:v>
                </c:pt>
                <c:pt idx="2">
                  <c:v>205289.29078342763</c:v>
                </c:pt>
                <c:pt idx="3">
                  <c:v>205034.27303090165</c:v>
                </c:pt>
                <c:pt idx="4">
                  <c:v>205639.94019315089</c:v>
                </c:pt>
                <c:pt idx="5">
                  <c:v>204460.48308771814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78-4340-9B05-DAE1E5A8F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124863"/>
        <c:axId val="282139263"/>
      </c:barChart>
      <c:lineChart>
        <c:grouping val="standard"/>
        <c:varyColors val="0"/>
        <c:ser>
          <c:idx val="2"/>
          <c:order val="2"/>
          <c:tx>
            <c:strRef>
              <c:f>'Micro Data Tabulation'!$E$923</c:f>
              <c:strCache>
                <c:ptCount val="1"/>
                <c:pt idx="0">
                  <c:v>Yield Target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'Micro Data Tabulation'!$E$924:$E$929</c:f>
              <c:numCache>
                <c:formatCode>0.00%</c:formatCode>
                <c:ptCount val="6"/>
                <c:pt idx="0">
                  <c:v>2.4645547945206179E-4</c:v>
                </c:pt>
                <c:pt idx="1">
                  <c:v>2.4645547945206179E-4</c:v>
                </c:pt>
                <c:pt idx="2">
                  <c:v>2.4645547945206179E-4</c:v>
                </c:pt>
                <c:pt idx="3">
                  <c:v>2.4645547945206179E-4</c:v>
                </c:pt>
                <c:pt idx="4">
                  <c:v>2.4645547945206179E-4</c:v>
                </c:pt>
                <c:pt idx="5">
                  <c:v>2.4645547945206179E-4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78-4340-9B05-DAE1E5A8FDDA}"/>
            </c:ext>
          </c:extLst>
        </c:ser>
        <c:ser>
          <c:idx val="3"/>
          <c:order val="3"/>
          <c:tx>
            <c:strRef>
              <c:f>'Micro Data Tabulation'!$F$923</c:f>
              <c:strCache>
                <c:ptCount val="1"/>
                <c:pt idx="0">
                  <c:v>Yield Performance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'Micro Data Tabulation'!$F$924:$F$929</c:f>
              <c:numCache>
                <c:formatCode>0.00%</c:formatCode>
                <c:ptCount val="6"/>
                <c:pt idx="0">
                  <c:v>0.99954644808743165</c:v>
                </c:pt>
                <c:pt idx="1">
                  <c:v>0.9995480225988701</c:v>
                </c:pt>
                <c:pt idx="2">
                  <c:v>0.99955172413793103</c:v>
                </c:pt>
                <c:pt idx="3">
                  <c:v>0.99954644808743165</c:v>
                </c:pt>
                <c:pt idx="4">
                  <c:v>0.99956497175141246</c:v>
                </c:pt>
                <c:pt idx="5">
                  <c:v>0.99955172413793103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78-4340-9B05-DAE1E5A8F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127743"/>
        <c:axId val="282132063"/>
      </c:lineChart>
      <c:catAx>
        <c:axId val="28212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b="1"/>
                  <a:t>24</a:t>
                </a:r>
                <a:r>
                  <a:rPr lang="en-MY" b="1" baseline="0"/>
                  <a:t> Weeks</a:t>
                </a:r>
                <a:endParaRPr lang="en-MY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139263"/>
        <c:crosses val="autoZero"/>
        <c:auto val="1"/>
        <c:lblAlgn val="ctr"/>
        <c:lblOffset val="100"/>
        <c:noMultiLvlLbl val="0"/>
      </c:catAx>
      <c:valAx>
        <c:axId val="28213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b="1"/>
                  <a:t>Production</a:t>
                </a:r>
                <a:r>
                  <a:rPr lang="en-MY" b="1" baseline="0"/>
                  <a:t> Volume</a:t>
                </a:r>
                <a:endParaRPr lang="en-MY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124863"/>
        <c:crosses val="autoZero"/>
        <c:crossBetween val="between"/>
      </c:valAx>
      <c:valAx>
        <c:axId val="28213206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b="1"/>
                  <a:t>Yield</a:t>
                </a:r>
                <a:r>
                  <a:rPr lang="en-MY" b="1" baseline="0"/>
                  <a:t>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127743"/>
        <c:crosses val="max"/>
        <c:crossBetween val="between"/>
      </c:valAx>
      <c:catAx>
        <c:axId val="282127743"/>
        <c:scaling>
          <c:orientation val="minMax"/>
        </c:scaling>
        <c:delete val="1"/>
        <c:axPos val="b"/>
        <c:majorTickMark val="out"/>
        <c:minorTickMark val="none"/>
        <c:tickLblPos val="nextTo"/>
        <c:crossAx val="2821320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Yield</a:t>
            </a:r>
            <a:r>
              <a:rPr lang="en-MY" baseline="0"/>
              <a:t> &amp; Productivity Trend (1-Year Quarterly)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'Micro Data Tabulation'!$C$931</c:f>
              <c:strCache>
                <c:ptCount val="1"/>
                <c:pt idx="0">
                  <c:v>Production 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'Micro Data Tabulation'!$C$932:$C$935</c:f>
              <c:numCache>
                <c:formatCode>General</c:formatCode>
                <c:ptCount val="4"/>
                <c:pt idx="0">
                  <c:v>579000</c:v>
                </c:pt>
                <c:pt idx="1">
                  <c:v>582000</c:v>
                </c:pt>
                <c:pt idx="2">
                  <c:v>585000</c:v>
                </c:pt>
                <c:pt idx="3">
                  <c:v>590000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8-4A20-9751-BCA2FF0B6C7B}"/>
            </c:ext>
          </c:extLst>
        </c:ser>
        <c:ser>
          <c:idx val="1"/>
          <c:order val="1"/>
          <c:tx>
            <c:strRef>
              <c:f>'Micro Data Tabulation'!$D$931</c:f>
              <c:strCache>
                <c:ptCount val="1"/>
                <c:pt idx="0">
                  <c:v>Production 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'Micro Data Tabulation'!$D$932:$D$935</c:f>
              <c:numCache>
                <c:formatCode>General</c:formatCode>
                <c:ptCount val="4"/>
                <c:pt idx="0">
                  <c:v>666393.26456949615</c:v>
                </c:pt>
                <c:pt idx="1">
                  <c:v>666393.26456949604</c:v>
                </c:pt>
                <c:pt idx="2">
                  <c:v>668146.51161811233</c:v>
                </c:pt>
                <c:pt idx="3">
                  <c:v>667923.37108465191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18-4A20-9751-BCA2FF0B6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253215"/>
        <c:axId val="1844256095"/>
      </c:barChart>
      <c:lineChart>
        <c:grouping val="standard"/>
        <c:varyColors val="0"/>
        <c:ser>
          <c:idx val="2"/>
          <c:order val="2"/>
          <c:tx>
            <c:strRef>
              <c:f>'Micro Data Tabulation'!$E$931</c:f>
              <c:strCache>
                <c:ptCount val="1"/>
                <c:pt idx="0">
                  <c:v>Yield Target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'Micro Data Tabulation'!$E$932:$E$935</c:f>
              <c:numCache>
                <c:formatCode>0.00%</c:formatCode>
                <c:ptCount val="4"/>
                <c:pt idx="0">
                  <c:v>2.4645547945206179E-4</c:v>
                </c:pt>
                <c:pt idx="1">
                  <c:v>2.4645547945206179E-4</c:v>
                </c:pt>
                <c:pt idx="2">
                  <c:v>2.4645547945206179E-4</c:v>
                </c:pt>
                <c:pt idx="3">
                  <c:v>2.4645547945206179E-4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18-4A20-9751-BCA2FF0B6C7B}"/>
            </c:ext>
          </c:extLst>
        </c:ser>
        <c:ser>
          <c:idx val="3"/>
          <c:order val="3"/>
          <c:tx>
            <c:strRef>
              <c:f>'Micro Data Tabulation'!$F$931</c:f>
              <c:strCache>
                <c:ptCount val="1"/>
                <c:pt idx="0">
                  <c:v>Yield Performance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'Micro Data Tabulation'!$F$932:$F$935</c:f>
              <c:numCache>
                <c:formatCode>0.00%</c:formatCode>
                <c:ptCount val="4"/>
                <c:pt idx="0">
                  <c:v>0.99955094991364424</c:v>
                </c:pt>
                <c:pt idx="1">
                  <c:v>0.99955326460481098</c:v>
                </c:pt>
                <c:pt idx="2">
                  <c:v>0.9995452991452991</c:v>
                </c:pt>
                <c:pt idx="3">
                  <c:v>0.99954915254237287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18-4A20-9751-BCA2FF0B6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1122415"/>
        <c:axId val="1881129135"/>
      </c:lineChart>
      <c:catAx>
        <c:axId val="1844253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Quarterly</a:t>
                </a:r>
                <a:r>
                  <a:rPr lang="en-MY" baseline="0"/>
                  <a:t> Q1-Q4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256095"/>
        <c:crosses val="autoZero"/>
        <c:auto val="1"/>
        <c:lblAlgn val="ctr"/>
        <c:lblOffset val="100"/>
        <c:noMultiLvlLbl val="0"/>
      </c:catAx>
      <c:valAx>
        <c:axId val="184425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Production</a:t>
                </a:r>
                <a:r>
                  <a:rPr lang="en-MY" baseline="0"/>
                  <a:t> Volume (Units)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253215"/>
        <c:crosses val="autoZero"/>
        <c:crossBetween val="between"/>
      </c:valAx>
      <c:valAx>
        <c:axId val="188112913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Yield</a:t>
                </a:r>
                <a:r>
                  <a:rPr lang="en-MY" baseline="0"/>
                  <a:t> (&amp;)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122415"/>
        <c:crosses val="max"/>
        <c:crossBetween val="between"/>
      </c:valAx>
      <c:catAx>
        <c:axId val="1881122415"/>
        <c:scaling>
          <c:orientation val="minMax"/>
        </c:scaling>
        <c:delete val="1"/>
        <c:axPos val="b"/>
        <c:majorTickMark val="out"/>
        <c:minorTickMark val="none"/>
        <c:tickLblPos val="nextTo"/>
        <c:crossAx val="18811291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USDT</a:t>
            </a:r>
            <a:r>
              <a:rPr lang="en-US" baseline="0"/>
              <a:t> PARETO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FC-45E8-A62E-0721B4D6EF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FC-45E8-A62E-0721B4D6EF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FC-45E8-A62E-0721B4D6EF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FC-45E8-A62E-0721B4D6EF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DFC-45E8-A62E-0721B4D6EF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DFC-45E8-A62E-0721B4D6EFE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DFC-45E8-A62E-0721B4D6EFE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DFC-45E8-A62E-0721B4D6EFE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DFC-45E8-A62E-0721B4D6EFE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DFC-45E8-A62E-0721B4D6EFE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DFC-45E8-A62E-0721B4D6EFE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DFC-45E8-A62E-0721B4D6EFE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DFC-45E8-A62E-0721B4D6EFE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DFC-45E8-A62E-0721B4D6EFE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DFC-45E8-A62E-0721B4D6EFE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DFC-45E8-A62E-0721B4D6EFE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DFC-45E8-A62E-0721B4D6EFE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DFC-45E8-A62E-0721B4D6EFE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DFC-45E8-A62E-0721B4D6EFE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DFC-45E8-A62E-0721B4D6EFE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DFC-45E8-A62E-0721B4D6EFE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DFC-45E8-A62E-0721B4D6EFE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DFC-45E8-A62E-0721B4D6EFE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DFC-45E8-A62E-0721B4D6EFE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DFC-45E8-A62E-0721B4D6EFE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5DFC-45E8-A62E-0721B4D6EFE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DFC-45E8-A62E-0721B4D6EFE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5DFC-45E8-A62E-0721B4D6EFE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5DFC-45E8-A62E-0721B4D6EFE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5DFC-45E8-A62E-0721B4D6EFE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5DFC-45E8-A62E-0721B4D6EFE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5DFC-45E8-A62E-0721B4D6EFE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5DFC-45E8-A62E-0721B4D6EFE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5DFC-45E8-A62E-0721B4D6EFE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5DFC-45E8-A62E-0721B4D6EFE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5DFC-45E8-A62E-0721B4D6EFE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5DFC-45E8-A62E-0721B4D6EFE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5DFC-45E8-A62E-0721B4D6EFE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5DFC-45E8-A62E-0721B4D6EFE1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5DFC-45E8-A62E-0721B4D6EFE1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5DFC-45E8-A62E-0721B4D6EFE1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5DFC-45E8-A62E-0721B4D6EFE1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5DFC-45E8-A62E-0721B4D6EFE1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5DFC-45E8-A62E-0721B4D6EFE1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5DFC-45E8-A62E-0721B4D6EFE1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5DFC-45E8-A62E-0721B4D6EFE1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5DFC-45E8-A62E-0721B4D6EFE1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5DFC-45E8-A62E-0721B4D6EFE1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5DFC-45E8-A62E-0721B4D6EFE1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5DFC-45E8-A62E-0721B4D6EFE1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5DFC-45E8-A62E-0721B4D6EFE1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5DFC-45E8-A62E-0721B4D6EFE1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5DFC-45E8-A62E-0721B4D6EFE1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5DFC-45E8-A62E-0721B4D6EFE1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5DFC-45E8-A62E-0721B4D6EFE1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5DFC-45E8-A62E-0721B4D6EF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'Micro Data Tabulation'!$B$106:$B$161</c:f>
              <c:strCache>
                <c:ptCount val="56"/>
                <c:pt idx="0">
                  <c:v>Tool USDT A (Hour)</c:v>
                </c:pt>
                <c:pt idx="1">
                  <c:v>DownTime A</c:v>
                </c:pt>
                <c:pt idx="2">
                  <c:v>DownTime B</c:v>
                </c:pt>
                <c:pt idx="3">
                  <c:v>DownTime C</c:v>
                </c:pt>
                <c:pt idx="4">
                  <c:v>DownTime D</c:v>
                </c:pt>
                <c:pt idx="5">
                  <c:v>DownTime E</c:v>
                </c:pt>
                <c:pt idx="6">
                  <c:v>DownTime F</c:v>
                </c:pt>
                <c:pt idx="7">
                  <c:v>Tool USDT B (Hour)</c:v>
                </c:pt>
                <c:pt idx="8">
                  <c:v>DownTime A</c:v>
                </c:pt>
                <c:pt idx="9">
                  <c:v>DownTime B</c:v>
                </c:pt>
                <c:pt idx="10">
                  <c:v>DownTime C</c:v>
                </c:pt>
                <c:pt idx="11">
                  <c:v>DownTime D</c:v>
                </c:pt>
                <c:pt idx="12">
                  <c:v>DownTime E</c:v>
                </c:pt>
                <c:pt idx="13">
                  <c:v>DownTime F</c:v>
                </c:pt>
                <c:pt idx="14">
                  <c:v>Tool USDT C (Hour)</c:v>
                </c:pt>
                <c:pt idx="15">
                  <c:v>DownTime A</c:v>
                </c:pt>
                <c:pt idx="16">
                  <c:v>DownTime B</c:v>
                </c:pt>
                <c:pt idx="17">
                  <c:v>DownTime C</c:v>
                </c:pt>
                <c:pt idx="18">
                  <c:v>DownTime D</c:v>
                </c:pt>
                <c:pt idx="19">
                  <c:v>DownTime E</c:v>
                </c:pt>
                <c:pt idx="20">
                  <c:v>DownTime F</c:v>
                </c:pt>
                <c:pt idx="21">
                  <c:v>Tool USDT D (Hour)</c:v>
                </c:pt>
                <c:pt idx="22">
                  <c:v>DownTime A</c:v>
                </c:pt>
                <c:pt idx="23">
                  <c:v>DownTime B</c:v>
                </c:pt>
                <c:pt idx="24">
                  <c:v>DownTime C</c:v>
                </c:pt>
                <c:pt idx="25">
                  <c:v>DownTime D</c:v>
                </c:pt>
                <c:pt idx="26">
                  <c:v>DownTime E</c:v>
                </c:pt>
                <c:pt idx="27">
                  <c:v>DownTime F</c:v>
                </c:pt>
                <c:pt idx="28">
                  <c:v>Tool USDT E (Hour)</c:v>
                </c:pt>
                <c:pt idx="29">
                  <c:v>DownTime A</c:v>
                </c:pt>
                <c:pt idx="30">
                  <c:v>DownTime B</c:v>
                </c:pt>
                <c:pt idx="31">
                  <c:v>DownTime C</c:v>
                </c:pt>
                <c:pt idx="32">
                  <c:v>DownTime D</c:v>
                </c:pt>
                <c:pt idx="33">
                  <c:v>DownTime E</c:v>
                </c:pt>
                <c:pt idx="34">
                  <c:v>DownTime F</c:v>
                </c:pt>
                <c:pt idx="35">
                  <c:v>Tool USDT F (Hour)</c:v>
                </c:pt>
                <c:pt idx="36">
                  <c:v>DownTime A</c:v>
                </c:pt>
                <c:pt idx="37">
                  <c:v>DownTime B</c:v>
                </c:pt>
                <c:pt idx="38">
                  <c:v>DownTime C</c:v>
                </c:pt>
                <c:pt idx="39">
                  <c:v>DownTime D</c:v>
                </c:pt>
                <c:pt idx="40">
                  <c:v>DownTime E</c:v>
                </c:pt>
                <c:pt idx="41">
                  <c:v>DownTime F</c:v>
                </c:pt>
                <c:pt idx="42">
                  <c:v>Tool USDT G (Hour)</c:v>
                </c:pt>
                <c:pt idx="43">
                  <c:v>DownTime A</c:v>
                </c:pt>
                <c:pt idx="44">
                  <c:v>DownTime B</c:v>
                </c:pt>
                <c:pt idx="45">
                  <c:v>DownTime C</c:v>
                </c:pt>
                <c:pt idx="46">
                  <c:v>DownTime D</c:v>
                </c:pt>
                <c:pt idx="47">
                  <c:v>DownTime E</c:v>
                </c:pt>
                <c:pt idx="48">
                  <c:v>DownTime F</c:v>
                </c:pt>
                <c:pt idx="49">
                  <c:v>Tool USDT H(Hour)</c:v>
                </c:pt>
                <c:pt idx="50">
                  <c:v>DownTime A</c:v>
                </c:pt>
                <c:pt idx="51">
                  <c:v>DownTime B</c:v>
                </c:pt>
                <c:pt idx="52">
                  <c:v>DownTime C</c:v>
                </c:pt>
                <c:pt idx="53">
                  <c:v>DownTime D</c:v>
                </c:pt>
                <c:pt idx="54">
                  <c:v>DownTime E</c:v>
                </c:pt>
                <c:pt idx="55">
                  <c:v>DownTime F</c:v>
                </c:pt>
              </c:strCache>
            </c:strRef>
          </c:cat>
          <c:val>
            <c:numRef>
              <c:f>'Micro Data Tabulation'!$BC$106:$BC$161</c:f>
              <c:numCache>
                <c:formatCode>General</c:formatCode>
                <c:ptCount val="56"/>
                <c:pt idx="0">
                  <c:v>21.400000000000002</c:v>
                </c:pt>
                <c:pt idx="1">
                  <c:v>21.400000000000002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21.599999999999994</c:v>
                </c:pt>
                <c:pt idx="8">
                  <c:v>0</c:v>
                </c:pt>
                <c:pt idx="9">
                  <c:v>21.599999999999994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21.299999999999997</c:v>
                </c:pt>
                <c:pt idx="15">
                  <c:v>0</c:v>
                </c:pt>
                <c:pt idx="16">
                  <c:v>0</c:v>
                </c:pt>
                <c:pt idx="17">
                  <c:v>21.299999999999997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21.499999999999996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21.499999999999996</c:v>
                </c:pt>
                <c:pt idx="26">
                  <c:v>0</c:v>
                </c:pt>
                <c:pt idx="27">
                  <c:v>0</c:v>
                </c:pt>
                <c:pt idx="28">
                  <c:v>20.999999999999993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20.999999999999993</c:v>
                </c:pt>
                <c:pt idx="34">
                  <c:v>0</c:v>
                </c:pt>
                <c:pt idx="35">
                  <c:v>17.2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17.2</c:v>
                </c:pt>
                <c:pt idx="42">
                  <c:v>21.799999999999994</c:v>
                </c:pt>
                <c:pt idx="43">
                  <c:v>21.799999999999994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21.299999999999997</c:v>
                </c:pt>
                <c:pt idx="50">
                  <c:v>0</c:v>
                </c:pt>
                <c:pt idx="51">
                  <c:v>21.299999999999997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5DFC-45E8-A62E-0721B4D6EF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VAS</a:t>
            </a:r>
            <a:r>
              <a:rPr lang="en-MY" baseline="0"/>
              <a:t> SUMMARY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AE0-4780-AA26-14D20DFE84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AE0-4780-AA26-14D20DFE84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AE0-4780-AA26-14D20DFE84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AE0-4780-AA26-14D20DFE84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AE0-4780-AA26-14D20DFE84A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AE0-4780-AA26-14D20DFE84A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AE0-4780-AA26-14D20DFE84A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AE0-4780-AA26-14D20DFE84A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AE0-4780-AA26-14D20DFE84A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AE0-4780-AA26-14D20DFE84A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Chart!$B$3:$B$12</c:f>
              <c:strCache>
                <c:ptCount val="10"/>
                <c:pt idx="0">
                  <c:v>USDT - Machine Failure</c:v>
                </c:pt>
                <c:pt idx="1">
                  <c:v>USDT - Machine Assist</c:v>
                </c:pt>
                <c:pt idx="2">
                  <c:v>Quality Loss - Defect</c:v>
                </c:pt>
                <c:pt idx="3">
                  <c:v>Quality Loss - Rework</c:v>
                </c:pt>
                <c:pt idx="4">
                  <c:v>Speed Loss</c:v>
                </c:pt>
                <c:pt idx="5">
                  <c:v>Labor Loss</c:v>
                </c:pt>
                <c:pt idx="6">
                  <c:v>Utility Waste</c:v>
                </c:pt>
                <c:pt idx="7">
                  <c:v>Customer Return</c:v>
                </c:pt>
                <c:pt idx="8">
                  <c:v>Material Waste</c:v>
                </c:pt>
                <c:pt idx="9">
                  <c:v>Tooling / Consulables Waste</c:v>
                </c:pt>
              </c:strCache>
            </c:strRef>
          </c:cat>
          <c:val>
            <c:numRef>
              <c:f>Chart!$C$3:$C$12</c:f>
              <c:numCache>
                <c:formatCode>General</c:formatCode>
                <c:ptCount val="10"/>
                <c:pt idx="0">
                  <c:v>430062.46979437937</c:v>
                </c:pt>
                <c:pt idx="1">
                  <c:v>0</c:v>
                </c:pt>
                <c:pt idx="2">
                  <c:v>7644.8905058054279</c:v>
                </c:pt>
                <c:pt idx="3">
                  <c:v>59955.976485998443</c:v>
                </c:pt>
                <c:pt idx="4">
                  <c:v>4352710.4689655183</c:v>
                </c:pt>
                <c:pt idx="5">
                  <c:v>51376.666666666708</c:v>
                </c:pt>
                <c:pt idx="6">
                  <c:v>19272</c:v>
                </c:pt>
                <c:pt idx="7">
                  <c:v>193.07704109589042</c:v>
                </c:pt>
                <c:pt idx="8">
                  <c:v>36736</c:v>
                </c:pt>
                <c:pt idx="9">
                  <c:v>23496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3-46BC-8B6C-DBCCF49AC1F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345258</xdr:colOff>
      <xdr:row>191</xdr:row>
      <xdr:rowOff>64214</xdr:rowOff>
    </xdr:from>
    <xdr:to>
      <xdr:col>59</xdr:col>
      <xdr:colOff>277809</xdr:colOff>
      <xdr:row>314</xdr:row>
      <xdr:rowOff>74032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8CDE09-12A3-FACA-90C2-8A7308D75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55</xdr:col>
      <xdr:colOff>69431</xdr:colOff>
      <xdr:row>105</xdr:row>
      <xdr:rowOff>12962</xdr:rowOff>
    </xdr:from>
    <xdr:to>
      <xdr:col>57</xdr:col>
      <xdr:colOff>345306</xdr:colOff>
      <xdr:row>185</xdr:row>
      <xdr:rowOff>28015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4F85B8-96DF-9DC5-CFB6-42DB879AE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56</xdr:col>
      <xdr:colOff>1776</xdr:colOff>
      <xdr:row>55</xdr:row>
      <xdr:rowOff>15176</xdr:rowOff>
    </xdr:from>
    <xdr:to>
      <xdr:col>63</xdr:col>
      <xdr:colOff>324879</xdr:colOff>
      <xdr:row>71</xdr:row>
      <xdr:rowOff>121397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D05278-84BC-32A4-7095-B5E7E8FD6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64</xdr:col>
      <xdr:colOff>15730</xdr:colOff>
      <xdr:row>55</xdr:row>
      <xdr:rowOff>33977</xdr:rowOff>
    </xdr:from>
    <xdr:to>
      <xdr:col>71</xdr:col>
      <xdr:colOff>338833</xdr:colOff>
      <xdr:row>71</xdr:row>
      <xdr:rowOff>162471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D1A45B1-F007-F41F-755C-043CA42D6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71</xdr:col>
      <xdr:colOff>547994</xdr:colOff>
      <xdr:row>55</xdr:row>
      <xdr:rowOff>43320</xdr:rowOff>
    </xdr:from>
    <xdr:to>
      <xdr:col>79</xdr:col>
      <xdr:colOff>264112</xdr:colOff>
      <xdr:row>71</xdr:row>
      <xdr:rowOff>171814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D3839D6-6A45-8E81-73E0-EFC01A574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80</xdr:col>
      <xdr:colOff>137099</xdr:colOff>
      <xdr:row>55</xdr:row>
      <xdr:rowOff>136716</xdr:rowOff>
    </xdr:from>
    <xdr:to>
      <xdr:col>87</xdr:col>
      <xdr:colOff>460202</xdr:colOff>
      <xdr:row>71</xdr:row>
      <xdr:rowOff>112057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5771B68-049E-D01D-D8BB-8A49C095D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55</xdr:col>
      <xdr:colOff>144347</xdr:colOff>
      <xdr:row>190</xdr:row>
      <xdr:rowOff>12962</xdr:rowOff>
    </xdr:from>
    <xdr:to>
      <xdr:col>57</xdr:col>
      <xdr:colOff>420222</xdr:colOff>
      <xdr:row>246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A11364-33FC-4D26-8D32-A358FB6BD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409574</xdr:colOff>
      <xdr:row>1</xdr:row>
      <xdr:rowOff>33336</xdr:rowOff>
    </xdr:from>
    <xdr:to>
      <xdr:col>14</xdr:col>
      <xdr:colOff>571499</xdr:colOff>
      <xdr:row>22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3D54DF-8984-1514-CD5F-E0D469F3D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3088-5540-4690-B1AB-F9BCD5FF61F3}">
  <dimension ref="B1:M78"/>
  <sheetViews>
    <sheetView topLeftCell="A35" zoomScale="72" zoomScaleNormal="37" workbookViewId="0">
      <selection activeCell="M38" sqref="M38"/>
    </sheetView>
  </sheetViews>
  <sheetFormatPr defaultRowHeight="15" x14ac:dyDescent="0.25"/>
  <cols>
    <col min="2" max="2" width="45.7109375" customWidth="1"/>
    <col min="3" max="3" width="39.85546875" customWidth="1"/>
    <col min="4" max="4" width="20.5703125" customWidth="1"/>
    <col min="5" max="5" width="33.85546875" customWidth="1"/>
    <col min="6" max="6" width="41.28515625" customWidth="1"/>
    <col min="7" max="7" width="29.140625" customWidth="1"/>
    <col min="8" max="8" width="28" customWidth="1"/>
    <col min="9" max="9" width="15.7109375" bestFit="1" customWidth="1"/>
    <col min="11" max="11" width="45.42578125" customWidth="1"/>
    <col min="12" max="12" width="24.7109375" customWidth="1"/>
    <col min="13" max="13" width="29" customWidth="1"/>
    <col min="14" max="14" width="22.42578125" customWidth="1"/>
    <col min="15" max="16" width="20.7109375" customWidth="1"/>
    <col min="17" max="17" width="24" customWidth="1"/>
    <col min="18" max="18" width="32.85546875" customWidth="1"/>
  </cols>
  <sheetData>
    <row r="1" spans="2:13" ht="15.75" thickBot="1" x14ac:dyDescent="0.3">
      <c r="B1" s="1"/>
      <c r="C1" s="50"/>
      <c r="D1" s="19" t="s">
        <v>54</v>
      </c>
      <c r="E1" s="19" t="s">
        <v>103</v>
      </c>
      <c r="F1" s="19" t="s">
        <v>104</v>
      </c>
      <c r="H1" s="1" t="s">
        <v>70</v>
      </c>
      <c r="K1" s="1" t="s">
        <v>69</v>
      </c>
      <c r="M1" s="1" t="s">
        <v>71</v>
      </c>
    </row>
    <row r="2" spans="2:13" ht="15.75" thickBot="1" x14ac:dyDescent="0.3">
      <c r="B2" t="s">
        <v>51</v>
      </c>
      <c r="C2" s="19" t="s">
        <v>115</v>
      </c>
      <c r="D2" s="43">
        <f>'Client Data'!C107</f>
        <v>8</v>
      </c>
      <c r="E2" s="50">
        <f>D2*60*60</f>
        <v>28800</v>
      </c>
      <c r="F2" s="43">
        <f>E2*D3</f>
        <v>86400</v>
      </c>
      <c r="H2" s="19" t="s">
        <v>67</v>
      </c>
      <c r="I2" s="43">
        <f>'Micro Data Tabulation'!BC92</f>
        <v>1309320</v>
      </c>
      <c r="K2" s="19" t="s">
        <v>60</v>
      </c>
      <c r="L2" s="46">
        <f>L3*L4*L5</f>
        <v>0.78739837432835291</v>
      </c>
      <c r="M2" s="49">
        <f>L2*100</f>
        <v>78.739837432835287</v>
      </c>
    </row>
    <row r="3" spans="2:13" ht="15.75" thickBot="1" x14ac:dyDescent="0.3">
      <c r="C3" s="19" t="s">
        <v>114</v>
      </c>
      <c r="D3" s="43">
        <f>'Client Data'!F106</f>
        <v>3</v>
      </c>
      <c r="E3" s="43"/>
      <c r="F3" s="43">
        <f>F2*C8</f>
        <v>31449600</v>
      </c>
      <c r="G3" s="61" t="s">
        <v>117</v>
      </c>
      <c r="H3" s="67" t="s">
        <v>130</v>
      </c>
      <c r="I3" s="44">
        <f>'Micro Data Tabulation'!BC94</f>
        <v>167.09999999999997</v>
      </c>
      <c r="K3" s="19" t="s">
        <v>61</v>
      </c>
      <c r="L3" s="43">
        <f>L6/L7</f>
        <v>0.98004132675608857</v>
      </c>
      <c r="M3" s="49">
        <f t="shared" ref="M3:M5" si="0">L3*100</f>
        <v>98.004132675608858</v>
      </c>
    </row>
    <row r="4" spans="2:13" ht="15.75" thickBot="1" x14ac:dyDescent="0.3">
      <c r="B4" s="61" t="s">
        <v>97</v>
      </c>
      <c r="C4" s="19" t="s">
        <v>116</v>
      </c>
      <c r="D4" s="19"/>
      <c r="E4" s="19"/>
      <c r="F4" s="43">
        <f>F3-I2</f>
        <v>30140280</v>
      </c>
      <c r="G4" s="68" t="b">
        <f>IF(F4='Micro Data Tabulation'!BC90,TRUE,FALSE)</f>
        <v>1</v>
      </c>
      <c r="H4" s="19" t="s">
        <v>100</v>
      </c>
      <c r="I4" s="50">
        <f>I3*60*60</f>
        <v>601559.99999999988</v>
      </c>
      <c r="K4" s="19" t="s">
        <v>62</v>
      </c>
      <c r="L4" s="43">
        <f>F16*E9/L6</f>
        <v>0.8037958313698087</v>
      </c>
      <c r="M4" s="49">
        <f t="shared" si="0"/>
        <v>80.37958313698087</v>
      </c>
    </row>
    <row r="5" spans="2:13" ht="15.75" thickBot="1" x14ac:dyDescent="0.3">
      <c r="B5" s="43">
        <f>'Client Data'!F107</f>
        <v>7</v>
      </c>
      <c r="C5" s="19" t="s">
        <v>68</v>
      </c>
      <c r="D5" s="19"/>
      <c r="E5" s="43"/>
      <c r="F5" s="65">
        <f>F4-I4</f>
        <v>29538720</v>
      </c>
      <c r="G5" s="68" t="b">
        <f>IF(F5='Micro Data Tabulation'!BC96,TRUE,FALSE)</f>
        <v>1</v>
      </c>
      <c r="H5" s="19" t="s">
        <v>190</v>
      </c>
      <c r="I5" s="84">
        <f>'Client Data'!C106</f>
        <v>0.9</v>
      </c>
      <c r="K5" s="19" t="s">
        <v>63</v>
      </c>
      <c r="L5" s="47">
        <f>(1-E14)</f>
        <v>0.99954965753424663</v>
      </c>
      <c r="M5" s="49">
        <f t="shared" si="0"/>
        <v>99.954965753424659</v>
      </c>
    </row>
    <row r="6" spans="2:13" ht="15.75" thickBot="1" x14ac:dyDescent="0.3">
      <c r="B6" s="64">
        <f>C8/B5</f>
        <v>52</v>
      </c>
      <c r="K6" s="19" t="s">
        <v>64</v>
      </c>
      <c r="L6" s="44">
        <f>L7-I4</f>
        <v>29538720</v>
      </c>
    </row>
    <row r="7" spans="2:13" s="2" customFormat="1" ht="27" thickBot="1" x14ac:dyDescent="0.45">
      <c r="C7" s="5" t="s">
        <v>52</v>
      </c>
      <c r="D7" s="22" t="s">
        <v>227</v>
      </c>
      <c r="E7" s="22" t="s">
        <v>118</v>
      </c>
      <c r="F7" s="37" t="s">
        <v>55</v>
      </c>
      <c r="G7" s="92" t="s">
        <v>219</v>
      </c>
      <c r="K7" s="31" t="s">
        <v>65</v>
      </c>
      <c r="L7" s="48">
        <f>F4</f>
        <v>30140280</v>
      </c>
    </row>
    <row r="8" spans="2:13" s="3" customFormat="1" ht="27" thickBot="1" x14ac:dyDescent="0.45">
      <c r="B8" s="26" t="s">
        <v>50</v>
      </c>
      <c r="C8" s="91">
        <f>'Client Data'!J106</f>
        <v>364</v>
      </c>
      <c r="D8" s="98">
        <f>I2+I4</f>
        <v>1910880</v>
      </c>
      <c r="E8" s="69">
        <f>F5</f>
        <v>29538720</v>
      </c>
      <c r="F8" s="183">
        <f>E8/E9</f>
        <v>12.645</v>
      </c>
      <c r="G8" s="185">
        <f>'Client Data'!S106</f>
        <v>2</v>
      </c>
      <c r="H8" s="185"/>
    </row>
    <row r="9" spans="2:13" s="3" customFormat="1" ht="27" thickBot="1" x14ac:dyDescent="0.45">
      <c r="B9" s="36" t="s">
        <v>53</v>
      </c>
      <c r="C9" s="66">
        <f>'Micro Data Tabulation'!BC57</f>
        <v>2336000</v>
      </c>
      <c r="D9" s="20">
        <v>0</v>
      </c>
      <c r="E9" s="41">
        <f>C9</f>
        <v>2336000</v>
      </c>
      <c r="F9" s="184"/>
      <c r="G9" s="186"/>
      <c r="H9" s="186"/>
    </row>
    <row r="10" spans="2:13" ht="43.5" customHeight="1" thickBot="1" x14ac:dyDescent="0.45">
      <c r="B10" s="32" t="s">
        <v>56</v>
      </c>
    </row>
    <row r="11" spans="2:13" s="2" customFormat="1" ht="27" thickBot="1" x14ac:dyDescent="0.45">
      <c r="B11" s="27" t="s">
        <v>0</v>
      </c>
      <c r="C11" s="28" t="s">
        <v>1</v>
      </c>
      <c r="D11" s="28" t="s">
        <v>2</v>
      </c>
      <c r="E11" s="28" t="s">
        <v>3</v>
      </c>
      <c r="F11" s="28" t="s">
        <v>4</v>
      </c>
      <c r="G11" s="28" t="s">
        <v>5</v>
      </c>
      <c r="H11" s="29" t="s">
        <v>6</v>
      </c>
      <c r="K11" s="14" t="s">
        <v>26</v>
      </c>
      <c r="L11" s="55">
        <f>SUM(L17,L16,L15,L14)</f>
        <v>0</v>
      </c>
    </row>
    <row r="12" spans="2:13" s="3" customFormat="1" ht="27" thickBot="1" x14ac:dyDescent="0.45">
      <c r="B12" s="16" t="s">
        <v>19</v>
      </c>
      <c r="C12" s="30" t="s">
        <v>7</v>
      </c>
      <c r="D12" s="30" t="s">
        <v>16</v>
      </c>
      <c r="E12" s="71">
        <f>'Micro Data Tabulation'!BC94</f>
        <v>167.09999999999997</v>
      </c>
      <c r="F12" s="71">
        <f>'Client Data'!J107</f>
        <v>0</v>
      </c>
      <c r="G12" s="38">
        <f t="shared" ref="G12:G21" si="1">F12-E12</f>
        <v>-167.09999999999997</v>
      </c>
      <c r="H12" s="17">
        <f t="shared" ref="H12:H16" si="2">IF(G12&lt;0,1,0)</f>
        <v>1</v>
      </c>
      <c r="K12" s="8" t="s">
        <v>48</v>
      </c>
      <c r="L12" s="33">
        <f>'Client Data'!S107</f>
        <v>0</v>
      </c>
    </row>
    <row r="13" spans="2:13" s="3" customFormat="1" ht="27" thickBot="1" x14ac:dyDescent="0.45">
      <c r="B13" s="9" t="s">
        <v>19</v>
      </c>
      <c r="C13" s="4" t="s">
        <v>8</v>
      </c>
      <c r="D13" s="4" t="s">
        <v>16</v>
      </c>
      <c r="E13" s="45">
        <v>0</v>
      </c>
      <c r="F13" s="45">
        <f>'Client Data'!J107</f>
        <v>0</v>
      </c>
      <c r="G13" s="38">
        <f t="shared" si="1"/>
        <v>0</v>
      </c>
      <c r="H13" s="17">
        <f t="shared" si="2"/>
        <v>0</v>
      </c>
      <c r="K13" s="9" t="s">
        <v>49</v>
      </c>
      <c r="L13" s="56">
        <f>L35/60/60</f>
        <v>6.6666666666666671E-3</v>
      </c>
    </row>
    <row r="14" spans="2:13" s="3" customFormat="1" ht="27" thickBot="1" x14ac:dyDescent="0.45">
      <c r="B14" s="9" t="s">
        <v>289</v>
      </c>
      <c r="C14" s="4" t="s">
        <v>9</v>
      </c>
      <c r="D14" s="4" t="s">
        <v>43</v>
      </c>
      <c r="E14" s="127">
        <f>1-'Micro Data Tabulation'!BC64</f>
        <v>4.5034246575337278E-4</v>
      </c>
      <c r="F14" s="127">
        <f>1-'Client Data'!M106</f>
        <v>2.464554794520124E-4</v>
      </c>
      <c r="G14" s="128">
        <f t="shared" si="1"/>
        <v>-2.0388698630136037E-4</v>
      </c>
      <c r="H14" s="17">
        <f t="shared" si="2"/>
        <v>1</v>
      </c>
      <c r="K14" s="9" t="s">
        <v>132</v>
      </c>
      <c r="L14" s="13">
        <f>L12*L13</f>
        <v>0</v>
      </c>
    </row>
    <row r="15" spans="2:13" s="3" customFormat="1" ht="27" thickBot="1" x14ac:dyDescent="0.45">
      <c r="B15" s="9" t="s">
        <v>290</v>
      </c>
      <c r="C15" s="4" t="s">
        <v>10</v>
      </c>
      <c r="D15" s="4" t="s">
        <v>43</v>
      </c>
      <c r="E15" s="127">
        <f>'Micro Data Tabulation'!BC75/'Micro Data Tabulation'!BC57</f>
        <v>2.1592465753424656E-3</v>
      </c>
      <c r="F15" s="127">
        <f>'Client Data'!M107</f>
        <v>4.1862157534246577E-4</v>
      </c>
      <c r="G15" s="128">
        <f t="shared" si="1"/>
        <v>-1.7406249999999998E-3</v>
      </c>
      <c r="H15" s="17">
        <f t="shared" si="2"/>
        <v>1</v>
      </c>
      <c r="K15" s="9" t="s">
        <v>30</v>
      </c>
      <c r="L15" s="13">
        <f>'Client Data'!W106</f>
        <v>0</v>
      </c>
    </row>
    <row r="16" spans="2:13" s="3" customFormat="1" ht="27" thickBot="1" x14ac:dyDescent="0.45">
      <c r="B16" s="9" t="s">
        <v>44</v>
      </c>
      <c r="C16" s="4" t="s">
        <v>12</v>
      </c>
      <c r="D16" s="4" t="s">
        <v>17</v>
      </c>
      <c r="E16" s="45">
        <f>F8</f>
        <v>12.645</v>
      </c>
      <c r="F16" s="45">
        <f>'Client Data'!P106</f>
        <v>10.163998287671232</v>
      </c>
      <c r="G16" s="38">
        <f t="shared" si="1"/>
        <v>-2.4810017123287675</v>
      </c>
      <c r="H16" s="17">
        <f t="shared" si="2"/>
        <v>1</v>
      </c>
      <c r="K16" s="10" t="s">
        <v>29</v>
      </c>
      <c r="L16" s="34">
        <f>'Client Data'!W107</f>
        <v>0</v>
      </c>
    </row>
    <row r="17" spans="2:12" s="3" customFormat="1" ht="27" thickBot="1" x14ac:dyDescent="0.45">
      <c r="B17" s="9" t="s">
        <v>66</v>
      </c>
      <c r="C17" s="4" t="s">
        <v>13</v>
      </c>
      <c r="D17" s="4" t="s">
        <v>76</v>
      </c>
      <c r="E17" s="51">
        <f>D2*D3*C8*G8</f>
        <v>17472</v>
      </c>
      <c r="F17" s="51">
        <f>C9*F16*G8/60/60</f>
        <v>13190.611111111108</v>
      </c>
      <c r="G17" s="38">
        <f t="shared" si="1"/>
        <v>-4281.3888888888923</v>
      </c>
      <c r="H17" s="17">
        <f>IF(G17&lt;0,1,0)</f>
        <v>1</v>
      </c>
      <c r="K17" s="7" t="s">
        <v>47</v>
      </c>
      <c r="L17" s="12">
        <f>L20*L12/L19</f>
        <v>0</v>
      </c>
    </row>
    <row r="18" spans="2:12" s="3" customFormat="1" ht="27" thickBot="1" x14ac:dyDescent="0.45">
      <c r="B18" s="9" t="s">
        <v>81</v>
      </c>
      <c r="C18" s="4" t="s">
        <v>45</v>
      </c>
      <c r="D18" s="4" t="s">
        <v>82</v>
      </c>
      <c r="E18" s="51">
        <f>D48</f>
        <v>73000</v>
      </c>
      <c r="F18" s="51">
        <f>E48</f>
        <v>53728</v>
      </c>
      <c r="G18" s="38">
        <f t="shared" si="1"/>
        <v>-19272</v>
      </c>
      <c r="H18" s="17">
        <f t="shared" ref="H18:H21" si="3">IF(G18&lt;0,1,0)</f>
        <v>1</v>
      </c>
      <c r="K18" s="8" t="s">
        <v>120</v>
      </c>
      <c r="L18" s="33">
        <f>G16*(-1)</f>
        <v>2.4810017123287675</v>
      </c>
    </row>
    <row r="19" spans="2:12" s="3" customFormat="1" ht="27" thickBot="1" x14ac:dyDescent="0.45">
      <c r="B19" s="10" t="s">
        <v>72</v>
      </c>
      <c r="C19" s="6" t="s">
        <v>46</v>
      </c>
      <c r="D19" s="6" t="s">
        <v>18</v>
      </c>
      <c r="E19" s="62">
        <f>'Client Data'!P107</f>
        <v>12</v>
      </c>
      <c r="F19" s="62">
        <v>0</v>
      </c>
      <c r="G19" s="38">
        <f t="shared" si="1"/>
        <v>-12</v>
      </c>
      <c r="H19" s="17">
        <f t="shared" si="3"/>
        <v>1</v>
      </c>
      <c r="K19" s="10" t="s">
        <v>27</v>
      </c>
      <c r="L19" s="34">
        <f>F16</f>
        <v>10.163998287671232</v>
      </c>
    </row>
    <row r="20" spans="2:12" ht="27" thickBot="1" x14ac:dyDescent="0.45">
      <c r="B20" s="9" t="s">
        <v>37</v>
      </c>
      <c r="C20" s="4" t="s">
        <v>39</v>
      </c>
      <c r="D20" s="4" t="s">
        <v>82</v>
      </c>
      <c r="E20" s="51">
        <f>D64</f>
        <v>122000</v>
      </c>
      <c r="F20" s="51">
        <f>E64</f>
        <v>85264</v>
      </c>
      <c r="G20" s="38">
        <f t="shared" si="1"/>
        <v>-36736</v>
      </c>
      <c r="H20" s="17">
        <f t="shared" si="3"/>
        <v>1</v>
      </c>
      <c r="K20" s="7" t="s">
        <v>28</v>
      </c>
      <c r="L20" s="12">
        <f>L21-L22</f>
        <v>-16.089753424657534</v>
      </c>
    </row>
    <row r="21" spans="2:12" ht="27" thickBot="1" x14ac:dyDescent="0.45">
      <c r="B21" s="11" t="s">
        <v>38</v>
      </c>
      <c r="C21" s="20" t="s">
        <v>40</v>
      </c>
      <c r="D21" s="20" t="s">
        <v>82</v>
      </c>
      <c r="E21" s="63">
        <f>D78</f>
        <v>173000</v>
      </c>
      <c r="F21" s="63">
        <f>E78</f>
        <v>149504</v>
      </c>
      <c r="G21" s="38">
        <f t="shared" si="1"/>
        <v>-23496</v>
      </c>
      <c r="H21" s="17">
        <f t="shared" si="3"/>
        <v>1</v>
      </c>
      <c r="K21" s="8" t="s">
        <v>36</v>
      </c>
      <c r="L21" s="33">
        <f>'Client Data'!Z106</f>
        <v>0</v>
      </c>
    </row>
    <row r="22" spans="2:12" ht="27" thickBot="1" x14ac:dyDescent="0.45">
      <c r="K22" s="11" t="s">
        <v>124</v>
      </c>
      <c r="L22" s="70">
        <f>L26</f>
        <v>16.089753424657534</v>
      </c>
    </row>
    <row r="24" spans="2:12" ht="26.25" x14ac:dyDescent="0.4">
      <c r="K24" s="3"/>
      <c r="L24" s="3"/>
    </row>
    <row r="25" spans="2:12" ht="27" thickBot="1" x14ac:dyDescent="0.45">
      <c r="K25" s="3"/>
      <c r="L25" s="3"/>
    </row>
    <row r="26" spans="2:12" ht="27" thickBot="1" x14ac:dyDescent="0.45">
      <c r="K26" s="15" t="s">
        <v>121</v>
      </c>
      <c r="L26" s="12">
        <f>SUM(L27:L29)</f>
        <v>16.089753424657534</v>
      </c>
    </row>
    <row r="27" spans="2:12" ht="27" thickBot="1" x14ac:dyDescent="0.45">
      <c r="K27" s="8" t="s">
        <v>31</v>
      </c>
      <c r="L27" s="33">
        <f>'Client Data'!Z107</f>
        <v>8</v>
      </c>
    </row>
    <row r="28" spans="2:12" s="1" customFormat="1" ht="27" thickBot="1" x14ac:dyDescent="0.45">
      <c r="B28" s="5" t="s">
        <v>0</v>
      </c>
      <c r="C28" s="22" t="s">
        <v>57</v>
      </c>
      <c r="D28" s="23" t="s">
        <v>20</v>
      </c>
      <c r="E28" s="26" t="s">
        <v>58</v>
      </c>
      <c r="F28" s="26" t="s">
        <v>21</v>
      </c>
      <c r="G28" s="31" t="s">
        <v>59</v>
      </c>
      <c r="H28" s="99" t="s">
        <v>333</v>
      </c>
      <c r="K28" s="9" t="s">
        <v>32</v>
      </c>
      <c r="L28" s="60">
        <f>L37/C9*L32</f>
        <v>8.9753424657534248E-2</v>
      </c>
    </row>
    <row r="29" spans="2:12" ht="27" thickBot="1" x14ac:dyDescent="0.45">
      <c r="B29" s="8" t="s">
        <v>22</v>
      </c>
      <c r="C29" s="21">
        <f>G12*(-1)</f>
        <v>167.09999999999997</v>
      </c>
      <c r="D29" s="24">
        <f>'Micro Data Tabulation'!W4</f>
        <v>2573.6832423362025</v>
      </c>
      <c r="E29" s="74">
        <f t="shared" ref="E29:E34" si="4">C29*D29</f>
        <v>430062.46979437937</v>
      </c>
      <c r="F29" s="74">
        <f>E29/B6*52</f>
        <v>430062.46979437937</v>
      </c>
      <c r="G29" s="75">
        <f>F29*5</f>
        <v>2150312.3489718968</v>
      </c>
      <c r="H29" s="99" t="b">
        <f>AND(E29,'Micro Data Tabulation'!C180)</f>
        <v>1</v>
      </c>
      <c r="K29" s="11" t="s">
        <v>42</v>
      </c>
      <c r="L29" s="70">
        <f>'Client Data'!AC106</f>
        <v>8</v>
      </c>
    </row>
    <row r="30" spans="2:12" ht="27" thickBot="1" x14ac:dyDescent="0.45">
      <c r="B30" s="9" t="s">
        <v>23</v>
      </c>
      <c r="C30" s="21">
        <f>G13*(-1)</f>
        <v>0</v>
      </c>
      <c r="D30" s="25">
        <f>D29</f>
        <v>2573.6832423362025</v>
      </c>
      <c r="E30" s="76">
        <f t="shared" si="4"/>
        <v>0</v>
      </c>
      <c r="F30" s="74">
        <f>E30/B6*52</f>
        <v>0</v>
      </c>
      <c r="G30" s="75">
        <f t="shared" ref="G30:G38" si="5">F30*5</f>
        <v>0</v>
      </c>
      <c r="H30" s="99"/>
    </row>
    <row r="31" spans="2:12" ht="27" thickBot="1" x14ac:dyDescent="0.45">
      <c r="B31" s="9" t="s">
        <v>24</v>
      </c>
      <c r="C31" s="18">
        <f>C9*G14*-1</f>
        <v>476.2799999999778</v>
      </c>
      <c r="D31" s="25">
        <f>SUM('Micro Data Tabulation'!BC445:BC452)/('Val Size'!G14*(-1)*'Val Size'!C9)</f>
        <v>16.051252426735921</v>
      </c>
      <c r="E31" s="76">
        <f t="shared" si="4"/>
        <v>7644.8905058054279</v>
      </c>
      <c r="F31" s="74">
        <f>E31/(B6)*52</f>
        <v>7644.8905058054288</v>
      </c>
      <c r="G31" s="75">
        <f t="shared" si="5"/>
        <v>38224.452529027141</v>
      </c>
      <c r="H31" s="99" t="b">
        <f>AND(E31,SUM('Micro Data Tabulation'!BC445:BC452))</f>
        <v>1</v>
      </c>
      <c r="K31" s="7" t="s">
        <v>33</v>
      </c>
      <c r="L31" s="40">
        <f>SUM(L33,L34,L35)</f>
        <v>-5644.8510514633726</v>
      </c>
    </row>
    <row r="32" spans="2:12" ht="26.25" x14ac:dyDescent="0.4">
      <c r="B32" s="9" t="s">
        <v>25</v>
      </c>
      <c r="C32" s="18">
        <f>C9*G15*(-1)</f>
        <v>4066.0999999999995</v>
      </c>
      <c r="D32" s="25">
        <f>SUM('Micro Data Tabulation'!BC714:BC721)/(-1*SUM('Micro Data Tabulation'!BC763:BC782)*'Val Size'!G15)</f>
        <v>14.745327583187441</v>
      </c>
      <c r="E32" s="76">
        <f t="shared" si="4"/>
        <v>59955.976485998443</v>
      </c>
      <c r="F32" s="74">
        <f>E32/(B6)*52</f>
        <v>59955.976485998443</v>
      </c>
      <c r="G32" s="75">
        <f t="shared" si="5"/>
        <v>299779.8824299922</v>
      </c>
      <c r="H32" s="99" t="b">
        <f>AND(E32,SUM('Micro Data Tabulation'!BC714:BC721))</f>
        <v>1</v>
      </c>
      <c r="K32" s="8" t="s">
        <v>122</v>
      </c>
      <c r="L32" s="33">
        <f>'Client Data'!AC107</f>
        <v>12</v>
      </c>
    </row>
    <row r="33" spans="2:12" ht="26.25" x14ac:dyDescent="0.4">
      <c r="B33" s="9" t="s">
        <v>11</v>
      </c>
      <c r="C33" s="18">
        <f>G16*-1*E9</f>
        <v>5795620.0000000009</v>
      </c>
      <c r="D33" s="25">
        <f>'Micro Data Tabulation'!C318/60/60</f>
        <v>0.75103448275862073</v>
      </c>
      <c r="E33" s="76">
        <f t="shared" si="4"/>
        <v>4352710.4689655183</v>
      </c>
      <c r="F33" s="74">
        <f>E33/B6*52</f>
        <v>4352710.4689655183</v>
      </c>
      <c r="G33" s="75">
        <f t="shared" si="5"/>
        <v>21763552.344827592</v>
      </c>
      <c r="H33" s="99" t="b">
        <f>AND(E33,'Micro Data Tabulation'!BD848)</f>
        <v>1</v>
      </c>
      <c r="K33" s="9" t="s">
        <v>34</v>
      </c>
      <c r="L33" s="13">
        <f>'Client Data'!AF106</f>
        <v>30</v>
      </c>
    </row>
    <row r="34" spans="2:12" ht="27" thickBot="1" x14ac:dyDescent="0.45">
      <c r="B34" s="4" t="s">
        <v>66</v>
      </c>
      <c r="C34" s="51">
        <f>L38</f>
        <v>4281.3888888888923</v>
      </c>
      <c r="D34" s="52">
        <f>L32</f>
        <v>12</v>
      </c>
      <c r="E34" s="75">
        <f t="shared" si="4"/>
        <v>51376.666666666708</v>
      </c>
      <c r="F34" s="74">
        <f>E34/B6*52</f>
        <v>51376.666666666708</v>
      </c>
      <c r="G34" s="75">
        <f t="shared" si="5"/>
        <v>256883.33333333355</v>
      </c>
      <c r="H34" s="99" t="b">
        <f>AND(E34,'Micro Data Tabulation'!BB759)</f>
        <v>1</v>
      </c>
      <c r="K34" s="11" t="s">
        <v>35</v>
      </c>
      <c r="L34" s="39">
        <f>L20*(60*60)/F16</f>
        <v>-5698.8510514633726</v>
      </c>
    </row>
    <row r="35" spans="2:12" ht="27" thickBot="1" x14ac:dyDescent="0.45">
      <c r="B35" s="4" t="s">
        <v>81</v>
      </c>
      <c r="C35" s="18">
        <f>G18*-1</f>
        <v>19272</v>
      </c>
      <c r="D35" s="18">
        <f>1</f>
        <v>1</v>
      </c>
      <c r="E35" s="77">
        <f>C35*D35</f>
        <v>19272</v>
      </c>
      <c r="F35" s="74">
        <f>E35/B6*52</f>
        <v>19272</v>
      </c>
      <c r="G35" s="75">
        <f t="shared" si="5"/>
        <v>96360</v>
      </c>
      <c r="H35" s="99"/>
      <c r="K35" s="42" t="s">
        <v>123</v>
      </c>
      <c r="L35" s="54">
        <f>L32*G8</f>
        <v>24</v>
      </c>
    </row>
    <row r="36" spans="2:12" ht="26.25" x14ac:dyDescent="0.4">
      <c r="B36" s="4" t="s">
        <v>15</v>
      </c>
      <c r="C36" s="18">
        <f>G19*-1</f>
        <v>12</v>
      </c>
      <c r="D36" s="18">
        <f>L26</f>
        <v>16.089753424657534</v>
      </c>
      <c r="E36" s="77">
        <f>C36*D36</f>
        <v>193.07704109589042</v>
      </c>
      <c r="F36" s="74">
        <f>E36/B6*52</f>
        <v>193.07704109589042</v>
      </c>
      <c r="G36" s="75">
        <f t="shared" si="5"/>
        <v>965.38520547945211</v>
      </c>
      <c r="H36" s="99"/>
      <c r="K36" s="16" t="s">
        <v>73</v>
      </c>
      <c r="L36" s="57">
        <f>G8*F16*C9/60/60</f>
        <v>13190.611111111108</v>
      </c>
    </row>
    <row r="37" spans="2:12" ht="27" thickBot="1" x14ac:dyDescent="0.45">
      <c r="B37" s="4" t="s">
        <v>37</v>
      </c>
      <c r="C37" s="18">
        <f>G20*-1</f>
        <v>36736</v>
      </c>
      <c r="D37" s="50">
        <f>1</f>
        <v>1</v>
      </c>
      <c r="E37" s="77">
        <f t="shared" ref="E37" si="6">C37*D37</f>
        <v>36736</v>
      </c>
      <c r="F37" s="74">
        <f>E37/B6*52</f>
        <v>36736</v>
      </c>
      <c r="G37" s="75">
        <f t="shared" si="5"/>
        <v>183680</v>
      </c>
      <c r="H37" s="99"/>
      <c r="K37" s="11" t="s">
        <v>74</v>
      </c>
      <c r="L37" s="58">
        <f>D2*D3*C8*G8</f>
        <v>17472</v>
      </c>
    </row>
    <row r="38" spans="2:12" ht="27" thickBot="1" x14ac:dyDescent="0.45">
      <c r="B38" s="4" t="s">
        <v>41</v>
      </c>
      <c r="C38" s="18">
        <f>G21*-1</f>
        <v>23496</v>
      </c>
      <c r="D38" s="50">
        <f>1</f>
        <v>1</v>
      </c>
      <c r="E38" s="77">
        <f>C38*D38</f>
        <v>23496</v>
      </c>
      <c r="F38" s="74">
        <f>E38/B6*52</f>
        <v>23496</v>
      </c>
      <c r="G38" s="75">
        <f t="shared" si="5"/>
        <v>117480</v>
      </c>
      <c r="H38" s="99"/>
      <c r="K38" s="53" t="s">
        <v>75</v>
      </c>
      <c r="L38" s="59">
        <f>L37-L36</f>
        <v>4281.3888888888923</v>
      </c>
    </row>
    <row r="39" spans="2:12" x14ac:dyDescent="0.25">
      <c r="D39" s="61" t="s">
        <v>88</v>
      </c>
      <c r="E39" s="78">
        <f>SUM(E29:E38)</f>
        <v>4981447.5494594648</v>
      </c>
      <c r="F39" s="78"/>
      <c r="G39" s="78"/>
    </row>
    <row r="42" spans="2:12" x14ac:dyDescent="0.25">
      <c r="B42" s="61" t="s">
        <v>14</v>
      </c>
      <c r="C42" s="61" t="s">
        <v>80</v>
      </c>
      <c r="D42" s="61" t="s">
        <v>84</v>
      </c>
      <c r="E42" s="61" t="s">
        <v>83</v>
      </c>
      <c r="F42" s="61" t="s">
        <v>85</v>
      </c>
      <c r="G42" s="19"/>
    </row>
    <row r="43" spans="2:12" x14ac:dyDescent="0.25">
      <c r="B43" s="35" t="s">
        <v>77</v>
      </c>
      <c r="C43" s="35">
        <v>0.01</v>
      </c>
      <c r="D43" s="35">
        <v>15000</v>
      </c>
      <c r="E43" s="50">
        <f>C43*C9</f>
        <v>23360</v>
      </c>
      <c r="F43" s="50">
        <f>D43-E43</f>
        <v>-8360</v>
      </c>
      <c r="G43" s="19"/>
    </row>
    <row r="44" spans="2:12" x14ac:dyDescent="0.25">
      <c r="B44" s="35" t="s">
        <v>78</v>
      </c>
      <c r="C44" s="35">
        <v>5.0000000000000001E-3</v>
      </c>
      <c r="D44" s="35">
        <v>36000</v>
      </c>
      <c r="E44" s="50">
        <f>C44*C9</f>
        <v>11680</v>
      </c>
      <c r="F44" s="50">
        <f t="shared" ref="F44:F47" si="7">D44-E44</f>
        <v>24320</v>
      </c>
      <c r="G44" s="19"/>
    </row>
    <row r="45" spans="2:12" x14ac:dyDescent="0.25">
      <c r="B45" s="35" t="s">
        <v>79</v>
      </c>
      <c r="C45" s="35">
        <v>8.0000000000000002E-3</v>
      </c>
      <c r="D45" s="35">
        <v>22000</v>
      </c>
      <c r="E45" s="50">
        <f>C45*C9</f>
        <v>18688</v>
      </c>
      <c r="F45" s="50">
        <f t="shared" si="7"/>
        <v>3312</v>
      </c>
      <c r="G45" s="19"/>
    </row>
    <row r="46" spans="2:12" x14ac:dyDescent="0.25">
      <c r="B46" s="35"/>
      <c r="C46" s="35"/>
      <c r="D46" s="35"/>
      <c r="E46" s="50">
        <f>C46*C9</f>
        <v>0</v>
      </c>
      <c r="F46" s="50">
        <f t="shared" si="7"/>
        <v>0</v>
      </c>
      <c r="G46" s="19"/>
    </row>
    <row r="47" spans="2:12" x14ac:dyDescent="0.25">
      <c r="B47" s="35"/>
      <c r="C47" s="35"/>
      <c r="D47" s="35"/>
      <c r="E47" s="50"/>
      <c r="F47" s="50">
        <f t="shared" si="7"/>
        <v>0</v>
      </c>
      <c r="G47" s="19"/>
    </row>
    <row r="48" spans="2:12" x14ac:dyDescent="0.25">
      <c r="D48" s="50">
        <f>SUM(D43:D47)</f>
        <v>73000</v>
      </c>
      <c r="E48" s="50">
        <f>SUM(E43:E47)</f>
        <v>53728</v>
      </c>
      <c r="F48" s="50">
        <f>SUM(F43:F47)</f>
        <v>19272</v>
      </c>
      <c r="G48" s="19"/>
    </row>
    <row r="54" spans="2:7" x14ac:dyDescent="0.25">
      <c r="B54" s="61" t="s">
        <v>87</v>
      </c>
      <c r="C54" s="61" t="s">
        <v>80</v>
      </c>
      <c r="D54" s="61" t="s">
        <v>84</v>
      </c>
      <c r="E54" s="61" t="s">
        <v>83</v>
      </c>
      <c r="F54" s="61" t="s">
        <v>85</v>
      </c>
      <c r="G54" s="19"/>
    </row>
    <row r="55" spans="2:7" x14ac:dyDescent="0.25">
      <c r="B55" s="35" t="s">
        <v>133</v>
      </c>
      <c r="C55" s="35">
        <v>0.01</v>
      </c>
      <c r="D55" s="35">
        <v>8000</v>
      </c>
      <c r="E55" s="50">
        <f>C55*C9</f>
        <v>23360</v>
      </c>
      <c r="F55" s="50">
        <f>D55-E55</f>
        <v>-15360</v>
      </c>
      <c r="G55" s="19"/>
    </row>
    <row r="56" spans="2:7" x14ac:dyDescent="0.25">
      <c r="B56" s="35" t="s">
        <v>134</v>
      </c>
      <c r="C56" s="35">
        <v>0.01</v>
      </c>
      <c r="D56" s="35">
        <v>40000</v>
      </c>
      <c r="E56" s="50">
        <f>C56*C9</f>
        <v>23360</v>
      </c>
      <c r="F56" s="50">
        <f t="shared" ref="F56:F63" si="8">D56-E56</f>
        <v>16640</v>
      </c>
      <c r="G56" s="19"/>
    </row>
    <row r="57" spans="2:7" x14ac:dyDescent="0.25">
      <c r="B57" s="35" t="s">
        <v>135</v>
      </c>
      <c r="C57" s="35">
        <v>1.2E-2</v>
      </c>
      <c r="D57" s="35">
        <v>38000</v>
      </c>
      <c r="E57" s="50">
        <f>C57*C9</f>
        <v>28032</v>
      </c>
      <c r="F57" s="50">
        <f t="shared" si="8"/>
        <v>9968</v>
      </c>
      <c r="G57" s="19"/>
    </row>
    <row r="58" spans="2:7" x14ac:dyDescent="0.25">
      <c r="B58" s="35" t="s">
        <v>136</v>
      </c>
      <c r="C58" s="35">
        <v>4.4999999999999997E-3</v>
      </c>
      <c r="D58" s="35">
        <v>36000</v>
      </c>
      <c r="E58" s="50">
        <f>C58*C9</f>
        <v>10512</v>
      </c>
      <c r="F58" s="50">
        <f t="shared" si="8"/>
        <v>25488</v>
      </c>
      <c r="G58" s="19"/>
    </row>
    <row r="59" spans="2:7" x14ac:dyDescent="0.25">
      <c r="B59" s="35"/>
      <c r="C59" s="35"/>
      <c r="D59" s="35"/>
      <c r="E59" s="50">
        <f>C59*C9</f>
        <v>0</v>
      </c>
      <c r="F59" s="50">
        <f t="shared" si="8"/>
        <v>0</v>
      </c>
      <c r="G59" s="19"/>
    </row>
    <row r="60" spans="2:7" x14ac:dyDescent="0.25">
      <c r="B60" s="35"/>
      <c r="C60" s="35"/>
      <c r="D60" s="35"/>
      <c r="E60" s="50">
        <f>C60*C9</f>
        <v>0</v>
      </c>
      <c r="F60" s="50">
        <f t="shared" si="8"/>
        <v>0</v>
      </c>
      <c r="G60" s="19"/>
    </row>
    <row r="61" spans="2:7" x14ac:dyDescent="0.25">
      <c r="B61" s="35"/>
      <c r="C61" s="35"/>
      <c r="D61" s="35"/>
      <c r="E61" s="50">
        <f>C61*C9</f>
        <v>0</v>
      </c>
      <c r="F61" s="50">
        <f t="shared" si="8"/>
        <v>0</v>
      </c>
      <c r="G61" s="19"/>
    </row>
    <row r="62" spans="2:7" x14ac:dyDescent="0.25">
      <c r="B62" s="35"/>
      <c r="C62" s="35"/>
      <c r="D62" s="35"/>
      <c r="E62" s="50">
        <f>C62*C9</f>
        <v>0</v>
      </c>
      <c r="F62" s="50">
        <f t="shared" si="8"/>
        <v>0</v>
      </c>
      <c r="G62" s="19"/>
    </row>
    <row r="63" spans="2:7" x14ac:dyDescent="0.25">
      <c r="B63" s="35"/>
      <c r="C63" s="35"/>
      <c r="D63" s="35"/>
      <c r="E63" s="50">
        <f>C63*C9</f>
        <v>0</v>
      </c>
      <c r="F63" s="50">
        <f t="shared" si="8"/>
        <v>0</v>
      </c>
      <c r="G63" s="19"/>
    </row>
    <row r="64" spans="2:7" x14ac:dyDescent="0.25">
      <c r="D64" s="50">
        <f>SUM(D55:D63)</f>
        <v>122000</v>
      </c>
      <c r="E64" s="50">
        <f>SUM(E55:E63)</f>
        <v>85264</v>
      </c>
      <c r="F64" s="50">
        <f>SUM(F55:F63)</f>
        <v>36736</v>
      </c>
      <c r="G64" s="19"/>
    </row>
    <row r="68" spans="2:7" x14ac:dyDescent="0.25">
      <c r="B68" s="61" t="s">
        <v>86</v>
      </c>
      <c r="C68" s="61" t="s">
        <v>80</v>
      </c>
      <c r="D68" s="61" t="s">
        <v>84</v>
      </c>
      <c r="E68" s="61" t="s">
        <v>83</v>
      </c>
      <c r="F68" s="61" t="s">
        <v>85</v>
      </c>
      <c r="G68" s="19"/>
    </row>
    <row r="69" spans="2:7" x14ac:dyDescent="0.25">
      <c r="B69" s="35">
        <v>1</v>
      </c>
      <c r="C69" s="35">
        <v>8.0000000000000002E-3</v>
      </c>
      <c r="D69" s="35">
        <v>40000</v>
      </c>
      <c r="E69" s="50">
        <f>C69*C9</f>
        <v>18688</v>
      </c>
      <c r="F69" s="50">
        <f>D69-E69</f>
        <v>21312</v>
      </c>
      <c r="G69" s="19"/>
    </row>
    <row r="70" spans="2:7" x14ac:dyDescent="0.25">
      <c r="B70" s="35">
        <v>2</v>
      </c>
      <c r="C70" s="35">
        <v>0.01</v>
      </c>
      <c r="D70" s="35">
        <v>20000</v>
      </c>
      <c r="E70" s="50">
        <f>C70*C9</f>
        <v>23360</v>
      </c>
      <c r="F70" s="50">
        <f t="shared" ref="F70:F77" si="9">D70-E70</f>
        <v>-3360</v>
      </c>
      <c r="G70" s="19"/>
    </row>
    <row r="71" spans="2:7" x14ac:dyDescent="0.25">
      <c r="B71" s="35">
        <v>3</v>
      </c>
      <c r="C71" s="35">
        <v>8.0000000000000002E-3</v>
      </c>
      <c r="D71" s="35">
        <v>9000</v>
      </c>
      <c r="E71" s="50">
        <f>C71*C9</f>
        <v>18688</v>
      </c>
      <c r="F71" s="50">
        <f t="shared" si="9"/>
        <v>-9688</v>
      </c>
      <c r="G71" s="19"/>
    </row>
    <row r="72" spans="2:7" x14ac:dyDescent="0.25">
      <c r="B72" s="35">
        <v>4</v>
      </c>
      <c r="C72" s="35">
        <v>8.9999999999999993E-3</v>
      </c>
      <c r="D72" s="35">
        <v>45000</v>
      </c>
      <c r="E72" s="50">
        <f>C72*C9</f>
        <v>21024</v>
      </c>
      <c r="F72" s="50">
        <f t="shared" si="9"/>
        <v>23976</v>
      </c>
      <c r="G72" s="19"/>
    </row>
    <row r="73" spans="2:7" x14ac:dyDescent="0.25">
      <c r="B73" s="35">
        <v>5</v>
      </c>
      <c r="C73" s="35">
        <v>0.01</v>
      </c>
      <c r="D73" s="35">
        <v>9000</v>
      </c>
      <c r="E73" s="50">
        <f>C73*C9</f>
        <v>23360</v>
      </c>
      <c r="F73" s="50">
        <f t="shared" si="9"/>
        <v>-14360</v>
      </c>
      <c r="G73" s="19"/>
    </row>
    <row r="74" spans="2:7" x14ac:dyDescent="0.25">
      <c r="B74" s="35">
        <v>5</v>
      </c>
      <c r="C74" s="35">
        <v>8.9999999999999993E-3</v>
      </c>
      <c r="D74" s="35">
        <v>22000</v>
      </c>
      <c r="E74" s="50">
        <f>C74*C9</f>
        <v>21024</v>
      </c>
      <c r="F74" s="50">
        <f t="shared" si="9"/>
        <v>976</v>
      </c>
      <c r="G74" s="19"/>
    </row>
    <row r="75" spans="2:7" x14ac:dyDescent="0.25">
      <c r="B75" s="35">
        <v>6</v>
      </c>
      <c r="C75" s="35">
        <v>0.01</v>
      </c>
      <c r="D75" s="35">
        <v>28000</v>
      </c>
      <c r="E75" s="50">
        <f>C75*C9</f>
        <v>23360</v>
      </c>
      <c r="F75" s="50">
        <f t="shared" si="9"/>
        <v>4640</v>
      </c>
      <c r="G75" s="19"/>
    </row>
    <row r="76" spans="2:7" x14ac:dyDescent="0.25">
      <c r="B76" s="35"/>
      <c r="C76" s="35"/>
      <c r="D76" s="35"/>
      <c r="E76" s="50">
        <f>C76*C23</f>
        <v>0</v>
      </c>
      <c r="F76" s="50">
        <f t="shared" si="9"/>
        <v>0</v>
      </c>
      <c r="G76" s="19"/>
    </row>
    <row r="77" spans="2:7" x14ac:dyDescent="0.25">
      <c r="B77" s="35"/>
      <c r="C77" s="35"/>
      <c r="D77" s="35"/>
      <c r="E77" s="50">
        <f>C77*C23</f>
        <v>0</v>
      </c>
      <c r="F77" s="50">
        <f t="shared" si="9"/>
        <v>0</v>
      </c>
      <c r="G77" s="19"/>
    </row>
    <row r="78" spans="2:7" x14ac:dyDescent="0.25">
      <c r="D78" s="50">
        <f>SUM(D69:D77)</f>
        <v>173000</v>
      </c>
      <c r="E78" s="50">
        <f>SUM(E69:E77)</f>
        <v>149504</v>
      </c>
      <c r="F78" s="50">
        <f>SUM(F69:F77)</f>
        <v>23496</v>
      </c>
      <c r="G78" s="19"/>
    </row>
  </sheetData>
  <autoFilter ref="B11:H21" xr:uid="{92AD3088-5540-4690-B1AB-F9BCD5FF61F3}"/>
  <sortState xmlns:xlrd2="http://schemas.microsoft.com/office/spreadsheetml/2017/richdata2" ref="B12:H21">
    <sortCondition sortBy="icon" ref="G11:G21"/>
  </sortState>
  <mergeCells count="3">
    <mergeCell ref="F8:F9"/>
    <mergeCell ref="G8:G9"/>
    <mergeCell ref="H8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915C-DEA9-4051-AC73-BA537B5E02E4}">
  <dimension ref="A1:BM512"/>
  <sheetViews>
    <sheetView topLeftCell="A297" zoomScale="94" workbookViewId="0">
      <selection activeCell="A326" sqref="A326:B326"/>
    </sheetView>
  </sheetViews>
  <sheetFormatPr defaultRowHeight="15" x14ac:dyDescent="0.25"/>
  <cols>
    <col min="2" max="2" width="24" customWidth="1"/>
    <col min="3" max="3" width="11.28515625" customWidth="1"/>
    <col min="10" max="10" width="9.140625" customWidth="1"/>
    <col min="29" max="29" width="13.5703125" bestFit="1" customWidth="1"/>
    <col min="31" max="31" width="12" bestFit="1" customWidth="1"/>
    <col min="40" max="40" width="13.5703125" bestFit="1" customWidth="1"/>
    <col min="45" max="45" width="13.5703125" bestFit="1" customWidth="1"/>
    <col min="57" max="57" width="10.85546875" customWidth="1"/>
    <col min="73" max="73" width="11.140625" bestFit="1" customWidth="1"/>
  </cols>
  <sheetData>
    <row r="1" spans="1:65" x14ac:dyDescent="0.25">
      <c r="A1" t="s">
        <v>196</v>
      </c>
    </row>
    <row r="2" spans="1:65" s="1" customFormat="1" ht="90" x14ac:dyDescent="0.25">
      <c r="A2" s="79">
        <v>8</v>
      </c>
      <c r="B2" s="61" t="s">
        <v>195</v>
      </c>
      <c r="C2" s="61" t="s">
        <v>348</v>
      </c>
      <c r="D2" s="104">
        <v>1</v>
      </c>
      <c r="E2" s="104">
        <f>D2+1</f>
        <v>2</v>
      </c>
      <c r="F2" s="104">
        <f t="shared" ref="F2:BC2" si="0">E2+1</f>
        <v>3</v>
      </c>
      <c r="G2" s="104">
        <f t="shared" si="0"/>
        <v>4</v>
      </c>
      <c r="H2" s="104">
        <f t="shared" si="0"/>
        <v>5</v>
      </c>
      <c r="I2" s="104">
        <f t="shared" si="0"/>
        <v>6</v>
      </c>
      <c r="J2" s="104">
        <f t="shared" si="0"/>
        <v>7</v>
      </c>
      <c r="K2" s="104">
        <f t="shared" si="0"/>
        <v>8</v>
      </c>
      <c r="L2" s="104">
        <f t="shared" si="0"/>
        <v>9</v>
      </c>
      <c r="M2" s="104">
        <f t="shared" si="0"/>
        <v>10</v>
      </c>
      <c r="N2" s="104">
        <f t="shared" si="0"/>
        <v>11</v>
      </c>
      <c r="O2" s="104">
        <f t="shared" si="0"/>
        <v>12</v>
      </c>
      <c r="P2" s="104">
        <f t="shared" si="0"/>
        <v>13</v>
      </c>
      <c r="Q2" s="104">
        <f t="shared" si="0"/>
        <v>14</v>
      </c>
      <c r="R2" s="104">
        <f t="shared" si="0"/>
        <v>15</v>
      </c>
      <c r="S2" s="104">
        <f t="shared" si="0"/>
        <v>16</v>
      </c>
      <c r="T2" s="104">
        <f t="shared" si="0"/>
        <v>17</v>
      </c>
      <c r="U2" s="104">
        <f t="shared" si="0"/>
        <v>18</v>
      </c>
      <c r="V2" s="104">
        <f t="shared" si="0"/>
        <v>19</v>
      </c>
      <c r="W2" s="104">
        <f t="shared" si="0"/>
        <v>20</v>
      </c>
      <c r="X2" s="104">
        <f t="shared" si="0"/>
        <v>21</v>
      </c>
      <c r="Y2" s="104">
        <f t="shared" si="0"/>
        <v>22</v>
      </c>
      <c r="Z2" s="104">
        <f t="shared" si="0"/>
        <v>23</v>
      </c>
      <c r="AA2" s="104">
        <f t="shared" si="0"/>
        <v>24</v>
      </c>
      <c r="AB2" s="104">
        <f>AA2+1</f>
        <v>25</v>
      </c>
      <c r="AC2" s="104">
        <f t="shared" si="0"/>
        <v>26</v>
      </c>
      <c r="AD2" s="104">
        <f t="shared" si="0"/>
        <v>27</v>
      </c>
      <c r="AE2" s="104">
        <f t="shared" si="0"/>
        <v>28</v>
      </c>
      <c r="AF2" s="104">
        <f t="shared" si="0"/>
        <v>29</v>
      </c>
      <c r="AG2" s="104">
        <f t="shared" si="0"/>
        <v>30</v>
      </c>
      <c r="AH2" s="104">
        <f t="shared" si="0"/>
        <v>31</v>
      </c>
      <c r="AI2" s="104">
        <f t="shared" si="0"/>
        <v>32</v>
      </c>
      <c r="AJ2" s="104">
        <f t="shared" si="0"/>
        <v>33</v>
      </c>
      <c r="AK2" s="104">
        <f t="shared" si="0"/>
        <v>34</v>
      </c>
      <c r="AL2" s="104">
        <f t="shared" si="0"/>
        <v>35</v>
      </c>
      <c r="AM2" s="104">
        <f t="shared" si="0"/>
        <v>36</v>
      </c>
      <c r="AN2" s="104">
        <f t="shared" si="0"/>
        <v>37</v>
      </c>
      <c r="AO2" s="104">
        <f t="shared" si="0"/>
        <v>38</v>
      </c>
      <c r="AP2" s="104">
        <f t="shared" si="0"/>
        <v>39</v>
      </c>
      <c r="AQ2" s="104">
        <f t="shared" si="0"/>
        <v>40</v>
      </c>
      <c r="AR2" s="104">
        <f t="shared" si="0"/>
        <v>41</v>
      </c>
      <c r="AS2" s="104">
        <f t="shared" si="0"/>
        <v>42</v>
      </c>
      <c r="AT2" s="104">
        <f t="shared" si="0"/>
        <v>43</v>
      </c>
      <c r="AU2" s="104">
        <f t="shared" si="0"/>
        <v>44</v>
      </c>
      <c r="AV2" s="104">
        <f t="shared" si="0"/>
        <v>45</v>
      </c>
      <c r="AW2" s="104">
        <f t="shared" si="0"/>
        <v>46</v>
      </c>
      <c r="AX2" s="104">
        <f t="shared" si="0"/>
        <v>47</v>
      </c>
      <c r="AY2" s="104">
        <f t="shared" si="0"/>
        <v>48</v>
      </c>
      <c r="AZ2" s="104">
        <f t="shared" si="0"/>
        <v>49</v>
      </c>
      <c r="BA2" s="104">
        <f t="shared" si="0"/>
        <v>50</v>
      </c>
      <c r="BB2" s="104">
        <f t="shared" si="0"/>
        <v>51</v>
      </c>
      <c r="BC2" s="104">
        <f t="shared" si="0"/>
        <v>52</v>
      </c>
      <c r="BD2" s="89" t="str">
        <f>'Micro Data Tabulation'!BC56</f>
        <v>TOTAL</v>
      </c>
      <c r="BE2" s="61" t="s">
        <v>226</v>
      </c>
      <c r="BF2" s="118" t="s">
        <v>345</v>
      </c>
      <c r="BG2" s="118" t="s">
        <v>266</v>
      </c>
      <c r="BH2" s="118" t="s">
        <v>351</v>
      </c>
      <c r="BI2" s="118" t="s">
        <v>267</v>
      </c>
      <c r="BJ2" s="118" t="s">
        <v>268</v>
      </c>
      <c r="BK2" s="118" t="s">
        <v>281</v>
      </c>
      <c r="BL2" s="118" t="s">
        <v>15</v>
      </c>
      <c r="BM2" s="118"/>
    </row>
    <row r="3" spans="1:65" x14ac:dyDescent="0.25">
      <c r="A3" s="19">
        <v>1</v>
      </c>
      <c r="B3" s="35" t="s">
        <v>171</v>
      </c>
      <c r="C3" s="35">
        <v>9</v>
      </c>
      <c r="D3" s="35">
        <v>9000</v>
      </c>
      <c r="E3" s="35">
        <v>0</v>
      </c>
      <c r="F3" s="35">
        <v>5000</v>
      </c>
      <c r="G3" s="35">
        <v>0</v>
      </c>
      <c r="H3" s="35">
        <v>9000</v>
      </c>
      <c r="I3" s="35">
        <v>0</v>
      </c>
      <c r="J3" s="35">
        <v>0</v>
      </c>
      <c r="K3" s="35">
        <v>0</v>
      </c>
      <c r="L3" s="35">
        <v>9000</v>
      </c>
      <c r="M3" s="35">
        <v>0</v>
      </c>
      <c r="N3" s="35">
        <v>0</v>
      </c>
      <c r="O3" s="35">
        <v>0</v>
      </c>
      <c r="P3" s="35">
        <v>9000</v>
      </c>
      <c r="Q3" s="35">
        <v>3000</v>
      </c>
      <c r="R3" s="35">
        <v>0</v>
      </c>
      <c r="S3" s="35">
        <v>0</v>
      </c>
      <c r="T3" s="35">
        <v>9000</v>
      </c>
      <c r="U3" s="35">
        <v>0</v>
      </c>
      <c r="V3" s="35">
        <v>0</v>
      </c>
      <c r="W3" s="35">
        <v>3000</v>
      </c>
      <c r="X3" s="35">
        <v>9000</v>
      </c>
      <c r="Y3" s="35">
        <v>0</v>
      </c>
      <c r="Z3" s="35">
        <v>0</v>
      </c>
      <c r="AA3" s="35">
        <v>0</v>
      </c>
      <c r="AB3" s="35">
        <v>9000</v>
      </c>
      <c r="AC3" s="35">
        <v>0</v>
      </c>
      <c r="AD3" s="35">
        <v>6000</v>
      </c>
      <c r="AE3" s="35">
        <v>0</v>
      </c>
      <c r="AF3" s="35">
        <v>9000</v>
      </c>
      <c r="AG3" s="35">
        <v>0</v>
      </c>
      <c r="AH3" s="35">
        <v>0</v>
      </c>
      <c r="AI3" s="35">
        <v>3000</v>
      </c>
      <c r="AJ3" s="35">
        <v>9000</v>
      </c>
      <c r="AK3" s="35">
        <v>0</v>
      </c>
      <c r="AL3" s="35">
        <v>0</v>
      </c>
      <c r="AM3" s="35">
        <v>0</v>
      </c>
      <c r="AN3" s="35">
        <v>9000</v>
      </c>
      <c r="AO3" s="35">
        <v>3000</v>
      </c>
      <c r="AP3" s="35">
        <v>0</v>
      </c>
      <c r="AQ3" s="35">
        <v>0</v>
      </c>
      <c r="AR3" s="35">
        <v>9000</v>
      </c>
      <c r="AS3" s="35">
        <v>0</v>
      </c>
      <c r="AT3" s="35">
        <v>5000</v>
      </c>
      <c r="AU3" s="35">
        <v>0</v>
      </c>
      <c r="AV3" s="35">
        <v>9000</v>
      </c>
      <c r="AW3" s="35">
        <v>5000</v>
      </c>
      <c r="AX3" s="35">
        <v>0</v>
      </c>
      <c r="AY3" s="35">
        <v>0</v>
      </c>
      <c r="AZ3" s="35">
        <v>9000</v>
      </c>
      <c r="BA3" s="35">
        <v>0</v>
      </c>
      <c r="BB3" s="35">
        <v>0</v>
      </c>
      <c r="BC3" s="35">
        <v>0</v>
      </c>
      <c r="BD3" s="46">
        <f>SUM(D3:BC3)</f>
        <v>150000</v>
      </c>
      <c r="BE3" s="43">
        <f>C3*BD3</f>
        <v>1350000</v>
      </c>
      <c r="BF3" s="35">
        <v>0.24</v>
      </c>
      <c r="BG3" s="35">
        <v>0.26</v>
      </c>
      <c r="BH3" s="35">
        <v>26</v>
      </c>
      <c r="BI3" s="35">
        <v>7</v>
      </c>
      <c r="BJ3" s="35">
        <v>8.5</v>
      </c>
      <c r="BK3" s="35">
        <v>0.99970000000000003</v>
      </c>
      <c r="BL3" s="35">
        <v>1</v>
      </c>
    </row>
    <row r="4" spans="1:65" x14ac:dyDescent="0.25">
      <c r="A4" s="19">
        <v>2</v>
      </c>
      <c r="B4" s="35" t="s">
        <v>172</v>
      </c>
      <c r="C4" s="35">
        <v>9.8000000000000007</v>
      </c>
      <c r="D4" s="35">
        <v>8000</v>
      </c>
      <c r="E4" s="35">
        <v>9000</v>
      </c>
      <c r="F4" s="35">
        <v>0</v>
      </c>
      <c r="G4" s="35">
        <v>6000</v>
      </c>
      <c r="H4" s="35">
        <v>8000</v>
      </c>
      <c r="I4" s="35">
        <v>9000</v>
      </c>
      <c r="J4" s="35">
        <v>0</v>
      </c>
      <c r="K4" s="35">
        <v>3000</v>
      </c>
      <c r="L4" s="35">
        <v>8000</v>
      </c>
      <c r="M4" s="35">
        <v>9000</v>
      </c>
      <c r="N4" s="35">
        <v>0</v>
      </c>
      <c r="O4" s="35">
        <v>0</v>
      </c>
      <c r="P4" s="35">
        <v>8000</v>
      </c>
      <c r="Q4" s="35">
        <v>9000</v>
      </c>
      <c r="R4" s="35">
        <v>0</v>
      </c>
      <c r="S4" s="35">
        <v>0</v>
      </c>
      <c r="T4" s="35">
        <v>8000</v>
      </c>
      <c r="U4" s="35">
        <v>9000</v>
      </c>
      <c r="V4" s="35">
        <v>0</v>
      </c>
      <c r="W4" s="35">
        <v>0</v>
      </c>
      <c r="X4" s="35">
        <v>8000</v>
      </c>
      <c r="Y4" s="35">
        <v>9000</v>
      </c>
      <c r="Z4" s="35">
        <v>0</v>
      </c>
      <c r="AA4" s="35">
        <v>0</v>
      </c>
      <c r="AB4" s="35">
        <v>8000</v>
      </c>
      <c r="AC4" s="35">
        <v>9000</v>
      </c>
      <c r="AD4" s="35">
        <v>0</v>
      </c>
      <c r="AE4" s="35">
        <v>0</v>
      </c>
      <c r="AF4" s="35">
        <v>8000</v>
      </c>
      <c r="AG4" s="35">
        <v>9000</v>
      </c>
      <c r="AH4" s="35">
        <v>0</v>
      </c>
      <c r="AI4" s="35">
        <v>0</v>
      </c>
      <c r="AJ4" s="35">
        <v>8000</v>
      </c>
      <c r="AK4" s="35">
        <v>9000</v>
      </c>
      <c r="AL4" s="35">
        <v>0</v>
      </c>
      <c r="AM4" s="35">
        <v>0</v>
      </c>
      <c r="AN4" s="35">
        <v>8000</v>
      </c>
      <c r="AO4" s="35">
        <v>9000</v>
      </c>
      <c r="AP4" s="35">
        <v>0</v>
      </c>
      <c r="AQ4" s="35">
        <v>0</v>
      </c>
      <c r="AR4" s="35">
        <v>8000</v>
      </c>
      <c r="AS4" s="35">
        <v>9000</v>
      </c>
      <c r="AT4" s="35">
        <v>0</v>
      </c>
      <c r="AU4" s="35">
        <v>5000</v>
      </c>
      <c r="AV4" s="35">
        <v>8000</v>
      </c>
      <c r="AW4" s="35">
        <v>9000</v>
      </c>
      <c r="AX4" s="35">
        <v>0</v>
      </c>
      <c r="AY4" s="35">
        <v>3000</v>
      </c>
      <c r="AZ4" s="35">
        <v>8000</v>
      </c>
      <c r="BA4" s="35">
        <v>3000</v>
      </c>
      <c r="BB4" s="35">
        <v>0</v>
      </c>
      <c r="BC4" s="35">
        <v>0</v>
      </c>
      <c r="BD4" s="46">
        <f t="shared" ref="BD4:BD22" si="1">SUM(D4:BC4)</f>
        <v>232000</v>
      </c>
      <c r="BE4" s="43">
        <f t="shared" ref="BE4:BE22" si="2">C4*BD4</f>
        <v>2273600</v>
      </c>
      <c r="BF4" s="35">
        <v>0.23</v>
      </c>
      <c r="BG4" s="35">
        <v>0.23</v>
      </c>
      <c r="BH4" s="35">
        <v>25</v>
      </c>
      <c r="BI4" s="35">
        <v>8</v>
      </c>
      <c r="BJ4" s="35">
        <v>8.9</v>
      </c>
      <c r="BK4" s="35">
        <v>0.99970999999999999</v>
      </c>
      <c r="BL4" s="35">
        <v>2</v>
      </c>
    </row>
    <row r="5" spans="1:65" x14ac:dyDescent="0.25">
      <c r="A5" s="19">
        <v>3</v>
      </c>
      <c r="B5" s="35" t="s">
        <v>173</v>
      </c>
      <c r="C5" s="35">
        <v>9.6</v>
      </c>
      <c r="D5" s="35">
        <v>10000</v>
      </c>
      <c r="E5" s="35">
        <v>8000</v>
      </c>
      <c r="F5" s="35">
        <v>9000</v>
      </c>
      <c r="G5" s="35">
        <v>0</v>
      </c>
      <c r="H5" s="35">
        <v>10000</v>
      </c>
      <c r="I5" s="35">
        <v>8000</v>
      </c>
      <c r="J5" s="35">
        <v>9000</v>
      </c>
      <c r="K5" s="35">
        <v>0</v>
      </c>
      <c r="L5" s="35">
        <v>10000</v>
      </c>
      <c r="M5" s="35">
        <v>8000</v>
      </c>
      <c r="N5" s="35">
        <v>9000</v>
      </c>
      <c r="O5" s="35">
        <v>0</v>
      </c>
      <c r="P5" s="35">
        <v>10000</v>
      </c>
      <c r="Q5" s="35">
        <v>8000</v>
      </c>
      <c r="R5" s="35">
        <v>9000</v>
      </c>
      <c r="S5" s="35">
        <v>0</v>
      </c>
      <c r="T5" s="35">
        <v>10000</v>
      </c>
      <c r="U5" s="35">
        <v>8000</v>
      </c>
      <c r="V5" s="35">
        <v>9000</v>
      </c>
      <c r="W5" s="35">
        <v>0</v>
      </c>
      <c r="X5" s="35">
        <v>10000</v>
      </c>
      <c r="Y5" s="35">
        <v>8000</v>
      </c>
      <c r="Z5" s="35">
        <v>9000</v>
      </c>
      <c r="AA5" s="35">
        <v>0</v>
      </c>
      <c r="AB5" s="35">
        <v>10000</v>
      </c>
      <c r="AC5" s="35">
        <v>8000</v>
      </c>
      <c r="AD5" s="35">
        <v>9000</v>
      </c>
      <c r="AE5" s="35">
        <v>0</v>
      </c>
      <c r="AF5" s="35">
        <v>10000</v>
      </c>
      <c r="AG5" s="35">
        <v>8000</v>
      </c>
      <c r="AH5" s="35">
        <v>9000</v>
      </c>
      <c r="AI5" s="35">
        <v>0</v>
      </c>
      <c r="AJ5" s="35">
        <v>10000</v>
      </c>
      <c r="AK5" s="35">
        <v>8000</v>
      </c>
      <c r="AL5" s="35">
        <v>9000</v>
      </c>
      <c r="AM5" s="35">
        <v>0</v>
      </c>
      <c r="AN5" s="35">
        <v>10000</v>
      </c>
      <c r="AO5" s="35">
        <v>8000</v>
      </c>
      <c r="AP5" s="35">
        <v>9000</v>
      </c>
      <c r="AQ5" s="35">
        <v>0</v>
      </c>
      <c r="AR5" s="35">
        <v>10000</v>
      </c>
      <c r="AS5" s="35">
        <v>8000</v>
      </c>
      <c r="AT5" s="35">
        <v>9000</v>
      </c>
      <c r="AU5" s="35">
        <v>0</v>
      </c>
      <c r="AV5" s="35">
        <v>10000</v>
      </c>
      <c r="AW5" s="35">
        <v>8000</v>
      </c>
      <c r="AX5" s="35">
        <v>9000</v>
      </c>
      <c r="AY5" s="35">
        <v>0</v>
      </c>
      <c r="AZ5" s="35">
        <v>10000</v>
      </c>
      <c r="BA5" s="35">
        <v>8000</v>
      </c>
      <c r="BB5" s="35">
        <v>9000</v>
      </c>
      <c r="BC5" s="35">
        <v>0</v>
      </c>
      <c r="BD5" s="46">
        <f t="shared" si="1"/>
        <v>351000</v>
      </c>
      <c r="BE5" s="43">
        <f t="shared" si="2"/>
        <v>3369600</v>
      </c>
      <c r="BF5" s="35">
        <v>0.22</v>
      </c>
      <c r="BG5" s="35">
        <v>0.25</v>
      </c>
      <c r="BH5" s="35">
        <v>24</v>
      </c>
      <c r="BI5" s="35">
        <v>6</v>
      </c>
      <c r="BJ5" s="35">
        <v>9</v>
      </c>
      <c r="BK5" s="35">
        <v>0.99975000000000003</v>
      </c>
      <c r="BL5" s="35">
        <v>2</v>
      </c>
    </row>
    <row r="6" spans="1:65" x14ac:dyDescent="0.25">
      <c r="A6" s="19">
        <v>4</v>
      </c>
      <c r="B6" s="35" t="s">
        <v>174</v>
      </c>
      <c r="C6" s="35">
        <v>11</v>
      </c>
      <c r="D6" s="35">
        <v>13000</v>
      </c>
      <c r="E6" s="35">
        <v>10000</v>
      </c>
      <c r="F6" s="35">
        <v>8000</v>
      </c>
      <c r="G6" s="35">
        <v>9000</v>
      </c>
      <c r="H6" s="35">
        <v>9000</v>
      </c>
      <c r="I6" s="35">
        <v>10000</v>
      </c>
      <c r="J6" s="35">
        <v>8000</v>
      </c>
      <c r="K6" s="35">
        <v>9000</v>
      </c>
      <c r="L6" s="35">
        <v>13000</v>
      </c>
      <c r="M6" s="35">
        <v>10000</v>
      </c>
      <c r="N6" s="35">
        <v>8000</v>
      </c>
      <c r="O6" s="35">
        <v>9000</v>
      </c>
      <c r="P6" s="35">
        <v>13000</v>
      </c>
      <c r="Q6" s="35">
        <v>10000</v>
      </c>
      <c r="R6" s="35">
        <v>8000</v>
      </c>
      <c r="S6" s="35">
        <v>9000</v>
      </c>
      <c r="T6" s="35">
        <v>9000</v>
      </c>
      <c r="U6" s="35">
        <v>8000</v>
      </c>
      <c r="V6" s="35">
        <v>8000</v>
      </c>
      <c r="W6" s="35">
        <v>9000</v>
      </c>
      <c r="X6" s="35">
        <v>13000</v>
      </c>
      <c r="Y6" s="35">
        <v>10000</v>
      </c>
      <c r="Z6" s="35">
        <v>8000</v>
      </c>
      <c r="AA6" s="35">
        <v>7000</v>
      </c>
      <c r="AB6" s="35">
        <v>13000</v>
      </c>
      <c r="AC6" s="35">
        <v>10000</v>
      </c>
      <c r="AD6" s="35">
        <v>8000</v>
      </c>
      <c r="AE6" s="35">
        <v>9000</v>
      </c>
      <c r="AF6" s="35">
        <v>9000</v>
      </c>
      <c r="AG6" s="35">
        <v>10000</v>
      </c>
      <c r="AH6" s="35">
        <v>8000</v>
      </c>
      <c r="AI6" s="35">
        <v>9000</v>
      </c>
      <c r="AJ6" s="35">
        <v>13000</v>
      </c>
      <c r="AK6" s="35">
        <v>10000</v>
      </c>
      <c r="AL6" s="35">
        <v>8000</v>
      </c>
      <c r="AM6" s="35">
        <v>7000</v>
      </c>
      <c r="AN6" s="35">
        <v>13000</v>
      </c>
      <c r="AO6" s="35">
        <v>10000</v>
      </c>
      <c r="AP6" s="35">
        <v>8000</v>
      </c>
      <c r="AQ6" s="35">
        <v>9000</v>
      </c>
      <c r="AR6" s="35">
        <v>9000</v>
      </c>
      <c r="AS6" s="35">
        <v>10000</v>
      </c>
      <c r="AT6" s="35">
        <v>8000</v>
      </c>
      <c r="AU6" s="35">
        <v>9000</v>
      </c>
      <c r="AV6" s="35">
        <v>13000</v>
      </c>
      <c r="AW6" s="35">
        <v>10000</v>
      </c>
      <c r="AX6" s="35">
        <v>8000</v>
      </c>
      <c r="AY6" s="35">
        <v>9000</v>
      </c>
      <c r="AZ6" s="35">
        <v>13000</v>
      </c>
      <c r="BA6" s="35">
        <v>10000</v>
      </c>
      <c r="BB6" s="35">
        <v>8000</v>
      </c>
      <c r="BC6" s="35">
        <v>7000</v>
      </c>
      <c r="BD6" s="46">
        <f t="shared" si="1"/>
        <v>496000</v>
      </c>
      <c r="BE6" s="43">
        <f t="shared" si="2"/>
        <v>5456000</v>
      </c>
      <c r="BF6" s="35">
        <v>0.21</v>
      </c>
      <c r="BG6" s="35">
        <v>0.22</v>
      </c>
      <c r="BH6" s="35">
        <v>21</v>
      </c>
      <c r="BI6" s="35">
        <v>8.5</v>
      </c>
      <c r="BJ6" s="35">
        <v>8</v>
      </c>
      <c r="BK6" s="35">
        <v>0.99978999999999996</v>
      </c>
      <c r="BL6" s="35">
        <v>1</v>
      </c>
    </row>
    <row r="7" spans="1:65" x14ac:dyDescent="0.25">
      <c r="A7" s="19">
        <v>5</v>
      </c>
      <c r="B7" s="35" t="s">
        <v>175</v>
      </c>
      <c r="C7" s="35">
        <v>10.8</v>
      </c>
      <c r="D7" s="35">
        <v>5000</v>
      </c>
      <c r="E7" s="35">
        <v>13000</v>
      </c>
      <c r="F7" s="35">
        <v>10000</v>
      </c>
      <c r="G7" s="35">
        <v>8000</v>
      </c>
      <c r="H7" s="35">
        <v>5000</v>
      </c>
      <c r="I7" s="35">
        <v>11000</v>
      </c>
      <c r="J7" s="35">
        <v>10000</v>
      </c>
      <c r="K7" s="35">
        <v>8000</v>
      </c>
      <c r="L7" s="35">
        <v>5000</v>
      </c>
      <c r="M7" s="35">
        <v>7000</v>
      </c>
      <c r="N7" s="35">
        <v>6000</v>
      </c>
      <c r="O7" s="35">
        <v>8000</v>
      </c>
      <c r="P7" s="35">
        <v>5000</v>
      </c>
      <c r="Q7" s="35">
        <v>13000</v>
      </c>
      <c r="R7" s="35">
        <v>10000</v>
      </c>
      <c r="S7" s="35">
        <v>8000</v>
      </c>
      <c r="T7" s="35">
        <v>5000</v>
      </c>
      <c r="U7" s="35">
        <v>13000</v>
      </c>
      <c r="V7" s="35">
        <v>10000</v>
      </c>
      <c r="W7" s="35">
        <v>8000</v>
      </c>
      <c r="X7" s="35">
        <v>5000</v>
      </c>
      <c r="Y7" s="35">
        <v>7000</v>
      </c>
      <c r="Z7" s="35">
        <v>10000</v>
      </c>
      <c r="AA7" s="35">
        <v>8000</v>
      </c>
      <c r="AB7" s="35">
        <v>5000</v>
      </c>
      <c r="AC7" s="35">
        <v>13000</v>
      </c>
      <c r="AD7" s="35">
        <v>10000</v>
      </c>
      <c r="AE7" s="35">
        <v>8000</v>
      </c>
      <c r="AF7" s="35">
        <v>5000</v>
      </c>
      <c r="AG7" s="35">
        <v>11000</v>
      </c>
      <c r="AH7" s="35">
        <v>10000</v>
      </c>
      <c r="AI7" s="35">
        <v>8000</v>
      </c>
      <c r="AJ7" s="35">
        <v>5000</v>
      </c>
      <c r="AK7" s="35">
        <v>7000</v>
      </c>
      <c r="AL7" s="35">
        <v>10000</v>
      </c>
      <c r="AM7" s="35">
        <v>8000</v>
      </c>
      <c r="AN7" s="35">
        <v>5000</v>
      </c>
      <c r="AO7" s="35">
        <v>13000</v>
      </c>
      <c r="AP7" s="35">
        <v>10000</v>
      </c>
      <c r="AQ7" s="35">
        <v>8000</v>
      </c>
      <c r="AR7" s="35">
        <v>5000</v>
      </c>
      <c r="AS7" s="35">
        <v>11000</v>
      </c>
      <c r="AT7" s="35">
        <v>10000</v>
      </c>
      <c r="AU7" s="35">
        <v>8000</v>
      </c>
      <c r="AV7" s="35">
        <v>5000</v>
      </c>
      <c r="AW7" s="35">
        <v>13000</v>
      </c>
      <c r="AX7" s="35">
        <v>10000</v>
      </c>
      <c r="AY7" s="35">
        <v>8000</v>
      </c>
      <c r="AZ7" s="35">
        <v>5000</v>
      </c>
      <c r="BA7" s="35">
        <v>13000</v>
      </c>
      <c r="BB7" s="35">
        <v>10000</v>
      </c>
      <c r="BC7" s="35">
        <v>8000</v>
      </c>
      <c r="BD7" s="46">
        <f t="shared" si="1"/>
        <v>440000</v>
      </c>
      <c r="BE7" s="43">
        <f t="shared" si="2"/>
        <v>4752000</v>
      </c>
      <c r="BF7" s="35">
        <v>0.23</v>
      </c>
      <c r="BG7" s="35">
        <v>0.24</v>
      </c>
      <c r="BH7" s="35">
        <v>23</v>
      </c>
      <c r="BI7" s="35">
        <v>8</v>
      </c>
      <c r="BJ7" s="35">
        <v>7.8</v>
      </c>
      <c r="BK7" s="35">
        <v>0.99975999999999998</v>
      </c>
      <c r="BL7" s="35">
        <v>2</v>
      </c>
    </row>
    <row r="8" spans="1:65" x14ac:dyDescent="0.25">
      <c r="A8" s="19">
        <v>6</v>
      </c>
      <c r="B8" s="35" t="s">
        <v>176</v>
      </c>
      <c r="C8" s="35">
        <v>10.5</v>
      </c>
      <c r="D8" s="35">
        <v>0</v>
      </c>
      <c r="E8" s="35">
        <v>5000</v>
      </c>
      <c r="F8" s="35">
        <v>13000</v>
      </c>
      <c r="G8" s="35">
        <v>0</v>
      </c>
      <c r="H8" s="35">
        <v>0</v>
      </c>
      <c r="I8" s="35">
        <v>5000</v>
      </c>
      <c r="J8" s="35">
        <v>13000</v>
      </c>
      <c r="K8" s="35">
        <v>10000</v>
      </c>
      <c r="L8" s="35">
        <v>6000</v>
      </c>
      <c r="M8" s="35">
        <v>5000</v>
      </c>
      <c r="N8" s="35">
        <v>13000</v>
      </c>
      <c r="O8" s="35">
        <v>10000</v>
      </c>
      <c r="P8" s="35">
        <v>0</v>
      </c>
      <c r="Q8" s="35">
        <v>5000</v>
      </c>
      <c r="R8" s="35">
        <v>13000</v>
      </c>
      <c r="S8" s="35">
        <v>10000</v>
      </c>
      <c r="T8" s="35">
        <v>0</v>
      </c>
      <c r="U8" s="35">
        <v>5000</v>
      </c>
      <c r="V8" s="35">
        <v>13000</v>
      </c>
      <c r="W8" s="35">
        <v>10000</v>
      </c>
      <c r="X8" s="35">
        <v>0</v>
      </c>
      <c r="Y8" s="35">
        <v>5000</v>
      </c>
      <c r="Z8" s="35">
        <v>9000</v>
      </c>
      <c r="AA8" s="35">
        <v>10000</v>
      </c>
      <c r="AB8" s="35">
        <v>0</v>
      </c>
      <c r="AC8" s="35">
        <v>5000</v>
      </c>
      <c r="AD8" s="35">
        <v>13000</v>
      </c>
      <c r="AE8" s="35">
        <v>4000</v>
      </c>
      <c r="AF8" s="35">
        <v>0</v>
      </c>
      <c r="AG8" s="35">
        <v>5000</v>
      </c>
      <c r="AH8" s="35">
        <v>13000</v>
      </c>
      <c r="AI8" s="35">
        <v>10000</v>
      </c>
      <c r="AJ8" s="35">
        <v>0</v>
      </c>
      <c r="AK8" s="35">
        <v>5000</v>
      </c>
      <c r="AL8" s="35">
        <v>9000</v>
      </c>
      <c r="AM8" s="35">
        <v>10000</v>
      </c>
      <c r="AN8" s="35">
        <v>0</v>
      </c>
      <c r="AO8" s="35">
        <v>5000</v>
      </c>
      <c r="AP8" s="35">
        <v>13000</v>
      </c>
      <c r="AQ8" s="35">
        <v>4000</v>
      </c>
      <c r="AR8" s="35">
        <v>0</v>
      </c>
      <c r="AS8" s="35">
        <v>5000</v>
      </c>
      <c r="AT8" s="35">
        <v>13000</v>
      </c>
      <c r="AU8" s="35">
        <v>10000</v>
      </c>
      <c r="AV8" s="35">
        <v>5000</v>
      </c>
      <c r="AW8" s="35">
        <v>5000</v>
      </c>
      <c r="AX8" s="35">
        <v>13000</v>
      </c>
      <c r="AY8" s="35">
        <v>10000</v>
      </c>
      <c r="AZ8" s="35">
        <v>6000</v>
      </c>
      <c r="BA8" s="35">
        <v>5000</v>
      </c>
      <c r="BB8" s="35">
        <v>9000</v>
      </c>
      <c r="BC8" s="35">
        <v>10000</v>
      </c>
      <c r="BD8" s="46">
        <f t="shared" si="1"/>
        <v>347000</v>
      </c>
      <c r="BE8" s="43">
        <f t="shared" si="2"/>
        <v>3643500</v>
      </c>
      <c r="BF8" s="35">
        <v>0.24</v>
      </c>
      <c r="BG8" s="35">
        <v>0.25</v>
      </c>
      <c r="BH8" s="35">
        <v>22</v>
      </c>
      <c r="BI8" s="35">
        <v>9</v>
      </c>
      <c r="BJ8" s="35">
        <v>7.9</v>
      </c>
      <c r="BK8" s="35">
        <v>0.99973000000000001</v>
      </c>
      <c r="BL8" s="35">
        <v>1</v>
      </c>
    </row>
    <row r="9" spans="1:65" x14ac:dyDescent="0.25">
      <c r="A9" s="19">
        <v>7</v>
      </c>
      <c r="B9" s="35" t="s">
        <v>177</v>
      </c>
      <c r="C9" s="35">
        <v>9</v>
      </c>
      <c r="D9" s="35">
        <v>0</v>
      </c>
      <c r="E9" s="35">
        <v>3000</v>
      </c>
      <c r="F9" s="35">
        <v>6000</v>
      </c>
      <c r="G9" s="35">
        <v>11000</v>
      </c>
      <c r="H9" s="35">
        <v>0</v>
      </c>
      <c r="I9" s="35">
        <v>0</v>
      </c>
      <c r="J9" s="35">
        <v>5000</v>
      </c>
      <c r="K9" s="35">
        <v>13000</v>
      </c>
      <c r="L9" s="35">
        <v>0</v>
      </c>
      <c r="M9" s="35">
        <v>0</v>
      </c>
      <c r="N9" s="35">
        <v>5000</v>
      </c>
      <c r="O9" s="35">
        <v>11000</v>
      </c>
      <c r="P9" s="35">
        <v>0</v>
      </c>
      <c r="Q9" s="35">
        <v>0</v>
      </c>
      <c r="R9" s="35">
        <v>5000</v>
      </c>
      <c r="S9" s="35">
        <v>7000</v>
      </c>
      <c r="T9" s="35">
        <v>0</v>
      </c>
      <c r="U9" s="35">
        <v>0</v>
      </c>
      <c r="V9" s="35">
        <v>5000</v>
      </c>
      <c r="W9" s="35">
        <v>13000</v>
      </c>
      <c r="X9" s="35">
        <v>0</v>
      </c>
      <c r="Y9" s="35">
        <v>0</v>
      </c>
      <c r="Z9" s="35">
        <v>5000</v>
      </c>
      <c r="AA9" s="35">
        <v>13000</v>
      </c>
      <c r="AB9" s="35">
        <v>0</v>
      </c>
      <c r="AC9" s="35">
        <v>0</v>
      </c>
      <c r="AD9" s="35">
        <v>5000</v>
      </c>
      <c r="AE9" s="35">
        <v>13000</v>
      </c>
      <c r="AF9" s="35">
        <v>0</v>
      </c>
      <c r="AG9" s="35">
        <v>0</v>
      </c>
      <c r="AH9" s="35">
        <v>5000</v>
      </c>
      <c r="AI9" s="35">
        <v>13000</v>
      </c>
      <c r="AJ9" s="35">
        <v>0</v>
      </c>
      <c r="AK9" s="35">
        <v>0</v>
      </c>
      <c r="AL9" s="35">
        <v>5000</v>
      </c>
      <c r="AM9" s="35">
        <v>13000</v>
      </c>
      <c r="AN9" s="35">
        <v>0</v>
      </c>
      <c r="AO9" s="35">
        <v>0</v>
      </c>
      <c r="AP9" s="35">
        <v>5000</v>
      </c>
      <c r="AQ9" s="35">
        <v>13000</v>
      </c>
      <c r="AR9" s="35">
        <v>0</v>
      </c>
      <c r="AS9" s="35">
        <v>0</v>
      </c>
      <c r="AT9" s="35">
        <v>5000</v>
      </c>
      <c r="AU9" s="35">
        <v>13000</v>
      </c>
      <c r="AV9" s="35">
        <v>0</v>
      </c>
      <c r="AW9" s="35">
        <v>0</v>
      </c>
      <c r="AX9" s="35">
        <v>5000</v>
      </c>
      <c r="AY9" s="35">
        <v>13000</v>
      </c>
      <c r="AZ9" s="35">
        <v>0</v>
      </c>
      <c r="BA9" s="35">
        <v>0</v>
      </c>
      <c r="BB9" s="35">
        <v>5000</v>
      </c>
      <c r="BC9" s="35">
        <v>13000</v>
      </c>
      <c r="BD9" s="46">
        <f t="shared" si="1"/>
        <v>228000</v>
      </c>
      <c r="BE9" s="43">
        <f t="shared" si="2"/>
        <v>2052000</v>
      </c>
      <c r="BF9" s="35">
        <v>0.22</v>
      </c>
      <c r="BG9" s="35">
        <v>0.25</v>
      </c>
      <c r="BH9" s="35">
        <v>24</v>
      </c>
      <c r="BI9" s="35">
        <v>6.9</v>
      </c>
      <c r="BJ9" s="35">
        <v>8</v>
      </c>
      <c r="BK9" s="35">
        <v>0.99978</v>
      </c>
      <c r="BL9" s="35">
        <v>2</v>
      </c>
    </row>
    <row r="10" spans="1:65" x14ac:dyDescent="0.25">
      <c r="A10" s="19">
        <v>8</v>
      </c>
      <c r="B10" s="35" t="s">
        <v>178</v>
      </c>
      <c r="C10" s="35">
        <v>9.1999999999999993</v>
      </c>
      <c r="D10" s="35">
        <v>0</v>
      </c>
      <c r="E10" s="35">
        <v>0</v>
      </c>
      <c r="F10" s="35">
        <v>0</v>
      </c>
      <c r="G10" s="35">
        <v>5000</v>
      </c>
      <c r="H10" s="35">
        <v>0</v>
      </c>
      <c r="I10" s="35">
        <v>0</v>
      </c>
      <c r="J10" s="35">
        <v>0</v>
      </c>
      <c r="K10" s="35">
        <v>5000</v>
      </c>
      <c r="L10" s="35">
        <v>0</v>
      </c>
      <c r="M10" s="35">
        <v>0</v>
      </c>
      <c r="N10" s="35">
        <v>0</v>
      </c>
      <c r="O10" s="35">
        <v>5000</v>
      </c>
      <c r="P10" s="35">
        <v>0</v>
      </c>
      <c r="Q10" s="35">
        <v>0</v>
      </c>
      <c r="R10" s="35">
        <v>6000</v>
      </c>
      <c r="S10" s="35">
        <v>5000</v>
      </c>
      <c r="T10" s="35">
        <v>0</v>
      </c>
      <c r="U10" s="35">
        <v>0</v>
      </c>
      <c r="V10" s="35">
        <v>0</v>
      </c>
      <c r="W10" s="35">
        <v>5000</v>
      </c>
      <c r="X10" s="35">
        <v>6000</v>
      </c>
      <c r="Y10" s="35">
        <v>0</v>
      </c>
      <c r="Z10" s="35">
        <v>0</v>
      </c>
      <c r="AA10" s="35">
        <v>5000</v>
      </c>
      <c r="AB10" s="35">
        <v>0</v>
      </c>
      <c r="AC10" s="35">
        <v>3000</v>
      </c>
      <c r="AD10" s="35">
        <v>0</v>
      </c>
      <c r="AE10" s="35">
        <v>5000</v>
      </c>
      <c r="AF10" s="35">
        <v>0</v>
      </c>
      <c r="AG10" s="35">
        <v>0</v>
      </c>
      <c r="AH10" s="35">
        <v>0</v>
      </c>
      <c r="AI10" s="35">
        <v>5000</v>
      </c>
      <c r="AJ10" s="35">
        <v>6000</v>
      </c>
      <c r="AK10" s="35">
        <v>0</v>
      </c>
      <c r="AL10" s="35">
        <v>0</v>
      </c>
      <c r="AM10" s="35">
        <v>5000</v>
      </c>
      <c r="AN10" s="35">
        <v>0</v>
      </c>
      <c r="AO10" s="35">
        <v>0</v>
      </c>
      <c r="AP10" s="35">
        <v>6000</v>
      </c>
      <c r="AQ10" s="35">
        <v>5000</v>
      </c>
      <c r="AR10" s="35">
        <v>0</v>
      </c>
      <c r="AS10" s="35">
        <v>0</v>
      </c>
      <c r="AT10" s="35">
        <v>0</v>
      </c>
      <c r="AU10" s="35">
        <v>5000</v>
      </c>
      <c r="AV10" s="35">
        <v>0</v>
      </c>
      <c r="AW10" s="35">
        <v>0</v>
      </c>
      <c r="AX10" s="35">
        <v>0</v>
      </c>
      <c r="AY10" s="35">
        <v>5000</v>
      </c>
      <c r="AZ10" s="35">
        <v>0</v>
      </c>
      <c r="BA10" s="35">
        <v>0</v>
      </c>
      <c r="BB10" s="35">
        <v>0</v>
      </c>
      <c r="BC10" s="35">
        <v>5000</v>
      </c>
      <c r="BD10" s="46">
        <f t="shared" si="1"/>
        <v>92000</v>
      </c>
      <c r="BE10" s="43">
        <f t="shared" si="2"/>
        <v>846399.99999999988</v>
      </c>
      <c r="BF10" s="35">
        <v>0.25</v>
      </c>
      <c r="BG10" s="35">
        <v>0.22</v>
      </c>
      <c r="BH10" s="35">
        <v>26</v>
      </c>
      <c r="BI10" s="35">
        <v>7.8</v>
      </c>
      <c r="BJ10" s="35">
        <v>7.5</v>
      </c>
      <c r="BK10" s="35">
        <v>0.99975999999999998</v>
      </c>
      <c r="BL10" s="35">
        <v>1</v>
      </c>
    </row>
    <row r="11" spans="1:65" x14ac:dyDescent="0.25">
      <c r="A11" s="19">
        <v>9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46">
        <f t="shared" si="1"/>
        <v>0</v>
      </c>
      <c r="BE11" s="43">
        <f t="shared" si="2"/>
        <v>0</v>
      </c>
      <c r="BF11" s="35"/>
      <c r="BG11" s="35"/>
      <c r="BH11" s="35"/>
      <c r="BI11" s="35"/>
      <c r="BJ11" s="35"/>
      <c r="BK11" s="35"/>
      <c r="BL11" s="35"/>
    </row>
    <row r="12" spans="1:65" x14ac:dyDescent="0.25">
      <c r="A12" s="19">
        <v>10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46">
        <f t="shared" si="1"/>
        <v>0</v>
      </c>
      <c r="BE12" s="43">
        <f t="shared" si="2"/>
        <v>0</v>
      </c>
      <c r="BF12" s="35"/>
      <c r="BG12" s="35"/>
      <c r="BH12" s="35"/>
      <c r="BI12" s="35"/>
      <c r="BJ12" s="35"/>
      <c r="BK12" s="35"/>
      <c r="BL12" s="35"/>
    </row>
    <row r="13" spans="1:65" x14ac:dyDescent="0.25">
      <c r="A13" s="19">
        <v>11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46">
        <f t="shared" si="1"/>
        <v>0</v>
      </c>
      <c r="BE13" s="43">
        <f t="shared" si="2"/>
        <v>0</v>
      </c>
      <c r="BF13" s="35"/>
      <c r="BG13" s="35"/>
      <c r="BH13" s="35"/>
      <c r="BI13" s="35"/>
      <c r="BJ13" s="35"/>
      <c r="BK13" s="35"/>
      <c r="BL13" s="35"/>
    </row>
    <row r="14" spans="1:65" x14ac:dyDescent="0.25">
      <c r="A14" s="19">
        <v>12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46">
        <f t="shared" si="1"/>
        <v>0</v>
      </c>
      <c r="BE14" s="43">
        <f t="shared" si="2"/>
        <v>0</v>
      </c>
      <c r="BF14" s="35"/>
      <c r="BG14" s="35"/>
      <c r="BH14" s="35"/>
      <c r="BI14" s="35"/>
      <c r="BJ14" s="35"/>
      <c r="BK14" s="35"/>
      <c r="BL14" s="35"/>
    </row>
    <row r="15" spans="1:65" x14ac:dyDescent="0.25">
      <c r="A15" s="19">
        <v>13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46">
        <f t="shared" si="1"/>
        <v>0</v>
      </c>
      <c r="BE15" s="43">
        <f t="shared" si="2"/>
        <v>0</v>
      </c>
      <c r="BF15" s="35"/>
      <c r="BG15" s="35"/>
      <c r="BH15" s="35"/>
      <c r="BI15" s="35"/>
      <c r="BJ15" s="35"/>
      <c r="BK15" s="35"/>
      <c r="BL15" s="35"/>
    </row>
    <row r="16" spans="1:65" x14ac:dyDescent="0.25">
      <c r="A16" s="19">
        <v>14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46">
        <f t="shared" si="1"/>
        <v>0</v>
      </c>
      <c r="BE16" s="43">
        <f t="shared" si="2"/>
        <v>0</v>
      </c>
      <c r="BF16" s="35"/>
      <c r="BG16" s="35"/>
      <c r="BH16" s="35"/>
      <c r="BI16" s="35"/>
      <c r="BJ16" s="35"/>
      <c r="BK16" s="35"/>
      <c r="BL16" s="35"/>
    </row>
    <row r="17" spans="1:64" x14ac:dyDescent="0.25">
      <c r="A17" s="19">
        <v>15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46">
        <f t="shared" si="1"/>
        <v>0</v>
      </c>
      <c r="BE17" s="43">
        <f t="shared" si="2"/>
        <v>0</v>
      </c>
      <c r="BF17" s="35"/>
      <c r="BG17" s="35"/>
      <c r="BH17" s="35"/>
      <c r="BI17" s="35"/>
      <c r="BJ17" s="35"/>
      <c r="BK17" s="35"/>
      <c r="BL17" s="35"/>
    </row>
    <row r="18" spans="1:64" x14ac:dyDescent="0.25">
      <c r="A18" s="19">
        <v>16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46">
        <f t="shared" si="1"/>
        <v>0</v>
      </c>
      <c r="BE18" s="43">
        <f t="shared" si="2"/>
        <v>0</v>
      </c>
      <c r="BF18" s="35"/>
      <c r="BG18" s="35"/>
      <c r="BH18" s="35"/>
      <c r="BI18" s="35"/>
      <c r="BJ18" s="35"/>
      <c r="BK18" s="35"/>
      <c r="BL18" s="35"/>
    </row>
    <row r="19" spans="1:64" x14ac:dyDescent="0.25">
      <c r="A19" s="19">
        <v>17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46">
        <f t="shared" si="1"/>
        <v>0</v>
      </c>
      <c r="BE19" s="43">
        <f t="shared" si="2"/>
        <v>0</v>
      </c>
      <c r="BF19" s="35"/>
      <c r="BG19" s="35"/>
      <c r="BH19" s="35"/>
      <c r="BI19" s="35"/>
      <c r="BJ19" s="35"/>
      <c r="BK19" s="35"/>
      <c r="BL19" s="35"/>
    </row>
    <row r="20" spans="1:64" x14ac:dyDescent="0.25">
      <c r="A20" s="19">
        <v>18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46">
        <f t="shared" si="1"/>
        <v>0</v>
      </c>
      <c r="BE20" s="43">
        <f t="shared" si="2"/>
        <v>0</v>
      </c>
      <c r="BF20" s="35"/>
      <c r="BG20" s="35"/>
      <c r="BH20" s="35"/>
      <c r="BI20" s="35"/>
      <c r="BJ20" s="35"/>
      <c r="BK20" s="35"/>
      <c r="BL20" s="35"/>
    </row>
    <row r="21" spans="1:64" x14ac:dyDescent="0.25">
      <c r="A21" s="19">
        <v>19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46">
        <f t="shared" si="1"/>
        <v>0</v>
      </c>
      <c r="BE21" s="43">
        <f t="shared" si="2"/>
        <v>0</v>
      </c>
      <c r="BF21" s="35"/>
      <c r="BG21" s="35"/>
      <c r="BH21" s="35"/>
      <c r="BI21" s="35"/>
      <c r="BJ21" s="35"/>
      <c r="BK21" s="35"/>
      <c r="BL21" s="35"/>
    </row>
    <row r="22" spans="1:64" x14ac:dyDescent="0.25">
      <c r="A22" s="19">
        <v>20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46">
        <f t="shared" si="1"/>
        <v>0</v>
      </c>
      <c r="BE22" s="43">
        <f t="shared" si="2"/>
        <v>0</v>
      </c>
      <c r="BF22" s="35"/>
      <c r="BG22" s="35"/>
      <c r="BH22" s="35"/>
      <c r="BI22" s="35"/>
      <c r="BJ22" s="35"/>
      <c r="BK22" s="35"/>
      <c r="BL22" s="35"/>
    </row>
    <row r="23" spans="1:64" x14ac:dyDescent="0.25">
      <c r="A23" t="s">
        <v>212</v>
      </c>
      <c r="BD23" s="96">
        <f>SUM(BD3:BD22)</f>
        <v>2336000</v>
      </c>
      <c r="BE23" s="96">
        <f>SUM(BE3:BE22)</f>
        <v>23743100</v>
      </c>
    </row>
    <row r="24" spans="1:64" s="1" customFormat="1" ht="75" x14ac:dyDescent="0.25">
      <c r="A24" s="79">
        <v>9</v>
      </c>
      <c r="B24" s="61" t="s">
        <v>202</v>
      </c>
      <c r="C24" s="61" t="s">
        <v>211</v>
      </c>
      <c r="D24" s="104">
        <v>1</v>
      </c>
      <c r="E24" s="104">
        <f>D24+1</f>
        <v>2</v>
      </c>
      <c r="F24" s="104">
        <f t="shared" ref="F24:BC24" si="3">E24+1</f>
        <v>3</v>
      </c>
      <c r="G24" s="104">
        <f t="shared" si="3"/>
        <v>4</v>
      </c>
      <c r="H24" s="104">
        <f t="shared" si="3"/>
        <v>5</v>
      </c>
      <c r="I24" s="104">
        <f t="shared" si="3"/>
        <v>6</v>
      </c>
      <c r="J24" s="104">
        <f t="shared" si="3"/>
        <v>7</v>
      </c>
      <c r="K24" s="104">
        <f t="shared" si="3"/>
        <v>8</v>
      </c>
      <c r="L24" s="104">
        <f t="shared" si="3"/>
        <v>9</v>
      </c>
      <c r="M24" s="104">
        <f t="shared" si="3"/>
        <v>10</v>
      </c>
      <c r="N24" s="104">
        <f t="shared" si="3"/>
        <v>11</v>
      </c>
      <c r="O24" s="104">
        <f t="shared" si="3"/>
        <v>12</v>
      </c>
      <c r="P24" s="104">
        <f t="shared" si="3"/>
        <v>13</v>
      </c>
      <c r="Q24" s="104">
        <f t="shared" si="3"/>
        <v>14</v>
      </c>
      <c r="R24" s="104">
        <f t="shared" si="3"/>
        <v>15</v>
      </c>
      <c r="S24" s="104">
        <f t="shared" si="3"/>
        <v>16</v>
      </c>
      <c r="T24" s="104">
        <f t="shared" si="3"/>
        <v>17</v>
      </c>
      <c r="U24" s="104">
        <f t="shared" si="3"/>
        <v>18</v>
      </c>
      <c r="V24" s="104">
        <f t="shared" si="3"/>
        <v>19</v>
      </c>
      <c r="W24" s="104">
        <f t="shared" si="3"/>
        <v>20</v>
      </c>
      <c r="X24" s="104">
        <f t="shared" si="3"/>
        <v>21</v>
      </c>
      <c r="Y24" s="104">
        <f t="shared" si="3"/>
        <v>22</v>
      </c>
      <c r="Z24" s="104">
        <f t="shared" si="3"/>
        <v>23</v>
      </c>
      <c r="AA24" s="104">
        <f t="shared" si="3"/>
        <v>24</v>
      </c>
      <c r="AB24" s="104">
        <f t="shared" si="3"/>
        <v>25</v>
      </c>
      <c r="AC24" s="104">
        <f t="shared" si="3"/>
        <v>26</v>
      </c>
      <c r="AD24" s="104">
        <f t="shared" si="3"/>
        <v>27</v>
      </c>
      <c r="AE24" s="104">
        <f t="shared" si="3"/>
        <v>28</v>
      </c>
      <c r="AF24" s="104">
        <f t="shared" si="3"/>
        <v>29</v>
      </c>
      <c r="AG24" s="104">
        <f t="shared" si="3"/>
        <v>30</v>
      </c>
      <c r="AH24" s="104">
        <f t="shared" si="3"/>
        <v>31</v>
      </c>
      <c r="AI24" s="104">
        <f t="shared" si="3"/>
        <v>32</v>
      </c>
      <c r="AJ24" s="104">
        <f t="shared" si="3"/>
        <v>33</v>
      </c>
      <c r="AK24" s="104">
        <f t="shared" si="3"/>
        <v>34</v>
      </c>
      <c r="AL24" s="104">
        <f t="shared" si="3"/>
        <v>35</v>
      </c>
      <c r="AM24" s="104">
        <f t="shared" si="3"/>
        <v>36</v>
      </c>
      <c r="AN24" s="104">
        <f t="shared" si="3"/>
        <v>37</v>
      </c>
      <c r="AO24" s="104">
        <f t="shared" si="3"/>
        <v>38</v>
      </c>
      <c r="AP24" s="104">
        <f t="shared" si="3"/>
        <v>39</v>
      </c>
      <c r="AQ24" s="104">
        <f t="shared" si="3"/>
        <v>40</v>
      </c>
      <c r="AR24" s="104">
        <f t="shared" si="3"/>
        <v>41</v>
      </c>
      <c r="AS24" s="104">
        <f t="shared" si="3"/>
        <v>42</v>
      </c>
      <c r="AT24" s="104">
        <f t="shared" si="3"/>
        <v>43</v>
      </c>
      <c r="AU24" s="104">
        <f t="shared" si="3"/>
        <v>44</v>
      </c>
      <c r="AV24" s="104">
        <f t="shared" si="3"/>
        <v>45</v>
      </c>
      <c r="AW24" s="104">
        <f t="shared" si="3"/>
        <v>46</v>
      </c>
      <c r="AX24" s="104">
        <f t="shared" si="3"/>
        <v>47</v>
      </c>
      <c r="AY24" s="104">
        <f t="shared" si="3"/>
        <v>48</v>
      </c>
      <c r="AZ24" s="104">
        <f t="shared" si="3"/>
        <v>49</v>
      </c>
      <c r="BA24" s="104">
        <f t="shared" si="3"/>
        <v>50</v>
      </c>
      <c r="BB24" s="104">
        <f t="shared" si="3"/>
        <v>51</v>
      </c>
      <c r="BC24" s="104">
        <f t="shared" si="3"/>
        <v>52</v>
      </c>
      <c r="BD24" s="118" t="s">
        <v>349</v>
      </c>
      <c r="BE24" s="126" t="s">
        <v>350</v>
      </c>
    </row>
    <row r="25" spans="1:64" x14ac:dyDescent="0.25">
      <c r="A25" s="19">
        <v>1</v>
      </c>
      <c r="B25" s="35" t="s">
        <v>203</v>
      </c>
      <c r="C25" s="43" t="str">
        <f t="shared" ref="C25:C34" si="4">IF(OR(A$24&gt;A25,A$24=A25),B$3,0)</f>
        <v>Product A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5">
        <v>0</v>
      </c>
      <c r="AC25" s="35">
        <v>0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  <c r="AI25" s="35">
        <v>0</v>
      </c>
      <c r="AJ25" s="35">
        <v>0</v>
      </c>
      <c r="AK25" s="35">
        <v>0</v>
      </c>
      <c r="AL25" s="35">
        <v>0</v>
      </c>
      <c r="AM25" s="35">
        <v>0</v>
      </c>
      <c r="AN25" s="35">
        <v>0</v>
      </c>
      <c r="AO25" s="35">
        <v>0</v>
      </c>
      <c r="AP25" s="35">
        <v>0</v>
      </c>
      <c r="AQ25" s="35">
        <v>0</v>
      </c>
      <c r="AR25" s="35">
        <v>0</v>
      </c>
      <c r="AS25" s="35">
        <v>0</v>
      </c>
      <c r="AT25" s="35">
        <v>0</v>
      </c>
      <c r="AU25" s="35">
        <v>0</v>
      </c>
      <c r="AV25" s="35">
        <v>0</v>
      </c>
      <c r="AW25" s="35">
        <v>0</v>
      </c>
      <c r="AX25" s="35">
        <v>0</v>
      </c>
      <c r="AY25" s="35">
        <v>0</v>
      </c>
      <c r="AZ25" s="35">
        <v>0</v>
      </c>
      <c r="BA25" s="35">
        <v>0</v>
      </c>
      <c r="BB25" s="35">
        <v>0</v>
      </c>
      <c r="BC25" s="35">
        <v>0</v>
      </c>
      <c r="BD25" s="35">
        <v>1</v>
      </c>
      <c r="BE25" s="116">
        <v>5.0000000000000001E-4</v>
      </c>
      <c r="BG25">
        <f>SUM(D25:BC33)</f>
        <v>319</v>
      </c>
    </row>
    <row r="26" spans="1:64" x14ac:dyDescent="0.25">
      <c r="A26" s="19">
        <v>2</v>
      </c>
      <c r="B26" s="35" t="s">
        <v>204</v>
      </c>
      <c r="C26" s="43" t="str">
        <f t="shared" si="4"/>
        <v>Product A</v>
      </c>
      <c r="D26" s="35">
        <v>19</v>
      </c>
      <c r="E26" s="35">
        <v>0</v>
      </c>
      <c r="F26" s="35">
        <v>11</v>
      </c>
      <c r="G26" s="35">
        <v>0</v>
      </c>
      <c r="H26" s="35">
        <v>19</v>
      </c>
      <c r="I26" s="35">
        <v>0</v>
      </c>
      <c r="J26" s="35">
        <v>0</v>
      </c>
      <c r="K26" s="35">
        <v>0</v>
      </c>
      <c r="L26" s="35">
        <v>19</v>
      </c>
      <c r="M26" s="35">
        <v>0</v>
      </c>
      <c r="N26" s="35">
        <v>0</v>
      </c>
      <c r="O26" s="35">
        <v>0</v>
      </c>
      <c r="P26" s="35">
        <v>19</v>
      </c>
      <c r="Q26" s="35">
        <v>8</v>
      </c>
      <c r="R26" s="35">
        <v>0</v>
      </c>
      <c r="S26" s="35">
        <v>0</v>
      </c>
      <c r="T26" s="35">
        <v>19</v>
      </c>
      <c r="U26" s="35">
        <v>0</v>
      </c>
      <c r="V26" s="35">
        <v>0</v>
      </c>
      <c r="W26" s="35">
        <v>6</v>
      </c>
      <c r="X26" s="35">
        <v>19</v>
      </c>
      <c r="Y26" s="35">
        <v>0</v>
      </c>
      <c r="Z26" s="35">
        <v>0</v>
      </c>
      <c r="AA26" s="35">
        <v>0</v>
      </c>
      <c r="AB26" s="35">
        <v>19</v>
      </c>
      <c r="AC26" s="35">
        <v>0</v>
      </c>
      <c r="AD26" s="35">
        <v>13</v>
      </c>
      <c r="AE26" s="35">
        <v>0</v>
      </c>
      <c r="AF26" s="35">
        <v>19</v>
      </c>
      <c r="AG26" s="35">
        <v>0</v>
      </c>
      <c r="AH26" s="35">
        <v>0</v>
      </c>
      <c r="AI26" s="35">
        <v>6</v>
      </c>
      <c r="AJ26" s="35">
        <v>20</v>
      </c>
      <c r="AK26" s="35">
        <v>0</v>
      </c>
      <c r="AL26" s="35">
        <v>0</v>
      </c>
      <c r="AM26" s="35">
        <v>0</v>
      </c>
      <c r="AN26" s="35">
        <v>19</v>
      </c>
      <c r="AO26" s="35">
        <v>6</v>
      </c>
      <c r="AP26" s="35">
        <v>0</v>
      </c>
      <c r="AQ26" s="35">
        <v>0</v>
      </c>
      <c r="AR26" s="35">
        <v>19</v>
      </c>
      <c r="AS26" s="35">
        <v>0</v>
      </c>
      <c r="AT26" s="35">
        <v>11</v>
      </c>
      <c r="AU26" s="35">
        <v>0</v>
      </c>
      <c r="AV26" s="35">
        <v>18</v>
      </c>
      <c r="AW26" s="35">
        <v>11</v>
      </c>
      <c r="AX26" s="35">
        <v>0</v>
      </c>
      <c r="AY26" s="35">
        <v>0</v>
      </c>
      <c r="AZ26" s="35">
        <v>19</v>
      </c>
      <c r="BA26" s="35">
        <v>0</v>
      </c>
      <c r="BB26" s="35">
        <v>0</v>
      </c>
      <c r="BC26" s="35">
        <v>0</v>
      </c>
      <c r="BD26" s="35">
        <v>2</v>
      </c>
      <c r="BE26" s="117">
        <f>BE25</f>
        <v>5.0000000000000001E-4</v>
      </c>
    </row>
    <row r="27" spans="1:64" x14ac:dyDescent="0.25">
      <c r="A27" s="19">
        <v>3</v>
      </c>
      <c r="B27" s="35" t="s">
        <v>205</v>
      </c>
      <c r="C27" s="43" t="str">
        <f t="shared" si="4"/>
        <v>Product A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  <c r="X27" s="35">
        <v>0</v>
      </c>
      <c r="Y27" s="35">
        <v>0</v>
      </c>
      <c r="Z27" s="35">
        <v>0</v>
      </c>
      <c r="AA27" s="35">
        <v>0</v>
      </c>
      <c r="AB27" s="35">
        <v>0</v>
      </c>
      <c r="AC27" s="35">
        <v>0</v>
      </c>
      <c r="AD27" s="35">
        <v>0</v>
      </c>
      <c r="AE27" s="35">
        <v>0</v>
      </c>
      <c r="AF27" s="35">
        <v>0</v>
      </c>
      <c r="AG27" s="35">
        <v>0</v>
      </c>
      <c r="AH27" s="35">
        <v>0</v>
      </c>
      <c r="AI27" s="35">
        <v>0</v>
      </c>
      <c r="AJ27" s="35">
        <v>0</v>
      </c>
      <c r="AK27" s="35">
        <v>0</v>
      </c>
      <c r="AL27" s="35">
        <v>0</v>
      </c>
      <c r="AM27" s="35">
        <v>0</v>
      </c>
      <c r="AN27" s="35">
        <v>0</v>
      </c>
      <c r="AO27" s="35">
        <v>0</v>
      </c>
      <c r="AP27" s="35">
        <v>0</v>
      </c>
      <c r="AQ27" s="35">
        <v>0</v>
      </c>
      <c r="AR27" s="35">
        <v>0</v>
      </c>
      <c r="AS27" s="35">
        <v>0</v>
      </c>
      <c r="AT27" s="35">
        <v>0</v>
      </c>
      <c r="AU27" s="35">
        <v>0</v>
      </c>
      <c r="AV27" s="35">
        <v>0</v>
      </c>
      <c r="AW27" s="35">
        <v>0</v>
      </c>
      <c r="AX27" s="35">
        <v>0</v>
      </c>
      <c r="AY27" s="35">
        <v>0</v>
      </c>
      <c r="AZ27" s="35">
        <v>0</v>
      </c>
      <c r="BA27" s="35">
        <v>0</v>
      </c>
      <c r="BB27" s="35">
        <v>0</v>
      </c>
      <c r="BC27" s="35">
        <v>0</v>
      </c>
      <c r="BD27" s="35">
        <v>4</v>
      </c>
      <c r="BE27" s="117">
        <f t="shared" ref="BE27:BE33" si="5">BE26</f>
        <v>5.0000000000000001E-4</v>
      </c>
    </row>
    <row r="28" spans="1:64" x14ac:dyDescent="0.25">
      <c r="A28" s="19">
        <v>4</v>
      </c>
      <c r="B28" s="35" t="s">
        <v>206</v>
      </c>
      <c r="C28" s="43" t="str">
        <f t="shared" si="4"/>
        <v>Product A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</v>
      </c>
      <c r="AB28" s="35">
        <v>0</v>
      </c>
      <c r="AC28" s="35">
        <v>0</v>
      </c>
      <c r="AD28" s="35">
        <v>0</v>
      </c>
      <c r="AE28" s="35">
        <v>0</v>
      </c>
      <c r="AF28" s="35">
        <v>0</v>
      </c>
      <c r="AG28" s="35">
        <v>0</v>
      </c>
      <c r="AH28" s="35">
        <v>0</v>
      </c>
      <c r="AI28" s="35">
        <v>0</v>
      </c>
      <c r="AJ28" s="35">
        <v>0</v>
      </c>
      <c r="AK28" s="35">
        <v>0</v>
      </c>
      <c r="AL28" s="35">
        <v>0</v>
      </c>
      <c r="AM28" s="35">
        <v>0</v>
      </c>
      <c r="AN28" s="35">
        <v>0</v>
      </c>
      <c r="AO28" s="35">
        <v>0</v>
      </c>
      <c r="AP28" s="35">
        <v>0</v>
      </c>
      <c r="AQ28" s="35">
        <v>0</v>
      </c>
      <c r="AR28" s="35">
        <v>0</v>
      </c>
      <c r="AS28" s="35">
        <v>0</v>
      </c>
      <c r="AT28" s="35">
        <v>0</v>
      </c>
      <c r="AU28" s="35">
        <v>0</v>
      </c>
      <c r="AV28" s="35">
        <v>0</v>
      </c>
      <c r="AW28" s="35">
        <v>0</v>
      </c>
      <c r="AX28" s="35">
        <v>0</v>
      </c>
      <c r="AY28" s="35">
        <v>0</v>
      </c>
      <c r="AZ28" s="35">
        <v>0</v>
      </c>
      <c r="BA28" s="35">
        <v>0</v>
      </c>
      <c r="BB28" s="35">
        <v>0</v>
      </c>
      <c r="BC28" s="35">
        <v>0</v>
      </c>
      <c r="BD28" s="35">
        <v>2</v>
      </c>
      <c r="BE28" s="117">
        <f t="shared" si="5"/>
        <v>5.0000000000000001E-4</v>
      </c>
    </row>
    <row r="29" spans="1:64" x14ac:dyDescent="0.25">
      <c r="A29" s="19">
        <v>5</v>
      </c>
      <c r="B29" s="35" t="s">
        <v>207</v>
      </c>
      <c r="C29" s="43" t="str">
        <f t="shared" si="4"/>
        <v>Product A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  <c r="AB29" s="35">
        <v>0</v>
      </c>
      <c r="AC29" s="35">
        <v>0</v>
      </c>
      <c r="AD29" s="35">
        <v>0</v>
      </c>
      <c r="AE29" s="35">
        <v>0</v>
      </c>
      <c r="AF29" s="35">
        <v>0</v>
      </c>
      <c r="AG29" s="35">
        <v>0</v>
      </c>
      <c r="AH29" s="35">
        <v>0</v>
      </c>
      <c r="AI29" s="35">
        <v>0</v>
      </c>
      <c r="AJ29" s="35">
        <v>0</v>
      </c>
      <c r="AK29" s="35">
        <v>0</v>
      </c>
      <c r="AL29" s="35">
        <v>0</v>
      </c>
      <c r="AM29" s="35">
        <v>0</v>
      </c>
      <c r="AN29" s="35">
        <v>0</v>
      </c>
      <c r="AO29" s="35">
        <v>0</v>
      </c>
      <c r="AP29" s="35">
        <v>0</v>
      </c>
      <c r="AQ29" s="35">
        <v>0</v>
      </c>
      <c r="AR29" s="35">
        <v>0</v>
      </c>
      <c r="AS29" s="35">
        <v>0</v>
      </c>
      <c r="AT29" s="35">
        <v>0</v>
      </c>
      <c r="AU29" s="35">
        <v>0</v>
      </c>
      <c r="AV29" s="35">
        <v>0</v>
      </c>
      <c r="AW29" s="35">
        <v>0</v>
      </c>
      <c r="AX29" s="35">
        <v>0</v>
      </c>
      <c r="AY29" s="35">
        <v>0</v>
      </c>
      <c r="AZ29" s="35">
        <v>0</v>
      </c>
      <c r="BA29" s="35">
        <v>0</v>
      </c>
      <c r="BB29" s="35">
        <v>0</v>
      </c>
      <c r="BC29" s="35">
        <v>0</v>
      </c>
      <c r="BD29" s="35">
        <v>2</v>
      </c>
      <c r="BE29" s="117">
        <f t="shared" si="5"/>
        <v>5.0000000000000001E-4</v>
      </c>
    </row>
    <row r="30" spans="1:64" x14ac:dyDescent="0.25">
      <c r="A30" s="19">
        <v>6</v>
      </c>
      <c r="B30" s="35" t="s">
        <v>208</v>
      </c>
      <c r="C30" s="43" t="str">
        <f t="shared" si="4"/>
        <v>Product A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5">
        <v>0</v>
      </c>
      <c r="AC30" s="35">
        <v>0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0</v>
      </c>
      <c r="AJ30" s="35">
        <v>0</v>
      </c>
      <c r="AK30" s="35">
        <v>0</v>
      </c>
      <c r="AL30" s="35">
        <v>0</v>
      </c>
      <c r="AM30" s="35">
        <v>0</v>
      </c>
      <c r="AN30" s="35">
        <v>0</v>
      </c>
      <c r="AO30" s="35">
        <v>0</v>
      </c>
      <c r="AP30" s="35">
        <v>0</v>
      </c>
      <c r="AQ30" s="35">
        <v>0</v>
      </c>
      <c r="AR30" s="35">
        <v>0</v>
      </c>
      <c r="AS30" s="35">
        <v>0</v>
      </c>
      <c r="AT30" s="35">
        <v>0</v>
      </c>
      <c r="AU30" s="35">
        <v>0</v>
      </c>
      <c r="AV30" s="35">
        <v>0</v>
      </c>
      <c r="AW30" s="35">
        <v>0</v>
      </c>
      <c r="AX30" s="35">
        <v>0</v>
      </c>
      <c r="AY30" s="35">
        <v>0</v>
      </c>
      <c r="AZ30" s="35">
        <v>0</v>
      </c>
      <c r="BA30" s="35">
        <v>0</v>
      </c>
      <c r="BB30" s="35">
        <v>0</v>
      </c>
      <c r="BC30" s="35">
        <v>0</v>
      </c>
      <c r="BD30" s="35">
        <v>4.5</v>
      </c>
      <c r="BE30" s="117">
        <f t="shared" si="5"/>
        <v>5.0000000000000001E-4</v>
      </c>
    </row>
    <row r="31" spans="1:64" x14ac:dyDescent="0.25">
      <c r="A31" s="19">
        <v>7</v>
      </c>
      <c r="B31" s="35" t="s">
        <v>209</v>
      </c>
      <c r="C31" s="43" t="str">
        <f t="shared" si="4"/>
        <v>Product A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5">
        <v>0</v>
      </c>
      <c r="AC31" s="35">
        <v>0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  <c r="AI31" s="35">
        <v>0</v>
      </c>
      <c r="AJ31" s="35">
        <v>0</v>
      </c>
      <c r="AK31" s="35">
        <v>0</v>
      </c>
      <c r="AL31" s="35">
        <v>0</v>
      </c>
      <c r="AM31" s="35">
        <v>0</v>
      </c>
      <c r="AN31" s="35">
        <v>0</v>
      </c>
      <c r="AO31" s="35">
        <v>0</v>
      </c>
      <c r="AP31" s="35">
        <v>0</v>
      </c>
      <c r="AQ31" s="35">
        <v>0</v>
      </c>
      <c r="AR31" s="35">
        <v>0</v>
      </c>
      <c r="AS31" s="35">
        <v>0</v>
      </c>
      <c r="AT31" s="35">
        <v>0</v>
      </c>
      <c r="AU31" s="35">
        <v>0</v>
      </c>
      <c r="AV31" s="35">
        <v>0</v>
      </c>
      <c r="AW31" s="35">
        <v>0</v>
      </c>
      <c r="AX31" s="35">
        <v>0</v>
      </c>
      <c r="AY31" s="35">
        <v>0</v>
      </c>
      <c r="AZ31" s="35">
        <v>0</v>
      </c>
      <c r="BA31" s="35">
        <v>0</v>
      </c>
      <c r="BB31" s="35">
        <v>0</v>
      </c>
      <c r="BC31" s="35">
        <v>0</v>
      </c>
      <c r="BD31" s="35">
        <v>1</v>
      </c>
      <c r="BE31" s="117">
        <f t="shared" si="5"/>
        <v>5.0000000000000001E-4</v>
      </c>
    </row>
    <row r="32" spans="1:64" x14ac:dyDescent="0.25">
      <c r="A32" s="19">
        <v>8</v>
      </c>
      <c r="B32" s="35" t="s">
        <v>210</v>
      </c>
      <c r="C32" s="43" t="str">
        <f t="shared" si="4"/>
        <v>Product A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0</v>
      </c>
      <c r="AE32" s="35">
        <v>0</v>
      </c>
      <c r="AF32" s="35">
        <v>0</v>
      </c>
      <c r="AG32" s="35">
        <v>0</v>
      </c>
      <c r="AH32" s="35">
        <v>0</v>
      </c>
      <c r="AI32" s="35">
        <v>0</v>
      </c>
      <c r="AJ32" s="35">
        <v>0</v>
      </c>
      <c r="AK32" s="35">
        <v>0</v>
      </c>
      <c r="AL32" s="35">
        <v>0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5">
        <v>0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  <c r="BC32" s="35">
        <v>0</v>
      </c>
      <c r="BD32" s="35">
        <v>2</v>
      </c>
      <c r="BE32" s="117">
        <f t="shared" si="5"/>
        <v>5.0000000000000001E-4</v>
      </c>
    </row>
    <row r="33" spans="1:60" x14ac:dyDescent="0.25">
      <c r="A33" s="19">
        <v>9</v>
      </c>
      <c r="B33" s="35" t="s">
        <v>269</v>
      </c>
      <c r="C33" s="43" t="str">
        <f t="shared" si="4"/>
        <v>Product A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5">
        <v>0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  <c r="AI33" s="35">
        <v>0</v>
      </c>
      <c r="AJ33" s="35">
        <v>0</v>
      </c>
      <c r="AK33" s="35">
        <v>0</v>
      </c>
      <c r="AL33" s="35">
        <v>0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5">
        <v>0</v>
      </c>
      <c r="AU33" s="35">
        <v>0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  <c r="BC33" s="35">
        <v>0</v>
      </c>
      <c r="BD33" s="35">
        <v>2</v>
      </c>
      <c r="BE33" s="117">
        <f t="shared" si="5"/>
        <v>5.0000000000000001E-4</v>
      </c>
      <c r="BH33" s="72"/>
    </row>
    <row r="34" spans="1:60" x14ac:dyDescent="0.25">
      <c r="A34" s="19">
        <v>10</v>
      </c>
      <c r="B34" s="80"/>
      <c r="C34" s="43">
        <f t="shared" si="4"/>
        <v>0</v>
      </c>
      <c r="D34" s="104">
        <v>1</v>
      </c>
      <c r="E34" s="104">
        <f>D34+1</f>
        <v>2</v>
      </c>
      <c r="F34" s="104">
        <f t="shared" ref="F34:BC34" si="6">E34+1</f>
        <v>3</v>
      </c>
      <c r="G34" s="104">
        <f t="shared" si="6"/>
        <v>4</v>
      </c>
      <c r="H34" s="104">
        <f t="shared" si="6"/>
        <v>5</v>
      </c>
      <c r="I34" s="104">
        <f t="shared" si="6"/>
        <v>6</v>
      </c>
      <c r="J34" s="104">
        <f t="shared" si="6"/>
        <v>7</v>
      </c>
      <c r="K34" s="104">
        <f t="shared" si="6"/>
        <v>8</v>
      </c>
      <c r="L34" s="104">
        <f t="shared" si="6"/>
        <v>9</v>
      </c>
      <c r="M34" s="104">
        <f t="shared" si="6"/>
        <v>10</v>
      </c>
      <c r="N34" s="104">
        <f t="shared" si="6"/>
        <v>11</v>
      </c>
      <c r="O34" s="104">
        <f t="shared" si="6"/>
        <v>12</v>
      </c>
      <c r="P34" s="104">
        <f t="shared" si="6"/>
        <v>13</v>
      </c>
      <c r="Q34" s="104">
        <f t="shared" si="6"/>
        <v>14</v>
      </c>
      <c r="R34" s="104">
        <f t="shared" si="6"/>
        <v>15</v>
      </c>
      <c r="S34" s="104">
        <f t="shared" si="6"/>
        <v>16</v>
      </c>
      <c r="T34" s="104">
        <f t="shared" si="6"/>
        <v>17</v>
      </c>
      <c r="U34" s="104">
        <f t="shared" si="6"/>
        <v>18</v>
      </c>
      <c r="V34" s="104">
        <f t="shared" si="6"/>
        <v>19</v>
      </c>
      <c r="W34" s="104">
        <f t="shared" si="6"/>
        <v>20</v>
      </c>
      <c r="X34" s="104">
        <f t="shared" si="6"/>
        <v>21</v>
      </c>
      <c r="Y34" s="104">
        <f t="shared" si="6"/>
        <v>22</v>
      </c>
      <c r="Z34" s="104">
        <f t="shared" si="6"/>
        <v>23</v>
      </c>
      <c r="AA34" s="104">
        <f t="shared" si="6"/>
        <v>24</v>
      </c>
      <c r="AB34" s="104">
        <f t="shared" si="6"/>
        <v>25</v>
      </c>
      <c r="AC34" s="104">
        <f t="shared" si="6"/>
        <v>26</v>
      </c>
      <c r="AD34" s="104">
        <f t="shared" si="6"/>
        <v>27</v>
      </c>
      <c r="AE34" s="104">
        <f t="shared" si="6"/>
        <v>28</v>
      </c>
      <c r="AF34" s="104">
        <f t="shared" si="6"/>
        <v>29</v>
      </c>
      <c r="AG34" s="104">
        <f t="shared" si="6"/>
        <v>30</v>
      </c>
      <c r="AH34" s="104">
        <f t="shared" si="6"/>
        <v>31</v>
      </c>
      <c r="AI34" s="104">
        <f t="shared" si="6"/>
        <v>32</v>
      </c>
      <c r="AJ34" s="104">
        <f t="shared" si="6"/>
        <v>33</v>
      </c>
      <c r="AK34" s="104">
        <f t="shared" si="6"/>
        <v>34</v>
      </c>
      <c r="AL34" s="104">
        <f t="shared" si="6"/>
        <v>35</v>
      </c>
      <c r="AM34" s="104">
        <f t="shared" si="6"/>
        <v>36</v>
      </c>
      <c r="AN34" s="104">
        <f t="shared" si="6"/>
        <v>37</v>
      </c>
      <c r="AO34" s="104">
        <f t="shared" si="6"/>
        <v>38</v>
      </c>
      <c r="AP34" s="104">
        <f t="shared" si="6"/>
        <v>39</v>
      </c>
      <c r="AQ34" s="104">
        <f t="shared" si="6"/>
        <v>40</v>
      </c>
      <c r="AR34" s="104">
        <f t="shared" si="6"/>
        <v>41</v>
      </c>
      <c r="AS34" s="104">
        <f t="shared" si="6"/>
        <v>42</v>
      </c>
      <c r="AT34" s="104">
        <f t="shared" si="6"/>
        <v>43</v>
      </c>
      <c r="AU34" s="104">
        <f t="shared" si="6"/>
        <v>44</v>
      </c>
      <c r="AV34" s="104">
        <f t="shared" si="6"/>
        <v>45</v>
      </c>
      <c r="AW34" s="104">
        <f t="shared" si="6"/>
        <v>46</v>
      </c>
      <c r="AX34" s="104">
        <f t="shared" si="6"/>
        <v>47</v>
      </c>
      <c r="AY34" s="104">
        <f t="shared" si="6"/>
        <v>48</v>
      </c>
      <c r="AZ34" s="104">
        <f t="shared" si="6"/>
        <v>49</v>
      </c>
      <c r="BA34" s="104">
        <f t="shared" si="6"/>
        <v>50</v>
      </c>
      <c r="BB34" s="104">
        <f t="shared" si="6"/>
        <v>51</v>
      </c>
      <c r="BC34" s="104">
        <f t="shared" si="6"/>
        <v>52</v>
      </c>
      <c r="BD34" s="19"/>
      <c r="BE34" s="83"/>
    </row>
    <row r="35" spans="1:60" x14ac:dyDescent="0.25">
      <c r="A35" s="19">
        <v>1</v>
      </c>
      <c r="B35" s="80" t="str">
        <f>B25</f>
        <v>Rework Loss Type A</v>
      </c>
      <c r="C35" s="43" t="str">
        <f t="shared" ref="C35:C44" si="7">IF(OR(A$24&gt;A35,A$24=A35),B$4,0)</f>
        <v>Product B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  <c r="U35" s="35">
        <v>0</v>
      </c>
      <c r="V35" s="35">
        <v>0</v>
      </c>
      <c r="W35" s="35">
        <v>0</v>
      </c>
      <c r="X35" s="35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35">
        <v>0</v>
      </c>
      <c r="AG35" s="35">
        <v>0</v>
      </c>
      <c r="AH35" s="35">
        <v>0</v>
      </c>
      <c r="AI35" s="35">
        <v>0</v>
      </c>
      <c r="AJ35" s="35">
        <v>0</v>
      </c>
      <c r="AK35" s="35">
        <v>0</v>
      </c>
      <c r="AL35" s="35">
        <v>0</v>
      </c>
      <c r="AM35" s="35">
        <v>0</v>
      </c>
      <c r="AN35" s="35">
        <v>0</v>
      </c>
      <c r="AO35" s="35">
        <v>0</v>
      </c>
      <c r="AP35" s="35">
        <v>0</v>
      </c>
      <c r="AQ35" s="35">
        <v>0</v>
      </c>
      <c r="AR35" s="35">
        <v>0</v>
      </c>
      <c r="AS35" s="35">
        <v>0</v>
      </c>
      <c r="AT35" s="35">
        <v>0</v>
      </c>
      <c r="AU35" s="35">
        <v>0</v>
      </c>
      <c r="AV35" s="35">
        <v>0</v>
      </c>
      <c r="AW35" s="35">
        <v>0</v>
      </c>
      <c r="AX35" s="35">
        <v>0</v>
      </c>
      <c r="AY35" s="35">
        <v>0</v>
      </c>
      <c r="AZ35" s="35">
        <v>0</v>
      </c>
      <c r="BA35" s="35">
        <v>0</v>
      </c>
      <c r="BB35" s="35">
        <v>0</v>
      </c>
      <c r="BC35" s="35">
        <v>0</v>
      </c>
      <c r="BD35" s="35">
        <v>1</v>
      </c>
      <c r="BE35" s="116">
        <v>5.0000000000000001E-4</v>
      </c>
      <c r="BG35">
        <f>SUM(D35:BC43)</f>
        <v>500</v>
      </c>
    </row>
    <row r="36" spans="1:60" x14ac:dyDescent="0.25">
      <c r="A36" s="19">
        <v>2</v>
      </c>
      <c r="B36" s="80" t="str">
        <f t="shared" ref="B36:B43" si="8">B26</f>
        <v>Rework Loss Type B</v>
      </c>
      <c r="C36" s="43" t="str">
        <f t="shared" si="7"/>
        <v>Product B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  <c r="U36" s="35">
        <v>0</v>
      </c>
      <c r="V36" s="35">
        <v>0</v>
      </c>
      <c r="W36" s="35">
        <v>0</v>
      </c>
      <c r="X36" s="35">
        <v>0</v>
      </c>
      <c r="Y36" s="35">
        <v>0</v>
      </c>
      <c r="Z36" s="35">
        <v>0</v>
      </c>
      <c r="AA36" s="35">
        <v>0</v>
      </c>
      <c r="AB36" s="35">
        <v>0</v>
      </c>
      <c r="AC36" s="35">
        <v>0</v>
      </c>
      <c r="AD36" s="35">
        <v>0</v>
      </c>
      <c r="AE36" s="35">
        <v>0</v>
      </c>
      <c r="AF36" s="35">
        <v>0</v>
      </c>
      <c r="AG36" s="35">
        <v>0</v>
      </c>
      <c r="AH36" s="35">
        <v>0</v>
      </c>
      <c r="AI36" s="35">
        <v>0</v>
      </c>
      <c r="AJ36" s="35">
        <v>0</v>
      </c>
      <c r="AK36" s="35">
        <v>0</v>
      </c>
      <c r="AL36" s="35">
        <v>0</v>
      </c>
      <c r="AM36" s="35">
        <v>0</v>
      </c>
      <c r="AN36" s="35">
        <v>0</v>
      </c>
      <c r="AO36" s="35">
        <v>0</v>
      </c>
      <c r="AP36" s="35">
        <v>0</v>
      </c>
      <c r="AQ36" s="35">
        <v>0</v>
      </c>
      <c r="AR36" s="35">
        <v>0</v>
      </c>
      <c r="AS36" s="35">
        <v>0</v>
      </c>
      <c r="AT36" s="35">
        <v>0</v>
      </c>
      <c r="AU36" s="35">
        <v>0</v>
      </c>
      <c r="AV36" s="35">
        <v>0</v>
      </c>
      <c r="AW36" s="35">
        <v>0</v>
      </c>
      <c r="AX36" s="35">
        <v>0</v>
      </c>
      <c r="AY36" s="35">
        <v>0</v>
      </c>
      <c r="AZ36" s="35">
        <v>0</v>
      </c>
      <c r="BA36" s="35">
        <v>0</v>
      </c>
      <c r="BB36" s="35">
        <v>0</v>
      </c>
      <c r="BC36" s="35">
        <v>0</v>
      </c>
      <c r="BD36" s="35">
        <v>2</v>
      </c>
      <c r="BE36" s="117">
        <f>BE35</f>
        <v>5.0000000000000001E-4</v>
      </c>
    </row>
    <row r="37" spans="1:60" x14ac:dyDescent="0.25">
      <c r="A37" s="19">
        <v>3</v>
      </c>
      <c r="B37" s="80" t="str">
        <f t="shared" si="8"/>
        <v>Rework Loss Type C</v>
      </c>
      <c r="C37" s="43" t="str">
        <f t="shared" si="7"/>
        <v>Product B</v>
      </c>
      <c r="D37" s="35">
        <v>0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  <c r="U37" s="35">
        <v>0</v>
      </c>
      <c r="V37" s="35">
        <v>0</v>
      </c>
      <c r="W37" s="35">
        <v>0</v>
      </c>
      <c r="X37" s="35">
        <v>0</v>
      </c>
      <c r="Y37" s="35">
        <v>0</v>
      </c>
      <c r="Z37" s="35">
        <v>0</v>
      </c>
      <c r="AA37" s="35">
        <v>0</v>
      </c>
      <c r="AB37" s="35">
        <v>0</v>
      </c>
      <c r="AC37" s="35">
        <v>0</v>
      </c>
      <c r="AD37" s="35">
        <v>0</v>
      </c>
      <c r="AE37" s="35">
        <v>0</v>
      </c>
      <c r="AF37" s="35">
        <v>0</v>
      </c>
      <c r="AG37" s="35">
        <v>0</v>
      </c>
      <c r="AH37" s="35">
        <v>0</v>
      </c>
      <c r="AI37" s="35">
        <v>0</v>
      </c>
      <c r="AJ37" s="35">
        <v>0</v>
      </c>
      <c r="AK37" s="35">
        <v>0</v>
      </c>
      <c r="AL37" s="35">
        <v>0</v>
      </c>
      <c r="AM37" s="35">
        <v>0</v>
      </c>
      <c r="AN37" s="35">
        <v>0</v>
      </c>
      <c r="AO37" s="35">
        <v>0</v>
      </c>
      <c r="AP37" s="35">
        <v>0</v>
      </c>
      <c r="AQ37" s="35">
        <v>0</v>
      </c>
      <c r="AR37" s="35">
        <v>0</v>
      </c>
      <c r="AS37" s="35">
        <v>0</v>
      </c>
      <c r="AT37" s="35">
        <v>0</v>
      </c>
      <c r="AU37" s="35">
        <v>0</v>
      </c>
      <c r="AV37" s="35">
        <v>0</v>
      </c>
      <c r="AW37" s="35">
        <v>0</v>
      </c>
      <c r="AX37" s="35">
        <v>0</v>
      </c>
      <c r="AY37" s="35">
        <v>0</v>
      </c>
      <c r="AZ37" s="35">
        <v>0</v>
      </c>
      <c r="BA37" s="35">
        <v>0</v>
      </c>
      <c r="BB37" s="35">
        <v>0</v>
      </c>
      <c r="BC37" s="35">
        <v>0</v>
      </c>
      <c r="BD37" s="35">
        <v>4</v>
      </c>
      <c r="BE37" s="117">
        <f t="shared" ref="BE37:BE43" si="9">BE36</f>
        <v>5.0000000000000001E-4</v>
      </c>
    </row>
    <row r="38" spans="1:60" x14ac:dyDescent="0.25">
      <c r="A38" s="19">
        <v>4</v>
      </c>
      <c r="B38" s="80" t="str">
        <f t="shared" si="8"/>
        <v>Rework Loss Type D</v>
      </c>
      <c r="C38" s="43" t="str">
        <f t="shared" si="7"/>
        <v>Product B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  <c r="U38" s="35">
        <v>0</v>
      </c>
      <c r="V38" s="35">
        <v>0</v>
      </c>
      <c r="W38" s="35">
        <v>0</v>
      </c>
      <c r="X38" s="35">
        <v>0</v>
      </c>
      <c r="Y38" s="35">
        <v>0</v>
      </c>
      <c r="Z38" s="35">
        <v>0</v>
      </c>
      <c r="AA38" s="35">
        <v>0</v>
      </c>
      <c r="AB38" s="35">
        <v>0</v>
      </c>
      <c r="AC38" s="35">
        <v>0</v>
      </c>
      <c r="AD38" s="35">
        <v>0</v>
      </c>
      <c r="AE38" s="35">
        <v>0</v>
      </c>
      <c r="AF38" s="35">
        <v>0</v>
      </c>
      <c r="AG38" s="35">
        <v>0</v>
      </c>
      <c r="AH38" s="35">
        <v>0</v>
      </c>
      <c r="AI38" s="35">
        <v>0</v>
      </c>
      <c r="AJ38" s="35">
        <v>0</v>
      </c>
      <c r="AK38" s="35">
        <v>0</v>
      </c>
      <c r="AL38" s="35">
        <v>0</v>
      </c>
      <c r="AM38" s="35">
        <v>0</v>
      </c>
      <c r="AN38" s="35">
        <v>0</v>
      </c>
      <c r="AO38" s="35">
        <v>0</v>
      </c>
      <c r="AP38" s="35">
        <v>0</v>
      </c>
      <c r="AQ38" s="35">
        <v>0</v>
      </c>
      <c r="AR38" s="35">
        <v>0</v>
      </c>
      <c r="AS38" s="35">
        <v>0</v>
      </c>
      <c r="AT38" s="35">
        <v>0</v>
      </c>
      <c r="AU38" s="35">
        <v>0</v>
      </c>
      <c r="AV38" s="35">
        <v>0</v>
      </c>
      <c r="AW38" s="35">
        <v>0</v>
      </c>
      <c r="AX38" s="35">
        <v>0</v>
      </c>
      <c r="AY38" s="35">
        <v>0</v>
      </c>
      <c r="AZ38" s="35">
        <v>0</v>
      </c>
      <c r="BA38" s="35">
        <v>0</v>
      </c>
      <c r="BB38" s="35">
        <v>0</v>
      </c>
      <c r="BC38" s="35">
        <v>0</v>
      </c>
      <c r="BD38" s="35">
        <v>2</v>
      </c>
      <c r="BE38" s="117">
        <f t="shared" si="9"/>
        <v>5.0000000000000001E-4</v>
      </c>
    </row>
    <row r="39" spans="1:60" x14ac:dyDescent="0.25">
      <c r="A39" s="19">
        <v>5</v>
      </c>
      <c r="B39" s="80" t="str">
        <f t="shared" si="8"/>
        <v>Rework Loss Type E</v>
      </c>
      <c r="C39" s="43" t="str">
        <f t="shared" si="7"/>
        <v>Product B</v>
      </c>
      <c r="D39" s="35">
        <v>17</v>
      </c>
      <c r="E39" s="35">
        <v>19</v>
      </c>
      <c r="F39" s="35">
        <v>0</v>
      </c>
      <c r="G39" s="35">
        <v>13</v>
      </c>
      <c r="H39" s="35">
        <v>17</v>
      </c>
      <c r="I39" s="35">
        <v>19</v>
      </c>
      <c r="J39" s="35">
        <v>0</v>
      </c>
      <c r="K39" s="35">
        <v>7</v>
      </c>
      <c r="L39" s="35">
        <v>17</v>
      </c>
      <c r="M39" s="35">
        <v>19</v>
      </c>
      <c r="N39" s="35">
        <v>0</v>
      </c>
      <c r="O39" s="35">
        <v>0</v>
      </c>
      <c r="P39" s="35">
        <v>18</v>
      </c>
      <c r="Q39" s="35">
        <v>19</v>
      </c>
      <c r="R39" s="35">
        <v>0</v>
      </c>
      <c r="S39" s="35">
        <v>0</v>
      </c>
      <c r="T39" s="35">
        <v>17</v>
      </c>
      <c r="U39" s="35">
        <v>19</v>
      </c>
      <c r="V39" s="35">
        <v>0</v>
      </c>
      <c r="W39" s="35">
        <v>0</v>
      </c>
      <c r="X39" s="35">
        <v>17</v>
      </c>
      <c r="Y39" s="35">
        <v>19</v>
      </c>
      <c r="Z39" s="35">
        <v>0</v>
      </c>
      <c r="AA39" s="35">
        <v>0</v>
      </c>
      <c r="AB39" s="35">
        <v>17</v>
      </c>
      <c r="AC39" s="35">
        <v>19</v>
      </c>
      <c r="AD39" s="35">
        <v>0</v>
      </c>
      <c r="AE39" s="35">
        <v>0</v>
      </c>
      <c r="AF39" s="35">
        <v>17</v>
      </c>
      <c r="AG39" s="35">
        <v>19</v>
      </c>
      <c r="AH39" s="35">
        <v>0</v>
      </c>
      <c r="AI39" s="35">
        <v>0</v>
      </c>
      <c r="AJ39" s="35">
        <v>18</v>
      </c>
      <c r="AK39" s="35">
        <v>19</v>
      </c>
      <c r="AL39" s="35">
        <v>0</v>
      </c>
      <c r="AM39" s="35">
        <v>0</v>
      </c>
      <c r="AN39" s="35">
        <v>17</v>
      </c>
      <c r="AO39" s="35">
        <v>19</v>
      </c>
      <c r="AP39" s="35">
        <v>0</v>
      </c>
      <c r="AQ39" s="35">
        <v>0</v>
      </c>
      <c r="AR39" s="35">
        <v>17</v>
      </c>
      <c r="AS39" s="35">
        <v>19</v>
      </c>
      <c r="AT39" s="35">
        <v>0</v>
      </c>
      <c r="AU39" s="35">
        <v>10</v>
      </c>
      <c r="AV39" s="35">
        <v>18</v>
      </c>
      <c r="AW39" s="35">
        <v>20</v>
      </c>
      <c r="AX39" s="35">
        <v>0</v>
      </c>
      <c r="AY39" s="35">
        <v>9</v>
      </c>
      <c r="AZ39" s="35">
        <v>17</v>
      </c>
      <c r="BA39" s="35">
        <v>8</v>
      </c>
      <c r="BB39" s="35">
        <v>0</v>
      </c>
      <c r="BC39" s="35">
        <v>0</v>
      </c>
      <c r="BD39" s="35">
        <v>2</v>
      </c>
      <c r="BE39" s="117">
        <f t="shared" si="9"/>
        <v>5.0000000000000001E-4</v>
      </c>
    </row>
    <row r="40" spans="1:60" x14ac:dyDescent="0.25">
      <c r="A40" s="19">
        <v>6</v>
      </c>
      <c r="B40" s="80" t="str">
        <f t="shared" si="8"/>
        <v>Rework Loss Type F</v>
      </c>
      <c r="C40" s="43" t="str">
        <f t="shared" si="7"/>
        <v>Product B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  <c r="U40" s="35">
        <v>0</v>
      </c>
      <c r="V40" s="35">
        <v>0</v>
      </c>
      <c r="W40" s="35">
        <v>0</v>
      </c>
      <c r="X40" s="35">
        <v>0</v>
      </c>
      <c r="Y40" s="35">
        <v>0</v>
      </c>
      <c r="Z40" s="35">
        <v>0</v>
      </c>
      <c r="AA40" s="35">
        <v>0</v>
      </c>
      <c r="AB40" s="35">
        <v>0</v>
      </c>
      <c r="AC40" s="35">
        <v>0</v>
      </c>
      <c r="AD40" s="35">
        <v>0</v>
      </c>
      <c r="AE40" s="35">
        <v>0</v>
      </c>
      <c r="AF40" s="35">
        <v>0</v>
      </c>
      <c r="AG40" s="35">
        <v>0</v>
      </c>
      <c r="AH40" s="35">
        <v>0</v>
      </c>
      <c r="AI40" s="35">
        <v>0</v>
      </c>
      <c r="AJ40" s="35">
        <v>0</v>
      </c>
      <c r="AK40" s="35">
        <v>0</v>
      </c>
      <c r="AL40" s="35">
        <v>0</v>
      </c>
      <c r="AM40" s="35">
        <v>0</v>
      </c>
      <c r="AN40" s="35">
        <v>0</v>
      </c>
      <c r="AO40" s="35">
        <v>0</v>
      </c>
      <c r="AP40" s="35">
        <v>0</v>
      </c>
      <c r="AQ40" s="35">
        <v>0</v>
      </c>
      <c r="AR40" s="35">
        <v>0</v>
      </c>
      <c r="AS40" s="35">
        <v>0</v>
      </c>
      <c r="AT40" s="35">
        <v>0</v>
      </c>
      <c r="AU40" s="35">
        <v>0</v>
      </c>
      <c r="AV40" s="35">
        <v>0</v>
      </c>
      <c r="AW40" s="35">
        <v>0</v>
      </c>
      <c r="AX40" s="35">
        <v>0</v>
      </c>
      <c r="AY40" s="35">
        <v>0</v>
      </c>
      <c r="AZ40" s="35">
        <v>0</v>
      </c>
      <c r="BA40" s="35">
        <v>0</v>
      </c>
      <c r="BB40" s="35">
        <v>0</v>
      </c>
      <c r="BC40" s="35">
        <v>0</v>
      </c>
      <c r="BD40" s="35">
        <v>7</v>
      </c>
      <c r="BE40" s="117">
        <f t="shared" si="9"/>
        <v>5.0000000000000001E-4</v>
      </c>
    </row>
    <row r="41" spans="1:60" x14ac:dyDescent="0.25">
      <c r="A41" s="19">
        <v>7</v>
      </c>
      <c r="B41" s="80" t="str">
        <f t="shared" si="8"/>
        <v>Rework Loss Type G</v>
      </c>
      <c r="C41" s="43" t="str">
        <f t="shared" si="7"/>
        <v>Product B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  <c r="U41" s="35">
        <v>0</v>
      </c>
      <c r="V41" s="35">
        <v>0</v>
      </c>
      <c r="W41" s="35">
        <v>0</v>
      </c>
      <c r="X41" s="35">
        <v>0</v>
      </c>
      <c r="Y41" s="35">
        <v>0</v>
      </c>
      <c r="Z41" s="35">
        <v>0</v>
      </c>
      <c r="AA41" s="35">
        <v>0</v>
      </c>
      <c r="AB41" s="35">
        <v>0</v>
      </c>
      <c r="AC41" s="35">
        <v>0</v>
      </c>
      <c r="AD41" s="35">
        <v>0</v>
      </c>
      <c r="AE41" s="35">
        <v>0</v>
      </c>
      <c r="AF41" s="35">
        <v>0</v>
      </c>
      <c r="AG41" s="35">
        <v>0</v>
      </c>
      <c r="AH41" s="35">
        <v>0</v>
      </c>
      <c r="AI41" s="35">
        <v>0</v>
      </c>
      <c r="AJ41" s="35">
        <v>0</v>
      </c>
      <c r="AK41" s="35">
        <v>0</v>
      </c>
      <c r="AL41" s="35">
        <v>0</v>
      </c>
      <c r="AM41" s="35">
        <v>0</v>
      </c>
      <c r="AN41" s="35">
        <v>0</v>
      </c>
      <c r="AO41" s="35">
        <v>0</v>
      </c>
      <c r="AP41" s="35">
        <v>0</v>
      </c>
      <c r="AQ41" s="35">
        <v>0</v>
      </c>
      <c r="AR41" s="35">
        <v>0</v>
      </c>
      <c r="AS41" s="35">
        <v>0</v>
      </c>
      <c r="AT41" s="35">
        <v>0</v>
      </c>
      <c r="AU41" s="35">
        <v>0</v>
      </c>
      <c r="AV41" s="35">
        <v>0</v>
      </c>
      <c r="AW41" s="35">
        <v>0</v>
      </c>
      <c r="AX41" s="35">
        <v>0</v>
      </c>
      <c r="AY41" s="35">
        <v>0</v>
      </c>
      <c r="AZ41" s="35">
        <v>0</v>
      </c>
      <c r="BA41" s="35">
        <v>0</v>
      </c>
      <c r="BB41" s="35">
        <v>0</v>
      </c>
      <c r="BC41" s="35">
        <v>0</v>
      </c>
      <c r="BD41" s="35">
        <v>1</v>
      </c>
      <c r="BE41" s="117">
        <f t="shared" si="9"/>
        <v>5.0000000000000001E-4</v>
      </c>
    </row>
    <row r="42" spans="1:60" x14ac:dyDescent="0.25">
      <c r="A42" s="19">
        <v>8</v>
      </c>
      <c r="B42" s="80" t="str">
        <f t="shared" si="8"/>
        <v>Rework Loss Type H</v>
      </c>
      <c r="C42" s="43" t="str">
        <f t="shared" si="7"/>
        <v>Product B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  <c r="U42" s="35">
        <v>0</v>
      </c>
      <c r="V42" s="35">
        <v>0</v>
      </c>
      <c r="W42" s="35">
        <v>0</v>
      </c>
      <c r="X42" s="35">
        <v>0</v>
      </c>
      <c r="Y42" s="35">
        <v>0</v>
      </c>
      <c r="Z42" s="35">
        <v>0</v>
      </c>
      <c r="AA42" s="35">
        <v>0</v>
      </c>
      <c r="AB42" s="35">
        <v>0</v>
      </c>
      <c r="AC42" s="35">
        <v>0</v>
      </c>
      <c r="AD42" s="35">
        <v>0</v>
      </c>
      <c r="AE42" s="35">
        <v>0</v>
      </c>
      <c r="AF42" s="35">
        <v>0</v>
      </c>
      <c r="AG42" s="35">
        <v>0</v>
      </c>
      <c r="AH42" s="35">
        <v>0</v>
      </c>
      <c r="AI42" s="35">
        <v>0</v>
      </c>
      <c r="AJ42" s="35">
        <v>0</v>
      </c>
      <c r="AK42" s="35">
        <v>0</v>
      </c>
      <c r="AL42" s="35">
        <v>0</v>
      </c>
      <c r="AM42" s="35">
        <v>0</v>
      </c>
      <c r="AN42" s="35">
        <v>0</v>
      </c>
      <c r="AO42" s="35">
        <v>0</v>
      </c>
      <c r="AP42" s="35">
        <v>0</v>
      </c>
      <c r="AQ42" s="35">
        <v>0</v>
      </c>
      <c r="AR42" s="35">
        <v>0</v>
      </c>
      <c r="AS42" s="35">
        <v>0</v>
      </c>
      <c r="AT42" s="35">
        <v>0</v>
      </c>
      <c r="AU42" s="35">
        <v>0</v>
      </c>
      <c r="AV42" s="35">
        <v>0</v>
      </c>
      <c r="AW42" s="35">
        <v>0</v>
      </c>
      <c r="AX42" s="35">
        <v>0</v>
      </c>
      <c r="AY42" s="35">
        <v>0</v>
      </c>
      <c r="AZ42" s="35">
        <v>0</v>
      </c>
      <c r="BA42" s="35">
        <v>0</v>
      </c>
      <c r="BB42" s="35">
        <v>0</v>
      </c>
      <c r="BC42" s="35">
        <v>0</v>
      </c>
      <c r="BD42" s="35">
        <v>2</v>
      </c>
      <c r="BE42" s="117">
        <f t="shared" si="9"/>
        <v>5.0000000000000001E-4</v>
      </c>
    </row>
    <row r="43" spans="1:60" x14ac:dyDescent="0.25">
      <c r="A43" s="19">
        <v>9</v>
      </c>
      <c r="B43" s="80" t="str">
        <f t="shared" si="8"/>
        <v>Rework Loss Type I</v>
      </c>
      <c r="C43" s="43" t="str">
        <f t="shared" si="7"/>
        <v>Product B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  <c r="U43" s="35">
        <v>0</v>
      </c>
      <c r="V43" s="35">
        <v>0</v>
      </c>
      <c r="W43" s="35">
        <v>0</v>
      </c>
      <c r="X43" s="35">
        <v>0</v>
      </c>
      <c r="Y43" s="35">
        <v>0</v>
      </c>
      <c r="Z43" s="35">
        <v>0</v>
      </c>
      <c r="AA43" s="35">
        <v>0</v>
      </c>
      <c r="AB43" s="35">
        <v>0</v>
      </c>
      <c r="AC43" s="35">
        <v>0</v>
      </c>
      <c r="AD43" s="35">
        <v>0</v>
      </c>
      <c r="AE43" s="35">
        <v>0</v>
      </c>
      <c r="AF43" s="35">
        <v>0</v>
      </c>
      <c r="AG43" s="35">
        <v>0</v>
      </c>
      <c r="AH43" s="35">
        <v>0</v>
      </c>
      <c r="AI43" s="35">
        <v>0</v>
      </c>
      <c r="AJ43" s="35">
        <v>0</v>
      </c>
      <c r="AK43" s="35">
        <v>0</v>
      </c>
      <c r="AL43" s="35">
        <v>0</v>
      </c>
      <c r="AM43" s="35">
        <v>0</v>
      </c>
      <c r="AN43" s="35">
        <v>0</v>
      </c>
      <c r="AO43" s="35">
        <v>0</v>
      </c>
      <c r="AP43" s="35">
        <v>0</v>
      </c>
      <c r="AQ43" s="35">
        <v>0</v>
      </c>
      <c r="AR43" s="35">
        <v>0</v>
      </c>
      <c r="AS43" s="35">
        <v>0</v>
      </c>
      <c r="AT43" s="35">
        <v>0</v>
      </c>
      <c r="AU43" s="35">
        <v>0</v>
      </c>
      <c r="AV43" s="35">
        <v>0</v>
      </c>
      <c r="AW43" s="35">
        <v>0</v>
      </c>
      <c r="AX43" s="35">
        <v>0</v>
      </c>
      <c r="AY43" s="35">
        <v>0</v>
      </c>
      <c r="AZ43" s="35">
        <v>0</v>
      </c>
      <c r="BA43" s="35">
        <v>0</v>
      </c>
      <c r="BB43" s="35">
        <v>0</v>
      </c>
      <c r="BC43" s="35">
        <v>0</v>
      </c>
      <c r="BD43" s="35">
        <v>2</v>
      </c>
      <c r="BE43" s="117">
        <f t="shared" si="9"/>
        <v>5.0000000000000001E-4</v>
      </c>
    </row>
    <row r="44" spans="1:60" x14ac:dyDescent="0.25">
      <c r="A44" s="19">
        <v>10</v>
      </c>
      <c r="B44" s="80"/>
      <c r="C44" s="43">
        <f t="shared" si="7"/>
        <v>0</v>
      </c>
      <c r="D44" s="104">
        <v>1</v>
      </c>
      <c r="E44" s="104">
        <f>D44+1</f>
        <v>2</v>
      </c>
      <c r="F44" s="104">
        <f t="shared" ref="F44:BC44" si="10">E44+1</f>
        <v>3</v>
      </c>
      <c r="G44" s="104">
        <f t="shared" si="10"/>
        <v>4</v>
      </c>
      <c r="H44" s="104">
        <f t="shared" si="10"/>
        <v>5</v>
      </c>
      <c r="I44" s="104">
        <f t="shared" si="10"/>
        <v>6</v>
      </c>
      <c r="J44" s="104">
        <f t="shared" si="10"/>
        <v>7</v>
      </c>
      <c r="K44" s="104">
        <f t="shared" si="10"/>
        <v>8</v>
      </c>
      <c r="L44" s="104">
        <f t="shared" si="10"/>
        <v>9</v>
      </c>
      <c r="M44" s="104">
        <f t="shared" si="10"/>
        <v>10</v>
      </c>
      <c r="N44" s="104">
        <f t="shared" si="10"/>
        <v>11</v>
      </c>
      <c r="O44" s="104">
        <f t="shared" si="10"/>
        <v>12</v>
      </c>
      <c r="P44" s="104">
        <f t="shared" si="10"/>
        <v>13</v>
      </c>
      <c r="Q44" s="104">
        <f t="shared" si="10"/>
        <v>14</v>
      </c>
      <c r="R44" s="104">
        <f t="shared" si="10"/>
        <v>15</v>
      </c>
      <c r="S44" s="104">
        <f t="shared" si="10"/>
        <v>16</v>
      </c>
      <c r="T44" s="104">
        <f t="shared" si="10"/>
        <v>17</v>
      </c>
      <c r="U44" s="104">
        <f t="shared" si="10"/>
        <v>18</v>
      </c>
      <c r="V44" s="104">
        <f t="shared" si="10"/>
        <v>19</v>
      </c>
      <c r="W44" s="104">
        <f t="shared" si="10"/>
        <v>20</v>
      </c>
      <c r="X44" s="104">
        <f t="shared" si="10"/>
        <v>21</v>
      </c>
      <c r="Y44" s="104">
        <f t="shared" si="10"/>
        <v>22</v>
      </c>
      <c r="Z44" s="104">
        <f t="shared" si="10"/>
        <v>23</v>
      </c>
      <c r="AA44" s="104">
        <f t="shared" si="10"/>
        <v>24</v>
      </c>
      <c r="AB44" s="104">
        <f t="shared" si="10"/>
        <v>25</v>
      </c>
      <c r="AC44" s="104">
        <f t="shared" si="10"/>
        <v>26</v>
      </c>
      <c r="AD44" s="104">
        <f t="shared" si="10"/>
        <v>27</v>
      </c>
      <c r="AE44" s="104">
        <f t="shared" si="10"/>
        <v>28</v>
      </c>
      <c r="AF44" s="104">
        <f t="shared" si="10"/>
        <v>29</v>
      </c>
      <c r="AG44" s="104">
        <f t="shared" si="10"/>
        <v>30</v>
      </c>
      <c r="AH44" s="104">
        <f t="shared" si="10"/>
        <v>31</v>
      </c>
      <c r="AI44" s="104">
        <f t="shared" si="10"/>
        <v>32</v>
      </c>
      <c r="AJ44" s="104">
        <f t="shared" si="10"/>
        <v>33</v>
      </c>
      <c r="AK44" s="104">
        <f t="shared" si="10"/>
        <v>34</v>
      </c>
      <c r="AL44" s="104">
        <f t="shared" si="10"/>
        <v>35</v>
      </c>
      <c r="AM44" s="104">
        <f t="shared" si="10"/>
        <v>36</v>
      </c>
      <c r="AN44" s="104">
        <f t="shared" si="10"/>
        <v>37</v>
      </c>
      <c r="AO44" s="104">
        <f t="shared" si="10"/>
        <v>38</v>
      </c>
      <c r="AP44" s="104">
        <f t="shared" si="10"/>
        <v>39</v>
      </c>
      <c r="AQ44" s="104">
        <f t="shared" si="10"/>
        <v>40</v>
      </c>
      <c r="AR44" s="104">
        <f t="shared" si="10"/>
        <v>41</v>
      </c>
      <c r="AS44" s="104">
        <f t="shared" si="10"/>
        <v>42</v>
      </c>
      <c r="AT44" s="104">
        <f t="shared" si="10"/>
        <v>43</v>
      </c>
      <c r="AU44" s="104">
        <f t="shared" si="10"/>
        <v>44</v>
      </c>
      <c r="AV44" s="104">
        <f t="shared" si="10"/>
        <v>45</v>
      </c>
      <c r="AW44" s="104">
        <f t="shared" si="10"/>
        <v>46</v>
      </c>
      <c r="AX44" s="104">
        <f t="shared" si="10"/>
        <v>47</v>
      </c>
      <c r="AY44" s="104">
        <f t="shared" si="10"/>
        <v>48</v>
      </c>
      <c r="AZ44" s="104">
        <f t="shared" si="10"/>
        <v>49</v>
      </c>
      <c r="BA44" s="104">
        <f t="shared" si="10"/>
        <v>50</v>
      </c>
      <c r="BB44" s="104">
        <f t="shared" si="10"/>
        <v>51</v>
      </c>
      <c r="BC44" s="104">
        <f t="shared" si="10"/>
        <v>52</v>
      </c>
      <c r="BD44" s="19"/>
      <c r="BE44" s="83"/>
    </row>
    <row r="45" spans="1:60" x14ac:dyDescent="0.25">
      <c r="A45" s="19">
        <v>1</v>
      </c>
      <c r="B45" s="80" t="str">
        <f>B35</f>
        <v>Rework Loss Type A</v>
      </c>
      <c r="C45" s="43" t="str">
        <f t="shared" ref="C45:C54" si="11">IF(OR(A$24&gt;A45,A$24=A45),B$5,0)</f>
        <v>Product C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  <c r="U45" s="35">
        <v>0</v>
      </c>
      <c r="V45" s="35">
        <v>0</v>
      </c>
      <c r="W45" s="35">
        <v>0</v>
      </c>
      <c r="X45" s="35">
        <v>0</v>
      </c>
      <c r="Y45" s="35">
        <v>0</v>
      </c>
      <c r="Z45" s="35">
        <v>0</v>
      </c>
      <c r="AA45" s="35">
        <v>0</v>
      </c>
      <c r="AB45" s="35">
        <v>0</v>
      </c>
      <c r="AC45" s="35">
        <v>0</v>
      </c>
      <c r="AD45" s="35">
        <v>0</v>
      </c>
      <c r="AE45" s="35">
        <v>0</v>
      </c>
      <c r="AF45" s="35">
        <v>0</v>
      </c>
      <c r="AG45" s="35">
        <v>0</v>
      </c>
      <c r="AH45" s="35">
        <v>0</v>
      </c>
      <c r="AI45" s="35">
        <v>0</v>
      </c>
      <c r="AJ45" s="35">
        <v>0</v>
      </c>
      <c r="AK45" s="35">
        <v>0</v>
      </c>
      <c r="AL45" s="35">
        <v>0</v>
      </c>
      <c r="AM45" s="35">
        <v>0</v>
      </c>
      <c r="AN45" s="35">
        <v>0</v>
      </c>
      <c r="AO45" s="35">
        <v>0</v>
      </c>
      <c r="AP45" s="35">
        <v>0</v>
      </c>
      <c r="AQ45" s="35">
        <v>0</v>
      </c>
      <c r="AR45" s="35">
        <v>0</v>
      </c>
      <c r="AS45" s="35">
        <v>0</v>
      </c>
      <c r="AT45" s="35">
        <v>0</v>
      </c>
      <c r="AU45" s="35">
        <v>0</v>
      </c>
      <c r="AV45" s="35">
        <v>0</v>
      </c>
      <c r="AW45" s="35">
        <v>0</v>
      </c>
      <c r="AX45" s="35">
        <v>0</v>
      </c>
      <c r="AY45" s="35">
        <v>0</v>
      </c>
      <c r="AZ45" s="35">
        <v>0</v>
      </c>
      <c r="BA45" s="35">
        <v>0</v>
      </c>
      <c r="BB45" s="35">
        <v>0</v>
      </c>
      <c r="BC45" s="35">
        <v>0</v>
      </c>
      <c r="BD45" s="35">
        <v>1</v>
      </c>
      <c r="BE45" s="116">
        <v>2.9999999999999997E-4</v>
      </c>
      <c r="BG45">
        <f>SUM(D45:BC53)</f>
        <v>758</v>
      </c>
    </row>
    <row r="46" spans="1:60" x14ac:dyDescent="0.25">
      <c r="A46" s="19">
        <v>2</v>
      </c>
      <c r="B46" s="80" t="str">
        <f t="shared" ref="B46:B53" si="12">B36</f>
        <v>Rework Loss Type B</v>
      </c>
      <c r="C46" s="43" t="str">
        <f t="shared" si="11"/>
        <v>Product C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  <c r="U46" s="35">
        <v>0</v>
      </c>
      <c r="V46" s="35">
        <v>0</v>
      </c>
      <c r="W46" s="35">
        <v>0</v>
      </c>
      <c r="X46" s="35">
        <v>0</v>
      </c>
      <c r="Y46" s="35">
        <v>0</v>
      </c>
      <c r="Z46" s="35">
        <v>0</v>
      </c>
      <c r="AA46" s="35">
        <v>0</v>
      </c>
      <c r="AB46" s="35">
        <v>0</v>
      </c>
      <c r="AC46" s="35">
        <v>0</v>
      </c>
      <c r="AD46" s="35">
        <v>0</v>
      </c>
      <c r="AE46" s="35">
        <v>0</v>
      </c>
      <c r="AF46" s="35">
        <v>0</v>
      </c>
      <c r="AG46" s="35">
        <v>0</v>
      </c>
      <c r="AH46" s="35">
        <v>0</v>
      </c>
      <c r="AI46" s="35">
        <v>0</v>
      </c>
      <c r="AJ46" s="35">
        <v>0</v>
      </c>
      <c r="AK46" s="35">
        <v>0</v>
      </c>
      <c r="AL46" s="35">
        <v>0</v>
      </c>
      <c r="AM46" s="35">
        <v>0</v>
      </c>
      <c r="AN46" s="35">
        <v>0</v>
      </c>
      <c r="AO46" s="35">
        <v>0</v>
      </c>
      <c r="AP46" s="35">
        <v>0</v>
      </c>
      <c r="AQ46" s="35">
        <v>0</v>
      </c>
      <c r="AR46" s="35">
        <v>0</v>
      </c>
      <c r="AS46" s="35">
        <v>0</v>
      </c>
      <c r="AT46" s="35">
        <v>0</v>
      </c>
      <c r="AU46" s="35">
        <v>0</v>
      </c>
      <c r="AV46" s="35">
        <v>0</v>
      </c>
      <c r="AW46" s="35">
        <v>0</v>
      </c>
      <c r="AX46" s="35">
        <v>0</v>
      </c>
      <c r="AY46" s="35">
        <v>0</v>
      </c>
      <c r="AZ46" s="35">
        <v>0</v>
      </c>
      <c r="BA46" s="35">
        <v>0</v>
      </c>
      <c r="BB46" s="35">
        <v>0</v>
      </c>
      <c r="BC46" s="35">
        <v>0</v>
      </c>
      <c r="BD46" s="35">
        <v>2</v>
      </c>
      <c r="BE46" s="117">
        <f>BE45</f>
        <v>2.9999999999999997E-4</v>
      </c>
    </row>
    <row r="47" spans="1:60" x14ac:dyDescent="0.25">
      <c r="A47" s="19">
        <v>3</v>
      </c>
      <c r="B47" s="80" t="str">
        <f t="shared" si="12"/>
        <v>Rework Loss Type C</v>
      </c>
      <c r="C47" s="43" t="str">
        <f t="shared" si="11"/>
        <v>Product C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  <c r="U47" s="35">
        <v>0</v>
      </c>
      <c r="V47" s="35">
        <v>0</v>
      </c>
      <c r="W47" s="35">
        <v>0</v>
      </c>
      <c r="X47" s="35">
        <v>0</v>
      </c>
      <c r="Y47" s="35">
        <v>0</v>
      </c>
      <c r="Z47" s="35">
        <v>0</v>
      </c>
      <c r="AA47" s="35">
        <v>0</v>
      </c>
      <c r="AB47" s="35">
        <v>0</v>
      </c>
      <c r="AC47" s="35">
        <v>0</v>
      </c>
      <c r="AD47" s="35">
        <v>0</v>
      </c>
      <c r="AE47" s="35">
        <v>0</v>
      </c>
      <c r="AF47" s="35">
        <v>0</v>
      </c>
      <c r="AG47" s="35">
        <v>0</v>
      </c>
      <c r="AH47" s="35">
        <v>0</v>
      </c>
      <c r="AI47" s="35">
        <v>0</v>
      </c>
      <c r="AJ47" s="35">
        <v>0</v>
      </c>
      <c r="AK47" s="35">
        <v>0</v>
      </c>
      <c r="AL47" s="35">
        <v>0</v>
      </c>
      <c r="AM47" s="35">
        <v>0</v>
      </c>
      <c r="AN47" s="35">
        <v>0</v>
      </c>
      <c r="AO47" s="35">
        <v>0</v>
      </c>
      <c r="AP47" s="35">
        <v>0</v>
      </c>
      <c r="AQ47" s="35">
        <v>0</v>
      </c>
      <c r="AR47" s="35">
        <v>0</v>
      </c>
      <c r="AS47" s="35">
        <v>0</v>
      </c>
      <c r="AT47" s="35">
        <v>0</v>
      </c>
      <c r="AU47" s="35">
        <v>0</v>
      </c>
      <c r="AV47" s="35">
        <v>0</v>
      </c>
      <c r="AW47" s="35">
        <v>0</v>
      </c>
      <c r="AX47" s="35">
        <v>0</v>
      </c>
      <c r="AY47" s="35">
        <v>0</v>
      </c>
      <c r="AZ47" s="35">
        <v>0</v>
      </c>
      <c r="BA47" s="35">
        <v>0</v>
      </c>
      <c r="BB47" s="35">
        <v>0</v>
      </c>
      <c r="BC47" s="35">
        <v>0</v>
      </c>
      <c r="BD47" s="35">
        <v>3</v>
      </c>
      <c r="BE47" s="117">
        <f t="shared" ref="BE47:BE53" si="13">BE46</f>
        <v>2.9999999999999997E-4</v>
      </c>
    </row>
    <row r="48" spans="1:60" x14ac:dyDescent="0.25">
      <c r="A48" s="19">
        <v>4</v>
      </c>
      <c r="B48" s="80" t="str">
        <f t="shared" si="12"/>
        <v>Rework Loss Type D</v>
      </c>
      <c r="C48" s="43" t="str">
        <f t="shared" si="11"/>
        <v>Product C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  <c r="U48" s="35">
        <v>0</v>
      </c>
      <c r="V48" s="35">
        <v>0</v>
      </c>
      <c r="W48" s="35">
        <v>0</v>
      </c>
      <c r="X48" s="35">
        <v>0</v>
      </c>
      <c r="Y48" s="35">
        <v>0</v>
      </c>
      <c r="Z48" s="35">
        <v>0</v>
      </c>
      <c r="AA48" s="35">
        <v>0</v>
      </c>
      <c r="AB48" s="35">
        <v>0</v>
      </c>
      <c r="AC48" s="35">
        <v>0</v>
      </c>
      <c r="AD48" s="35">
        <v>0</v>
      </c>
      <c r="AE48" s="35">
        <v>0</v>
      </c>
      <c r="AF48" s="35">
        <v>0</v>
      </c>
      <c r="AG48" s="35">
        <v>0</v>
      </c>
      <c r="AH48" s="35">
        <v>0</v>
      </c>
      <c r="AI48" s="35">
        <v>0</v>
      </c>
      <c r="AJ48" s="35">
        <v>0</v>
      </c>
      <c r="AK48" s="35">
        <v>0</v>
      </c>
      <c r="AL48" s="35">
        <v>0</v>
      </c>
      <c r="AM48" s="35">
        <v>0</v>
      </c>
      <c r="AN48" s="35">
        <v>0</v>
      </c>
      <c r="AO48" s="35">
        <v>0</v>
      </c>
      <c r="AP48" s="35">
        <v>0</v>
      </c>
      <c r="AQ48" s="35">
        <v>0</v>
      </c>
      <c r="AR48" s="35">
        <v>0</v>
      </c>
      <c r="AS48" s="35">
        <v>0</v>
      </c>
      <c r="AT48" s="35">
        <v>0</v>
      </c>
      <c r="AU48" s="35">
        <v>0</v>
      </c>
      <c r="AV48" s="35">
        <v>0</v>
      </c>
      <c r="AW48" s="35">
        <v>0</v>
      </c>
      <c r="AX48" s="35">
        <v>0</v>
      </c>
      <c r="AY48" s="35">
        <v>0</v>
      </c>
      <c r="AZ48" s="35">
        <v>0</v>
      </c>
      <c r="BA48" s="35">
        <v>0</v>
      </c>
      <c r="BB48" s="35">
        <v>0</v>
      </c>
      <c r="BC48" s="35">
        <v>0</v>
      </c>
      <c r="BD48" s="35">
        <v>2</v>
      </c>
      <c r="BE48" s="117">
        <f t="shared" si="13"/>
        <v>2.9999999999999997E-4</v>
      </c>
    </row>
    <row r="49" spans="1:59" x14ac:dyDescent="0.25">
      <c r="A49" s="19">
        <v>5</v>
      </c>
      <c r="B49" s="80" t="str">
        <f t="shared" si="12"/>
        <v>Rework Loss Type E</v>
      </c>
      <c r="C49" s="43" t="str">
        <f t="shared" si="11"/>
        <v>Product C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  <c r="AJ49" s="35">
        <v>0</v>
      </c>
      <c r="AK49" s="35">
        <v>0</v>
      </c>
      <c r="AL49" s="35">
        <v>0</v>
      </c>
      <c r="AM49" s="35">
        <v>0</v>
      </c>
      <c r="AN49" s="35">
        <v>0</v>
      </c>
      <c r="AO49" s="35">
        <v>0</v>
      </c>
      <c r="AP49" s="35">
        <v>0</v>
      </c>
      <c r="AQ49" s="35">
        <v>0</v>
      </c>
      <c r="AR49" s="35">
        <v>0</v>
      </c>
      <c r="AS49" s="35">
        <v>0</v>
      </c>
      <c r="AT49" s="35">
        <v>0</v>
      </c>
      <c r="AU49" s="35">
        <v>0</v>
      </c>
      <c r="AV49" s="35">
        <v>0</v>
      </c>
      <c r="AW49" s="35">
        <v>0</v>
      </c>
      <c r="AX49" s="35">
        <v>0</v>
      </c>
      <c r="AY49" s="35">
        <v>0</v>
      </c>
      <c r="AZ49" s="35">
        <v>0</v>
      </c>
      <c r="BA49" s="35">
        <v>0</v>
      </c>
      <c r="BB49" s="35">
        <v>0</v>
      </c>
      <c r="BC49" s="35">
        <v>0</v>
      </c>
      <c r="BD49" s="35">
        <v>6</v>
      </c>
      <c r="BE49" s="117">
        <f t="shared" si="13"/>
        <v>2.9999999999999997E-4</v>
      </c>
    </row>
    <row r="50" spans="1:59" x14ac:dyDescent="0.25">
      <c r="A50" s="19">
        <v>6</v>
      </c>
      <c r="B50" s="80" t="str">
        <f t="shared" si="12"/>
        <v>Rework Loss Type F</v>
      </c>
      <c r="C50" s="43" t="str">
        <f t="shared" si="11"/>
        <v>Product C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  <c r="U50" s="35">
        <v>0</v>
      </c>
      <c r="V50" s="35">
        <v>0</v>
      </c>
      <c r="W50" s="35">
        <v>0</v>
      </c>
      <c r="X50" s="35">
        <v>0</v>
      </c>
      <c r="Y50" s="35">
        <v>0</v>
      </c>
      <c r="Z50" s="35">
        <v>0</v>
      </c>
      <c r="AA50" s="35">
        <v>0</v>
      </c>
      <c r="AB50" s="35">
        <v>0</v>
      </c>
      <c r="AC50" s="35">
        <v>0</v>
      </c>
      <c r="AD50" s="35">
        <v>0</v>
      </c>
      <c r="AE50" s="35">
        <v>0</v>
      </c>
      <c r="AF50" s="35">
        <v>0</v>
      </c>
      <c r="AG50" s="35">
        <v>0</v>
      </c>
      <c r="AH50" s="35">
        <v>0</v>
      </c>
      <c r="AI50" s="35">
        <v>0</v>
      </c>
      <c r="AJ50" s="35">
        <v>0</v>
      </c>
      <c r="AK50" s="35">
        <v>0</v>
      </c>
      <c r="AL50" s="35">
        <v>0</v>
      </c>
      <c r="AM50" s="35">
        <v>0</v>
      </c>
      <c r="AN50" s="35">
        <v>0</v>
      </c>
      <c r="AO50" s="35">
        <v>0</v>
      </c>
      <c r="AP50" s="35">
        <v>0</v>
      </c>
      <c r="AQ50" s="35">
        <v>0</v>
      </c>
      <c r="AR50" s="35">
        <v>0</v>
      </c>
      <c r="AS50" s="35">
        <v>0</v>
      </c>
      <c r="AT50" s="35">
        <v>0</v>
      </c>
      <c r="AU50" s="35">
        <v>0</v>
      </c>
      <c r="AV50" s="35">
        <v>0</v>
      </c>
      <c r="AW50" s="35">
        <v>0</v>
      </c>
      <c r="AX50" s="35">
        <v>0</v>
      </c>
      <c r="AY50" s="35">
        <v>0</v>
      </c>
      <c r="AZ50" s="35">
        <v>0</v>
      </c>
      <c r="BA50" s="35">
        <v>0</v>
      </c>
      <c r="BB50" s="35">
        <v>0</v>
      </c>
      <c r="BC50" s="35">
        <v>0</v>
      </c>
      <c r="BD50" s="35">
        <v>1</v>
      </c>
      <c r="BE50" s="117">
        <f t="shared" si="13"/>
        <v>2.9999999999999997E-4</v>
      </c>
    </row>
    <row r="51" spans="1:59" x14ac:dyDescent="0.25">
      <c r="A51" s="19">
        <v>7</v>
      </c>
      <c r="B51" s="80" t="str">
        <f t="shared" si="12"/>
        <v>Rework Loss Type G</v>
      </c>
      <c r="C51" s="43" t="str">
        <f t="shared" si="11"/>
        <v>Product C</v>
      </c>
      <c r="D51" s="35">
        <v>22</v>
      </c>
      <c r="E51" s="35">
        <v>17</v>
      </c>
      <c r="F51" s="35">
        <v>19</v>
      </c>
      <c r="G51" s="35">
        <v>0</v>
      </c>
      <c r="H51" s="35">
        <v>22</v>
      </c>
      <c r="I51" s="35">
        <v>17</v>
      </c>
      <c r="J51" s="35">
        <v>19</v>
      </c>
      <c r="K51" s="35">
        <v>0</v>
      </c>
      <c r="L51" s="35">
        <v>22</v>
      </c>
      <c r="M51" s="35">
        <v>17</v>
      </c>
      <c r="N51" s="35">
        <v>19</v>
      </c>
      <c r="O51" s="35">
        <v>0</v>
      </c>
      <c r="P51" s="35">
        <v>21</v>
      </c>
      <c r="Q51" s="35">
        <v>17</v>
      </c>
      <c r="R51" s="35">
        <v>19</v>
      </c>
      <c r="S51" s="35">
        <v>0</v>
      </c>
      <c r="T51" s="35">
        <v>22</v>
      </c>
      <c r="U51" s="35">
        <v>17</v>
      </c>
      <c r="V51" s="35">
        <v>20</v>
      </c>
      <c r="W51" s="35">
        <v>0</v>
      </c>
      <c r="X51" s="35">
        <v>22</v>
      </c>
      <c r="Y51" s="35">
        <v>17</v>
      </c>
      <c r="Z51" s="35">
        <v>20</v>
      </c>
      <c r="AA51" s="35">
        <v>0</v>
      </c>
      <c r="AB51" s="35">
        <v>22</v>
      </c>
      <c r="AC51" s="35">
        <v>17</v>
      </c>
      <c r="AD51" s="35">
        <v>19</v>
      </c>
      <c r="AE51" s="35">
        <v>0</v>
      </c>
      <c r="AF51" s="35">
        <v>22</v>
      </c>
      <c r="AG51" s="35">
        <v>18</v>
      </c>
      <c r="AH51" s="35">
        <v>19</v>
      </c>
      <c r="AI51" s="35">
        <v>0</v>
      </c>
      <c r="AJ51" s="35">
        <v>21</v>
      </c>
      <c r="AK51" s="35">
        <v>17</v>
      </c>
      <c r="AL51" s="35">
        <v>20</v>
      </c>
      <c r="AM51" s="35">
        <v>0</v>
      </c>
      <c r="AN51" s="35">
        <v>22</v>
      </c>
      <c r="AO51" s="35">
        <v>17</v>
      </c>
      <c r="AP51" s="35">
        <v>20</v>
      </c>
      <c r="AQ51" s="35">
        <v>0</v>
      </c>
      <c r="AR51" s="35">
        <v>22</v>
      </c>
      <c r="AS51" s="35">
        <v>17</v>
      </c>
      <c r="AT51" s="35">
        <v>19</v>
      </c>
      <c r="AU51" s="35">
        <v>0</v>
      </c>
      <c r="AV51" s="35">
        <v>22</v>
      </c>
      <c r="AW51" s="35">
        <v>17</v>
      </c>
      <c r="AX51" s="35">
        <v>19</v>
      </c>
      <c r="AY51" s="35">
        <v>0</v>
      </c>
      <c r="AZ51" s="35">
        <v>22</v>
      </c>
      <c r="BA51" s="35">
        <v>17</v>
      </c>
      <c r="BB51" s="35">
        <v>20</v>
      </c>
      <c r="BC51" s="35">
        <v>0</v>
      </c>
      <c r="BD51" s="35">
        <v>1</v>
      </c>
      <c r="BE51" s="117">
        <f t="shared" si="13"/>
        <v>2.9999999999999997E-4</v>
      </c>
    </row>
    <row r="52" spans="1:59" x14ac:dyDescent="0.25">
      <c r="A52" s="19">
        <v>8</v>
      </c>
      <c r="B52" s="80" t="str">
        <f t="shared" si="12"/>
        <v>Rework Loss Type H</v>
      </c>
      <c r="C52" s="43" t="str">
        <f t="shared" si="11"/>
        <v>Product C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  <c r="U52" s="35">
        <v>0</v>
      </c>
      <c r="V52" s="35">
        <v>0</v>
      </c>
      <c r="W52" s="35">
        <v>0</v>
      </c>
      <c r="X52" s="35">
        <v>0</v>
      </c>
      <c r="Y52" s="35">
        <v>0</v>
      </c>
      <c r="Z52" s="35">
        <v>0</v>
      </c>
      <c r="AA52" s="35">
        <v>0</v>
      </c>
      <c r="AB52" s="35">
        <v>0</v>
      </c>
      <c r="AC52" s="35">
        <v>0</v>
      </c>
      <c r="AD52" s="35">
        <v>0</v>
      </c>
      <c r="AE52" s="35">
        <v>0</v>
      </c>
      <c r="AF52" s="35">
        <v>0</v>
      </c>
      <c r="AG52" s="35">
        <v>0</v>
      </c>
      <c r="AH52" s="35">
        <v>0</v>
      </c>
      <c r="AI52" s="35">
        <v>0</v>
      </c>
      <c r="AJ52" s="35">
        <v>0</v>
      </c>
      <c r="AK52" s="35">
        <v>0</v>
      </c>
      <c r="AL52" s="35">
        <v>0</v>
      </c>
      <c r="AM52" s="35">
        <v>0</v>
      </c>
      <c r="AN52" s="35">
        <v>0</v>
      </c>
      <c r="AO52" s="35">
        <v>0</v>
      </c>
      <c r="AP52" s="35">
        <v>0</v>
      </c>
      <c r="AQ52" s="35">
        <v>0</v>
      </c>
      <c r="AR52" s="35">
        <v>0</v>
      </c>
      <c r="AS52" s="35">
        <v>0</v>
      </c>
      <c r="AT52" s="35">
        <v>0</v>
      </c>
      <c r="AU52" s="35">
        <v>0</v>
      </c>
      <c r="AV52" s="35">
        <v>0</v>
      </c>
      <c r="AW52" s="35">
        <v>0</v>
      </c>
      <c r="AX52" s="35">
        <v>0</v>
      </c>
      <c r="AY52" s="35">
        <v>0</v>
      </c>
      <c r="AZ52" s="35">
        <v>0</v>
      </c>
      <c r="BA52" s="35">
        <v>0</v>
      </c>
      <c r="BB52" s="35">
        <v>0</v>
      </c>
      <c r="BC52" s="35">
        <v>0</v>
      </c>
      <c r="BD52" s="35">
        <v>2</v>
      </c>
      <c r="BE52" s="117">
        <f t="shared" si="13"/>
        <v>2.9999999999999997E-4</v>
      </c>
    </row>
    <row r="53" spans="1:59" x14ac:dyDescent="0.25">
      <c r="A53" s="19">
        <v>9</v>
      </c>
      <c r="B53" s="80" t="str">
        <f t="shared" si="12"/>
        <v>Rework Loss Type I</v>
      </c>
      <c r="C53" s="43" t="str">
        <f t="shared" si="11"/>
        <v>Product C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  <c r="U53" s="35">
        <v>0</v>
      </c>
      <c r="V53" s="35">
        <v>0</v>
      </c>
      <c r="W53" s="35">
        <v>0</v>
      </c>
      <c r="X53" s="35">
        <v>0</v>
      </c>
      <c r="Y53" s="35">
        <v>0</v>
      </c>
      <c r="Z53" s="35">
        <v>0</v>
      </c>
      <c r="AA53" s="35">
        <v>0</v>
      </c>
      <c r="AB53" s="35">
        <v>0</v>
      </c>
      <c r="AC53" s="35">
        <v>0</v>
      </c>
      <c r="AD53" s="35">
        <v>0</v>
      </c>
      <c r="AE53" s="35">
        <v>0</v>
      </c>
      <c r="AF53" s="35">
        <v>0</v>
      </c>
      <c r="AG53" s="35">
        <v>0</v>
      </c>
      <c r="AH53" s="35">
        <v>0</v>
      </c>
      <c r="AI53" s="35">
        <v>0</v>
      </c>
      <c r="AJ53" s="35">
        <v>0</v>
      </c>
      <c r="AK53" s="35">
        <v>0</v>
      </c>
      <c r="AL53" s="35">
        <v>0</v>
      </c>
      <c r="AM53" s="35">
        <v>0</v>
      </c>
      <c r="AN53" s="35">
        <v>0</v>
      </c>
      <c r="AO53" s="35">
        <v>0</v>
      </c>
      <c r="AP53" s="35">
        <v>0</v>
      </c>
      <c r="AQ53" s="35">
        <v>0</v>
      </c>
      <c r="AR53" s="35">
        <v>0</v>
      </c>
      <c r="AS53" s="35">
        <v>0</v>
      </c>
      <c r="AT53" s="35">
        <v>0</v>
      </c>
      <c r="AU53" s="35">
        <v>0</v>
      </c>
      <c r="AV53" s="35">
        <v>0</v>
      </c>
      <c r="AW53" s="35">
        <v>0</v>
      </c>
      <c r="AX53" s="35">
        <v>0</v>
      </c>
      <c r="AY53" s="35">
        <v>0</v>
      </c>
      <c r="AZ53" s="35">
        <v>0</v>
      </c>
      <c r="BA53" s="35">
        <v>0</v>
      </c>
      <c r="BB53" s="35">
        <v>0</v>
      </c>
      <c r="BC53" s="35">
        <v>0</v>
      </c>
      <c r="BD53" s="35">
        <v>2</v>
      </c>
      <c r="BE53" s="117">
        <f t="shared" si="13"/>
        <v>2.9999999999999997E-4</v>
      </c>
    </row>
    <row r="54" spans="1:59" x14ac:dyDescent="0.25">
      <c r="A54" s="19">
        <v>10</v>
      </c>
      <c r="B54" s="80"/>
      <c r="C54" s="43">
        <f t="shared" si="11"/>
        <v>0</v>
      </c>
      <c r="D54" s="104">
        <v>1</v>
      </c>
      <c r="E54" s="104">
        <f>D54+1</f>
        <v>2</v>
      </c>
      <c r="F54" s="104">
        <f t="shared" ref="F54:BC54" si="14">E54+1</f>
        <v>3</v>
      </c>
      <c r="G54" s="104">
        <f t="shared" si="14"/>
        <v>4</v>
      </c>
      <c r="H54" s="104">
        <f t="shared" si="14"/>
        <v>5</v>
      </c>
      <c r="I54" s="104">
        <f t="shared" si="14"/>
        <v>6</v>
      </c>
      <c r="J54" s="104">
        <f t="shared" si="14"/>
        <v>7</v>
      </c>
      <c r="K54" s="104">
        <f t="shared" si="14"/>
        <v>8</v>
      </c>
      <c r="L54" s="104">
        <f t="shared" si="14"/>
        <v>9</v>
      </c>
      <c r="M54" s="104">
        <f t="shared" si="14"/>
        <v>10</v>
      </c>
      <c r="N54" s="104">
        <f t="shared" si="14"/>
        <v>11</v>
      </c>
      <c r="O54" s="104">
        <f t="shared" si="14"/>
        <v>12</v>
      </c>
      <c r="P54" s="104">
        <f t="shared" si="14"/>
        <v>13</v>
      </c>
      <c r="Q54" s="104">
        <f t="shared" si="14"/>
        <v>14</v>
      </c>
      <c r="R54" s="104">
        <f t="shared" si="14"/>
        <v>15</v>
      </c>
      <c r="S54" s="104">
        <f t="shared" si="14"/>
        <v>16</v>
      </c>
      <c r="T54" s="104">
        <f t="shared" si="14"/>
        <v>17</v>
      </c>
      <c r="U54" s="104">
        <f t="shared" si="14"/>
        <v>18</v>
      </c>
      <c r="V54" s="104">
        <f t="shared" si="14"/>
        <v>19</v>
      </c>
      <c r="W54" s="104">
        <f t="shared" si="14"/>
        <v>20</v>
      </c>
      <c r="X54" s="104">
        <f t="shared" si="14"/>
        <v>21</v>
      </c>
      <c r="Y54" s="104">
        <f t="shared" si="14"/>
        <v>22</v>
      </c>
      <c r="Z54" s="104">
        <f t="shared" si="14"/>
        <v>23</v>
      </c>
      <c r="AA54" s="104">
        <f t="shared" si="14"/>
        <v>24</v>
      </c>
      <c r="AB54" s="104">
        <f t="shared" si="14"/>
        <v>25</v>
      </c>
      <c r="AC54" s="104">
        <f t="shared" si="14"/>
        <v>26</v>
      </c>
      <c r="AD54" s="104">
        <f t="shared" si="14"/>
        <v>27</v>
      </c>
      <c r="AE54" s="104">
        <f t="shared" si="14"/>
        <v>28</v>
      </c>
      <c r="AF54" s="104">
        <f t="shared" si="14"/>
        <v>29</v>
      </c>
      <c r="AG54" s="104">
        <f t="shared" si="14"/>
        <v>30</v>
      </c>
      <c r="AH54" s="104">
        <f t="shared" si="14"/>
        <v>31</v>
      </c>
      <c r="AI54" s="104">
        <f t="shared" si="14"/>
        <v>32</v>
      </c>
      <c r="AJ54" s="104">
        <f t="shared" si="14"/>
        <v>33</v>
      </c>
      <c r="AK54" s="104">
        <f t="shared" si="14"/>
        <v>34</v>
      </c>
      <c r="AL54" s="104">
        <f t="shared" si="14"/>
        <v>35</v>
      </c>
      <c r="AM54" s="104">
        <f t="shared" si="14"/>
        <v>36</v>
      </c>
      <c r="AN54" s="104">
        <f t="shared" si="14"/>
        <v>37</v>
      </c>
      <c r="AO54" s="104">
        <f t="shared" si="14"/>
        <v>38</v>
      </c>
      <c r="AP54" s="104">
        <f t="shared" si="14"/>
        <v>39</v>
      </c>
      <c r="AQ54" s="104">
        <f t="shared" si="14"/>
        <v>40</v>
      </c>
      <c r="AR54" s="104">
        <f t="shared" si="14"/>
        <v>41</v>
      </c>
      <c r="AS54" s="104">
        <f t="shared" si="14"/>
        <v>42</v>
      </c>
      <c r="AT54" s="104">
        <f t="shared" si="14"/>
        <v>43</v>
      </c>
      <c r="AU54" s="104">
        <f t="shared" si="14"/>
        <v>44</v>
      </c>
      <c r="AV54" s="104">
        <f t="shared" si="14"/>
        <v>45</v>
      </c>
      <c r="AW54" s="104">
        <f t="shared" si="14"/>
        <v>46</v>
      </c>
      <c r="AX54" s="104">
        <f t="shared" si="14"/>
        <v>47</v>
      </c>
      <c r="AY54" s="104">
        <f t="shared" si="14"/>
        <v>48</v>
      </c>
      <c r="AZ54" s="104">
        <f t="shared" si="14"/>
        <v>49</v>
      </c>
      <c r="BA54" s="104">
        <f t="shared" si="14"/>
        <v>50</v>
      </c>
      <c r="BB54" s="104">
        <f t="shared" si="14"/>
        <v>51</v>
      </c>
      <c r="BC54" s="104">
        <f t="shared" si="14"/>
        <v>52</v>
      </c>
      <c r="BD54" s="19"/>
      <c r="BE54" s="83"/>
    </row>
    <row r="55" spans="1:59" x14ac:dyDescent="0.25">
      <c r="A55" s="19">
        <v>1</v>
      </c>
      <c r="B55" s="80" t="str">
        <f>B45</f>
        <v>Rework Loss Type A</v>
      </c>
      <c r="C55" s="43" t="str">
        <f t="shared" ref="C55:C64" si="15">IF(OR(A$24&gt;A55,A$24=A55),B$6,0)</f>
        <v>Product D</v>
      </c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  <c r="U55" s="35">
        <v>0</v>
      </c>
      <c r="V55" s="35">
        <v>0</v>
      </c>
      <c r="W55" s="35">
        <v>0</v>
      </c>
      <c r="X55" s="35">
        <v>0</v>
      </c>
      <c r="Y55" s="35">
        <v>0</v>
      </c>
      <c r="Z55" s="35">
        <v>0</v>
      </c>
      <c r="AA55" s="35">
        <v>0</v>
      </c>
      <c r="AB55" s="35">
        <v>0</v>
      </c>
      <c r="AC55" s="35">
        <v>0</v>
      </c>
      <c r="AD55" s="35">
        <v>0</v>
      </c>
      <c r="AE55" s="35">
        <v>0</v>
      </c>
      <c r="AF55" s="35">
        <v>0</v>
      </c>
      <c r="AG55" s="35">
        <v>0</v>
      </c>
      <c r="AH55" s="35">
        <v>0</v>
      </c>
      <c r="AI55" s="35">
        <v>0</v>
      </c>
      <c r="AJ55" s="35">
        <v>0</v>
      </c>
      <c r="AK55" s="35">
        <v>0</v>
      </c>
      <c r="AL55" s="35">
        <v>0</v>
      </c>
      <c r="AM55" s="35">
        <v>0</v>
      </c>
      <c r="AN55" s="35">
        <v>0</v>
      </c>
      <c r="AO55" s="35">
        <v>0</v>
      </c>
      <c r="AP55" s="35">
        <v>0</v>
      </c>
      <c r="AQ55" s="35">
        <v>0</v>
      </c>
      <c r="AR55" s="35">
        <v>0</v>
      </c>
      <c r="AS55" s="35">
        <v>0</v>
      </c>
      <c r="AT55" s="35">
        <v>0</v>
      </c>
      <c r="AU55" s="35">
        <v>0</v>
      </c>
      <c r="AV55" s="35">
        <v>0</v>
      </c>
      <c r="AW55" s="35">
        <v>0</v>
      </c>
      <c r="AX55" s="35">
        <v>0</v>
      </c>
      <c r="AY55" s="35">
        <v>0</v>
      </c>
      <c r="AZ55" s="35">
        <v>0</v>
      </c>
      <c r="BA55" s="35">
        <v>0</v>
      </c>
      <c r="BB55" s="35">
        <v>0</v>
      </c>
      <c r="BC55" s="35">
        <v>0</v>
      </c>
      <c r="BD55" s="35">
        <v>1</v>
      </c>
      <c r="BE55" s="116">
        <v>5.0000000000000001E-4</v>
      </c>
      <c r="BG55">
        <f>SUM(D55:BC63)</f>
        <v>1065</v>
      </c>
    </row>
    <row r="56" spans="1:59" x14ac:dyDescent="0.25">
      <c r="A56" s="19">
        <v>2</v>
      </c>
      <c r="B56" s="80" t="str">
        <f t="shared" ref="B56:B63" si="16">B46</f>
        <v>Rework Loss Type B</v>
      </c>
      <c r="C56" s="43" t="str">
        <f t="shared" si="15"/>
        <v>Product D</v>
      </c>
      <c r="D56" s="35">
        <v>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  <c r="U56" s="35">
        <v>0</v>
      </c>
      <c r="V56" s="35">
        <v>0</v>
      </c>
      <c r="W56" s="35">
        <v>0</v>
      </c>
      <c r="X56" s="35">
        <v>0</v>
      </c>
      <c r="Y56" s="35">
        <v>0</v>
      </c>
      <c r="Z56" s="35">
        <v>0</v>
      </c>
      <c r="AA56" s="35">
        <v>0</v>
      </c>
      <c r="AB56" s="35">
        <v>0</v>
      </c>
      <c r="AC56" s="35">
        <v>0</v>
      </c>
      <c r="AD56" s="35">
        <v>0</v>
      </c>
      <c r="AE56" s="35">
        <v>0</v>
      </c>
      <c r="AF56" s="35">
        <v>0</v>
      </c>
      <c r="AG56" s="35">
        <v>0</v>
      </c>
      <c r="AH56" s="35">
        <v>0</v>
      </c>
      <c r="AI56" s="35">
        <v>0</v>
      </c>
      <c r="AJ56" s="35">
        <v>0</v>
      </c>
      <c r="AK56" s="35">
        <v>0</v>
      </c>
      <c r="AL56" s="35">
        <v>0</v>
      </c>
      <c r="AM56" s="35">
        <v>0</v>
      </c>
      <c r="AN56" s="35">
        <v>0</v>
      </c>
      <c r="AO56" s="35">
        <v>0</v>
      </c>
      <c r="AP56" s="35">
        <v>0</v>
      </c>
      <c r="AQ56" s="35">
        <v>0</v>
      </c>
      <c r="AR56" s="35">
        <v>0</v>
      </c>
      <c r="AS56" s="35">
        <v>0</v>
      </c>
      <c r="AT56" s="35">
        <v>0</v>
      </c>
      <c r="AU56" s="35">
        <v>0</v>
      </c>
      <c r="AV56" s="35">
        <v>0</v>
      </c>
      <c r="AW56" s="35">
        <v>0</v>
      </c>
      <c r="AX56" s="35">
        <v>0</v>
      </c>
      <c r="AY56" s="35">
        <v>0</v>
      </c>
      <c r="AZ56" s="35">
        <v>0</v>
      </c>
      <c r="BA56" s="35">
        <v>0</v>
      </c>
      <c r="BB56" s="35">
        <v>0</v>
      </c>
      <c r="BC56" s="35">
        <v>0</v>
      </c>
      <c r="BD56" s="35">
        <v>2</v>
      </c>
      <c r="BE56" s="117">
        <f>BE55</f>
        <v>5.0000000000000001E-4</v>
      </c>
    </row>
    <row r="57" spans="1:59" x14ac:dyDescent="0.25">
      <c r="A57" s="19">
        <v>3</v>
      </c>
      <c r="B57" s="80" t="str">
        <f t="shared" si="16"/>
        <v>Rework Loss Type C</v>
      </c>
      <c r="C57" s="43" t="str">
        <f t="shared" si="15"/>
        <v>Product D</v>
      </c>
      <c r="D57" s="35">
        <v>0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  <c r="U57" s="35">
        <v>0</v>
      </c>
      <c r="V57" s="35">
        <v>0</v>
      </c>
      <c r="W57" s="35">
        <v>0</v>
      </c>
      <c r="X57" s="35">
        <v>0</v>
      </c>
      <c r="Y57" s="35">
        <v>0</v>
      </c>
      <c r="Z57" s="35">
        <v>0</v>
      </c>
      <c r="AA57" s="35">
        <v>0</v>
      </c>
      <c r="AB57" s="35">
        <v>0</v>
      </c>
      <c r="AC57" s="35">
        <v>0</v>
      </c>
      <c r="AD57" s="35">
        <v>0</v>
      </c>
      <c r="AE57" s="35">
        <v>0</v>
      </c>
      <c r="AF57" s="35">
        <v>0</v>
      </c>
      <c r="AG57" s="35">
        <v>0</v>
      </c>
      <c r="AH57" s="35">
        <v>0</v>
      </c>
      <c r="AI57" s="35">
        <v>0</v>
      </c>
      <c r="AJ57" s="35">
        <v>0</v>
      </c>
      <c r="AK57" s="35">
        <v>0</v>
      </c>
      <c r="AL57" s="35">
        <v>0</v>
      </c>
      <c r="AM57" s="35">
        <v>0</v>
      </c>
      <c r="AN57" s="35">
        <v>0</v>
      </c>
      <c r="AO57" s="35">
        <v>0</v>
      </c>
      <c r="AP57" s="35">
        <v>0</v>
      </c>
      <c r="AQ57" s="35">
        <v>0</v>
      </c>
      <c r="AR57" s="35">
        <v>0</v>
      </c>
      <c r="AS57" s="35">
        <v>0</v>
      </c>
      <c r="AT57" s="35">
        <v>0</v>
      </c>
      <c r="AU57" s="35">
        <v>0</v>
      </c>
      <c r="AV57" s="35">
        <v>0</v>
      </c>
      <c r="AW57" s="35">
        <v>0</v>
      </c>
      <c r="AX57" s="35">
        <v>0</v>
      </c>
      <c r="AY57" s="35">
        <v>0</v>
      </c>
      <c r="AZ57" s="35">
        <v>0</v>
      </c>
      <c r="BA57" s="35">
        <v>0</v>
      </c>
      <c r="BB57" s="35">
        <v>0</v>
      </c>
      <c r="BC57" s="35">
        <v>0</v>
      </c>
      <c r="BD57" s="35">
        <v>2.2999999999999998</v>
      </c>
      <c r="BE57" s="117">
        <f t="shared" ref="BE57:BE63" si="17">BE56</f>
        <v>5.0000000000000001E-4</v>
      </c>
    </row>
    <row r="58" spans="1:59" x14ac:dyDescent="0.25">
      <c r="A58" s="19">
        <v>4</v>
      </c>
      <c r="B58" s="80" t="str">
        <f t="shared" si="16"/>
        <v>Rework Loss Type D</v>
      </c>
      <c r="C58" s="43" t="str">
        <f t="shared" si="15"/>
        <v>Product D</v>
      </c>
      <c r="D58" s="35">
        <v>28</v>
      </c>
      <c r="E58" s="35">
        <v>21</v>
      </c>
      <c r="F58" s="35">
        <v>17</v>
      </c>
      <c r="G58" s="35">
        <v>19</v>
      </c>
      <c r="H58" s="35">
        <v>19</v>
      </c>
      <c r="I58" s="35">
        <v>22</v>
      </c>
      <c r="J58" s="35">
        <v>18</v>
      </c>
      <c r="K58" s="35">
        <v>19</v>
      </c>
      <c r="L58" s="35">
        <v>28</v>
      </c>
      <c r="M58" s="35">
        <v>22</v>
      </c>
      <c r="N58" s="35">
        <v>17</v>
      </c>
      <c r="O58" s="35">
        <v>20</v>
      </c>
      <c r="P58" s="35">
        <v>28</v>
      </c>
      <c r="Q58" s="35">
        <v>22</v>
      </c>
      <c r="R58" s="35">
        <v>17</v>
      </c>
      <c r="S58" s="35">
        <v>19</v>
      </c>
      <c r="T58" s="35">
        <v>19</v>
      </c>
      <c r="U58" s="35">
        <v>17</v>
      </c>
      <c r="V58" s="35">
        <v>17</v>
      </c>
      <c r="W58" s="35">
        <v>19</v>
      </c>
      <c r="X58" s="35">
        <v>28</v>
      </c>
      <c r="Y58" s="35">
        <v>22</v>
      </c>
      <c r="Z58" s="35">
        <v>17</v>
      </c>
      <c r="AA58" s="35">
        <v>15</v>
      </c>
      <c r="AB58" s="35">
        <v>28</v>
      </c>
      <c r="AC58" s="35">
        <v>22</v>
      </c>
      <c r="AD58" s="35">
        <v>17</v>
      </c>
      <c r="AE58" s="35">
        <v>19</v>
      </c>
      <c r="AF58" s="35">
        <v>19</v>
      </c>
      <c r="AG58" s="35">
        <v>21</v>
      </c>
      <c r="AH58" s="35">
        <v>17</v>
      </c>
      <c r="AI58" s="35">
        <v>19</v>
      </c>
      <c r="AJ58" s="35">
        <v>28</v>
      </c>
      <c r="AK58" s="35">
        <v>22</v>
      </c>
      <c r="AL58" s="35">
        <v>17</v>
      </c>
      <c r="AM58" s="35">
        <v>15</v>
      </c>
      <c r="AN58" s="35">
        <v>28</v>
      </c>
      <c r="AO58" s="35">
        <v>22</v>
      </c>
      <c r="AP58" s="35">
        <v>17</v>
      </c>
      <c r="AQ58" s="35">
        <v>19</v>
      </c>
      <c r="AR58" s="35">
        <v>20</v>
      </c>
      <c r="AS58" s="35">
        <v>22</v>
      </c>
      <c r="AT58" s="35">
        <v>17</v>
      </c>
      <c r="AU58" s="35">
        <v>19</v>
      </c>
      <c r="AV58" s="35">
        <v>28</v>
      </c>
      <c r="AW58" s="35">
        <v>22</v>
      </c>
      <c r="AX58" s="35">
        <v>17</v>
      </c>
      <c r="AY58" s="35">
        <v>18</v>
      </c>
      <c r="AZ58" s="35">
        <v>28</v>
      </c>
      <c r="BA58" s="35">
        <v>22</v>
      </c>
      <c r="BB58" s="35">
        <v>17</v>
      </c>
      <c r="BC58" s="35">
        <v>15</v>
      </c>
      <c r="BD58" s="35">
        <v>2</v>
      </c>
      <c r="BE58" s="117">
        <f t="shared" si="17"/>
        <v>5.0000000000000001E-4</v>
      </c>
    </row>
    <row r="59" spans="1:59" x14ac:dyDescent="0.25">
      <c r="A59" s="19">
        <v>5</v>
      </c>
      <c r="B59" s="80" t="str">
        <f t="shared" si="16"/>
        <v>Rework Loss Type E</v>
      </c>
      <c r="C59" s="43" t="str">
        <f t="shared" si="15"/>
        <v>Product D</v>
      </c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  <c r="U59" s="35">
        <v>0</v>
      </c>
      <c r="V59" s="35">
        <v>0</v>
      </c>
      <c r="W59" s="35">
        <v>0</v>
      </c>
      <c r="X59" s="35">
        <v>0</v>
      </c>
      <c r="Y59" s="35">
        <v>0</v>
      </c>
      <c r="Z59" s="35">
        <v>0</v>
      </c>
      <c r="AA59" s="35">
        <v>0</v>
      </c>
      <c r="AB59" s="35">
        <v>0</v>
      </c>
      <c r="AC59" s="35">
        <v>0</v>
      </c>
      <c r="AD59" s="35">
        <v>0</v>
      </c>
      <c r="AE59" s="35">
        <v>0</v>
      </c>
      <c r="AF59" s="35">
        <v>0</v>
      </c>
      <c r="AG59" s="35">
        <v>0</v>
      </c>
      <c r="AH59" s="35">
        <v>0</v>
      </c>
      <c r="AI59" s="35">
        <v>0</v>
      </c>
      <c r="AJ59" s="35">
        <v>0</v>
      </c>
      <c r="AK59" s="35">
        <v>0</v>
      </c>
      <c r="AL59" s="35">
        <v>0</v>
      </c>
      <c r="AM59" s="35">
        <v>0</v>
      </c>
      <c r="AN59" s="35">
        <v>0</v>
      </c>
      <c r="AO59" s="35">
        <v>0</v>
      </c>
      <c r="AP59" s="35">
        <v>0</v>
      </c>
      <c r="AQ59" s="35">
        <v>0</v>
      </c>
      <c r="AR59" s="35">
        <v>0</v>
      </c>
      <c r="AS59" s="35">
        <v>0</v>
      </c>
      <c r="AT59" s="35">
        <v>0</v>
      </c>
      <c r="AU59" s="35">
        <v>0</v>
      </c>
      <c r="AV59" s="35">
        <v>0</v>
      </c>
      <c r="AW59" s="35">
        <v>0</v>
      </c>
      <c r="AX59" s="35">
        <v>0</v>
      </c>
      <c r="AY59" s="35">
        <v>0</v>
      </c>
      <c r="AZ59" s="35">
        <v>0</v>
      </c>
      <c r="BA59" s="35">
        <v>0</v>
      </c>
      <c r="BB59" s="35">
        <v>0</v>
      </c>
      <c r="BC59" s="35">
        <v>0</v>
      </c>
      <c r="BD59" s="35">
        <v>2</v>
      </c>
      <c r="BE59" s="117">
        <f t="shared" si="17"/>
        <v>5.0000000000000001E-4</v>
      </c>
    </row>
    <row r="60" spans="1:59" x14ac:dyDescent="0.25">
      <c r="A60" s="19">
        <v>6</v>
      </c>
      <c r="B60" s="80" t="str">
        <f t="shared" si="16"/>
        <v>Rework Loss Type F</v>
      </c>
      <c r="C60" s="43" t="str">
        <f t="shared" si="15"/>
        <v>Product D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  <c r="U60" s="35">
        <v>0</v>
      </c>
      <c r="V60" s="35">
        <v>0</v>
      </c>
      <c r="W60" s="35">
        <v>0</v>
      </c>
      <c r="X60" s="35">
        <v>0</v>
      </c>
      <c r="Y60" s="35">
        <v>0</v>
      </c>
      <c r="Z60" s="35">
        <v>0</v>
      </c>
      <c r="AA60" s="35">
        <v>0</v>
      </c>
      <c r="AB60" s="35">
        <v>0</v>
      </c>
      <c r="AC60" s="35">
        <v>0</v>
      </c>
      <c r="AD60" s="35">
        <v>0</v>
      </c>
      <c r="AE60" s="35">
        <v>0</v>
      </c>
      <c r="AF60" s="35">
        <v>0</v>
      </c>
      <c r="AG60" s="35">
        <v>0</v>
      </c>
      <c r="AH60" s="35">
        <v>0</v>
      </c>
      <c r="AI60" s="35">
        <v>0</v>
      </c>
      <c r="AJ60" s="35">
        <v>0</v>
      </c>
      <c r="AK60" s="35">
        <v>0</v>
      </c>
      <c r="AL60" s="35">
        <v>0</v>
      </c>
      <c r="AM60" s="35">
        <v>0</v>
      </c>
      <c r="AN60" s="35">
        <v>0</v>
      </c>
      <c r="AO60" s="35">
        <v>0</v>
      </c>
      <c r="AP60" s="35">
        <v>0</v>
      </c>
      <c r="AQ60" s="35">
        <v>0</v>
      </c>
      <c r="AR60" s="35">
        <v>0</v>
      </c>
      <c r="AS60" s="35">
        <v>0</v>
      </c>
      <c r="AT60" s="35">
        <v>0</v>
      </c>
      <c r="AU60" s="35">
        <v>0</v>
      </c>
      <c r="AV60" s="35">
        <v>0</v>
      </c>
      <c r="AW60" s="35">
        <v>0</v>
      </c>
      <c r="AX60" s="35">
        <v>0</v>
      </c>
      <c r="AY60" s="35">
        <v>0</v>
      </c>
      <c r="AZ60" s="35">
        <v>0</v>
      </c>
      <c r="BA60" s="35">
        <v>0</v>
      </c>
      <c r="BB60" s="35">
        <v>0</v>
      </c>
      <c r="BC60" s="35">
        <v>0</v>
      </c>
      <c r="BD60" s="35">
        <v>1</v>
      </c>
      <c r="BE60" s="117">
        <f t="shared" si="17"/>
        <v>5.0000000000000001E-4</v>
      </c>
    </row>
    <row r="61" spans="1:59" x14ac:dyDescent="0.25">
      <c r="A61" s="19">
        <v>7</v>
      </c>
      <c r="B61" s="80" t="str">
        <f t="shared" si="16"/>
        <v>Rework Loss Type G</v>
      </c>
      <c r="C61" s="43" t="str">
        <f t="shared" si="15"/>
        <v>Product D</v>
      </c>
      <c r="D61" s="35">
        <v>0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  <c r="U61" s="35">
        <v>0</v>
      </c>
      <c r="V61" s="35">
        <v>0</v>
      </c>
      <c r="W61" s="35">
        <v>0</v>
      </c>
      <c r="X61" s="35">
        <v>0</v>
      </c>
      <c r="Y61" s="35">
        <v>0</v>
      </c>
      <c r="Z61" s="35">
        <v>0</v>
      </c>
      <c r="AA61" s="35">
        <v>0</v>
      </c>
      <c r="AB61" s="35">
        <v>0</v>
      </c>
      <c r="AC61" s="35">
        <v>0</v>
      </c>
      <c r="AD61" s="35">
        <v>0</v>
      </c>
      <c r="AE61" s="35">
        <v>0</v>
      </c>
      <c r="AF61" s="35">
        <v>0</v>
      </c>
      <c r="AG61" s="35">
        <v>0</v>
      </c>
      <c r="AH61" s="35">
        <v>0</v>
      </c>
      <c r="AI61" s="35">
        <v>0</v>
      </c>
      <c r="AJ61" s="35">
        <v>0</v>
      </c>
      <c r="AK61" s="35">
        <v>0</v>
      </c>
      <c r="AL61" s="35">
        <v>0</v>
      </c>
      <c r="AM61" s="35">
        <v>0</v>
      </c>
      <c r="AN61" s="35">
        <v>0</v>
      </c>
      <c r="AO61" s="35">
        <v>0</v>
      </c>
      <c r="AP61" s="35">
        <v>0</v>
      </c>
      <c r="AQ61" s="35">
        <v>0</v>
      </c>
      <c r="AR61" s="35">
        <v>0</v>
      </c>
      <c r="AS61" s="35">
        <v>0</v>
      </c>
      <c r="AT61" s="35">
        <v>0</v>
      </c>
      <c r="AU61" s="35">
        <v>0</v>
      </c>
      <c r="AV61" s="35">
        <v>0</v>
      </c>
      <c r="AW61" s="35">
        <v>0</v>
      </c>
      <c r="AX61" s="35">
        <v>0</v>
      </c>
      <c r="AY61" s="35">
        <v>0</v>
      </c>
      <c r="AZ61" s="35">
        <v>0</v>
      </c>
      <c r="BA61" s="35">
        <v>0</v>
      </c>
      <c r="BB61" s="35">
        <v>0</v>
      </c>
      <c r="BC61" s="35">
        <v>0</v>
      </c>
      <c r="BD61" s="35">
        <v>4.5</v>
      </c>
      <c r="BE61" s="117">
        <f t="shared" si="17"/>
        <v>5.0000000000000001E-4</v>
      </c>
    </row>
    <row r="62" spans="1:59" x14ac:dyDescent="0.25">
      <c r="A62" s="19">
        <v>8</v>
      </c>
      <c r="B62" s="80" t="str">
        <f t="shared" si="16"/>
        <v>Rework Loss Type H</v>
      </c>
      <c r="C62" s="43" t="str">
        <f t="shared" si="15"/>
        <v>Product D</v>
      </c>
      <c r="D62" s="35">
        <v>0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  <c r="U62" s="35">
        <v>0</v>
      </c>
      <c r="V62" s="35">
        <v>0</v>
      </c>
      <c r="W62" s="35">
        <v>0</v>
      </c>
      <c r="X62" s="35">
        <v>0</v>
      </c>
      <c r="Y62" s="35">
        <v>0</v>
      </c>
      <c r="Z62" s="35">
        <v>0</v>
      </c>
      <c r="AA62" s="35">
        <v>0</v>
      </c>
      <c r="AB62" s="35">
        <v>0</v>
      </c>
      <c r="AC62" s="35">
        <v>0</v>
      </c>
      <c r="AD62" s="35">
        <v>0</v>
      </c>
      <c r="AE62" s="35">
        <v>0</v>
      </c>
      <c r="AF62" s="35">
        <v>0</v>
      </c>
      <c r="AG62" s="35">
        <v>0</v>
      </c>
      <c r="AH62" s="35">
        <v>0</v>
      </c>
      <c r="AI62" s="35">
        <v>0</v>
      </c>
      <c r="AJ62" s="35">
        <v>0</v>
      </c>
      <c r="AK62" s="35">
        <v>0</v>
      </c>
      <c r="AL62" s="35">
        <v>0</v>
      </c>
      <c r="AM62" s="35">
        <v>0</v>
      </c>
      <c r="AN62" s="35">
        <v>0</v>
      </c>
      <c r="AO62" s="35">
        <v>0</v>
      </c>
      <c r="AP62" s="35">
        <v>0</v>
      </c>
      <c r="AQ62" s="35">
        <v>0</v>
      </c>
      <c r="AR62" s="35">
        <v>0</v>
      </c>
      <c r="AS62" s="35">
        <v>0</v>
      </c>
      <c r="AT62" s="35">
        <v>0</v>
      </c>
      <c r="AU62" s="35">
        <v>0</v>
      </c>
      <c r="AV62" s="35">
        <v>0</v>
      </c>
      <c r="AW62" s="35">
        <v>0</v>
      </c>
      <c r="AX62" s="35">
        <v>0</v>
      </c>
      <c r="AY62" s="35">
        <v>0</v>
      </c>
      <c r="AZ62" s="35">
        <v>0</v>
      </c>
      <c r="BA62" s="35">
        <v>0</v>
      </c>
      <c r="BB62" s="35">
        <v>0</v>
      </c>
      <c r="BC62" s="35">
        <v>0</v>
      </c>
      <c r="BD62" s="35">
        <v>2</v>
      </c>
      <c r="BE62" s="117">
        <f t="shared" si="17"/>
        <v>5.0000000000000001E-4</v>
      </c>
    </row>
    <row r="63" spans="1:59" x14ac:dyDescent="0.25">
      <c r="A63" s="19">
        <v>9</v>
      </c>
      <c r="B63" s="80" t="str">
        <f t="shared" si="16"/>
        <v>Rework Loss Type I</v>
      </c>
      <c r="C63" s="43" t="str">
        <f t="shared" si="15"/>
        <v>Product D</v>
      </c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  <c r="U63" s="35">
        <v>0</v>
      </c>
      <c r="V63" s="35">
        <v>0</v>
      </c>
      <c r="W63" s="35">
        <v>0</v>
      </c>
      <c r="X63" s="35">
        <v>0</v>
      </c>
      <c r="Y63" s="35">
        <v>0</v>
      </c>
      <c r="Z63" s="35">
        <v>0</v>
      </c>
      <c r="AA63" s="35">
        <v>0</v>
      </c>
      <c r="AB63" s="35">
        <v>0</v>
      </c>
      <c r="AC63" s="35">
        <v>0</v>
      </c>
      <c r="AD63" s="35">
        <v>0</v>
      </c>
      <c r="AE63" s="35">
        <v>0</v>
      </c>
      <c r="AF63" s="35">
        <v>0</v>
      </c>
      <c r="AG63" s="35">
        <v>0</v>
      </c>
      <c r="AH63" s="35">
        <v>0</v>
      </c>
      <c r="AI63" s="35">
        <v>0</v>
      </c>
      <c r="AJ63" s="35">
        <v>0</v>
      </c>
      <c r="AK63" s="35">
        <v>0</v>
      </c>
      <c r="AL63" s="35">
        <v>0</v>
      </c>
      <c r="AM63" s="35">
        <v>0</v>
      </c>
      <c r="AN63" s="35">
        <v>0</v>
      </c>
      <c r="AO63" s="35">
        <v>0</v>
      </c>
      <c r="AP63" s="35">
        <v>0</v>
      </c>
      <c r="AQ63" s="35">
        <v>0</v>
      </c>
      <c r="AR63" s="35">
        <v>0</v>
      </c>
      <c r="AS63" s="35">
        <v>0</v>
      </c>
      <c r="AT63" s="35">
        <v>0</v>
      </c>
      <c r="AU63" s="35">
        <v>0</v>
      </c>
      <c r="AV63" s="35">
        <v>0</v>
      </c>
      <c r="AW63" s="35">
        <v>0</v>
      </c>
      <c r="AX63" s="35">
        <v>0</v>
      </c>
      <c r="AY63" s="35">
        <v>0</v>
      </c>
      <c r="AZ63" s="35">
        <v>0</v>
      </c>
      <c r="BA63" s="35">
        <v>0</v>
      </c>
      <c r="BB63" s="35">
        <v>0</v>
      </c>
      <c r="BC63" s="35">
        <v>0</v>
      </c>
      <c r="BD63" s="35">
        <v>2</v>
      </c>
      <c r="BE63" s="117">
        <f t="shared" si="17"/>
        <v>5.0000000000000001E-4</v>
      </c>
    </row>
    <row r="64" spans="1:59" x14ac:dyDescent="0.25">
      <c r="A64" s="19">
        <v>10</v>
      </c>
      <c r="B64" s="80"/>
      <c r="C64" s="43">
        <f t="shared" si="15"/>
        <v>0</v>
      </c>
      <c r="D64" s="104">
        <v>1</v>
      </c>
      <c r="E64" s="104">
        <f>D64+1</f>
        <v>2</v>
      </c>
      <c r="F64" s="104">
        <f t="shared" ref="F64:BC64" si="18">E64+1</f>
        <v>3</v>
      </c>
      <c r="G64" s="104">
        <f t="shared" si="18"/>
        <v>4</v>
      </c>
      <c r="H64" s="104">
        <f t="shared" si="18"/>
        <v>5</v>
      </c>
      <c r="I64" s="104">
        <f t="shared" si="18"/>
        <v>6</v>
      </c>
      <c r="J64" s="104">
        <f t="shared" si="18"/>
        <v>7</v>
      </c>
      <c r="K64" s="104">
        <f t="shared" si="18"/>
        <v>8</v>
      </c>
      <c r="L64" s="104">
        <f t="shared" si="18"/>
        <v>9</v>
      </c>
      <c r="M64" s="104">
        <f t="shared" si="18"/>
        <v>10</v>
      </c>
      <c r="N64" s="104">
        <f t="shared" si="18"/>
        <v>11</v>
      </c>
      <c r="O64" s="104">
        <f t="shared" si="18"/>
        <v>12</v>
      </c>
      <c r="P64" s="104">
        <f t="shared" si="18"/>
        <v>13</v>
      </c>
      <c r="Q64" s="104">
        <f t="shared" si="18"/>
        <v>14</v>
      </c>
      <c r="R64" s="104">
        <f t="shared" si="18"/>
        <v>15</v>
      </c>
      <c r="S64" s="104">
        <f t="shared" si="18"/>
        <v>16</v>
      </c>
      <c r="T64" s="104">
        <f t="shared" si="18"/>
        <v>17</v>
      </c>
      <c r="U64" s="104">
        <f t="shared" si="18"/>
        <v>18</v>
      </c>
      <c r="V64" s="104">
        <f t="shared" si="18"/>
        <v>19</v>
      </c>
      <c r="W64" s="104">
        <f t="shared" si="18"/>
        <v>20</v>
      </c>
      <c r="X64" s="104">
        <f t="shared" si="18"/>
        <v>21</v>
      </c>
      <c r="Y64" s="104">
        <f t="shared" si="18"/>
        <v>22</v>
      </c>
      <c r="Z64" s="104">
        <f t="shared" si="18"/>
        <v>23</v>
      </c>
      <c r="AA64" s="104">
        <f t="shared" si="18"/>
        <v>24</v>
      </c>
      <c r="AB64" s="104">
        <f t="shared" si="18"/>
        <v>25</v>
      </c>
      <c r="AC64" s="104">
        <f t="shared" si="18"/>
        <v>26</v>
      </c>
      <c r="AD64" s="104">
        <f t="shared" si="18"/>
        <v>27</v>
      </c>
      <c r="AE64" s="104">
        <f t="shared" si="18"/>
        <v>28</v>
      </c>
      <c r="AF64" s="104">
        <f t="shared" si="18"/>
        <v>29</v>
      </c>
      <c r="AG64" s="104">
        <f t="shared" si="18"/>
        <v>30</v>
      </c>
      <c r="AH64" s="104">
        <f t="shared" si="18"/>
        <v>31</v>
      </c>
      <c r="AI64" s="104">
        <f t="shared" si="18"/>
        <v>32</v>
      </c>
      <c r="AJ64" s="104">
        <f t="shared" si="18"/>
        <v>33</v>
      </c>
      <c r="AK64" s="104">
        <f t="shared" si="18"/>
        <v>34</v>
      </c>
      <c r="AL64" s="104">
        <f t="shared" si="18"/>
        <v>35</v>
      </c>
      <c r="AM64" s="104">
        <f t="shared" si="18"/>
        <v>36</v>
      </c>
      <c r="AN64" s="104">
        <f t="shared" si="18"/>
        <v>37</v>
      </c>
      <c r="AO64" s="104">
        <f t="shared" si="18"/>
        <v>38</v>
      </c>
      <c r="AP64" s="104">
        <f t="shared" si="18"/>
        <v>39</v>
      </c>
      <c r="AQ64" s="104">
        <f t="shared" si="18"/>
        <v>40</v>
      </c>
      <c r="AR64" s="104">
        <f t="shared" si="18"/>
        <v>41</v>
      </c>
      <c r="AS64" s="104">
        <f t="shared" si="18"/>
        <v>42</v>
      </c>
      <c r="AT64" s="104">
        <f t="shared" si="18"/>
        <v>43</v>
      </c>
      <c r="AU64" s="104">
        <f t="shared" si="18"/>
        <v>44</v>
      </c>
      <c r="AV64" s="104">
        <f t="shared" si="18"/>
        <v>45</v>
      </c>
      <c r="AW64" s="104">
        <f t="shared" si="18"/>
        <v>46</v>
      </c>
      <c r="AX64" s="104">
        <f t="shared" si="18"/>
        <v>47</v>
      </c>
      <c r="AY64" s="104">
        <f t="shared" si="18"/>
        <v>48</v>
      </c>
      <c r="AZ64" s="104">
        <f t="shared" si="18"/>
        <v>49</v>
      </c>
      <c r="BA64" s="104">
        <f t="shared" si="18"/>
        <v>50</v>
      </c>
      <c r="BB64" s="104">
        <f t="shared" si="18"/>
        <v>51</v>
      </c>
      <c r="BC64" s="104">
        <f t="shared" si="18"/>
        <v>52</v>
      </c>
      <c r="BD64" s="19"/>
      <c r="BE64" s="83"/>
    </row>
    <row r="65" spans="1:59" x14ac:dyDescent="0.25">
      <c r="A65" s="19">
        <v>1</v>
      </c>
      <c r="B65" s="80" t="str">
        <f>B55</f>
        <v>Rework Loss Type A</v>
      </c>
      <c r="C65" s="43" t="str">
        <f t="shared" ref="C65:C74" si="19">IF(OR(A$24&gt;A65,A$24=A65),B$7,0)</f>
        <v>Product E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  <c r="U65" s="35">
        <v>0</v>
      </c>
      <c r="V65" s="35">
        <v>0</v>
      </c>
      <c r="W65" s="35">
        <v>0</v>
      </c>
      <c r="X65" s="35">
        <v>0</v>
      </c>
      <c r="Y65" s="35">
        <v>0</v>
      </c>
      <c r="Z65" s="35">
        <v>0</v>
      </c>
      <c r="AA65" s="35">
        <v>0</v>
      </c>
      <c r="AB65" s="35">
        <v>0</v>
      </c>
      <c r="AC65" s="35">
        <v>0</v>
      </c>
      <c r="AD65" s="35">
        <v>0</v>
      </c>
      <c r="AE65" s="35">
        <v>0</v>
      </c>
      <c r="AF65" s="35">
        <v>0</v>
      </c>
      <c r="AG65" s="35">
        <v>0</v>
      </c>
      <c r="AH65" s="35">
        <v>0</v>
      </c>
      <c r="AI65" s="35">
        <v>0</v>
      </c>
      <c r="AJ65" s="35">
        <v>0</v>
      </c>
      <c r="AK65" s="35">
        <v>0</v>
      </c>
      <c r="AL65" s="35">
        <v>0</v>
      </c>
      <c r="AM65" s="35">
        <v>0</v>
      </c>
      <c r="AN65" s="35">
        <v>0</v>
      </c>
      <c r="AO65" s="35">
        <v>0</v>
      </c>
      <c r="AP65" s="35">
        <v>0</v>
      </c>
      <c r="AQ65" s="35">
        <v>0</v>
      </c>
      <c r="AR65" s="35">
        <v>0</v>
      </c>
      <c r="AS65" s="35">
        <v>0</v>
      </c>
      <c r="AT65" s="35">
        <v>0</v>
      </c>
      <c r="AU65" s="35">
        <v>0</v>
      </c>
      <c r="AV65" s="35">
        <v>0</v>
      </c>
      <c r="AW65" s="35">
        <v>0</v>
      </c>
      <c r="AX65" s="35">
        <v>0</v>
      </c>
      <c r="AY65" s="35">
        <v>0</v>
      </c>
      <c r="AZ65" s="35">
        <v>0</v>
      </c>
      <c r="BA65" s="35">
        <v>0</v>
      </c>
      <c r="BB65" s="35">
        <v>0</v>
      </c>
      <c r="BC65" s="35">
        <v>0</v>
      </c>
      <c r="BD65" s="35">
        <v>1</v>
      </c>
      <c r="BE65" s="116">
        <v>4.0000000000000002E-4</v>
      </c>
      <c r="BG65">
        <f>SUM(D65:BC73)</f>
        <v>951</v>
      </c>
    </row>
    <row r="66" spans="1:59" x14ac:dyDescent="0.25">
      <c r="A66" s="19">
        <v>2</v>
      </c>
      <c r="B66" s="80" t="str">
        <f t="shared" ref="B66:B73" si="20">B56</f>
        <v>Rework Loss Type B</v>
      </c>
      <c r="C66" s="43" t="str">
        <f t="shared" si="19"/>
        <v>Product E</v>
      </c>
      <c r="D66" s="35">
        <v>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  <c r="U66" s="35">
        <v>0</v>
      </c>
      <c r="V66" s="35">
        <v>0</v>
      </c>
      <c r="W66" s="35">
        <v>0</v>
      </c>
      <c r="X66" s="35">
        <v>0</v>
      </c>
      <c r="Y66" s="35">
        <v>0</v>
      </c>
      <c r="Z66" s="35">
        <v>0</v>
      </c>
      <c r="AA66" s="35">
        <v>0</v>
      </c>
      <c r="AB66" s="35">
        <v>0</v>
      </c>
      <c r="AC66" s="35">
        <v>0</v>
      </c>
      <c r="AD66" s="35">
        <v>0</v>
      </c>
      <c r="AE66" s="35">
        <v>0</v>
      </c>
      <c r="AF66" s="35">
        <v>0</v>
      </c>
      <c r="AG66" s="35">
        <v>0</v>
      </c>
      <c r="AH66" s="35">
        <v>0</v>
      </c>
      <c r="AI66" s="35">
        <v>0</v>
      </c>
      <c r="AJ66" s="35">
        <v>0</v>
      </c>
      <c r="AK66" s="35">
        <v>0</v>
      </c>
      <c r="AL66" s="35">
        <v>0</v>
      </c>
      <c r="AM66" s="35">
        <v>0</v>
      </c>
      <c r="AN66" s="35">
        <v>0</v>
      </c>
      <c r="AO66" s="35">
        <v>0</v>
      </c>
      <c r="AP66" s="35">
        <v>0</v>
      </c>
      <c r="AQ66" s="35">
        <v>0</v>
      </c>
      <c r="AR66" s="35">
        <v>0</v>
      </c>
      <c r="AS66" s="35">
        <v>0</v>
      </c>
      <c r="AT66" s="35">
        <v>0</v>
      </c>
      <c r="AU66" s="35">
        <v>0</v>
      </c>
      <c r="AV66" s="35">
        <v>0</v>
      </c>
      <c r="AW66" s="35">
        <v>0</v>
      </c>
      <c r="AX66" s="35">
        <v>0</v>
      </c>
      <c r="AY66" s="35">
        <v>0</v>
      </c>
      <c r="AZ66" s="35">
        <v>0</v>
      </c>
      <c r="BA66" s="35">
        <v>0</v>
      </c>
      <c r="BB66" s="35">
        <v>0</v>
      </c>
      <c r="BC66" s="35">
        <v>0</v>
      </c>
      <c r="BD66" s="35">
        <v>2</v>
      </c>
      <c r="BE66" s="117">
        <f>BE65</f>
        <v>4.0000000000000002E-4</v>
      </c>
    </row>
    <row r="67" spans="1:59" x14ac:dyDescent="0.25">
      <c r="A67" s="19">
        <v>3</v>
      </c>
      <c r="B67" s="80" t="str">
        <f t="shared" si="20"/>
        <v>Rework Loss Type C</v>
      </c>
      <c r="C67" s="43" t="str">
        <f t="shared" si="19"/>
        <v>Product E</v>
      </c>
      <c r="D67" s="35">
        <v>0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  <c r="U67" s="35">
        <v>0</v>
      </c>
      <c r="V67" s="35">
        <v>0</v>
      </c>
      <c r="W67" s="35">
        <v>0</v>
      </c>
      <c r="X67" s="35">
        <v>0</v>
      </c>
      <c r="Y67" s="35">
        <v>0</v>
      </c>
      <c r="Z67" s="35">
        <v>0</v>
      </c>
      <c r="AA67" s="35">
        <v>0</v>
      </c>
      <c r="AB67" s="35">
        <v>0</v>
      </c>
      <c r="AC67" s="35">
        <v>0</v>
      </c>
      <c r="AD67" s="35">
        <v>0</v>
      </c>
      <c r="AE67" s="35">
        <v>0</v>
      </c>
      <c r="AF67" s="35">
        <v>0</v>
      </c>
      <c r="AG67" s="35">
        <v>0</v>
      </c>
      <c r="AH67" s="35">
        <v>0</v>
      </c>
      <c r="AI67" s="35">
        <v>0</v>
      </c>
      <c r="AJ67" s="35">
        <v>0</v>
      </c>
      <c r="AK67" s="35">
        <v>0</v>
      </c>
      <c r="AL67" s="35">
        <v>0</v>
      </c>
      <c r="AM67" s="35">
        <v>0</v>
      </c>
      <c r="AN67" s="35">
        <v>0</v>
      </c>
      <c r="AO67" s="35">
        <v>0</v>
      </c>
      <c r="AP67" s="35">
        <v>0</v>
      </c>
      <c r="AQ67" s="35">
        <v>0</v>
      </c>
      <c r="AR67" s="35">
        <v>0</v>
      </c>
      <c r="AS67" s="35">
        <v>0</v>
      </c>
      <c r="AT67" s="35">
        <v>0</v>
      </c>
      <c r="AU67" s="35">
        <v>0</v>
      </c>
      <c r="AV67" s="35">
        <v>0</v>
      </c>
      <c r="AW67" s="35">
        <v>0</v>
      </c>
      <c r="AX67" s="35">
        <v>0</v>
      </c>
      <c r="AY67" s="35">
        <v>0</v>
      </c>
      <c r="AZ67" s="35">
        <v>0</v>
      </c>
      <c r="BA67" s="35">
        <v>0</v>
      </c>
      <c r="BB67" s="35">
        <v>0</v>
      </c>
      <c r="BC67" s="35">
        <v>0</v>
      </c>
      <c r="BD67" s="35">
        <v>6.3</v>
      </c>
      <c r="BE67" s="117">
        <f t="shared" ref="BE67:BE73" si="21">BE66</f>
        <v>4.0000000000000002E-4</v>
      </c>
    </row>
    <row r="68" spans="1:59" x14ac:dyDescent="0.25">
      <c r="A68" s="19">
        <v>4</v>
      </c>
      <c r="B68" s="80" t="str">
        <f t="shared" si="20"/>
        <v>Rework Loss Type D</v>
      </c>
      <c r="C68" s="43" t="str">
        <f t="shared" si="19"/>
        <v>Product E</v>
      </c>
      <c r="D68" s="35">
        <v>0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  <c r="U68" s="35">
        <v>0</v>
      </c>
      <c r="V68" s="35">
        <v>0</v>
      </c>
      <c r="W68" s="35">
        <v>0</v>
      </c>
      <c r="X68" s="35">
        <v>0</v>
      </c>
      <c r="Y68" s="35">
        <v>0</v>
      </c>
      <c r="Z68" s="35">
        <v>0</v>
      </c>
      <c r="AA68" s="35">
        <v>0</v>
      </c>
      <c r="AB68" s="35">
        <v>0</v>
      </c>
      <c r="AC68" s="35">
        <v>0</v>
      </c>
      <c r="AD68" s="35">
        <v>0</v>
      </c>
      <c r="AE68" s="35">
        <v>0</v>
      </c>
      <c r="AF68" s="35">
        <v>0</v>
      </c>
      <c r="AG68" s="35">
        <v>0</v>
      </c>
      <c r="AH68" s="35">
        <v>0</v>
      </c>
      <c r="AI68" s="35">
        <v>0</v>
      </c>
      <c r="AJ68" s="35">
        <v>0</v>
      </c>
      <c r="AK68" s="35">
        <v>0</v>
      </c>
      <c r="AL68" s="35">
        <v>0</v>
      </c>
      <c r="AM68" s="35">
        <v>0</v>
      </c>
      <c r="AN68" s="35">
        <v>0</v>
      </c>
      <c r="AO68" s="35">
        <v>0</v>
      </c>
      <c r="AP68" s="35">
        <v>0</v>
      </c>
      <c r="AQ68" s="35">
        <v>0</v>
      </c>
      <c r="AR68" s="35">
        <v>0</v>
      </c>
      <c r="AS68" s="35">
        <v>0</v>
      </c>
      <c r="AT68" s="35">
        <v>0</v>
      </c>
      <c r="AU68" s="35">
        <v>0</v>
      </c>
      <c r="AV68" s="35">
        <v>0</v>
      </c>
      <c r="AW68" s="35">
        <v>0</v>
      </c>
      <c r="AX68" s="35">
        <v>0</v>
      </c>
      <c r="AY68" s="35">
        <v>0</v>
      </c>
      <c r="AZ68" s="35">
        <v>0</v>
      </c>
      <c r="BA68" s="35">
        <v>0</v>
      </c>
      <c r="BB68" s="35">
        <v>0</v>
      </c>
      <c r="BC68" s="35">
        <v>0</v>
      </c>
      <c r="BD68" s="35">
        <v>2</v>
      </c>
      <c r="BE68" s="117">
        <f t="shared" si="21"/>
        <v>4.0000000000000002E-4</v>
      </c>
    </row>
    <row r="69" spans="1:59" x14ac:dyDescent="0.25">
      <c r="A69" s="19">
        <v>5</v>
      </c>
      <c r="B69" s="80" t="str">
        <f t="shared" si="20"/>
        <v>Rework Loss Type E</v>
      </c>
      <c r="C69" s="43" t="str">
        <f t="shared" si="19"/>
        <v>Product E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  <c r="U69" s="35">
        <v>0</v>
      </c>
      <c r="V69" s="35">
        <v>0</v>
      </c>
      <c r="W69" s="35">
        <v>0</v>
      </c>
      <c r="X69" s="35">
        <v>0</v>
      </c>
      <c r="Y69" s="35">
        <v>0</v>
      </c>
      <c r="Z69" s="35">
        <v>0</v>
      </c>
      <c r="AA69" s="35">
        <v>0</v>
      </c>
      <c r="AB69" s="35">
        <v>0</v>
      </c>
      <c r="AC69" s="35">
        <v>0</v>
      </c>
      <c r="AD69" s="35">
        <v>0</v>
      </c>
      <c r="AE69" s="35">
        <v>0</v>
      </c>
      <c r="AF69" s="35">
        <v>0</v>
      </c>
      <c r="AG69" s="35">
        <v>0</v>
      </c>
      <c r="AH69" s="35">
        <v>0</v>
      </c>
      <c r="AI69" s="35">
        <v>0</v>
      </c>
      <c r="AJ69" s="35">
        <v>0</v>
      </c>
      <c r="AK69" s="35">
        <v>0</v>
      </c>
      <c r="AL69" s="35">
        <v>0</v>
      </c>
      <c r="AM69" s="35">
        <v>0</v>
      </c>
      <c r="AN69" s="35">
        <v>0</v>
      </c>
      <c r="AO69" s="35">
        <v>0</v>
      </c>
      <c r="AP69" s="35">
        <v>0</v>
      </c>
      <c r="AQ69" s="35">
        <v>0</v>
      </c>
      <c r="AR69" s="35">
        <v>0</v>
      </c>
      <c r="AS69" s="35">
        <v>0</v>
      </c>
      <c r="AT69" s="35">
        <v>0</v>
      </c>
      <c r="AU69" s="35">
        <v>0</v>
      </c>
      <c r="AV69" s="35">
        <v>0</v>
      </c>
      <c r="AW69" s="35">
        <v>0</v>
      </c>
      <c r="AX69" s="35">
        <v>0</v>
      </c>
      <c r="AY69" s="35">
        <v>0</v>
      </c>
      <c r="AZ69" s="35">
        <v>0</v>
      </c>
      <c r="BA69" s="35">
        <v>0</v>
      </c>
      <c r="BB69" s="35">
        <v>0</v>
      </c>
      <c r="BC69" s="35">
        <v>0</v>
      </c>
      <c r="BD69" s="35">
        <v>2</v>
      </c>
      <c r="BE69" s="117">
        <f t="shared" si="21"/>
        <v>4.0000000000000002E-4</v>
      </c>
    </row>
    <row r="70" spans="1:59" x14ac:dyDescent="0.25">
      <c r="A70" s="19">
        <v>6</v>
      </c>
      <c r="B70" s="80" t="str">
        <f t="shared" si="20"/>
        <v>Rework Loss Type F</v>
      </c>
      <c r="C70" s="43" t="str">
        <f t="shared" si="19"/>
        <v>Product E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  <c r="U70" s="35">
        <v>0</v>
      </c>
      <c r="V70" s="35">
        <v>0</v>
      </c>
      <c r="W70" s="35">
        <v>0</v>
      </c>
      <c r="X70" s="35">
        <v>0</v>
      </c>
      <c r="Y70" s="35">
        <v>0</v>
      </c>
      <c r="Z70" s="35">
        <v>0</v>
      </c>
      <c r="AA70" s="35">
        <v>0</v>
      </c>
      <c r="AB70" s="35">
        <v>0</v>
      </c>
      <c r="AC70" s="35">
        <v>0</v>
      </c>
      <c r="AD70" s="35">
        <v>0</v>
      </c>
      <c r="AE70" s="35">
        <v>0</v>
      </c>
      <c r="AF70" s="35">
        <v>0</v>
      </c>
      <c r="AG70" s="35">
        <v>0</v>
      </c>
      <c r="AH70" s="35">
        <v>0</v>
      </c>
      <c r="AI70" s="35">
        <v>0</v>
      </c>
      <c r="AJ70" s="35">
        <v>0</v>
      </c>
      <c r="AK70" s="35">
        <v>0</v>
      </c>
      <c r="AL70" s="35">
        <v>0</v>
      </c>
      <c r="AM70" s="35">
        <v>0</v>
      </c>
      <c r="AN70" s="35">
        <v>0</v>
      </c>
      <c r="AO70" s="35">
        <v>0</v>
      </c>
      <c r="AP70" s="35">
        <v>0</v>
      </c>
      <c r="AQ70" s="35">
        <v>0</v>
      </c>
      <c r="AR70" s="35">
        <v>0</v>
      </c>
      <c r="AS70" s="35">
        <v>0</v>
      </c>
      <c r="AT70" s="35">
        <v>0</v>
      </c>
      <c r="AU70" s="35">
        <v>0</v>
      </c>
      <c r="AV70" s="35">
        <v>0</v>
      </c>
      <c r="AW70" s="35">
        <v>0</v>
      </c>
      <c r="AX70" s="35">
        <v>0</v>
      </c>
      <c r="AY70" s="35">
        <v>0</v>
      </c>
      <c r="AZ70" s="35">
        <v>0</v>
      </c>
      <c r="BA70" s="35">
        <v>0</v>
      </c>
      <c r="BB70" s="35">
        <v>0</v>
      </c>
      <c r="BC70" s="35">
        <v>0</v>
      </c>
      <c r="BD70" s="35">
        <v>1</v>
      </c>
      <c r="BE70" s="117">
        <f t="shared" si="21"/>
        <v>4.0000000000000002E-4</v>
      </c>
    </row>
    <row r="71" spans="1:59" x14ac:dyDescent="0.25">
      <c r="A71" s="19">
        <v>7</v>
      </c>
      <c r="B71" s="80" t="str">
        <f t="shared" si="20"/>
        <v>Rework Loss Type G</v>
      </c>
      <c r="C71" s="43" t="str">
        <f t="shared" si="19"/>
        <v>Product E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  <c r="U71" s="35">
        <v>0</v>
      </c>
      <c r="V71" s="35">
        <v>0</v>
      </c>
      <c r="W71" s="35">
        <v>0</v>
      </c>
      <c r="X71" s="35">
        <v>0</v>
      </c>
      <c r="Y71" s="35">
        <v>0</v>
      </c>
      <c r="Z71" s="35">
        <v>0</v>
      </c>
      <c r="AA71" s="35">
        <v>0</v>
      </c>
      <c r="AB71" s="35">
        <v>0</v>
      </c>
      <c r="AC71" s="35">
        <v>0</v>
      </c>
      <c r="AD71" s="35">
        <v>0</v>
      </c>
      <c r="AE71" s="35">
        <v>0</v>
      </c>
      <c r="AF71" s="35">
        <v>0</v>
      </c>
      <c r="AG71" s="35">
        <v>0</v>
      </c>
      <c r="AH71" s="35">
        <v>0</v>
      </c>
      <c r="AI71" s="35">
        <v>0</v>
      </c>
      <c r="AJ71" s="35">
        <v>0</v>
      </c>
      <c r="AK71" s="35">
        <v>0</v>
      </c>
      <c r="AL71" s="35">
        <v>0</v>
      </c>
      <c r="AM71" s="35">
        <v>0</v>
      </c>
      <c r="AN71" s="35">
        <v>0</v>
      </c>
      <c r="AO71" s="35">
        <v>0</v>
      </c>
      <c r="AP71" s="35">
        <v>0</v>
      </c>
      <c r="AQ71" s="35">
        <v>0</v>
      </c>
      <c r="AR71" s="35">
        <v>0</v>
      </c>
      <c r="AS71" s="35">
        <v>0</v>
      </c>
      <c r="AT71" s="35">
        <v>0</v>
      </c>
      <c r="AU71" s="35">
        <v>0</v>
      </c>
      <c r="AV71" s="35">
        <v>0</v>
      </c>
      <c r="AW71" s="35">
        <v>0</v>
      </c>
      <c r="AX71" s="35">
        <v>0</v>
      </c>
      <c r="AY71" s="35">
        <v>0</v>
      </c>
      <c r="AZ71" s="35">
        <v>0</v>
      </c>
      <c r="BA71" s="35">
        <v>0</v>
      </c>
      <c r="BB71" s="35">
        <v>0</v>
      </c>
      <c r="BC71" s="35">
        <v>0</v>
      </c>
      <c r="BD71" s="35">
        <v>1</v>
      </c>
      <c r="BE71" s="117">
        <f t="shared" si="21"/>
        <v>4.0000000000000002E-4</v>
      </c>
    </row>
    <row r="72" spans="1:59" x14ac:dyDescent="0.25">
      <c r="A72" s="19">
        <v>8</v>
      </c>
      <c r="B72" s="80" t="str">
        <f t="shared" si="20"/>
        <v>Rework Loss Type H</v>
      </c>
      <c r="C72" s="43" t="str">
        <f t="shared" si="19"/>
        <v>Product E</v>
      </c>
      <c r="D72" s="35">
        <v>11</v>
      </c>
      <c r="E72" s="35">
        <v>29</v>
      </c>
      <c r="F72" s="35">
        <v>22</v>
      </c>
      <c r="G72" s="35">
        <v>17</v>
      </c>
      <c r="H72" s="35">
        <v>11</v>
      </c>
      <c r="I72" s="35">
        <v>24</v>
      </c>
      <c r="J72" s="35">
        <v>22</v>
      </c>
      <c r="K72" s="35">
        <v>17</v>
      </c>
      <c r="L72" s="35">
        <v>11</v>
      </c>
      <c r="M72" s="35">
        <v>15</v>
      </c>
      <c r="N72" s="35">
        <v>13</v>
      </c>
      <c r="O72" s="35">
        <v>17</v>
      </c>
      <c r="P72" s="35">
        <v>11</v>
      </c>
      <c r="Q72" s="35">
        <v>28</v>
      </c>
      <c r="R72" s="35">
        <v>22</v>
      </c>
      <c r="S72" s="35">
        <v>17</v>
      </c>
      <c r="T72" s="35">
        <v>11</v>
      </c>
      <c r="U72" s="35">
        <v>28</v>
      </c>
      <c r="V72" s="35">
        <v>22</v>
      </c>
      <c r="W72" s="35">
        <v>17</v>
      </c>
      <c r="X72" s="35">
        <v>11</v>
      </c>
      <c r="Y72" s="35">
        <v>15</v>
      </c>
      <c r="Z72" s="35">
        <v>22</v>
      </c>
      <c r="AA72" s="35">
        <v>17</v>
      </c>
      <c r="AB72" s="35">
        <v>11</v>
      </c>
      <c r="AC72" s="35">
        <v>28</v>
      </c>
      <c r="AD72" s="35">
        <v>22</v>
      </c>
      <c r="AE72" s="35">
        <v>17</v>
      </c>
      <c r="AF72" s="35">
        <v>10</v>
      </c>
      <c r="AG72" s="35">
        <v>23</v>
      </c>
      <c r="AH72" s="35">
        <v>22</v>
      </c>
      <c r="AI72" s="35">
        <v>17</v>
      </c>
      <c r="AJ72" s="35">
        <v>11</v>
      </c>
      <c r="AK72" s="35">
        <v>15</v>
      </c>
      <c r="AL72" s="35">
        <v>21</v>
      </c>
      <c r="AM72" s="35">
        <v>17</v>
      </c>
      <c r="AN72" s="35">
        <v>11</v>
      </c>
      <c r="AO72" s="35">
        <v>28</v>
      </c>
      <c r="AP72" s="35">
        <v>22</v>
      </c>
      <c r="AQ72" s="35">
        <v>17</v>
      </c>
      <c r="AR72" s="35">
        <v>11</v>
      </c>
      <c r="AS72" s="35">
        <v>24</v>
      </c>
      <c r="AT72" s="35">
        <v>21</v>
      </c>
      <c r="AU72" s="35">
        <v>18</v>
      </c>
      <c r="AV72" s="35">
        <v>11</v>
      </c>
      <c r="AW72" s="35">
        <v>28</v>
      </c>
      <c r="AX72" s="35">
        <v>22</v>
      </c>
      <c r="AY72" s="35">
        <v>17</v>
      </c>
      <c r="AZ72" s="35">
        <v>11</v>
      </c>
      <c r="BA72" s="35">
        <v>28</v>
      </c>
      <c r="BB72" s="35">
        <v>21</v>
      </c>
      <c r="BC72" s="35">
        <v>17</v>
      </c>
      <c r="BD72" s="35">
        <v>2</v>
      </c>
      <c r="BE72" s="117">
        <f t="shared" si="21"/>
        <v>4.0000000000000002E-4</v>
      </c>
    </row>
    <row r="73" spans="1:59" x14ac:dyDescent="0.25">
      <c r="A73" s="19">
        <v>9</v>
      </c>
      <c r="B73" s="80" t="str">
        <f t="shared" si="20"/>
        <v>Rework Loss Type I</v>
      </c>
      <c r="C73" s="43" t="str">
        <f t="shared" si="19"/>
        <v>Product E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  <c r="U73" s="35">
        <v>0</v>
      </c>
      <c r="V73" s="35">
        <v>0</v>
      </c>
      <c r="W73" s="35">
        <v>0</v>
      </c>
      <c r="X73" s="35">
        <v>0</v>
      </c>
      <c r="Y73" s="35">
        <v>0</v>
      </c>
      <c r="Z73" s="35">
        <v>0</v>
      </c>
      <c r="AA73" s="35">
        <v>0</v>
      </c>
      <c r="AB73" s="35">
        <v>0</v>
      </c>
      <c r="AC73" s="35">
        <v>0</v>
      </c>
      <c r="AD73" s="35">
        <v>0</v>
      </c>
      <c r="AE73" s="35">
        <v>0</v>
      </c>
      <c r="AF73" s="35">
        <v>0</v>
      </c>
      <c r="AG73" s="35">
        <v>0</v>
      </c>
      <c r="AH73" s="35">
        <v>0</v>
      </c>
      <c r="AI73" s="35">
        <v>0</v>
      </c>
      <c r="AJ73" s="35">
        <v>0</v>
      </c>
      <c r="AK73" s="35">
        <v>0</v>
      </c>
      <c r="AL73" s="35">
        <v>0</v>
      </c>
      <c r="AM73" s="35">
        <v>0</v>
      </c>
      <c r="AN73" s="35">
        <v>0</v>
      </c>
      <c r="AO73" s="35">
        <v>0</v>
      </c>
      <c r="AP73" s="35">
        <v>0</v>
      </c>
      <c r="AQ73" s="35">
        <v>0</v>
      </c>
      <c r="AR73" s="35">
        <v>0</v>
      </c>
      <c r="AS73" s="35">
        <v>0</v>
      </c>
      <c r="AT73" s="35">
        <v>0</v>
      </c>
      <c r="AU73" s="35">
        <v>0</v>
      </c>
      <c r="AV73" s="35">
        <v>0</v>
      </c>
      <c r="AW73" s="35">
        <v>0</v>
      </c>
      <c r="AX73" s="35">
        <v>0</v>
      </c>
      <c r="AY73" s="35">
        <v>0</v>
      </c>
      <c r="AZ73" s="35">
        <v>0</v>
      </c>
      <c r="BA73" s="35">
        <v>0</v>
      </c>
      <c r="BB73" s="35">
        <v>0</v>
      </c>
      <c r="BC73" s="35">
        <v>0</v>
      </c>
      <c r="BD73" s="35">
        <v>2</v>
      </c>
      <c r="BE73" s="117">
        <f t="shared" si="21"/>
        <v>4.0000000000000002E-4</v>
      </c>
    </row>
    <row r="74" spans="1:59" x14ac:dyDescent="0.25">
      <c r="A74" s="19">
        <v>10</v>
      </c>
      <c r="B74" s="80"/>
      <c r="C74" s="43">
        <f t="shared" si="19"/>
        <v>0</v>
      </c>
      <c r="D74" s="104">
        <v>1</v>
      </c>
      <c r="E74" s="104">
        <f>D74+1</f>
        <v>2</v>
      </c>
      <c r="F74" s="104">
        <f t="shared" ref="F74:BC74" si="22">E74+1</f>
        <v>3</v>
      </c>
      <c r="G74" s="104">
        <f t="shared" si="22"/>
        <v>4</v>
      </c>
      <c r="H74" s="104">
        <f t="shared" si="22"/>
        <v>5</v>
      </c>
      <c r="I74" s="104">
        <f t="shared" si="22"/>
        <v>6</v>
      </c>
      <c r="J74" s="104">
        <f t="shared" si="22"/>
        <v>7</v>
      </c>
      <c r="K74" s="104">
        <f t="shared" si="22"/>
        <v>8</v>
      </c>
      <c r="L74" s="104">
        <f t="shared" si="22"/>
        <v>9</v>
      </c>
      <c r="M74" s="104">
        <f t="shared" si="22"/>
        <v>10</v>
      </c>
      <c r="N74" s="104">
        <f t="shared" si="22"/>
        <v>11</v>
      </c>
      <c r="O74" s="104">
        <f t="shared" si="22"/>
        <v>12</v>
      </c>
      <c r="P74" s="104">
        <f t="shared" si="22"/>
        <v>13</v>
      </c>
      <c r="Q74" s="104">
        <f t="shared" si="22"/>
        <v>14</v>
      </c>
      <c r="R74" s="104">
        <f t="shared" si="22"/>
        <v>15</v>
      </c>
      <c r="S74" s="104">
        <f t="shared" si="22"/>
        <v>16</v>
      </c>
      <c r="T74" s="104">
        <f t="shared" si="22"/>
        <v>17</v>
      </c>
      <c r="U74" s="104">
        <f t="shared" si="22"/>
        <v>18</v>
      </c>
      <c r="V74" s="104">
        <f t="shared" si="22"/>
        <v>19</v>
      </c>
      <c r="W74" s="104">
        <f t="shared" si="22"/>
        <v>20</v>
      </c>
      <c r="X74" s="104">
        <f t="shared" si="22"/>
        <v>21</v>
      </c>
      <c r="Y74" s="104">
        <f t="shared" si="22"/>
        <v>22</v>
      </c>
      <c r="Z74" s="104">
        <f t="shared" si="22"/>
        <v>23</v>
      </c>
      <c r="AA74" s="104">
        <f t="shared" si="22"/>
        <v>24</v>
      </c>
      <c r="AB74" s="104">
        <f t="shared" si="22"/>
        <v>25</v>
      </c>
      <c r="AC74" s="104">
        <f t="shared" si="22"/>
        <v>26</v>
      </c>
      <c r="AD74" s="104">
        <f t="shared" si="22"/>
        <v>27</v>
      </c>
      <c r="AE74" s="104">
        <f t="shared" si="22"/>
        <v>28</v>
      </c>
      <c r="AF74" s="104">
        <f t="shared" si="22"/>
        <v>29</v>
      </c>
      <c r="AG74" s="104">
        <f t="shared" si="22"/>
        <v>30</v>
      </c>
      <c r="AH74" s="104">
        <f t="shared" si="22"/>
        <v>31</v>
      </c>
      <c r="AI74" s="104">
        <f t="shared" si="22"/>
        <v>32</v>
      </c>
      <c r="AJ74" s="104">
        <f t="shared" si="22"/>
        <v>33</v>
      </c>
      <c r="AK74" s="104">
        <f t="shared" si="22"/>
        <v>34</v>
      </c>
      <c r="AL74" s="104">
        <f t="shared" si="22"/>
        <v>35</v>
      </c>
      <c r="AM74" s="104">
        <f t="shared" si="22"/>
        <v>36</v>
      </c>
      <c r="AN74" s="104">
        <f t="shared" si="22"/>
        <v>37</v>
      </c>
      <c r="AO74" s="104">
        <f t="shared" si="22"/>
        <v>38</v>
      </c>
      <c r="AP74" s="104">
        <f t="shared" si="22"/>
        <v>39</v>
      </c>
      <c r="AQ74" s="104">
        <f t="shared" si="22"/>
        <v>40</v>
      </c>
      <c r="AR74" s="104">
        <f t="shared" si="22"/>
        <v>41</v>
      </c>
      <c r="AS74" s="104">
        <f t="shared" si="22"/>
        <v>42</v>
      </c>
      <c r="AT74" s="104">
        <f t="shared" si="22"/>
        <v>43</v>
      </c>
      <c r="AU74" s="104">
        <f t="shared" si="22"/>
        <v>44</v>
      </c>
      <c r="AV74" s="104">
        <f t="shared" si="22"/>
        <v>45</v>
      </c>
      <c r="AW74" s="104">
        <f t="shared" si="22"/>
        <v>46</v>
      </c>
      <c r="AX74" s="104">
        <f t="shared" si="22"/>
        <v>47</v>
      </c>
      <c r="AY74" s="104">
        <f t="shared" si="22"/>
        <v>48</v>
      </c>
      <c r="AZ74" s="104">
        <f t="shared" si="22"/>
        <v>49</v>
      </c>
      <c r="BA74" s="104">
        <f t="shared" si="22"/>
        <v>50</v>
      </c>
      <c r="BB74" s="104">
        <f t="shared" si="22"/>
        <v>51</v>
      </c>
      <c r="BC74" s="104">
        <f t="shared" si="22"/>
        <v>52</v>
      </c>
      <c r="BD74" s="19"/>
      <c r="BE74" s="83"/>
    </row>
    <row r="75" spans="1:59" x14ac:dyDescent="0.25">
      <c r="A75" s="19">
        <v>1</v>
      </c>
      <c r="B75" s="80" t="str">
        <f>B65</f>
        <v>Rework Loss Type A</v>
      </c>
      <c r="C75" s="43" t="str">
        <f t="shared" ref="C75:C84" si="23">IF(OR(A$24&gt;A75,A$24=A75),B$8,0)</f>
        <v>Product F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  <c r="U75" s="35">
        <v>0</v>
      </c>
      <c r="V75" s="35">
        <v>0</v>
      </c>
      <c r="W75" s="35">
        <v>0</v>
      </c>
      <c r="X75" s="35">
        <v>0</v>
      </c>
      <c r="Y75" s="35">
        <v>0</v>
      </c>
      <c r="Z75" s="35">
        <v>0</v>
      </c>
      <c r="AA75" s="35">
        <v>0</v>
      </c>
      <c r="AB75" s="35">
        <v>0</v>
      </c>
      <c r="AC75" s="35">
        <v>0</v>
      </c>
      <c r="AD75" s="35">
        <v>0</v>
      </c>
      <c r="AE75" s="35">
        <v>0</v>
      </c>
      <c r="AF75" s="35">
        <v>0</v>
      </c>
      <c r="AG75" s="35">
        <v>0</v>
      </c>
      <c r="AH75" s="35">
        <v>0</v>
      </c>
      <c r="AI75" s="35">
        <v>0</v>
      </c>
      <c r="AJ75" s="35">
        <v>0</v>
      </c>
      <c r="AK75" s="35">
        <v>0</v>
      </c>
      <c r="AL75" s="35">
        <v>0</v>
      </c>
      <c r="AM75" s="35">
        <v>0</v>
      </c>
      <c r="AN75" s="35">
        <v>0</v>
      </c>
      <c r="AO75" s="35">
        <v>0</v>
      </c>
      <c r="AP75" s="35">
        <v>0</v>
      </c>
      <c r="AQ75" s="35">
        <v>0</v>
      </c>
      <c r="AR75" s="35">
        <v>0</v>
      </c>
      <c r="AS75" s="35">
        <v>0</v>
      </c>
      <c r="AT75" s="35">
        <v>0</v>
      </c>
      <c r="AU75" s="35">
        <v>0</v>
      </c>
      <c r="AV75" s="35">
        <v>0</v>
      </c>
      <c r="AW75" s="35">
        <v>0</v>
      </c>
      <c r="AX75" s="35">
        <v>0</v>
      </c>
      <c r="AY75" s="35">
        <v>0</v>
      </c>
      <c r="AZ75" s="35">
        <v>0</v>
      </c>
      <c r="BA75" s="35">
        <v>0</v>
      </c>
      <c r="BB75" s="35">
        <v>0</v>
      </c>
      <c r="BC75" s="35">
        <v>0</v>
      </c>
      <c r="BD75" s="35">
        <v>1</v>
      </c>
      <c r="BE75" s="116">
        <v>4.0000000000000002E-4</v>
      </c>
      <c r="BG75">
        <f>SUM(D75:BC83)</f>
        <v>755</v>
      </c>
    </row>
    <row r="76" spans="1:59" x14ac:dyDescent="0.25">
      <c r="A76" s="19">
        <v>2</v>
      </c>
      <c r="B76" s="80" t="str">
        <f t="shared" ref="B76:B83" si="24">B66</f>
        <v>Rework Loss Type B</v>
      </c>
      <c r="C76" s="43" t="str">
        <f t="shared" si="23"/>
        <v>Product F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  <c r="U76" s="35">
        <v>0</v>
      </c>
      <c r="V76" s="35">
        <v>0</v>
      </c>
      <c r="W76" s="35">
        <v>0</v>
      </c>
      <c r="X76" s="35">
        <v>0</v>
      </c>
      <c r="Y76" s="35">
        <v>0</v>
      </c>
      <c r="Z76" s="35">
        <v>0</v>
      </c>
      <c r="AA76" s="35">
        <v>0</v>
      </c>
      <c r="AB76" s="35">
        <v>0</v>
      </c>
      <c r="AC76" s="35">
        <v>0</v>
      </c>
      <c r="AD76" s="35">
        <v>0</v>
      </c>
      <c r="AE76" s="35">
        <v>0</v>
      </c>
      <c r="AF76" s="35">
        <v>0</v>
      </c>
      <c r="AG76" s="35">
        <v>0</v>
      </c>
      <c r="AH76" s="35">
        <v>0</v>
      </c>
      <c r="AI76" s="35">
        <v>0</v>
      </c>
      <c r="AJ76" s="35">
        <v>0</v>
      </c>
      <c r="AK76" s="35">
        <v>0</v>
      </c>
      <c r="AL76" s="35">
        <v>0</v>
      </c>
      <c r="AM76" s="35">
        <v>0</v>
      </c>
      <c r="AN76" s="35">
        <v>0</v>
      </c>
      <c r="AO76" s="35">
        <v>0</v>
      </c>
      <c r="AP76" s="35">
        <v>0</v>
      </c>
      <c r="AQ76" s="35">
        <v>0</v>
      </c>
      <c r="AR76" s="35">
        <v>0</v>
      </c>
      <c r="AS76" s="35">
        <v>0</v>
      </c>
      <c r="AT76" s="35">
        <v>0</v>
      </c>
      <c r="AU76" s="35">
        <v>0</v>
      </c>
      <c r="AV76" s="35">
        <v>0</v>
      </c>
      <c r="AW76" s="35">
        <v>0</v>
      </c>
      <c r="AX76" s="35">
        <v>0</v>
      </c>
      <c r="AY76" s="35">
        <v>0</v>
      </c>
      <c r="AZ76" s="35">
        <v>0</v>
      </c>
      <c r="BA76" s="35">
        <v>0</v>
      </c>
      <c r="BB76" s="35">
        <v>0</v>
      </c>
      <c r="BC76" s="35">
        <v>0</v>
      </c>
      <c r="BD76" s="35">
        <v>2.8</v>
      </c>
      <c r="BE76" s="117">
        <f>BE75</f>
        <v>4.0000000000000002E-4</v>
      </c>
    </row>
    <row r="77" spans="1:59" x14ac:dyDescent="0.25">
      <c r="A77" s="19">
        <v>3</v>
      </c>
      <c r="B77" s="80" t="str">
        <f t="shared" si="24"/>
        <v>Rework Loss Type C</v>
      </c>
      <c r="C77" s="43" t="str">
        <f t="shared" si="23"/>
        <v>Product F</v>
      </c>
      <c r="D77" s="35">
        <v>0</v>
      </c>
      <c r="E77" s="35">
        <v>11</v>
      </c>
      <c r="F77" s="35">
        <v>28</v>
      </c>
      <c r="G77" s="35">
        <v>0</v>
      </c>
      <c r="H77" s="35">
        <v>0</v>
      </c>
      <c r="I77" s="35">
        <v>11</v>
      </c>
      <c r="J77" s="35">
        <v>29</v>
      </c>
      <c r="K77" s="35">
        <v>21</v>
      </c>
      <c r="L77" s="35">
        <v>13</v>
      </c>
      <c r="M77" s="35">
        <v>11</v>
      </c>
      <c r="N77" s="35">
        <v>28</v>
      </c>
      <c r="O77" s="35">
        <v>22</v>
      </c>
      <c r="P77" s="35">
        <v>0</v>
      </c>
      <c r="Q77" s="35">
        <v>11</v>
      </c>
      <c r="R77" s="35">
        <v>28</v>
      </c>
      <c r="S77" s="35">
        <v>22</v>
      </c>
      <c r="T77" s="35">
        <v>0</v>
      </c>
      <c r="U77" s="35">
        <v>11</v>
      </c>
      <c r="V77" s="35">
        <v>28</v>
      </c>
      <c r="W77" s="35">
        <v>22</v>
      </c>
      <c r="X77" s="35">
        <v>0</v>
      </c>
      <c r="Y77" s="35">
        <v>11</v>
      </c>
      <c r="Z77" s="35">
        <v>20</v>
      </c>
      <c r="AA77" s="35">
        <v>22</v>
      </c>
      <c r="AB77" s="35">
        <v>0</v>
      </c>
      <c r="AC77" s="35">
        <v>11</v>
      </c>
      <c r="AD77" s="35">
        <v>28</v>
      </c>
      <c r="AE77" s="35">
        <v>9</v>
      </c>
      <c r="AF77" s="35">
        <v>0</v>
      </c>
      <c r="AG77" s="35">
        <v>11</v>
      </c>
      <c r="AH77" s="35">
        <v>28</v>
      </c>
      <c r="AI77" s="35">
        <v>22</v>
      </c>
      <c r="AJ77" s="35">
        <v>0</v>
      </c>
      <c r="AK77" s="35">
        <v>11</v>
      </c>
      <c r="AL77" s="35">
        <v>19</v>
      </c>
      <c r="AM77" s="35">
        <v>21</v>
      </c>
      <c r="AN77" s="35">
        <v>0</v>
      </c>
      <c r="AO77" s="35">
        <v>11</v>
      </c>
      <c r="AP77" s="35">
        <v>28</v>
      </c>
      <c r="AQ77" s="35">
        <v>9</v>
      </c>
      <c r="AR77" s="35">
        <v>0</v>
      </c>
      <c r="AS77" s="35">
        <v>11</v>
      </c>
      <c r="AT77" s="35">
        <v>28</v>
      </c>
      <c r="AU77" s="35">
        <v>22</v>
      </c>
      <c r="AV77" s="35">
        <v>11</v>
      </c>
      <c r="AW77" s="35">
        <v>11</v>
      </c>
      <c r="AX77" s="35">
        <v>28</v>
      </c>
      <c r="AY77" s="35">
        <v>22</v>
      </c>
      <c r="AZ77" s="35">
        <v>13</v>
      </c>
      <c r="BA77" s="35">
        <v>11</v>
      </c>
      <c r="BB77" s="35">
        <v>19</v>
      </c>
      <c r="BC77" s="35">
        <v>22</v>
      </c>
      <c r="BD77" s="35">
        <v>2</v>
      </c>
      <c r="BE77" s="117">
        <f t="shared" ref="BE77:BE83" si="25">BE76</f>
        <v>4.0000000000000002E-4</v>
      </c>
    </row>
    <row r="78" spans="1:59" x14ac:dyDescent="0.25">
      <c r="A78" s="19">
        <v>4</v>
      </c>
      <c r="B78" s="80" t="str">
        <f t="shared" si="24"/>
        <v>Rework Loss Type D</v>
      </c>
      <c r="C78" s="43" t="str">
        <f t="shared" si="23"/>
        <v>Product F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  <c r="U78" s="35">
        <v>0</v>
      </c>
      <c r="V78" s="35">
        <v>0</v>
      </c>
      <c r="W78" s="35">
        <v>0</v>
      </c>
      <c r="X78" s="35">
        <v>0</v>
      </c>
      <c r="Y78" s="35">
        <v>0</v>
      </c>
      <c r="Z78" s="35">
        <v>0</v>
      </c>
      <c r="AA78" s="35">
        <v>0</v>
      </c>
      <c r="AB78" s="35">
        <v>0</v>
      </c>
      <c r="AC78" s="35">
        <v>0</v>
      </c>
      <c r="AD78" s="35">
        <v>0</v>
      </c>
      <c r="AE78" s="35">
        <v>0</v>
      </c>
      <c r="AF78" s="35">
        <v>0</v>
      </c>
      <c r="AG78" s="35">
        <v>0</v>
      </c>
      <c r="AH78" s="35">
        <v>0</v>
      </c>
      <c r="AI78" s="35">
        <v>0</v>
      </c>
      <c r="AJ78" s="35">
        <v>0</v>
      </c>
      <c r="AK78" s="35">
        <v>0</v>
      </c>
      <c r="AL78" s="35">
        <v>0</v>
      </c>
      <c r="AM78" s="35">
        <v>0</v>
      </c>
      <c r="AN78" s="35">
        <v>0</v>
      </c>
      <c r="AO78" s="35">
        <v>0</v>
      </c>
      <c r="AP78" s="35">
        <v>0</v>
      </c>
      <c r="AQ78" s="35">
        <v>0</v>
      </c>
      <c r="AR78" s="35">
        <v>0</v>
      </c>
      <c r="AS78" s="35">
        <v>0</v>
      </c>
      <c r="AT78" s="35">
        <v>0</v>
      </c>
      <c r="AU78" s="35">
        <v>0</v>
      </c>
      <c r="AV78" s="35">
        <v>0</v>
      </c>
      <c r="AW78" s="35">
        <v>0</v>
      </c>
      <c r="AX78" s="35">
        <v>0</v>
      </c>
      <c r="AY78" s="35">
        <v>0</v>
      </c>
      <c r="AZ78" s="35">
        <v>0</v>
      </c>
      <c r="BA78" s="35">
        <v>0</v>
      </c>
      <c r="BB78" s="35">
        <v>0</v>
      </c>
      <c r="BC78" s="35">
        <v>0</v>
      </c>
      <c r="BD78" s="35">
        <v>2</v>
      </c>
      <c r="BE78" s="117">
        <f t="shared" si="25"/>
        <v>4.0000000000000002E-4</v>
      </c>
    </row>
    <row r="79" spans="1:59" x14ac:dyDescent="0.25">
      <c r="A79" s="19">
        <v>5</v>
      </c>
      <c r="B79" s="80" t="str">
        <f t="shared" si="24"/>
        <v>Rework Loss Type E</v>
      </c>
      <c r="C79" s="43" t="str">
        <f t="shared" si="23"/>
        <v>Product F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  <c r="AJ79" s="35">
        <v>0</v>
      </c>
      <c r="AK79" s="35">
        <v>0</v>
      </c>
      <c r="AL79" s="35">
        <v>0</v>
      </c>
      <c r="AM79" s="35">
        <v>0</v>
      </c>
      <c r="AN79" s="35">
        <v>0</v>
      </c>
      <c r="AO79" s="35">
        <v>0</v>
      </c>
      <c r="AP79" s="35">
        <v>0</v>
      </c>
      <c r="AQ79" s="35">
        <v>0</v>
      </c>
      <c r="AR79" s="35">
        <v>0</v>
      </c>
      <c r="AS79" s="35">
        <v>0</v>
      </c>
      <c r="AT79" s="35">
        <v>0</v>
      </c>
      <c r="AU79" s="35">
        <v>0</v>
      </c>
      <c r="AV79" s="35">
        <v>0</v>
      </c>
      <c r="AW79" s="35">
        <v>0</v>
      </c>
      <c r="AX79" s="35">
        <v>0</v>
      </c>
      <c r="AY79" s="35">
        <v>0</v>
      </c>
      <c r="AZ79" s="35">
        <v>0</v>
      </c>
      <c r="BA79" s="35">
        <v>0</v>
      </c>
      <c r="BB79" s="35">
        <v>0</v>
      </c>
      <c r="BC79" s="35">
        <v>0</v>
      </c>
      <c r="BD79" s="35">
        <v>2</v>
      </c>
      <c r="BE79" s="117">
        <f t="shared" si="25"/>
        <v>4.0000000000000002E-4</v>
      </c>
    </row>
    <row r="80" spans="1:59" x14ac:dyDescent="0.25">
      <c r="A80" s="19">
        <v>6</v>
      </c>
      <c r="B80" s="80" t="str">
        <f t="shared" si="24"/>
        <v>Rework Loss Type F</v>
      </c>
      <c r="C80" s="43" t="str">
        <f t="shared" si="23"/>
        <v>Product F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  <c r="U80" s="35">
        <v>0</v>
      </c>
      <c r="V80" s="35">
        <v>0</v>
      </c>
      <c r="W80" s="35">
        <v>0</v>
      </c>
      <c r="X80" s="35">
        <v>0</v>
      </c>
      <c r="Y80" s="35">
        <v>0</v>
      </c>
      <c r="Z80" s="35">
        <v>0</v>
      </c>
      <c r="AA80" s="35">
        <v>0</v>
      </c>
      <c r="AB80" s="35">
        <v>0</v>
      </c>
      <c r="AC80" s="35">
        <v>0</v>
      </c>
      <c r="AD80" s="35">
        <v>0</v>
      </c>
      <c r="AE80" s="35">
        <v>0</v>
      </c>
      <c r="AF80" s="35">
        <v>0</v>
      </c>
      <c r="AG80" s="35">
        <v>0</v>
      </c>
      <c r="AH80" s="35">
        <v>0</v>
      </c>
      <c r="AI80" s="35">
        <v>0</v>
      </c>
      <c r="AJ80" s="35">
        <v>0</v>
      </c>
      <c r="AK80" s="35">
        <v>0</v>
      </c>
      <c r="AL80" s="35">
        <v>0</v>
      </c>
      <c r="AM80" s="35">
        <v>0</v>
      </c>
      <c r="AN80" s="35">
        <v>0</v>
      </c>
      <c r="AO80" s="35">
        <v>0</v>
      </c>
      <c r="AP80" s="35">
        <v>0</v>
      </c>
      <c r="AQ80" s="35">
        <v>0</v>
      </c>
      <c r="AR80" s="35">
        <v>0</v>
      </c>
      <c r="AS80" s="35">
        <v>0</v>
      </c>
      <c r="AT80" s="35">
        <v>0</v>
      </c>
      <c r="AU80" s="35">
        <v>0</v>
      </c>
      <c r="AV80" s="35">
        <v>0</v>
      </c>
      <c r="AW80" s="35">
        <v>0</v>
      </c>
      <c r="AX80" s="35">
        <v>0</v>
      </c>
      <c r="AY80" s="35">
        <v>0</v>
      </c>
      <c r="AZ80" s="35">
        <v>0</v>
      </c>
      <c r="BA80" s="35">
        <v>0</v>
      </c>
      <c r="BB80" s="35">
        <v>0</v>
      </c>
      <c r="BC80" s="35">
        <v>0</v>
      </c>
      <c r="BD80" s="35">
        <v>1</v>
      </c>
      <c r="BE80" s="117">
        <f t="shared" si="25"/>
        <v>4.0000000000000002E-4</v>
      </c>
    </row>
    <row r="81" spans="1:59" x14ac:dyDescent="0.25">
      <c r="A81" s="19">
        <v>7</v>
      </c>
      <c r="B81" s="80" t="str">
        <f t="shared" si="24"/>
        <v>Rework Loss Type G</v>
      </c>
      <c r="C81" s="43" t="str">
        <f t="shared" si="23"/>
        <v>Product F</v>
      </c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  <c r="U81" s="35">
        <v>0</v>
      </c>
      <c r="V81" s="35">
        <v>0</v>
      </c>
      <c r="W81" s="35">
        <v>0</v>
      </c>
      <c r="X81" s="35">
        <v>0</v>
      </c>
      <c r="Y81" s="35">
        <v>0</v>
      </c>
      <c r="Z81" s="35">
        <v>0</v>
      </c>
      <c r="AA81" s="35">
        <v>0</v>
      </c>
      <c r="AB81" s="35">
        <v>0</v>
      </c>
      <c r="AC81" s="35">
        <v>0</v>
      </c>
      <c r="AD81" s="35">
        <v>0</v>
      </c>
      <c r="AE81" s="35">
        <v>0</v>
      </c>
      <c r="AF81" s="35">
        <v>0</v>
      </c>
      <c r="AG81" s="35">
        <v>0</v>
      </c>
      <c r="AH81" s="35">
        <v>0</v>
      </c>
      <c r="AI81" s="35">
        <v>0</v>
      </c>
      <c r="AJ81" s="35">
        <v>0</v>
      </c>
      <c r="AK81" s="35">
        <v>0</v>
      </c>
      <c r="AL81" s="35">
        <v>0</v>
      </c>
      <c r="AM81" s="35">
        <v>0</v>
      </c>
      <c r="AN81" s="35">
        <v>0</v>
      </c>
      <c r="AO81" s="35">
        <v>0</v>
      </c>
      <c r="AP81" s="35">
        <v>0</v>
      </c>
      <c r="AQ81" s="35">
        <v>0</v>
      </c>
      <c r="AR81" s="35">
        <v>0</v>
      </c>
      <c r="AS81" s="35">
        <v>0</v>
      </c>
      <c r="AT81" s="35">
        <v>0</v>
      </c>
      <c r="AU81" s="35">
        <v>0</v>
      </c>
      <c r="AV81" s="35">
        <v>0</v>
      </c>
      <c r="AW81" s="35">
        <v>0</v>
      </c>
      <c r="AX81" s="35">
        <v>0</v>
      </c>
      <c r="AY81" s="35">
        <v>0</v>
      </c>
      <c r="AZ81" s="35">
        <v>0</v>
      </c>
      <c r="BA81" s="35">
        <v>0</v>
      </c>
      <c r="BB81" s="35">
        <v>0</v>
      </c>
      <c r="BC81" s="35">
        <v>0</v>
      </c>
      <c r="BD81" s="35">
        <v>5</v>
      </c>
      <c r="BE81" s="117">
        <f t="shared" si="25"/>
        <v>4.0000000000000002E-4</v>
      </c>
    </row>
    <row r="82" spans="1:59" x14ac:dyDescent="0.25">
      <c r="A82" s="19">
        <v>8</v>
      </c>
      <c r="B82" s="80" t="str">
        <f t="shared" si="24"/>
        <v>Rework Loss Type H</v>
      </c>
      <c r="C82" s="43" t="str">
        <f t="shared" si="23"/>
        <v>Product F</v>
      </c>
      <c r="D82" s="35">
        <v>0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  <c r="U82" s="35">
        <v>0</v>
      </c>
      <c r="V82" s="35">
        <v>0</v>
      </c>
      <c r="W82" s="35">
        <v>0</v>
      </c>
      <c r="X82" s="35">
        <v>0</v>
      </c>
      <c r="Y82" s="35">
        <v>0</v>
      </c>
      <c r="Z82" s="35">
        <v>0</v>
      </c>
      <c r="AA82" s="35">
        <v>0</v>
      </c>
      <c r="AB82" s="35">
        <v>0</v>
      </c>
      <c r="AC82" s="35">
        <v>0</v>
      </c>
      <c r="AD82" s="35">
        <v>0</v>
      </c>
      <c r="AE82" s="35">
        <v>0</v>
      </c>
      <c r="AF82" s="35">
        <v>0</v>
      </c>
      <c r="AG82" s="35">
        <v>0</v>
      </c>
      <c r="AH82" s="35">
        <v>0</v>
      </c>
      <c r="AI82" s="35">
        <v>0</v>
      </c>
      <c r="AJ82" s="35">
        <v>0</v>
      </c>
      <c r="AK82" s="35">
        <v>0</v>
      </c>
      <c r="AL82" s="35">
        <v>0</v>
      </c>
      <c r="AM82" s="35">
        <v>0</v>
      </c>
      <c r="AN82" s="35">
        <v>0</v>
      </c>
      <c r="AO82" s="35">
        <v>0</v>
      </c>
      <c r="AP82" s="35">
        <v>0</v>
      </c>
      <c r="AQ82" s="35">
        <v>0</v>
      </c>
      <c r="AR82" s="35">
        <v>0</v>
      </c>
      <c r="AS82" s="35">
        <v>0</v>
      </c>
      <c r="AT82" s="35">
        <v>0</v>
      </c>
      <c r="AU82" s="35">
        <v>0</v>
      </c>
      <c r="AV82" s="35">
        <v>0</v>
      </c>
      <c r="AW82" s="35">
        <v>0</v>
      </c>
      <c r="AX82" s="35">
        <v>0</v>
      </c>
      <c r="AY82" s="35">
        <v>0</v>
      </c>
      <c r="AZ82" s="35">
        <v>0</v>
      </c>
      <c r="BA82" s="35">
        <v>0</v>
      </c>
      <c r="BB82" s="35">
        <v>0</v>
      </c>
      <c r="BC82" s="35">
        <v>0</v>
      </c>
      <c r="BD82" s="35">
        <v>2</v>
      </c>
      <c r="BE82" s="117">
        <f t="shared" si="25"/>
        <v>4.0000000000000002E-4</v>
      </c>
    </row>
    <row r="83" spans="1:59" x14ac:dyDescent="0.25">
      <c r="A83" s="19">
        <v>9</v>
      </c>
      <c r="B83" s="80" t="str">
        <f t="shared" si="24"/>
        <v>Rework Loss Type I</v>
      </c>
      <c r="C83" s="43" t="str">
        <f t="shared" si="23"/>
        <v>Product F</v>
      </c>
      <c r="D83" s="35">
        <v>0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  <c r="U83" s="35">
        <v>0</v>
      </c>
      <c r="V83" s="35">
        <v>0</v>
      </c>
      <c r="W83" s="35">
        <v>0</v>
      </c>
      <c r="X83" s="35">
        <v>0</v>
      </c>
      <c r="Y83" s="35">
        <v>0</v>
      </c>
      <c r="Z83" s="35">
        <v>0</v>
      </c>
      <c r="AA83" s="35">
        <v>0</v>
      </c>
      <c r="AB83" s="35">
        <v>0</v>
      </c>
      <c r="AC83" s="35">
        <v>0</v>
      </c>
      <c r="AD83" s="35">
        <v>0</v>
      </c>
      <c r="AE83" s="35">
        <v>0</v>
      </c>
      <c r="AF83" s="35">
        <v>0</v>
      </c>
      <c r="AG83" s="35">
        <v>0</v>
      </c>
      <c r="AH83" s="35">
        <v>0</v>
      </c>
      <c r="AI83" s="35">
        <v>0</v>
      </c>
      <c r="AJ83" s="35">
        <v>0</v>
      </c>
      <c r="AK83" s="35">
        <v>0</v>
      </c>
      <c r="AL83" s="35">
        <v>0</v>
      </c>
      <c r="AM83" s="35">
        <v>0</v>
      </c>
      <c r="AN83" s="35">
        <v>0</v>
      </c>
      <c r="AO83" s="35">
        <v>0</v>
      </c>
      <c r="AP83" s="35">
        <v>0</v>
      </c>
      <c r="AQ83" s="35">
        <v>0</v>
      </c>
      <c r="AR83" s="35">
        <v>0</v>
      </c>
      <c r="AS83" s="35">
        <v>0</v>
      </c>
      <c r="AT83" s="35">
        <v>0</v>
      </c>
      <c r="AU83" s="35">
        <v>0</v>
      </c>
      <c r="AV83" s="35">
        <v>0</v>
      </c>
      <c r="AW83" s="35">
        <v>0</v>
      </c>
      <c r="AX83" s="35">
        <v>0</v>
      </c>
      <c r="AY83" s="35">
        <v>0</v>
      </c>
      <c r="AZ83" s="35">
        <v>0</v>
      </c>
      <c r="BA83" s="35">
        <v>0</v>
      </c>
      <c r="BB83" s="35">
        <v>0</v>
      </c>
      <c r="BC83" s="35">
        <v>0</v>
      </c>
      <c r="BD83" s="35">
        <v>2</v>
      </c>
      <c r="BE83" s="117">
        <f t="shared" si="25"/>
        <v>4.0000000000000002E-4</v>
      </c>
    </row>
    <row r="84" spans="1:59" x14ac:dyDescent="0.25">
      <c r="A84" s="19">
        <v>10</v>
      </c>
      <c r="B84" s="80"/>
      <c r="C84" s="43">
        <f t="shared" si="23"/>
        <v>0</v>
      </c>
      <c r="D84" s="104">
        <v>1</v>
      </c>
      <c r="E84" s="104">
        <f>D84+1</f>
        <v>2</v>
      </c>
      <c r="F84" s="104">
        <f t="shared" ref="F84:BC84" si="26">E84+1</f>
        <v>3</v>
      </c>
      <c r="G84" s="104">
        <f t="shared" si="26"/>
        <v>4</v>
      </c>
      <c r="H84" s="104">
        <f t="shared" si="26"/>
        <v>5</v>
      </c>
      <c r="I84" s="104">
        <f t="shared" si="26"/>
        <v>6</v>
      </c>
      <c r="J84" s="104">
        <f t="shared" si="26"/>
        <v>7</v>
      </c>
      <c r="K84" s="104">
        <f t="shared" si="26"/>
        <v>8</v>
      </c>
      <c r="L84" s="104">
        <f t="shared" si="26"/>
        <v>9</v>
      </c>
      <c r="M84" s="104">
        <f t="shared" si="26"/>
        <v>10</v>
      </c>
      <c r="N84" s="104">
        <f t="shared" si="26"/>
        <v>11</v>
      </c>
      <c r="O84" s="104">
        <f t="shared" si="26"/>
        <v>12</v>
      </c>
      <c r="P84" s="104">
        <f t="shared" si="26"/>
        <v>13</v>
      </c>
      <c r="Q84" s="104">
        <f t="shared" si="26"/>
        <v>14</v>
      </c>
      <c r="R84" s="104">
        <f t="shared" si="26"/>
        <v>15</v>
      </c>
      <c r="S84" s="104">
        <f t="shared" si="26"/>
        <v>16</v>
      </c>
      <c r="T84" s="104">
        <f t="shared" si="26"/>
        <v>17</v>
      </c>
      <c r="U84" s="104">
        <f t="shared" si="26"/>
        <v>18</v>
      </c>
      <c r="V84" s="104">
        <f t="shared" si="26"/>
        <v>19</v>
      </c>
      <c r="W84" s="104">
        <f t="shared" si="26"/>
        <v>20</v>
      </c>
      <c r="X84" s="104">
        <f t="shared" si="26"/>
        <v>21</v>
      </c>
      <c r="Y84" s="104">
        <f t="shared" si="26"/>
        <v>22</v>
      </c>
      <c r="Z84" s="104">
        <f t="shared" si="26"/>
        <v>23</v>
      </c>
      <c r="AA84" s="104">
        <f t="shared" si="26"/>
        <v>24</v>
      </c>
      <c r="AB84" s="104">
        <f t="shared" si="26"/>
        <v>25</v>
      </c>
      <c r="AC84" s="104">
        <f t="shared" si="26"/>
        <v>26</v>
      </c>
      <c r="AD84" s="104">
        <f t="shared" si="26"/>
        <v>27</v>
      </c>
      <c r="AE84" s="104">
        <f t="shared" si="26"/>
        <v>28</v>
      </c>
      <c r="AF84" s="104">
        <f t="shared" si="26"/>
        <v>29</v>
      </c>
      <c r="AG84" s="104">
        <f t="shared" si="26"/>
        <v>30</v>
      </c>
      <c r="AH84" s="104">
        <f t="shared" si="26"/>
        <v>31</v>
      </c>
      <c r="AI84" s="104">
        <f t="shared" si="26"/>
        <v>32</v>
      </c>
      <c r="AJ84" s="104">
        <f t="shared" si="26"/>
        <v>33</v>
      </c>
      <c r="AK84" s="104">
        <f t="shared" si="26"/>
        <v>34</v>
      </c>
      <c r="AL84" s="104">
        <f t="shared" si="26"/>
        <v>35</v>
      </c>
      <c r="AM84" s="104">
        <f t="shared" si="26"/>
        <v>36</v>
      </c>
      <c r="AN84" s="104">
        <f t="shared" si="26"/>
        <v>37</v>
      </c>
      <c r="AO84" s="104">
        <f t="shared" si="26"/>
        <v>38</v>
      </c>
      <c r="AP84" s="104">
        <f t="shared" si="26"/>
        <v>39</v>
      </c>
      <c r="AQ84" s="104">
        <f t="shared" si="26"/>
        <v>40</v>
      </c>
      <c r="AR84" s="104">
        <f t="shared" si="26"/>
        <v>41</v>
      </c>
      <c r="AS84" s="104">
        <f t="shared" si="26"/>
        <v>42</v>
      </c>
      <c r="AT84" s="104">
        <f t="shared" si="26"/>
        <v>43</v>
      </c>
      <c r="AU84" s="104">
        <f t="shared" si="26"/>
        <v>44</v>
      </c>
      <c r="AV84" s="104">
        <f t="shared" si="26"/>
        <v>45</v>
      </c>
      <c r="AW84" s="104">
        <f t="shared" si="26"/>
        <v>46</v>
      </c>
      <c r="AX84" s="104">
        <f t="shared" si="26"/>
        <v>47</v>
      </c>
      <c r="AY84" s="104">
        <f t="shared" si="26"/>
        <v>48</v>
      </c>
      <c r="AZ84" s="104">
        <f t="shared" si="26"/>
        <v>49</v>
      </c>
      <c r="BA84" s="104">
        <f t="shared" si="26"/>
        <v>50</v>
      </c>
      <c r="BB84" s="104">
        <f t="shared" si="26"/>
        <v>51</v>
      </c>
      <c r="BC84" s="104">
        <f t="shared" si="26"/>
        <v>52</v>
      </c>
      <c r="BD84" s="19"/>
      <c r="BE84" s="83"/>
    </row>
    <row r="85" spans="1:59" x14ac:dyDescent="0.25">
      <c r="A85" s="19">
        <v>1</v>
      </c>
      <c r="B85" s="80" t="str">
        <f>B75</f>
        <v>Rework Loss Type A</v>
      </c>
      <c r="C85" s="43" t="str">
        <f t="shared" ref="C85:C94" si="27">IF(OR(A$24&gt;A85,A$24=A85),B$9,0)</f>
        <v>Product G</v>
      </c>
      <c r="D85" s="35">
        <v>0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  <c r="U85" s="35">
        <v>0</v>
      </c>
      <c r="V85" s="35">
        <v>0</v>
      </c>
      <c r="W85" s="35">
        <v>0</v>
      </c>
      <c r="X85" s="35">
        <v>0</v>
      </c>
      <c r="Y85" s="35">
        <v>0</v>
      </c>
      <c r="Z85" s="35">
        <v>0</v>
      </c>
      <c r="AA85" s="35">
        <v>0</v>
      </c>
      <c r="AB85" s="35">
        <v>0</v>
      </c>
      <c r="AC85" s="35">
        <v>0</v>
      </c>
      <c r="AD85" s="35">
        <v>0</v>
      </c>
      <c r="AE85" s="35">
        <v>0</v>
      </c>
      <c r="AF85" s="35">
        <v>0</v>
      </c>
      <c r="AG85" s="35">
        <v>0</v>
      </c>
      <c r="AH85" s="35">
        <v>0</v>
      </c>
      <c r="AI85" s="35">
        <v>0</v>
      </c>
      <c r="AJ85" s="35">
        <v>0</v>
      </c>
      <c r="AK85" s="35">
        <v>0</v>
      </c>
      <c r="AL85" s="35">
        <v>0</v>
      </c>
      <c r="AM85" s="35">
        <v>0</v>
      </c>
      <c r="AN85" s="35">
        <v>0</v>
      </c>
      <c r="AO85" s="35">
        <v>0</v>
      </c>
      <c r="AP85" s="35">
        <v>0</v>
      </c>
      <c r="AQ85" s="35">
        <v>0</v>
      </c>
      <c r="AR85" s="35">
        <v>0</v>
      </c>
      <c r="AS85" s="35">
        <v>0</v>
      </c>
      <c r="AT85" s="35">
        <v>0</v>
      </c>
      <c r="AU85" s="35">
        <v>0</v>
      </c>
      <c r="AV85" s="35">
        <v>0</v>
      </c>
      <c r="AW85" s="35">
        <v>0</v>
      </c>
      <c r="AX85" s="35">
        <v>0</v>
      </c>
      <c r="AY85" s="35">
        <v>0</v>
      </c>
      <c r="AZ85" s="35">
        <v>0</v>
      </c>
      <c r="BA85" s="35">
        <v>0</v>
      </c>
      <c r="BB85" s="35">
        <v>0</v>
      </c>
      <c r="BC85" s="35">
        <v>0</v>
      </c>
      <c r="BD85" s="35">
        <v>1</v>
      </c>
      <c r="BE85" s="116">
        <v>4.0000000000000002E-4</v>
      </c>
      <c r="BG85">
        <f>SUM(D85:BC93)</f>
        <v>495</v>
      </c>
    </row>
    <row r="86" spans="1:59" x14ac:dyDescent="0.25">
      <c r="A86" s="19">
        <v>2</v>
      </c>
      <c r="B86" s="80" t="str">
        <f t="shared" ref="B86:B93" si="28">B76</f>
        <v>Rework Loss Type B</v>
      </c>
      <c r="C86" s="43" t="str">
        <f t="shared" si="27"/>
        <v>Product G</v>
      </c>
      <c r="D86" s="35">
        <v>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  <c r="U86" s="35">
        <v>0</v>
      </c>
      <c r="V86" s="35">
        <v>0</v>
      </c>
      <c r="W86" s="35">
        <v>0</v>
      </c>
      <c r="X86" s="35">
        <v>0</v>
      </c>
      <c r="Y86" s="35">
        <v>0</v>
      </c>
      <c r="Z86" s="35">
        <v>0</v>
      </c>
      <c r="AA86" s="35">
        <v>0</v>
      </c>
      <c r="AB86" s="35">
        <v>0</v>
      </c>
      <c r="AC86" s="35">
        <v>0</v>
      </c>
      <c r="AD86" s="35">
        <v>0</v>
      </c>
      <c r="AE86" s="35">
        <v>0</v>
      </c>
      <c r="AF86" s="35">
        <v>0</v>
      </c>
      <c r="AG86" s="35">
        <v>0</v>
      </c>
      <c r="AH86" s="35">
        <v>0</v>
      </c>
      <c r="AI86" s="35">
        <v>0</v>
      </c>
      <c r="AJ86" s="35">
        <v>0</v>
      </c>
      <c r="AK86" s="35">
        <v>0</v>
      </c>
      <c r="AL86" s="35">
        <v>0</v>
      </c>
      <c r="AM86" s="35">
        <v>0</v>
      </c>
      <c r="AN86" s="35">
        <v>0</v>
      </c>
      <c r="AO86" s="35">
        <v>0</v>
      </c>
      <c r="AP86" s="35">
        <v>0</v>
      </c>
      <c r="AQ86" s="35">
        <v>0</v>
      </c>
      <c r="AR86" s="35">
        <v>0</v>
      </c>
      <c r="AS86" s="35">
        <v>0</v>
      </c>
      <c r="AT86" s="35">
        <v>0</v>
      </c>
      <c r="AU86" s="35">
        <v>0</v>
      </c>
      <c r="AV86" s="35">
        <v>0</v>
      </c>
      <c r="AW86" s="35">
        <v>0</v>
      </c>
      <c r="AX86" s="35">
        <v>0</v>
      </c>
      <c r="AY86" s="35">
        <v>0</v>
      </c>
      <c r="AZ86" s="35">
        <v>0</v>
      </c>
      <c r="BA86" s="35">
        <v>0</v>
      </c>
      <c r="BB86" s="35">
        <v>0</v>
      </c>
      <c r="BC86" s="35">
        <v>0</v>
      </c>
      <c r="BD86" s="35">
        <v>2</v>
      </c>
      <c r="BE86" s="117">
        <f>BE85</f>
        <v>4.0000000000000002E-4</v>
      </c>
    </row>
    <row r="87" spans="1:59" x14ac:dyDescent="0.25">
      <c r="A87" s="19">
        <v>3</v>
      </c>
      <c r="B87" s="80" t="str">
        <f t="shared" si="28"/>
        <v>Rework Loss Type C</v>
      </c>
      <c r="C87" s="43" t="str">
        <f t="shared" si="27"/>
        <v>Product G</v>
      </c>
      <c r="D87" s="35">
        <v>0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  <c r="U87" s="35">
        <v>0</v>
      </c>
      <c r="V87" s="35">
        <v>0</v>
      </c>
      <c r="W87" s="35">
        <v>0</v>
      </c>
      <c r="X87" s="35">
        <v>0</v>
      </c>
      <c r="Y87" s="35">
        <v>0</v>
      </c>
      <c r="Z87" s="35">
        <v>0</v>
      </c>
      <c r="AA87" s="35">
        <v>0</v>
      </c>
      <c r="AB87" s="35">
        <v>0</v>
      </c>
      <c r="AC87" s="35">
        <v>0</v>
      </c>
      <c r="AD87" s="35">
        <v>0</v>
      </c>
      <c r="AE87" s="35">
        <v>0</v>
      </c>
      <c r="AF87" s="35">
        <v>0</v>
      </c>
      <c r="AG87" s="35">
        <v>0</v>
      </c>
      <c r="AH87" s="35">
        <v>0</v>
      </c>
      <c r="AI87" s="35">
        <v>0</v>
      </c>
      <c r="AJ87" s="35">
        <v>0</v>
      </c>
      <c r="AK87" s="35">
        <v>0</v>
      </c>
      <c r="AL87" s="35">
        <v>0</v>
      </c>
      <c r="AM87" s="35">
        <v>0</v>
      </c>
      <c r="AN87" s="35">
        <v>0</v>
      </c>
      <c r="AO87" s="35">
        <v>0</v>
      </c>
      <c r="AP87" s="35">
        <v>0</v>
      </c>
      <c r="AQ87" s="35">
        <v>0</v>
      </c>
      <c r="AR87" s="35">
        <v>0</v>
      </c>
      <c r="AS87" s="35">
        <v>0</v>
      </c>
      <c r="AT87" s="35">
        <v>0</v>
      </c>
      <c r="AU87" s="35">
        <v>0</v>
      </c>
      <c r="AV87" s="35">
        <v>0</v>
      </c>
      <c r="AW87" s="35">
        <v>0</v>
      </c>
      <c r="AX87" s="35">
        <v>0</v>
      </c>
      <c r="AY87" s="35">
        <v>0</v>
      </c>
      <c r="AZ87" s="35">
        <v>0</v>
      </c>
      <c r="BA87" s="35">
        <v>0</v>
      </c>
      <c r="BB87" s="35">
        <v>0</v>
      </c>
      <c r="BC87" s="35">
        <v>0</v>
      </c>
      <c r="BD87" s="35">
        <v>2</v>
      </c>
      <c r="BE87" s="117">
        <f t="shared" ref="BE87:BE93" si="29">BE86</f>
        <v>4.0000000000000002E-4</v>
      </c>
    </row>
    <row r="88" spans="1:59" x14ac:dyDescent="0.25">
      <c r="A88" s="19">
        <v>4</v>
      </c>
      <c r="B88" s="80" t="str">
        <f t="shared" si="28"/>
        <v>Rework Loss Type D</v>
      </c>
      <c r="C88" s="43" t="str">
        <f t="shared" si="27"/>
        <v>Product G</v>
      </c>
      <c r="D88" s="35">
        <v>0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  <c r="U88" s="35">
        <v>0</v>
      </c>
      <c r="V88" s="35">
        <v>0</v>
      </c>
      <c r="W88" s="35">
        <v>0</v>
      </c>
      <c r="X88" s="35">
        <v>0</v>
      </c>
      <c r="Y88" s="35">
        <v>0</v>
      </c>
      <c r="Z88" s="35">
        <v>0</v>
      </c>
      <c r="AA88" s="35">
        <v>0</v>
      </c>
      <c r="AB88" s="35">
        <v>0</v>
      </c>
      <c r="AC88" s="35">
        <v>0</v>
      </c>
      <c r="AD88" s="35">
        <v>0</v>
      </c>
      <c r="AE88" s="35">
        <v>0</v>
      </c>
      <c r="AF88" s="35">
        <v>0</v>
      </c>
      <c r="AG88" s="35">
        <v>0</v>
      </c>
      <c r="AH88" s="35">
        <v>0</v>
      </c>
      <c r="AI88" s="35">
        <v>0</v>
      </c>
      <c r="AJ88" s="35">
        <v>0</v>
      </c>
      <c r="AK88" s="35">
        <v>0</v>
      </c>
      <c r="AL88" s="35">
        <v>0</v>
      </c>
      <c r="AM88" s="35">
        <v>0</v>
      </c>
      <c r="AN88" s="35">
        <v>0</v>
      </c>
      <c r="AO88" s="35">
        <v>0</v>
      </c>
      <c r="AP88" s="35">
        <v>0</v>
      </c>
      <c r="AQ88" s="35">
        <v>0</v>
      </c>
      <c r="AR88" s="35">
        <v>0</v>
      </c>
      <c r="AS88" s="35">
        <v>0</v>
      </c>
      <c r="AT88" s="35">
        <v>0</v>
      </c>
      <c r="AU88" s="35">
        <v>0</v>
      </c>
      <c r="AV88" s="35">
        <v>0</v>
      </c>
      <c r="AW88" s="35">
        <v>0</v>
      </c>
      <c r="AX88" s="35">
        <v>0</v>
      </c>
      <c r="AY88" s="35">
        <v>0</v>
      </c>
      <c r="AZ88" s="35">
        <v>0</v>
      </c>
      <c r="BA88" s="35">
        <v>0</v>
      </c>
      <c r="BB88" s="35">
        <v>0</v>
      </c>
      <c r="BC88" s="35">
        <v>0</v>
      </c>
      <c r="BD88" s="35">
        <v>2</v>
      </c>
      <c r="BE88" s="117">
        <f t="shared" si="29"/>
        <v>4.0000000000000002E-4</v>
      </c>
    </row>
    <row r="89" spans="1:59" x14ac:dyDescent="0.25">
      <c r="A89" s="19">
        <v>5</v>
      </c>
      <c r="B89" s="80" t="str">
        <f t="shared" si="28"/>
        <v>Rework Loss Type E</v>
      </c>
      <c r="C89" s="43" t="str">
        <f t="shared" si="27"/>
        <v>Product G</v>
      </c>
      <c r="D89" s="35">
        <v>0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  <c r="U89" s="35">
        <v>0</v>
      </c>
      <c r="V89" s="35">
        <v>0</v>
      </c>
      <c r="W89" s="35">
        <v>0</v>
      </c>
      <c r="X89" s="35">
        <v>0</v>
      </c>
      <c r="Y89" s="35">
        <v>0</v>
      </c>
      <c r="Z89" s="35">
        <v>0</v>
      </c>
      <c r="AA89" s="35">
        <v>0</v>
      </c>
      <c r="AB89" s="35">
        <v>0</v>
      </c>
      <c r="AC89" s="35">
        <v>0</v>
      </c>
      <c r="AD89" s="35">
        <v>0</v>
      </c>
      <c r="AE89" s="35">
        <v>0</v>
      </c>
      <c r="AF89" s="35">
        <v>0</v>
      </c>
      <c r="AG89" s="35">
        <v>0</v>
      </c>
      <c r="AH89" s="35">
        <v>0</v>
      </c>
      <c r="AI89" s="35">
        <v>0</v>
      </c>
      <c r="AJ89" s="35">
        <v>0</v>
      </c>
      <c r="AK89" s="35">
        <v>0</v>
      </c>
      <c r="AL89" s="35">
        <v>0</v>
      </c>
      <c r="AM89" s="35">
        <v>0</v>
      </c>
      <c r="AN89" s="35">
        <v>0</v>
      </c>
      <c r="AO89" s="35">
        <v>0</v>
      </c>
      <c r="AP89" s="35">
        <v>0</v>
      </c>
      <c r="AQ89" s="35">
        <v>0</v>
      </c>
      <c r="AR89" s="35">
        <v>0</v>
      </c>
      <c r="AS89" s="35">
        <v>0</v>
      </c>
      <c r="AT89" s="35">
        <v>0</v>
      </c>
      <c r="AU89" s="35">
        <v>0</v>
      </c>
      <c r="AV89" s="35">
        <v>0</v>
      </c>
      <c r="AW89" s="35">
        <v>0</v>
      </c>
      <c r="AX89" s="35">
        <v>0</v>
      </c>
      <c r="AY89" s="35">
        <v>0</v>
      </c>
      <c r="AZ89" s="35">
        <v>0</v>
      </c>
      <c r="BA89" s="35">
        <v>0</v>
      </c>
      <c r="BB89" s="35">
        <v>0</v>
      </c>
      <c r="BC89" s="35">
        <v>0</v>
      </c>
      <c r="BD89" s="35">
        <v>2</v>
      </c>
      <c r="BE89" s="117">
        <f t="shared" si="29"/>
        <v>4.0000000000000002E-4</v>
      </c>
    </row>
    <row r="90" spans="1:59" x14ac:dyDescent="0.25">
      <c r="A90" s="19">
        <v>6</v>
      </c>
      <c r="B90" s="80" t="str">
        <f t="shared" si="28"/>
        <v>Rework Loss Type F</v>
      </c>
      <c r="C90" s="43" t="str">
        <f t="shared" si="27"/>
        <v>Product G</v>
      </c>
      <c r="D90" s="35">
        <v>0</v>
      </c>
      <c r="E90" s="35">
        <v>8</v>
      </c>
      <c r="F90" s="35">
        <v>13</v>
      </c>
      <c r="G90" s="35">
        <v>24</v>
      </c>
      <c r="H90" s="35">
        <v>0</v>
      </c>
      <c r="I90" s="35">
        <v>0</v>
      </c>
      <c r="J90" s="35">
        <v>11</v>
      </c>
      <c r="K90" s="35">
        <v>28</v>
      </c>
      <c r="L90" s="35">
        <v>0</v>
      </c>
      <c r="M90" s="35">
        <v>0</v>
      </c>
      <c r="N90" s="35">
        <v>11</v>
      </c>
      <c r="O90" s="35">
        <v>24</v>
      </c>
      <c r="P90" s="35">
        <v>0</v>
      </c>
      <c r="Q90" s="35">
        <v>0</v>
      </c>
      <c r="R90" s="35">
        <v>11</v>
      </c>
      <c r="S90" s="35">
        <v>15</v>
      </c>
      <c r="T90" s="35">
        <v>0</v>
      </c>
      <c r="U90" s="35">
        <v>0</v>
      </c>
      <c r="V90" s="35">
        <v>11</v>
      </c>
      <c r="W90" s="35">
        <v>28</v>
      </c>
      <c r="X90" s="35">
        <v>0</v>
      </c>
      <c r="Y90" s="35">
        <v>0</v>
      </c>
      <c r="Z90" s="35">
        <v>11</v>
      </c>
      <c r="AA90" s="35">
        <v>28</v>
      </c>
      <c r="AB90" s="35">
        <v>0</v>
      </c>
      <c r="AC90" s="35">
        <v>0</v>
      </c>
      <c r="AD90" s="35">
        <v>11</v>
      </c>
      <c r="AE90" s="35">
        <v>28</v>
      </c>
      <c r="AF90" s="35">
        <v>0</v>
      </c>
      <c r="AG90" s="35">
        <v>0</v>
      </c>
      <c r="AH90" s="35">
        <v>11</v>
      </c>
      <c r="AI90" s="35">
        <v>28</v>
      </c>
      <c r="AJ90" s="35">
        <v>0</v>
      </c>
      <c r="AK90" s="35">
        <v>0</v>
      </c>
      <c r="AL90" s="35">
        <v>10</v>
      </c>
      <c r="AM90" s="35">
        <v>28</v>
      </c>
      <c r="AN90" s="35">
        <v>0</v>
      </c>
      <c r="AO90" s="35">
        <v>0</v>
      </c>
      <c r="AP90" s="35">
        <v>11</v>
      </c>
      <c r="AQ90" s="35">
        <v>28</v>
      </c>
      <c r="AR90" s="35">
        <v>0</v>
      </c>
      <c r="AS90" s="35">
        <v>0</v>
      </c>
      <c r="AT90" s="35">
        <v>11</v>
      </c>
      <c r="AU90" s="35">
        <v>28</v>
      </c>
      <c r="AV90" s="35">
        <v>0</v>
      </c>
      <c r="AW90" s="35">
        <v>0</v>
      </c>
      <c r="AX90" s="35">
        <v>11</v>
      </c>
      <c r="AY90" s="35">
        <v>28</v>
      </c>
      <c r="AZ90" s="35">
        <v>0</v>
      </c>
      <c r="BA90" s="35">
        <v>0</v>
      </c>
      <c r="BB90" s="35">
        <v>11</v>
      </c>
      <c r="BC90" s="35">
        <v>28</v>
      </c>
      <c r="BD90" s="35">
        <v>4.4000000000000004</v>
      </c>
      <c r="BE90" s="117">
        <f t="shared" si="29"/>
        <v>4.0000000000000002E-4</v>
      </c>
    </row>
    <row r="91" spans="1:59" x14ac:dyDescent="0.25">
      <c r="A91" s="19">
        <v>7</v>
      </c>
      <c r="B91" s="80" t="str">
        <f t="shared" si="28"/>
        <v>Rework Loss Type G</v>
      </c>
      <c r="C91" s="43" t="str">
        <f t="shared" si="27"/>
        <v>Product G</v>
      </c>
      <c r="D91" s="35">
        <v>0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  <c r="U91" s="35">
        <v>0</v>
      </c>
      <c r="V91" s="35">
        <v>0</v>
      </c>
      <c r="W91" s="35">
        <v>0</v>
      </c>
      <c r="X91" s="35">
        <v>0</v>
      </c>
      <c r="Y91" s="35">
        <v>0</v>
      </c>
      <c r="Z91" s="35">
        <v>0</v>
      </c>
      <c r="AA91" s="35">
        <v>0</v>
      </c>
      <c r="AB91" s="35">
        <v>0</v>
      </c>
      <c r="AC91" s="35">
        <v>0</v>
      </c>
      <c r="AD91" s="35">
        <v>0</v>
      </c>
      <c r="AE91" s="35">
        <v>0</v>
      </c>
      <c r="AF91" s="35">
        <v>0</v>
      </c>
      <c r="AG91" s="35">
        <v>0</v>
      </c>
      <c r="AH91" s="35">
        <v>0</v>
      </c>
      <c r="AI91" s="35">
        <v>0</v>
      </c>
      <c r="AJ91" s="35">
        <v>0</v>
      </c>
      <c r="AK91" s="35">
        <v>0</v>
      </c>
      <c r="AL91" s="35">
        <v>0</v>
      </c>
      <c r="AM91" s="35">
        <v>0</v>
      </c>
      <c r="AN91" s="35">
        <v>0</v>
      </c>
      <c r="AO91" s="35">
        <v>0</v>
      </c>
      <c r="AP91" s="35">
        <v>0</v>
      </c>
      <c r="AQ91" s="35">
        <v>0</v>
      </c>
      <c r="AR91" s="35">
        <v>0</v>
      </c>
      <c r="AS91" s="35">
        <v>0</v>
      </c>
      <c r="AT91" s="35">
        <v>0</v>
      </c>
      <c r="AU91" s="35">
        <v>0</v>
      </c>
      <c r="AV91" s="35">
        <v>0</v>
      </c>
      <c r="AW91" s="35">
        <v>0</v>
      </c>
      <c r="AX91" s="35">
        <v>0</v>
      </c>
      <c r="AY91" s="35">
        <v>0</v>
      </c>
      <c r="AZ91" s="35">
        <v>0</v>
      </c>
      <c r="BA91" s="35">
        <v>0</v>
      </c>
      <c r="BB91" s="35">
        <v>0</v>
      </c>
      <c r="BC91" s="35">
        <v>0</v>
      </c>
      <c r="BD91" s="35">
        <v>1</v>
      </c>
      <c r="BE91" s="117">
        <f t="shared" si="29"/>
        <v>4.0000000000000002E-4</v>
      </c>
    </row>
    <row r="92" spans="1:59" x14ac:dyDescent="0.25">
      <c r="A92" s="19">
        <v>8</v>
      </c>
      <c r="B92" s="80" t="str">
        <f t="shared" si="28"/>
        <v>Rework Loss Type H</v>
      </c>
      <c r="C92" s="43" t="str">
        <f t="shared" si="27"/>
        <v>Product G</v>
      </c>
      <c r="D92" s="35">
        <v>0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  <c r="U92" s="35">
        <v>0</v>
      </c>
      <c r="V92" s="35">
        <v>0</v>
      </c>
      <c r="W92" s="35">
        <v>0</v>
      </c>
      <c r="X92" s="35">
        <v>0</v>
      </c>
      <c r="Y92" s="35">
        <v>0</v>
      </c>
      <c r="Z92" s="35">
        <v>0</v>
      </c>
      <c r="AA92" s="35">
        <v>0</v>
      </c>
      <c r="AB92" s="35">
        <v>0</v>
      </c>
      <c r="AC92" s="35">
        <v>0</v>
      </c>
      <c r="AD92" s="35">
        <v>0</v>
      </c>
      <c r="AE92" s="35">
        <v>0</v>
      </c>
      <c r="AF92" s="35">
        <v>0</v>
      </c>
      <c r="AG92" s="35">
        <v>0</v>
      </c>
      <c r="AH92" s="35">
        <v>0</v>
      </c>
      <c r="AI92" s="35">
        <v>0</v>
      </c>
      <c r="AJ92" s="35">
        <v>0</v>
      </c>
      <c r="AK92" s="35">
        <v>0</v>
      </c>
      <c r="AL92" s="35">
        <v>0</v>
      </c>
      <c r="AM92" s="35">
        <v>0</v>
      </c>
      <c r="AN92" s="35">
        <v>0</v>
      </c>
      <c r="AO92" s="35">
        <v>0</v>
      </c>
      <c r="AP92" s="35">
        <v>0</v>
      </c>
      <c r="AQ92" s="35">
        <v>0</v>
      </c>
      <c r="AR92" s="35">
        <v>0</v>
      </c>
      <c r="AS92" s="35">
        <v>0</v>
      </c>
      <c r="AT92" s="35">
        <v>0</v>
      </c>
      <c r="AU92" s="35">
        <v>0</v>
      </c>
      <c r="AV92" s="35">
        <v>0</v>
      </c>
      <c r="AW92" s="35">
        <v>0</v>
      </c>
      <c r="AX92" s="35">
        <v>0</v>
      </c>
      <c r="AY92" s="35">
        <v>0</v>
      </c>
      <c r="AZ92" s="35">
        <v>0</v>
      </c>
      <c r="BA92" s="35">
        <v>0</v>
      </c>
      <c r="BB92" s="35">
        <v>0</v>
      </c>
      <c r="BC92" s="35">
        <v>0</v>
      </c>
      <c r="BD92" s="35">
        <v>2</v>
      </c>
      <c r="BE92" s="117">
        <f t="shared" si="29"/>
        <v>4.0000000000000002E-4</v>
      </c>
    </row>
    <row r="93" spans="1:59" x14ac:dyDescent="0.25">
      <c r="A93" s="19">
        <v>9</v>
      </c>
      <c r="B93" s="80" t="str">
        <f t="shared" si="28"/>
        <v>Rework Loss Type I</v>
      </c>
      <c r="C93" s="43" t="str">
        <f t="shared" si="27"/>
        <v>Product G</v>
      </c>
      <c r="D93" s="35">
        <v>0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  <c r="U93" s="35">
        <v>0</v>
      </c>
      <c r="V93" s="35">
        <v>0</v>
      </c>
      <c r="W93" s="35">
        <v>0</v>
      </c>
      <c r="X93" s="35">
        <v>0</v>
      </c>
      <c r="Y93" s="35">
        <v>0</v>
      </c>
      <c r="Z93" s="35">
        <v>0</v>
      </c>
      <c r="AA93" s="35">
        <v>0</v>
      </c>
      <c r="AB93" s="35">
        <v>0</v>
      </c>
      <c r="AC93" s="35">
        <v>0</v>
      </c>
      <c r="AD93" s="35">
        <v>0</v>
      </c>
      <c r="AE93" s="35">
        <v>0</v>
      </c>
      <c r="AF93" s="35">
        <v>0</v>
      </c>
      <c r="AG93" s="35">
        <v>0</v>
      </c>
      <c r="AH93" s="35">
        <v>0</v>
      </c>
      <c r="AI93" s="35">
        <v>0</v>
      </c>
      <c r="AJ93" s="35">
        <v>0</v>
      </c>
      <c r="AK93" s="35">
        <v>0</v>
      </c>
      <c r="AL93" s="35">
        <v>0</v>
      </c>
      <c r="AM93" s="35">
        <v>0</v>
      </c>
      <c r="AN93" s="35">
        <v>0</v>
      </c>
      <c r="AO93" s="35">
        <v>0</v>
      </c>
      <c r="AP93" s="35">
        <v>0</v>
      </c>
      <c r="AQ93" s="35">
        <v>0</v>
      </c>
      <c r="AR93" s="35">
        <v>0</v>
      </c>
      <c r="AS93" s="35">
        <v>0</v>
      </c>
      <c r="AT93" s="35">
        <v>0</v>
      </c>
      <c r="AU93" s="35">
        <v>0</v>
      </c>
      <c r="AV93" s="35">
        <v>0</v>
      </c>
      <c r="AW93" s="35">
        <v>0</v>
      </c>
      <c r="AX93" s="35">
        <v>0</v>
      </c>
      <c r="AY93" s="35">
        <v>0</v>
      </c>
      <c r="AZ93" s="35">
        <v>0</v>
      </c>
      <c r="BA93" s="35">
        <v>0</v>
      </c>
      <c r="BB93" s="35">
        <v>0</v>
      </c>
      <c r="BC93" s="35">
        <v>0</v>
      </c>
      <c r="BD93" s="35">
        <v>2</v>
      </c>
      <c r="BE93" s="117">
        <f t="shared" si="29"/>
        <v>4.0000000000000002E-4</v>
      </c>
    </row>
    <row r="94" spans="1:59" x14ac:dyDescent="0.25">
      <c r="A94" s="19">
        <v>10</v>
      </c>
      <c r="B94" s="80"/>
      <c r="C94" s="43">
        <f t="shared" si="27"/>
        <v>0</v>
      </c>
      <c r="D94" s="104">
        <v>1</v>
      </c>
      <c r="E94" s="104">
        <f>D94+1</f>
        <v>2</v>
      </c>
      <c r="F94" s="104">
        <f t="shared" ref="F94:BC94" si="30">E94+1</f>
        <v>3</v>
      </c>
      <c r="G94" s="104">
        <f t="shared" si="30"/>
        <v>4</v>
      </c>
      <c r="H94" s="104">
        <f t="shared" si="30"/>
        <v>5</v>
      </c>
      <c r="I94" s="104">
        <f t="shared" si="30"/>
        <v>6</v>
      </c>
      <c r="J94" s="104">
        <f t="shared" si="30"/>
        <v>7</v>
      </c>
      <c r="K94" s="104">
        <f t="shared" si="30"/>
        <v>8</v>
      </c>
      <c r="L94" s="104">
        <f t="shared" si="30"/>
        <v>9</v>
      </c>
      <c r="M94" s="104">
        <f t="shared" si="30"/>
        <v>10</v>
      </c>
      <c r="N94" s="104">
        <f t="shared" si="30"/>
        <v>11</v>
      </c>
      <c r="O94" s="104">
        <f t="shared" si="30"/>
        <v>12</v>
      </c>
      <c r="P94" s="104">
        <f t="shared" si="30"/>
        <v>13</v>
      </c>
      <c r="Q94" s="104">
        <f t="shared" si="30"/>
        <v>14</v>
      </c>
      <c r="R94" s="104">
        <f t="shared" si="30"/>
        <v>15</v>
      </c>
      <c r="S94" s="104">
        <f t="shared" si="30"/>
        <v>16</v>
      </c>
      <c r="T94" s="104">
        <f t="shared" si="30"/>
        <v>17</v>
      </c>
      <c r="U94" s="104">
        <f t="shared" si="30"/>
        <v>18</v>
      </c>
      <c r="V94" s="104">
        <f t="shared" si="30"/>
        <v>19</v>
      </c>
      <c r="W94" s="104">
        <f t="shared" si="30"/>
        <v>20</v>
      </c>
      <c r="X94" s="104">
        <f t="shared" si="30"/>
        <v>21</v>
      </c>
      <c r="Y94" s="104">
        <f t="shared" si="30"/>
        <v>22</v>
      </c>
      <c r="Z94" s="104">
        <f t="shared" si="30"/>
        <v>23</v>
      </c>
      <c r="AA94" s="104">
        <f t="shared" si="30"/>
        <v>24</v>
      </c>
      <c r="AB94" s="104">
        <f t="shared" si="30"/>
        <v>25</v>
      </c>
      <c r="AC94" s="104">
        <f t="shared" si="30"/>
        <v>26</v>
      </c>
      <c r="AD94" s="104">
        <f t="shared" si="30"/>
        <v>27</v>
      </c>
      <c r="AE94" s="104">
        <f t="shared" si="30"/>
        <v>28</v>
      </c>
      <c r="AF94" s="104">
        <f t="shared" si="30"/>
        <v>29</v>
      </c>
      <c r="AG94" s="104">
        <f t="shared" si="30"/>
        <v>30</v>
      </c>
      <c r="AH94" s="104">
        <f t="shared" si="30"/>
        <v>31</v>
      </c>
      <c r="AI94" s="104">
        <f t="shared" si="30"/>
        <v>32</v>
      </c>
      <c r="AJ94" s="104">
        <f t="shared" si="30"/>
        <v>33</v>
      </c>
      <c r="AK94" s="104">
        <f t="shared" si="30"/>
        <v>34</v>
      </c>
      <c r="AL94" s="104">
        <f t="shared" si="30"/>
        <v>35</v>
      </c>
      <c r="AM94" s="104">
        <f t="shared" si="30"/>
        <v>36</v>
      </c>
      <c r="AN94" s="104">
        <f t="shared" si="30"/>
        <v>37</v>
      </c>
      <c r="AO94" s="104">
        <f t="shared" si="30"/>
        <v>38</v>
      </c>
      <c r="AP94" s="104">
        <f t="shared" si="30"/>
        <v>39</v>
      </c>
      <c r="AQ94" s="104">
        <f t="shared" si="30"/>
        <v>40</v>
      </c>
      <c r="AR94" s="104">
        <f t="shared" si="30"/>
        <v>41</v>
      </c>
      <c r="AS94" s="104">
        <f t="shared" si="30"/>
        <v>42</v>
      </c>
      <c r="AT94" s="104">
        <f t="shared" si="30"/>
        <v>43</v>
      </c>
      <c r="AU94" s="104">
        <f t="shared" si="30"/>
        <v>44</v>
      </c>
      <c r="AV94" s="104">
        <f t="shared" si="30"/>
        <v>45</v>
      </c>
      <c r="AW94" s="104">
        <f t="shared" si="30"/>
        <v>46</v>
      </c>
      <c r="AX94" s="104">
        <f t="shared" si="30"/>
        <v>47</v>
      </c>
      <c r="AY94" s="104">
        <f t="shared" si="30"/>
        <v>48</v>
      </c>
      <c r="AZ94" s="104">
        <f t="shared" si="30"/>
        <v>49</v>
      </c>
      <c r="BA94" s="104">
        <f t="shared" si="30"/>
        <v>50</v>
      </c>
      <c r="BB94" s="104">
        <f t="shared" si="30"/>
        <v>51</v>
      </c>
      <c r="BC94" s="104">
        <f t="shared" si="30"/>
        <v>52</v>
      </c>
      <c r="BD94" s="19"/>
      <c r="BE94" s="83"/>
    </row>
    <row r="95" spans="1:59" x14ac:dyDescent="0.25">
      <c r="A95" s="19">
        <v>1</v>
      </c>
      <c r="B95" s="80" t="str">
        <f>B85</f>
        <v>Rework Loss Type A</v>
      </c>
      <c r="C95" s="43" t="str">
        <f t="shared" ref="C95:C104" si="31">IF(OR(A$24&gt;A95,A$24=A95),B$10,0)</f>
        <v>Product H</v>
      </c>
      <c r="D95" s="35">
        <v>0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  <c r="U95" s="35">
        <v>0</v>
      </c>
      <c r="V95" s="35">
        <v>0</v>
      </c>
      <c r="W95" s="35">
        <v>0</v>
      </c>
      <c r="X95" s="35">
        <v>0</v>
      </c>
      <c r="Y95" s="35">
        <v>0</v>
      </c>
      <c r="Z95" s="35">
        <v>0</v>
      </c>
      <c r="AA95" s="35">
        <v>0</v>
      </c>
      <c r="AB95" s="35">
        <v>0</v>
      </c>
      <c r="AC95" s="35">
        <v>0</v>
      </c>
      <c r="AD95" s="35">
        <v>0</v>
      </c>
      <c r="AE95" s="35">
        <v>0</v>
      </c>
      <c r="AF95" s="35">
        <v>0</v>
      </c>
      <c r="AG95" s="35">
        <v>0</v>
      </c>
      <c r="AH95" s="35">
        <v>0</v>
      </c>
      <c r="AI95" s="35">
        <v>0</v>
      </c>
      <c r="AJ95" s="35">
        <v>0</v>
      </c>
      <c r="AK95" s="35">
        <v>0</v>
      </c>
      <c r="AL95" s="35">
        <v>0</v>
      </c>
      <c r="AM95" s="35">
        <v>0</v>
      </c>
      <c r="AN95" s="35">
        <v>0</v>
      </c>
      <c r="AO95" s="35">
        <v>0</v>
      </c>
      <c r="AP95" s="35">
        <v>0</v>
      </c>
      <c r="AQ95" s="35">
        <v>0</v>
      </c>
      <c r="AR95" s="35">
        <v>0</v>
      </c>
      <c r="AS95" s="35">
        <v>0</v>
      </c>
      <c r="AT95" s="35">
        <v>0</v>
      </c>
      <c r="AU95" s="35">
        <v>0</v>
      </c>
      <c r="AV95" s="35">
        <v>0</v>
      </c>
      <c r="AW95" s="35">
        <v>0</v>
      </c>
      <c r="AX95" s="35">
        <v>0</v>
      </c>
      <c r="AY95" s="35">
        <v>0</v>
      </c>
      <c r="AZ95" s="35">
        <v>0</v>
      </c>
      <c r="BA95" s="35">
        <v>0</v>
      </c>
      <c r="BB95" s="35">
        <v>0</v>
      </c>
      <c r="BC95" s="35">
        <v>0</v>
      </c>
      <c r="BD95" s="35">
        <v>1</v>
      </c>
      <c r="BE95" s="116">
        <v>2.9999999999999997E-4</v>
      </c>
      <c r="BG95">
        <f>SUM(D95:BC103)</f>
        <v>201</v>
      </c>
    </row>
    <row r="96" spans="1:59" x14ac:dyDescent="0.25">
      <c r="A96" s="19">
        <v>2</v>
      </c>
      <c r="B96" s="80" t="str">
        <f t="shared" ref="B96:B102" si="32">B86</f>
        <v>Rework Loss Type B</v>
      </c>
      <c r="C96" s="43" t="str">
        <f t="shared" si="31"/>
        <v>Product H</v>
      </c>
      <c r="D96" s="35">
        <v>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  <c r="U96" s="35">
        <v>0</v>
      </c>
      <c r="V96" s="35">
        <v>0</v>
      </c>
      <c r="W96" s="35">
        <v>0</v>
      </c>
      <c r="X96" s="35">
        <v>0</v>
      </c>
      <c r="Y96" s="35">
        <v>0</v>
      </c>
      <c r="Z96" s="35">
        <v>0</v>
      </c>
      <c r="AA96" s="35">
        <v>0</v>
      </c>
      <c r="AB96" s="35">
        <v>0</v>
      </c>
      <c r="AC96" s="35">
        <v>0</v>
      </c>
      <c r="AD96" s="35">
        <v>0</v>
      </c>
      <c r="AE96" s="35">
        <v>0</v>
      </c>
      <c r="AF96" s="35">
        <v>0</v>
      </c>
      <c r="AG96" s="35">
        <v>0</v>
      </c>
      <c r="AH96" s="35">
        <v>0</v>
      </c>
      <c r="AI96" s="35">
        <v>0</v>
      </c>
      <c r="AJ96" s="35">
        <v>0</v>
      </c>
      <c r="AK96" s="35">
        <v>0</v>
      </c>
      <c r="AL96" s="35">
        <v>0</v>
      </c>
      <c r="AM96" s="35">
        <v>0</v>
      </c>
      <c r="AN96" s="35">
        <v>0</v>
      </c>
      <c r="AO96" s="35">
        <v>0</v>
      </c>
      <c r="AP96" s="35">
        <v>0</v>
      </c>
      <c r="AQ96" s="35">
        <v>0</v>
      </c>
      <c r="AR96" s="35">
        <v>0</v>
      </c>
      <c r="AS96" s="35">
        <v>0</v>
      </c>
      <c r="AT96" s="35">
        <v>0</v>
      </c>
      <c r="AU96" s="35">
        <v>0</v>
      </c>
      <c r="AV96" s="35">
        <v>0</v>
      </c>
      <c r="AW96" s="35">
        <v>0</v>
      </c>
      <c r="AX96" s="35">
        <v>0</v>
      </c>
      <c r="AY96" s="35">
        <v>0</v>
      </c>
      <c r="AZ96" s="35">
        <v>0</v>
      </c>
      <c r="BA96" s="35">
        <v>0</v>
      </c>
      <c r="BB96" s="35">
        <v>0</v>
      </c>
      <c r="BC96" s="35">
        <v>0</v>
      </c>
      <c r="BD96" s="35">
        <v>2.7</v>
      </c>
      <c r="BE96" s="117">
        <f>BE95</f>
        <v>2.9999999999999997E-4</v>
      </c>
    </row>
    <row r="97" spans="1:59" x14ac:dyDescent="0.25">
      <c r="A97" s="19">
        <v>3</v>
      </c>
      <c r="B97" s="80" t="str">
        <f t="shared" si="32"/>
        <v>Rework Loss Type C</v>
      </c>
      <c r="C97" s="43" t="str">
        <f t="shared" si="31"/>
        <v>Product H</v>
      </c>
      <c r="D97" s="35">
        <v>0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  <c r="U97" s="35">
        <v>0</v>
      </c>
      <c r="V97" s="35">
        <v>0</v>
      </c>
      <c r="W97" s="35">
        <v>0</v>
      </c>
      <c r="X97" s="35">
        <v>0</v>
      </c>
      <c r="Y97" s="35">
        <v>0</v>
      </c>
      <c r="Z97" s="35">
        <v>0</v>
      </c>
      <c r="AA97" s="35">
        <v>0</v>
      </c>
      <c r="AB97" s="35">
        <v>0</v>
      </c>
      <c r="AC97" s="35">
        <v>0</v>
      </c>
      <c r="AD97" s="35">
        <v>0</v>
      </c>
      <c r="AE97" s="35">
        <v>0</v>
      </c>
      <c r="AF97" s="35">
        <v>0</v>
      </c>
      <c r="AG97" s="35">
        <v>0</v>
      </c>
      <c r="AH97" s="35">
        <v>0</v>
      </c>
      <c r="AI97" s="35">
        <v>0</v>
      </c>
      <c r="AJ97" s="35">
        <v>0</v>
      </c>
      <c r="AK97" s="35">
        <v>0</v>
      </c>
      <c r="AL97" s="35">
        <v>0</v>
      </c>
      <c r="AM97" s="35">
        <v>0</v>
      </c>
      <c r="AN97" s="35">
        <v>0</v>
      </c>
      <c r="AO97" s="35">
        <v>0</v>
      </c>
      <c r="AP97" s="35">
        <v>0</v>
      </c>
      <c r="AQ97" s="35">
        <v>0</v>
      </c>
      <c r="AR97" s="35">
        <v>0</v>
      </c>
      <c r="AS97" s="35">
        <v>0</v>
      </c>
      <c r="AT97" s="35">
        <v>0</v>
      </c>
      <c r="AU97" s="35">
        <v>0</v>
      </c>
      <c r="AV97" s="35">
        <v>0</v>
      </c>
      <c r="AW97" s="35">
        <v>0</v>
      </c>
      <c r="AX97" s="35">
        <v>0</v>
      </c>
      <c r="AY97" s="35">
        <v>0</v>
      </c>
      <c r="AZ97" s="35">
        <v>0</v>
      </c>
      <c r="BA97" s="35">
        <v>0</v>
      </c>
      <c r="BB97" s="35">
        <v>0</v>
      </c>
      <c r="BC97" s="35">
        <v>0</v>
      </c>
      <c r="BD97" s="35">
        <v>2</v>
      </c>
      <c r="BE97" s="117">
        <f t="shared" ref="BE97:BE103" si="33">BE96</f>
        <v>2.9999999999999997E-4</v>
      </c>
    </row>
    <row r="98" spans="1:59" x14ac:dyDescent="0.25">
      <c r="A98" s="19">
        <v>4</v>
      </c>
      <c r="B98" s="80" t="str">
        <f t="shared" si="32"/>
        <v>Rework Loss Type D</v>
      </c>
      <c r="C98" s="43" t="str">
        <f t="shared" si="31"/>
        <v>Product H</v>
      </c>
      <c r="D98" s="35">
        <v>0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  <c r="U98" s="35">
        <v>0</v>
      </c>
      <c r="V98" s="35">
        <v>0</v>
      </c>
      <c r="W98" s="35">
        <v>0</v>
      </c>
      <c r="X98" s="35">
        <v>0</v>
      </c>
      <c r="Y98" s="35">
        <v>0</v>
      </c>
      <c r="Z98" s="35">
        <v>0</v>
      </c>
      <c r="AA98" s="35">
        <v>0</v>
      </c>
      <c r="AB98" s="35">
        <v>0</v>
      </c>
      <c r="AC98" s="35">
        <v>0</v>
      </c>
      <c r="AD98" s="35">
        <v>0</v>
      </c>
      <c r="AE98" s="35">
        <v>0</v>
      </c>
      <c r="AF98" s="35">
        <v>0</v>
      </c>
      <c r="AG98" s="35">
        <v>0</v>
      </c>
      <c r="AH98" s="35">
        <v>0</v>
      </c>
      <c r="AI98" s="35">
        <v>0</v>
      </c>
      <c r="AJ98" s="35">
        <v>0</v>
      </c>
      <c r="AK98" s="35">
        <v>0</v>
      </c>
      <c r="AL98" s="35">
        <v>0</v>
      </c>
      <c r="AM98" s="35">
        <v>0</v>
      </c>
      <c r="AN98" s="35">
        <v>0</v>
      </c>
      <c r="AO98" s="35">
        <v>0</v>
      </c>
      <c r="AP98" s="35">
        <v>0</v>
      </c>
      <c r="AQ98" s="35">
        <v>0</v>
      </c>
      <c r="AR98" s="35">
        <v>0</v>
      </c>
      <c r="AS98" s="35">
        <v>0</v>
      </c>
      <c r="AT98" s="35">
        <v>0</v>
      </c>
      <c r="AU98" s="35">
        <v>0</v>
      </c>
      <c r="AV98" s="35">
        <v>0</v>
      </c>
      <c r="AW98" s="35">
        <v>0</v>
      </c>
      <c r="AX98" s="35">
        <v>0</v>
      </c>
      <c r="AY98" s="35">
        <v>0</v>
      </c>
      <c r="AZ98" s="35">
        <v>0</v>
      </c>
      <c r="BA98" s="35">
        <v>0</v>
      </c>
      <c r="BB98" s="35">
        <v>0</v>
      </c>
      <c r="BC98" s="35">
        <v>0</v>
      </c>
      <c r="BD98" s="35">
        <v>2</v>
      </c>
      <c r="BE98" s="117">
        <f t="shared" si="33"/>
        <v>2.9999999999999997E-4</v>
      </c>
    </row>
    <row r="99" spans="1:59" x14ac:dyDescent="0.25">
      <c r="A99" s="19">
        <v>5</v>
      </c>
      <c r="B99" s="80" t="str">
        <f t="shared" si="32"/>
        <v>Rework Loss Type E</v>
      </c>
      <c r="C99" s="43" t="str">
        <f t="shared" si="31"/>
        <v>Product H</v>
      </c>
      <c r="D99" s="35">
        <v>0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5">
        <v>0</v>
      </c>
      <c r="AJ99" s="35">
        <v>0</v>
      </c>
      <c r="AK99" s="35">
        <v>0</v>
      </c>
      <c r="AL99" s="35">
        <v>0</v>
      </c>
      <c r="AM99" s="35">
        <v>0</v>
      </c>
      <c r="AN99" s="35">
        <v>0</v>
      </c>
      <c r="AO99" s="35">
        <v>0</v>
      </c>
      <c r="AP99" s="35">
        <v>0</v>
      </c>
      <c r="AQ99" s="35">
        <v>0</v>
      </c>
      <c r="AR99" s="35">
        <v>0</v>
      </c>
      <c r="AS99" s="35">
        <v>0</v>
      </c>
      <c r="AT99" s="35">
        <v>0</v>
      </c>
      <c r="AU99" s="35">
        <v>0</v>
      </c>
      <c r="AV99" s="35">
        <v>0</v>
      </c>
      <c r="AW99" s="35">
        <v>0</v>
      </c>
      <c r="AX99" s="35">
        <v>0</v>
      </c>
      <c r="AY99" s="35">
        <v>0</v>
      </c>
      <c r="AZ99" s="35">
        <v>0</v>
      </c>
      <c r="BA99" s="35">
        <v>0</v>
      </c>
      <c r="BB99" s="35">
        <v>0</v>
      </c>
      <c r="BC99" s="35">
        <v>0</v>
      </c>
      <c r="BD99" s="35">
        <v>2</v>
      </c>
      <c r="BE99" s="117">
        <f t="shared" si="33"/>
        <v>2.9999999999999997E-4</v>
      </c>
    </row>
    <row r="100" spans="1:59" x14ac:dyDescent="0.25">
      <c r="A100" s="19">
        <v>6</v>
      </c>
      <c r="B100" s="80" t="str">
        <f t="shared" si="32"/>
        <v>Rework Loss Type F</v>
      </c>
      <c r="C100" s="43" t="str">
        <f t="shared" si="31"/>
        <v>Product H</v>
      </c>
      <c r="D100" s="35">
        <v>0</v>
      </c>
      <c r="E100" s="35">
        <v>0</v>
      </c>
      <c r="F100" s="35">
        <v>0</v>
      </c>
      <c r="G100" s="35">
        <v>11</v>
      </c>
      <c r="H100" s="35">
        <v>0</v>
      </c>
      <c r="I100" s="35">
        <v>0</v>
      </c>
      <c r="J100" s="35">
        <v>0</v>
      </c>
      <c r="K100" s="35">
        <v>11</v>
      </c>
      <c r="L100" s="35">
        <v>0</v>
      </c>
      <c r="M100" s="35">
        <v>0</v>
      </c>
      <c r="N100" s="35">
        <v>0</v>
      </c>
      <c r="O100" s="35">
        <v>10</v>
      </c>
      <c r="P100" s="35">
        <v>0</v>
      </c>
      <c r="Q100" s="35">
        <v>0</v>
      </c>
      <c r="R100" s="35">
        <v>13</v>
      </c>
      <c r="S100" s="35">
        <v>11</v>
      </c>
      <c r="T100" s="35">
        <v>0</v>
      </c>
      <c r="U100" s="35">
        <v>0</v>
      </c>
      <c r="V100" s="35">
        <v>0</v>
      </c>
      <c r="W100" s="35">
        <v>11</v>
      </c>
      <c r="X100" s="35">
        <v>13</v>
      </c>
      <c r="Y100" s="35">
        <v>0</v>
      </c>
      <c r="Z100" s="35">
        <v>0</v>
      </c>
      <c r="AA100" s="35">
        <v>11</v>
      </c>
      <c r="AB100" s="35">
        <v>0</v>
      </c>
      <c r="AC100" s="35">
        <v>8</v>
      </c>
      <c r="AD100" s="35">
        <v>0</v>
      </c>
      <c r="AE100" s="35">
        <v>11</v>
      </c>
      <c r="AF100" s="35">
        <v>0</v>
      </c>
      <c r="AG100" s="35">
        <v>0</v>
      </c>
      <c r="AH100" s="35">
        <v>0</v>
      </c>
      <c r="AI100" s="35">
        <v>11</v>
      </c>
      <c r="AJ100" s="35">
        <v>13</v>
      </c>
      <c r="AK100" s="35">
        <v>0</v>
      </c>
      <c r="AL100" s="35">
        <v>0</v>
      </c>
      <c r="AM100" s="35">
        <v>11</v>
      </c>
      <c r="AN100" s="35">
        <v>0</v>
      </c>
      <c r="AO100" s="35">
        <v>0</v>
      </c>
      <c r="AP100" s="35">
        <v>13</v>
      </c>
      <c r="AQ100" s="35">
        <v>11</v>
      </c>
      <c r="AR100" s="35">
        <v>0</v>
      </c>
      <c r="AS100" s="35">
        <v>0</v>
      </c>
      <c r="AT100" s="35">
        <v>0</v>
      </c>
      <c r="AU100" s="35">
        <v>10</v>
      </c>
      <c r="AV100" s="35">
        <v>0</v>
      </c>
      <c r="AW100" s="35">
        <v>0</v>
      </c>
      <c r="AX100" s="35">
        <v>0</v>
      </c>
      <c r="AY100" s="35">
        <v>11</v>
      </c>
      <c r="AZ100" s="35">
        <v>0</v>
      </c>
      <c r="BA100" s="35">
        <v>0</v>
      </c>
      <c r="BB100" s="35">
        <v>0</v>
      </c>
      <c r="BC100" s="35">
        <v>11</v>
      </c>
      <c r="BD100" s="35">
        <v>1</v>
      </c>
      <c r="BE100" s="117">
        <f t="shared" si="33"/>
        <v>2.9999999999999997E-4</v>
      </c>
    </row>
    <row r="101" spans="1:59" x14ac:dyDescent="0.25">
      <c r="A101" s="19">
        <v>7</v>
      </c>
      <c r="B101" s="80" t="str">
        <f t="shared" si="32"/>
        <v>Rework Loss Type G</v>
      </c>
      <c r="C101" s="43" t="str">
        <f t="shared" si="31"/>
        <v>Product H</v>
      </c>
      <c r="D101" s="35">
        <v>0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  <c r="U101" s="35">
        <v>0</v>
      </c>
      <c r="V101" s="35">
        <v>0</v>
      </c>
      <c r="W101" s="35">
        <v>0</v>
      </c>
      <c r="X101" s="35">
        <v>0</v>
      </c>
      <c r="Y101" s="35">
        <v>0</v>
      </c>
      <c r="Z101" s="35">
        <v>0</v>
      </c>
      <c r="AA101" s="35">
        <v>0</v>
      </c>
      <c r="AB101" s="35">
        <v>0</v>
      </c>
      <c r="AC101" s="35">
        <v>0</v>
      </c>
      <c r="AD101" s="35">
        <v>0</v>
      </c>
      <c r="AE101" s="35">
        <v>0</v>
      </c>
      <c r="AF101" s="35">
        <v>0</v>
      </c>
      <c r="AG101" s="35">
        <v>0</v>
      </c>
      <c r="AH101" s="35">
        <v>0</v>
      </c>
      <c r="AI101" s="35">
        <v>0</v>
      </c>
      <c r="AJ101" s="35">
        <v>0</v>
      </c>
      <c r="AK101" s="35">
        <v>0</v>
      </c>
      <c r="AL101" s="35">
        <v>0</v>
      </c>
      <c r="AM101" s="35">
        <v>0</v>
      </c>
      <c r="AN101" s="35">
        <v>0</v>
      </c>
      <c r="AO101" s="35">
        <v>0</v>
      </c>
      <c r="AP101" s="35">
        <v>0</v>
      </c>
      <c r="AQ101" s="35">
        <v>0</v>
      </c>
      <c r="AR101" s="35">
        <v>0</v>
      </c>
      <c r="AS101" s="35">
        <v>0</v>
      </c>
      <c r="AT101" s="35">
        <v>0</v>
      </c>
      <c r="AU101" s="35">
        <v>0</v>
      </c>
      <c r="AV101" s="35">
        <v>0</v>
      </c>
      <c r="AW101" s="35">
        <v>0</v>
      </c>
      <c r="AX101" s="35">
        <v>0</v>
      </c>
      <c r="AY101" s="35">
        <v>0</v>
      </c>
      <c r="AZ101" s="35">
        <v>0</v>
      </c>
      <c r="BA101" s="35">
        <v>0</v>
      </c>
      <c r="BB101" s="35">
        <v>0</v>
      </c>
      <c r="BC101" s="35">
        <v>0</v>
      </c>
      <c r="BD101" s="35">
        <v>1</v>
      </c>
      <c r="BE101" s="117">
        <f t="shared" si="33"/>
        <v>2.9999999999999997E-4</v>
      </c>
    </row>
    <row r="102" spans="1:59" x14ac:dyDescent="0.25">
      <c r="A102" s="19">
        <v>8</v>
      </c>
      <c r="B102" s="80" t="str">
        <f t="shared" si="32"/>
        <v>Rework Loss Type H</v>
      </c>
      <c r="C102" s="43" t="str">
        <f t="shared" si="31"/>
        <v>Product H</v>
      </c>
      <c r="D102" s="35">
        <v>0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  <c r="U102" s="35">
        <v>0</v>
      </c>
      <c r="V102" s="35">
        <v>0</v>
      </c>
      <c r="W102" s="35">
        <v>0</v>
      </c>
      <c r="X102" s="35">
        <v>0</v>
      </c>
      <c r="Y102" s="35">
        <v>0</v>
      </c>
      <c r="Z102" s="35">
        <v>0</v>
      </c>
      <c r="AA102" s="35">
        <v>0</v>
      </c>
      <c r="AB102" s="35">
        <v>0</v>
      </c>
      <c r="AC102" s="35">
        <v>0</v>
      </c>
      <c r="AD102" s="35">
        <v>0</v>
      </c>
      <c r="AE102" s="35">
        <v>0</v>
      </c>
      <c r="AF102" s="35">
        <v>0</v>
      </c>
      <c r="AG102" s="35">
        <v>0</v>
      </c>
      <c r="AH102" s="35">
        <v>0</v>
      </c>
      <c r="AI102" s="35">
        <v>0</v>
      </c>
      <c r="AJ102" s="35">
        <v>0</v>
      </c>
      <c r="AK102" s="35">
        <v>0</v>
      </c>
      <c r="AL102" s="35">
        <v>0</v>
      </c>
      <c r="AM102" s="35">
        <v>0</v>
      </c>
      <c r="AN102" s="35">
        <v>0</v>
      </c>
      <c r="AO102" s="35">
        <v>0</v>
      </c>
      <c r="AP102" s="35">
        <v>0</v>
      </c>
      <c r="AQ102" s="35">
        <v>0</v>
      </c>
      <c r="AR102" s="35">
        <v>0</v>
      </c>
      <c r="AS102" s="35">
        <v>0</v>
      </c>
      <c r="AT102" s="35">
        <v>0</v>
      </c>
      <c r="AU102" s="35">
        <v>0</v>
      </c>
      <c r="AV102" s="35">
        <v>0</v>
      </c>
      <c r="AW102" s="35">
        <v>0</v>
      </c>
      <c r="AX102" s="35">
        <v>0</v>
      </c>
      <c r="AY102" s="35">
        <v>0</v>
      </c>
      <c r="AZ102" s="35">
        <v>0</v>
      </c>
      <c r="BA102" s="35">
        <v>0</v>
      </c>
      <c r="BB102" s="35">
        <v>0</v>
      </c>
      <c r="BC102" s="35">
        <v>0</v>
      </c>
      <c r="BD102" s="35">
        <v>2</v>
      </c>
      <c r="BE102" s="117">
        <f t="shared" si="33"/>
        <v>2.9999999999999997E-4</v>
      </c>
    </row>
    <row r="103" spans="1:59" x14ac:dyDescent="0.25">
      <c r="A103" s="19">
        <v>9</v>
      </c>
      <c r="B103" s="80" t="str">
        <f>B93</f>
        <v>Rework Loss Type I</v>
      </c>
      <c r="C103" s="43" t="str">
        <f t="shared" si="31"/>
        <v>Product H</v>
      </c>
      <c r="D103" s="35">
        <v>0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  <c r="U103" s="35">
        <v>0</v>
      </c>
      <c r="V103" s="35">
        <v>0</v>
      </c>
      <c r="W103" s="35">
        <v>0</v>
      </c>
      <c r="X103" s="35">
        <v>0</v>
      </c>
      <c r="Y103" s="35">
        <v>0</v>
      </c>
      <c r="Z103" s="35">
        <v>0</v>
      </c>
      <c r="AA103" s="35">
        <v>0</v>
      </c>
      <c r="AB103" s="35">
        <v>0</v>
      </c>
      <c r="AC103" s="35">
        <v>0</v>
      </c>
      <c r="AD103" s="35">
        <v>0</v>
      </c>
      <c r="AE103" s="35">
        <v>0</v>
      </c>
      <c r="AF103" s="35">
        <v>0</v>
      </c>
      <c r="AG103" s="35">
        <v>0</v>
      </c>
      <c r="AH103" s="35">
        <v>0</v>
      </c>
      <c r="AI103" s="35">
        <v>0</v>
      </c>
      <c r="AJ103" s="35">
        <v>0</v>
      </c>
      <c r="AK103" s="35">
        <v>0</v>
      </c>
      <c r="AL103" s="35">
        <v>0</v>
      </c>
      <c r="AM103" s="35">
        <v>0</v>
      </c>
      <c r="AN103" s="35">
        <v>0</v>
      </c>
      <c r="AO103" s="35">
        <v>0</v>
      </c>
      <c r="AP103" s="35">
        <v>0</v>
      </c>
      <c r="AQ103" s="35">
        <v>0</v>
      </c>
      <c r="AR103" s="35">
        <v>0</v>
      </c>
      <c r="AS103" s="35">
        <v>0</v>
      </c>
      <c r="AT103" s="35">
        <v>0</v>
      </c>
      <c r="AU103" s="35">
        <v>0</v>
      </c>
      <c r="AV103" s="35">
        <v>0</v>
      </c>
      <c r="AW103" s="35">
        <v>0</v>
      </c>
      <c r="AX103" s="35">
        <v>0</v>
      </c>
      <c r="AY103" s="35">
        <v>0</v>
      </c>
      <c r="AZ103" s="35">
        <v>0</v>
      </c>
      <c r="BA103" s="35">
        <v>0</v>
      </c>
      <c r="BB103" s="35">
        <v>0</v>
      </c>
      <c r="BC103" s="35">
        <v>0</v>
      </c>
      <c r="BD103" s="35">
        <v>2</v>
      </c>
      <c r="BE103" s="117">
        <f t="shared" si="33"/>
        <v>2.9999999999999997E-4</v>
      </c>
    </row>
    <row r="104" spans="1:59" x14ac:dyDescent="0.25">
      <c r="A104" s="19">
        <v>10</v>
      </c>
      <c r="B104" s="80"/>
      <c r="C104" s="43">
        <f t="shared" si="31"/>
        <v>0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G104">
        <f>SUM(BG95,BG85,BG75,BG65,BG55,BG45,BG35,BG25)</f>
        <v>5044</v>
      </c>
    </row>
    <row r="106" spans="1:59" x14ac:dyDescent="0.25">
      <c r="B106" s="61" t="s">
        <v>214</v>
      </c>
      <c r="C106" s="87">
        <v>0.9</v>
      </c>
      <c r="D106" s="179" t="s">
        <v>215</v>
      </c>
      <c r="E106" s="181"/>
      <c r="F106" s="79">
        <v>3</v>
      </c>
      <c r="G106" s="89" t="s">
        <v>339</v>
      </c>
      <c r="H106" s="90"/>
      <c r="I106" s="19"/>
      <c r="J106" s="79">
        <f>F107*AF107</f>
        <v>364</v>
      </c>
      <c r="K106" s="177" t="s">
        <v>284</v>
      </c>
      <c r="L106" s="178"/>
      <c r="M106" s="120">
        <f>1-(SUM(M300:M319)/BD23)</f>
        <v>0.99975354452054799</v>
      </c>
      <c r="N106" s="177" t="s">
        <v>218</v>
      </c>
      <c r="O106" s="178"/>
      <c r="P106" s="97">
        <f>BE23/BD23</f>
        <v>10.163998287671232</v>
      </c>
      <c r="Q106" s="177" t="s">
        <v>219</v>
      </c>
      <c r="R106" s="178"/>
      <c r="S106" s="79">
        <v>2</v>
      </c>
      <c r="T106" s="179"/>
      <c r="U106" s="180"/>
      <c r="V106" s="181"/>
      <c r="W106" s="79"/>
      <c r="X106" s="179" t="s">
        <v>383</v>
      </c>
      <c r="Y106" s="181"/>
      <c r="Z106" s="79">
        <v>0</v>
      </c>
      <c r="AA106" s="179" t="s">
        <v>222</v>
      </c>
      <c r="AB106" s="181"/>
      <c r="AC106" s="79">
        <v>8</v>
      </c>
      <c r="AD106" s="179" t="s">
        <v>224</v>
      </c>
      <c r="AE106" s="181"/>
      <c r="AF106" s="79">
        <v>30</v>
      </c>
    </row>
    <row r="107" spans="1:59" x14ac:dyDescent="0.25">
      <c r="B107" s="61" t="s">
        <v>115</v>
      </c>
      <c r="C107" s="79">
        <v>8</v>
      </c>
      <c r="D107" s="179" t="s">
        <v>216</v>
      </c>
      <c r="E107" s="181"/>
      <c r="F107" s="79">
        <v>7</v>
      </c>
      <c r="G107" s="177" t="s">
        <v>361</v>
      </c>
      <c r="H107" s="182"/>
      <c r="I107" s="178"/>
      <c r="J107" s="79">
        <v>0</v>
      </c>
      <c r="K107" s="177" t="s">
        <v>217</v>
      </c>
      <c r="L107" s="178"/>
      <c r="M107" s="120">
        <f>SUM(L300:L319)/BD23</f>
        <v>4.1862157534246577E-4</v>
      </c>
      <c r="N107" s="177" t="s">
        <v>15</v>
      </c>
      <c r="O107" s="178"/>
      <c r="P107" s="97">
        <f>SUM(N300:N319)</f>
        <v>12</v>
      </c>
      <c r="Q107" s="177" t="s">
        <v>381</v>
      </c>
      <c r="R107" s="178"/>
      <c r="S107" s="79">
        <v>0</v>
      </c>
      <c r="T107" s="179"/>
      <c r="U107" s="180"/>
      <c r="V107" s="181"/>
      <c r="W107" s="79"/>
      <c r="X107" s="179" t="s">
        <v>221</v>
      </c>
      <c r="Y107" s="181"/>
      <c r="Z107" s="79">
        <v>8</v>
      </c>
      <c r="AA107" s="179" t="s">
        <v>223</v>
      </c>
      <c r="AB107" s="181"/>
      <c r="AC107" s="79">
        <v>12</v>
      </c>
      <c r="AD107" s="179" t="s">
        <v>340</v>
      </c>
      <c r="AE107" s="181"/>
      <c r="AF107" s="79">
        <v>52</v>
      </c>
    </row>
    <row r="109" spans="1:59" x14ac:dyDescent="0.25">
      <c r="A109" s="35">
        <v>8</v>
      </c>
      <c r="B109" s="35" t="s">
        <v>272</v>
      </c>
      <c r="C109" s="19" t="s">
        <v>213</v>
      </c>
      <c r="D109" s="104">
        <v>1</v>
      </c>
      <c r="E109" s="104">
        <f>D109+1</f>
        <v>2</v>
      </c>
      <c r="F109" s="104">
        <f t="shared" ref="F109:BC109" si="34">E109+1</f>
        <v>3</v>
      </c>
      <c r="G109" s="104">
        <f t="shared" si="34"/>
        <v>4</v>
      </c>
      <c r="H109" s="104">
        <f t="shared" si="34"/>
        <v>5</v>
      </c>
      <c r="I109" s="104">
        <f t="shared" si="34"/>
        <v>6</v>
      </c>
      <c r="J109" s="104">
        <f t="shared" si="34"/>
        <v>7</v>
      </c>
      <c r="K109" s="104">
        <f t="shared" si="34"/>
        <v>8</v>
      </c>
      <c r="L109" s="104">
        <f t="shared" si="34"/>
        <v>9</v>
      </c>
      <c r="M109" s="104">
        <f t="shared" si="34"/>
        <v>10</v>
      </c>
      <c r="N109" s="104">
        <f t="shared" si="34"/>
        <v>11</v>
      </c>
      <c r="O109" s="104">
        <f t="shared" si="34"/>
        <v>12</v>
      </c>
      <c r="P109" s="104">
        <f t="shared" si="34"/>
        <v>13</v>
      </c>
      <c r="Q109" s="104">
        <f t="shared" si="34"/>
        <v>14</v>
      </c>
      <c r="R109" s="104">
        <f t="shared" si="34"/>
        <v>15</v>
      </c>
      <c r="S109" s="104">
        <f t="shared" si="34"/>
        <v>16</v>
      </c>
      <c r="T109" s="104">
        <f t="shared" si="34"/>
        <v>17</v>
      </c>
      <c r="U109" s="104">
        <f t="shared" si="34"/>
        <v>18</v>
      </c>
      <c r="V109" s="104">
        <f t="shared" si="34"/>
        <v>19</v>
      </c>
      <c r="W109" s="104">
        <f t="shared" si="34"/>
        <v>20</v>
      </c>
      <c r="X109" s="104">
        <f t="shared" si="34"/>
        <v>21</v>
      </c>
      <c r="Y109" s="104">
        <f t="shared" si="34"/>
        <v>22</v>
      </c>
      <c r="Z109" s="104">
        <f t="shared" si="34"/>
        <v>23</v>
      </c>
      <c r="AA109" s="104">
        <f t="shared" si="34"/>
        <v>24</v>
      </c>
      <c r="AB109" s="104">
        <f t="shared" si="34"/>
        <v>25</v>
      </c>
      <c r="AC109" s="104">
        <f t="shared" si="34"/>
        <v>26</v>
      </c>
      <c r="AD109" s="104">
        <f t="shared" si="34"/>
        <v>27</v>
      </c>
      <c r="AE109" s="104">
        <f t="shared" si="34"/>
        <v>28</v>
      </c>
      <c r="AF109" s="104">
        <f t="shared" si="34"/>
        <v>29</v>
      </c>
      <c r="AG109" s="104">
        <f t="shared" si="34"/>
        <v>30</v>
      </c>
      <c r="AH109" s="104">
        <f t="shared" si="34"/>
        <v>31</v>
      </c>
      <c r="AI109" s="104">
        <f t="shared" si="34"/>
        <v>32</v>
      </c>
      <c r="AJ109" s="104">
        <f t="shared" si="34"/>
        <v>33</v>
      </c>
      <c r="AK109" s="104">
        <f t="shared" si="34"/>
        <v>34</v>
      </c>
      <c r="AL109" s="104">
        <f t="shared" si="34"/>
        <v>35</v>
      </c>
      <c r="AM109" s="104">
        <f t="shared" si="34"/>
        <v>36</v>
      </c>
      <c r="AN109" s="104">
        <f t="shared" si="34"/>
        <v>37</v>
      </c>
      <c r="AO109" s="104">
        <f t="shared" si="34"/>
        <v>38</v>
      </c>
      <c r="AP109" s="104">
        <f t="shared" si="34"/>
        <v>39</v>
      </c>
      <c r="AQ109" s="104">
        <f t="shared" si="34"/>
        <v>40</v>
      </c>
      <c r="AR109" s="104">
        <f t="shared" si="34"/>
        <v>41</v>
      </c>
      <c r="AS109" s="104">
        <f t="shared" si="34"/>
        <v>42</v>
      </c>
      <c r="AT109" s="104">
        <f t="shared" si="34"/>
        <v>43</v>
      </c>
      <c r="AU109" s="104">
        <f t="shared" si="34"/>
        <v>44</v>
      </c>
      <c r="AV109" s="104">
        <f t="shared" si="34"/>
        <v>45</v>
      </c>
      <c r="AW109" s="104">
        <f t="shared" si="34"/>
        <v>46</v>
      </c>
      <c r="AX109" s="104">
        <f t="shared" si="34"/>
        <v>47</v>
      </c>
      <c r="AY109" s="104">
        <f t="shared" si="34"/>
        <v>48</v>
      </c>
      <c r="AZ109" s="104">
        <f t="shared" si="34"/>
        <v>49</v>
      </c>
      <c r="BA109" s="104">
        <f t="shared" si="34"/>
        <v>50</v>
      </c>
      <c r="BB109" s="104">
        <f t="shared" si="34"/>
        <v>51</v>
      </c>
      <c r="BC109" s="104">
        <f t="shared" si="34"/>
        <v>52</v>
      </c>
      <c r="BD109" s="19"/>
    </row>
    <row r="110" spans="1:59" x14ac:dyDescent="0.25">
      <c r="B110" s="43" t="str">
        <f>B109</f>
        <v>Yield Defect Loss Type A</v>
      </c>
      <c r="C110" s="43" t="str">
        <f t="shared" ref="C110:C117" si="35">B3</f>
        <v>Product A</v>
      </c>
      <c r="D110" s="35">
        <v>5</v>
      </c>
      <c r="E110" s="35">
        <v>0</v>
      </c>
      <c r="F110" s="35">
        <v>2</v>
      </c>
      <c r="G110" s="35">
        <v>0</v>
      </c>
      <c r="H110" s="35">
        <v>4</v>
      </c>
      <c r="I110" s="35">
        <v>0</v>
      </c>
      <c r="J110" s="35">
        <v>0</v>
      </c>
      <c r="K110" s="35">
        <v>0</v>
      </c>
      <c r="L110" s="35">
        <v>4</v>
      </c>
      <c r="M110" s="35">
        <v>0</v>
      </c>
      <c r="N110" s="35">
        <v>0</v>
      </c>
      <c r="O110" s="35">
        <v>0</v>
      </c>
      <c r="P110" s="35">
        <v>4</v>
      </c>
      <c r="Q110" s="35">
        <v>1</v>
      </c>
      <c r="R110" s="35">
        <v>0</v>
      </c>
      <c r="S110" s="35">
        <v>0</v>
      </c>
      <c r="T110" s="35">
        <v>4</v>
      </c>
      <c r="U110" s="35">
        <v>0</v>
      </c>
      <c r="V110" s="35">
        <v>0</v>
      </c>
      <c r="W110" s="35">
        <v>1</v>
      </c>
      <c r="X110" s="35">
        <v>4</v>
      </c>
      <c r="Y110" s="35">
        <v>0</v>
      </c>
      <c r="Z110" s="35">
        <v>0</v>
      </c>
      <c r="AA110" s="35">
        <v>0</v>
      </c>
      <c r="AB110" s="35">
        <v>4</v>
      </c>
      <c r="AC110" s="35">
        <v>0</v>
      </c>
      <c r="AD110" s="35">
        <v>3</v>
      </c>
      <c r="AE110" s="35">
        <v>0</v>
      </c>
      <c r="AF110" s="35">
        <v>4</v>
      </c>
      <c r="AG110" s="35">
        <v>0</v>
      </c>
      <c r="AH110" s="35">
        <v>0</v>
      </c>
      <c r="AI110" s="35">
        <v>1</v>
      </c>
      <c r="AJ110" s="35">
        <v>4</v>
      </c>
      <c r="AK110" s="35">
        <v>0</v>
      </c>
      <c r="AL110" s="35">
        <v>0</v>
      </c>
      <c r="AM110" s="35">
        <v>0</v>
      </c>
      <c r="AN110" s="35">
        <v>4</v>
      </c>
      <c r="AO110" s="35">
        <v>1</v>
      </c>
      <c r="AP110" s="35">
        <v>0</v>
      </c>
      <c r="AQ110" s="35">
        <v>0</v>
      </c>
      <c r="AR110" s="35">
        <v>4</v>
      </c>
      <c r="AS110" s="35">
        <v>0</v>
      </c>
      <c r="AT110" s="35">
        <v>2</v>
      </c>
      <c r="AU110" s="35">
        <v>0</v>
      </c>
      <c r="AV110" s="35">
        <v>4</v>
      </c>
      <c r="AW110" s="35">
        <v>2</v>
      </c>
      <c r="AX110" s="35">
        <v>0</v>
      </c>
      <c r="AY110" s="35">
        <v>0</v>
      </c>
      <c r="AZ110" s="35">
        <v>4</v>
      </c>
      <c r="BA110" s="35">
        <v>0</v>
      </c>
      <c r="BB110" s="35">
        <v>0</v>
      </c>
      <c r="BC110" s="35">
        <v>0</v>
      </c>
      <c r="BD110" s="19"/>
    </row>
    <row r="111" spans="1:59" x14ac:dyDescent="0.25">
      <c r="B111" s="50" t="str">
        <f>B110</f>
        <v>Yield Defect Loss Type A</v>
      </c>
      <c r="C111" s="43" t="str">
        <f t="shared" si="35"/>
        <v>Product B</v>
      </c>
      <c r="D111" s="35">
        <v>0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  <c r="U111" s="35">
        <v>0</v>
      </c>
      <c r="V111" s="35">
        <v>0</v>
      </c>
      <c r="W111" s="35">
        <v>0</v>
      </c>
      <c r="X111" s="35">
        <v>0</v>
      </c>
      <c r="Y111" s="35">
        <v>0</v>
      </c>
      <c r="Z111" s="35">
        <v>0</v>
      </c>
      <c r="AA111" s="35">
        <v>0</v>
      </c>
      <c r="AB111" s="35">
        <v>0</v>
      </c>
      <c r="AC111" s="35">
        <v>0</v>
      </c>
      <c r="AD111" s="35">
        <v>0</v>
      </c>
      <c r="AE111" s="35">
        <v>0</v>
      </c>
      <c r="AF111" s="35">
        <v>0</v>
      </c>
      <c r="AG111" s="35">
        <v>0</v>
      </c>
      <c r="AH111" s="35">
        <v>0</v>
      </c>
      <c r="AI111" s="35">
        <v>0</v>
      </c>
      <c r="AJ111" s="35">
        <v>0</v>
      </c>
      <c r="AK111" s="35">
        <v>0</v>
      </c>
      <c r="AL111" s="35">
        <v>0</v>
      </c>
      <c r="AM111" s="35">
        <v>0</v>
      </c>
      <c r="AN111" s="35">
        <v>0</v>
      </c>
      <c r="AO111" s="35">
        <v>0</v>
      </c>
      <c r="AP111" s="35">
        <v>0</v>
      </c>
      <c r="AQ111" s="35">
        <v>0</v>
      </c>
      <c r="AR111" s="35">
        <v>0</v>
      </c>
      <c r="AS111" s="35">
        <v>0</v>
      </c>
      <c r="AT111" s="35">
        <v>0</v>
      </c>
      <c r="AU111" s="35">
        <v>0</v>
      </c>
      <c r="AV111" s="35">
        <v>0</v>
      </c>
      <c r="AW111" s="35">
        <v>0</v>
      </c>
      <c r="AX111" s="35">
        <v>0</v>
      </c>
      <c r="AY111" s="35">
        <v>0</v>
      </c>
      <c r="AZ111" s="35">
        <v>0</v>
      </c>
      <c r="BA111" s="35">
        <v>0</v>
      </c>
      <c r="BB111" s="35">
        <v>0</v>
      </c>
      <c r="BC111" s="35">
        <v>0</v>
      </c>
      <c r="BD111" s="19"/>
    </row>
    <row r="112" spans="1:59" x14ac:dyDescent="0.25">
      <c r="B112" s="50" t="str">
        <f>B111</f>
        <v>Yield Defect Loss Type A</v>
      </c>
      <c r="C112" s="43" t="str">
        <f t="shared" si="35"/>
        <v>Product C</v>
      </c>
      <c r="D112" s="35">
        <v>0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  <c r="U112" s="35">
        <v>0</v>
      </c>
      <c r="V112" s="35">
        <v>0</v>
      </c>
      <c r="W112" s="35">
        <v>0</v>
      </c>
      <c r="X112" s="35">
        <v>0</v>
      </c>
      <c r="Y112" s="35">
        <v>0</v>
      </c>
      <c r="Z112" s="35">
        <v>0</v>
      </c>
      <c r="AA112" s="35">
        <v>0</v>
      </c>
      <c r="AB112" s="35">
        <v>0</v>
      </c>
      <c r="AC112" s="35">
        <v>0</v>
      </c>
      <c r="AD112" s="35">
        <v>0</v>
      </c>
      <c r="AE112" s="35">
        <v>0</v>
      </c>
      <c r="AF112" s="35">
        <v>0</v>
      </c>
      <c r="AG112" s="35">
        <v>0</v>
      </c>
      <c r="AH112" s="35">
        <v>0</v>
      </c>
      <c r="AI112" s="35">
        <v>0</v>
      </c>
      <c r="AJ112" s="35">
        <v>0</v>
      </c>
      <c r="AK112" s="35">
        <v>0</v>
      </c>
      <c r="AL112" s="35">
        <v>0</v>
      </c>
      <c r="AM112" s="35">
        <v>0</v>
      </c>
      <c r="AN112" s="35">
        <v>0</v>
      </c>
      <c r="AO112" s="35">
        <v>0</v>
      </c>
      <c r="AP112" s="35">
        <v>0</v>
      </c>
      <c r="AQ112" s="35">
        <v>0</v>
      </c>
      <c r="AR112" s="35">
        <v>0</v>
      </c>
      <c r="AS112" s="35">
        <v>0</v>
      </c>
      <c r="AT112" s="35">
        <v>0</v>
      </c>
      <c r="AU112" s="35">
        <v>0</v>
      </c>
      <c r="AV112" s="35">
        <v>0</v>
      </c>
      <c r="AW112" s="35">
        <v>0</v>
      </c>
      <c r="AX112" s="35">
        <v>0</v>
      </c>
      <c r="AY112" s="35">
        <v>0</v>
      </c>
      <c r="AZ112" s="35">
        <v>0</v>
      </c>
      <c r="BA112" s="35">
        <v>0</v>
      </c>
      <c r="BB112" s="35">
        <v>0</v>
      </c>
      <c r="BC112" s="35">
        <v>0</v>
      </c>
      <c r="BD112" s="19"/>
    </row>
    <row r="113" spans="2:56" x14ac:dyDescent="0.25">
      <c r="B113" s="50" t="str">
        <f t="shared" ref="B113:B117" si="36">B112</f>
        <v>Yield Defect Loss Type A</v>
      </c>
      <c r="C113" s="43" t="str">
        <f t="shared" si="35"/>
        <v>Product D</v>
      </c>
      <c r="D113" s="35">
        <v>0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  <c r="U113" s="35">
        <v>0</v>
      </c>
      <c r="V113" s="35">
        <v>0</v>
      </c>
      <c r="W113" s="35">
        <v>0</v>
      </c>
      <c r="X113" s="35">
        <v>0</v>
      </c>
      <c r="Y113" s="35">
        <v>0</v>
      </c>
      <c r="Z113" s="35">
        <v>0</v>
      </c>
      <c r="AA113" s="35">
        <v>0</v>
      </c>
      <c r="AB113" s="35">
        <v>0</v>
      </c>
      <c r="AC113" s="35">
        <v>0</v>
      </c>
      <c r="AD113" s="35">
        <v>0</v>
      </c>
      <c r="AE113" s="35">
        <v>0</v>
      </c>
      <c r="AF113" s="35">
        <v>0</v>
      </c>
      <c r="AG113" s="35">
        <v>0</v>
      </c>
      <c r="AH113" s="35">
        <v>0</v>
      </c>
      <c r="AI113" s="35">
        <v>0</v>
      </c>
      <c r="AJ113" s="35">
        <v>0</v>
      </c>
      <c r="AK113" s="35">
        <v>0</v>
      </c>
      <c r="AL113" s="35">
        <v>0</v>
      </c>
      <c r="AM113" s="35">
        <v>0</v>
      </c>
      <c r="AN113" s="35">
        <v>0</v>
      </c>
      <c r="AO113" s="35">
        <v>0</v>
      </c>
      <c r="AP113" s="35">
        <v>0</v>
      </c>
      <c r="AQ113" s="35">
        <v>0</v>
      </c>
      <c r="AR113" s="35">
        <v>0</v>
      </c>
      <c r="AS113" s="35">
        <v>0</v>
      </c>
      <c r="AT113" s="35">
        <v>0</v>
      </c>
      <c r="AU113" s="35">
        <v>0</v>
      </c>
      <c r="AV113" s="35">
        <v>0</v>
      </c>
      <c r="AW113" s="35">
        <v>0</v>
      </c>
      <c r="AX113" s="35">
        <v>0</v>
      </c>
      <c r="AY113" s="35">
        <v>0</v>
      </c>
      <c r="AZ113" s="35">
        <v>0</v>
      </c>
      <c r="BA113" s="35">
        <v>0</v>
      </c>
      <c r="BB113" s="35">
        <v>0</v>
      </c>
      <c r="BC113" s="35">
        <v>0</v>
      </c>
      <c r="BD113" s="19"/>
    </row>
    <row r="114" spans="2:56" x14ac:dyDescent="0.25">
      <c r="B114" s="50" t="str">
        <f t="shared" si="36"/>
        <v>Yield Defect Loss Type A</v>
      </c>
      <c r="C114" s="43" t="str">
        <f t="shared" si="35"/>
        <v>Product E</v>
      </c>
      <c r="D114" s="35">
        <v>0</v>
      </c>
      <c r="E114" s="35">
        <v>0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  <c r="U114" s="35">
        <v>0</v>
      </c>
      <c r="V114" s="35">
        <v>0</v>
      </c>
      <c r="W114" s="35">
        <v>0</v>
      </c>
      <c r="X114" s="35">
        <v>0</v>
      </c>
      <c r="Y114" s="35">
        <v>0</v>
      </c>
      <c r="Z114" s="35">
        <v>0</v>
      </c>
      <c r="AA114" s="35">
        <v>0</v>
      </c>
      <c r="AB114" s="35">
        <v>0</v>
      </c>
      <c r="AC114" s="35">
        <v>0</v>
      </c>
      <c r="AD114" s="35">
        <v>0</v>
      </c>
      <c r="AE114" s="35">
        <v>0</v>
      </c>
      <c r="AF114" s="35">
        <v>0</v>
      </c>
      <c r="AG114" s="35">
        <v>0</v>
      </c>
      <c r="AH114" s="35">
        <v>0</v>
      </c>
      <c r="AI114" s="35">
        <v>0</v>
      </c>
      <c r="AJ114" s="35">
        <v>0</v>
      </c>
      <c r="AK114" s="35">
        <v>0</v>
      </c>
      <c r="AL114" s="35">
        <v>0</v>
      </c>
      <c r="AM114" s="35">
        <v>0</v>
      </c>
      <c r="AN114" s="35">
        <v>0</v>
      </c>
      <c r="AO114" s="35">
        <v>0</v>
      </c>
      <c r="AP114" s="35">
        <v>0</v>
      </c>
      <c r="AQ114" s="35">
        <v>0</v>
      </c>
      <c r="AR114" s="35">
        <v>0</v>
      </c>
      <c r="AS114" s="35">
        <v>0</v>
      </c>
      <c r="AT114" s="35">
        <v>0</v>
      </c>
      <c r="AU114" s="35">
        <v>0</v>
      </c>
      <c r="AV114" s="35">
        <v>0</v>
      </c>
      <c r="AW114" s="35">
        <v>0</v>
      </c>
      <c r="AX114" s="35">
        <v>0</v>
      </c>
      <c r="AY114" s="35">
        <v>0</v>
      </c>
      <c r="AZ114" s="35">
        <v>0</v>
      </c>
      <c r="BA114" s="35">
        <v>0</v>
      </c>
      <c r="BB114" s="35">
        <v>0</v>
      </c>
      <c r="BC114" s="35">
        <v>0</v>
      </c>
      <c r="BD114" s="19"/>
    </row>
    <row r="115" spans="2:56" x14ac:dyDescent="0.25">
      <c r="B115" s="50" t="str">
        <f t="shared" si="36"/>
        <v>Yield Defect Loss Type A</v>
      </c>
      <c r="C115" s="43" t="str">
        <f t="shared" si="35"/>
        <v>Product F</v>
      </c>
      <c r="D115" s="35">
        <v>0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  <c r="U115" s="35">
        <v>0</v>
      </c>
      <c r="V115" s="35">
        <v>0</v>
      </c>
      <c r="W115" s="35">
        <v>0</v>
      </c>
      <c r="X115" s="35">
        <v>0</v>
      </c>
      <c r="Y115" s="35">
        <v>0</v>
      </c>
      <c r="Z115" s="35">
        <v>0</v>
      </c>
      <c r="AA115" s="35">
        <v>0</v>
      </c>
      <c r="AB115" s="35">
        <v>0</v>
      </c>
      <c r="AC115" s="35">
        <v>0</v>
      </c>
      <c r="AD115" s="35">
        <v>0</v>
      </c>
      <c r="AE115" s="35">
        <v>0</v>
      </c>
      <c r="AF115" s="35">
        <v>0</v>
      </c>
      <c r="AG115" s="35">
        <v>0</v>
      </c>
      <c r="AH115" s="35">
        <v>0</v>
      </c>
      <c r="AI115" s="35">
        <v>0</v>
      </c>
      <c r="AJ115" s="35">
        <v>0</v>
      </c>
      <c r="AK115" s="35">
        <v>0</v>
      </c>
      <c r="AL115" s="35">
        <v>0</v>
      </c>
      <c r="AM115" s="35">
        <v>0</v>
      </c>
      <c r="AN115" s="35">
        <v>0</v>
      </c>
      <c r="AO115" s="35">
        <v>0</v>
      </c>
      <c r="AP115" s="35">
        <v>0</v>
      </c>
      <c r="AQ115" s="35">
        <v>0</v>
      </c>
      <c r="AR115" s="35">
        <v>0</v>
      </c>
      <c r="AS115" s="35">
        <v>0</v>
      </c>
      <c r="AT115" s="35">
        <v>0</v>
      </c>
      <c r="AU115" s="35">
        <v>0</v>
      </c>
      <c r="AV115" s="35">
        <v>0</v>
      </c>
      <c r="AW115" s="35">
        <v>0</v>
      </c>
      <c r="AX115" s="35">
        <v>0</v>
      </c>
      <c r="AY115" s="35">
        <v>0</v>
      </c>
      <c r="AZ115" s="35">
        <v>0</v>
      </c>
      <c r="BA115" s="35">
        <v>0</v>
      </c>
      <c r="BB115" s="35">
        <v>0</v>
      </c>
      <c r="BC115" s="35">
        <v>0</v>
      </c>
      <c r="BD115" s="19"/>
    </row>
    <row r="116" spans="2:56" x14ac:dyDescent="0.25">
      <c r="B116" s="50" t="str">
        <f t="shared" si="36"/>
        <v>Yield Defect Loss Type A</v>
      </c>
      <c r="C116" s="43" t="str">
        <f t="shared" si="35"/>
        <v>Product G</v>
      </c>
      <c r="D116" s="35">
        <v>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  <c r="U116" s="35">
        <v>0</v>
      </c>
      <c r="V116" s="35">
        <v>0</v>
      </c>
      <c r="W116" s="35">
        <v>0</v>
      </c>
      <c r="X116" s="35">
        <v>0</v>
      </c>
      <c r="Y116" s="35">
        <v>0</v>
      </c>
      <c r="Z116" s="35">
        <v>0</v>
      </c>
      <c r="AA116" s="35">
        <v>0</v>
      </c>
      <c r="AB116" s="35">
        <v>0</v>
      </c>
      <c r="AC116" s="35">
        <v>0</v>
      </c>
      <c r="AD116" s="35">
        <v>0</v>
      </c>
      <c r="AE116" s="35">
        <v>0</v>
      </c>
      <c r="AF116" s="35">
        <v>0</v>
      </c>
      <c r="AG116" s="35">
        <v>0</v>
      </c>
      <c r="AH116" s="35">
        <v>0</v>
      </c>
      <c r="AI116" s="35">
        <v>0</v>
      </c>
      <c r="AJ116" s="35">
        <v>0</v>
      </c>
      <c r="AK116" s="35">
        <v>0</v>
      </c>
      <c r="AL116" s="35">
        <v>0</v>
      </c>
      <c r="AM116" s="35">
        <v>0</v>
      </c>
      <c r="AN116" s="35">
        <v>0</v>
      </c>
      <c r="AO116" s="35">
        <v>0</v>
      </c>
      <c r="AP116" s="35">
        <v>0</v>
      </c>
      <c r="AQ116" s="35">
        <v>0</v>
      </c>
      <c r="AR116" s="35">
        <v>0</v>
      </c>
      <c r="AS116" s="35">
        <v>0</v>
      </c>
      <c r="AT116" s="35">
        <v>0</v>
      </c>
      <c r="AU116" s="35">
        <v>0</v>
      </c>
      <c r="AV116" s="35">
        <v>0</v>
      </c>
      <c r="AW116" s="35">
        <v>0</v>
      </c>
      <c r="AX116" s="35">
        <v>0</v>
      </c>
      <c r="AY116" s="35">
        <v>0</v>
      </c>
      <c r="AZ116" s="35">
        <v>0</v>
      </c>
      <c r="BA116" s="35">
        <v>0</v>
      </c>
      <c r="BB116" s="35">
        <v>0</v>
      </c>
      <c r="BC116" s="35">
        <v>0</v>
      </c>
      <c r="BD116" s="19"/>
    </row>
    <row r="117" spans="2:56" x14ac:dyDescent="0.25">
      <c r="B117" s="50" t="str">
        <f t="shared" si="36"/>
        <v>Yield Defect Loss Type A</v>
      </c>
      <c r="C117" s="43" t="str">
        <f t="shared" si="35"/>
        <v>Product H</v>
      </c>
      <c r="D117" s="35">
        <v>0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  <c r="U117" s="35">
        <v>0</v>
      </c>
      <c r="V117" s="35">
        <v>0</v>
      </c>
      <c r="W117" s="35">
        <v>0</v>
      </c>
      <c r="X117" s="35">
        <v>0</v>
      </c>
      <c r="Y117" s="35">
        <v>0</v>
      </c>
      <c r="Z117" s="35">
        <v>0</v>
      </c>
      <c r="AA117" s="35">
        <v>0</v>
      </c>
      <c r="AB117" s="35">
        <v>0</v>
      </c>
      <c r="AC117" s="35">
        <v>0</v>
      </c>
      <c r="AD117" s="35">
        <v>0</v>
      </c>
      <c r="AE117" s="35">
        <v>0</v>
      </c>
      <c r="AF117" s="35">
        <v>0</v>
      </c>
      <c r="AG117" s="35">
        <v>0</v>
      </c>
      <c r="AH117" s="35">
        <v>0</v>
      </c>
      <c r="AI117" s="35">
        <v>0</v>
      </c>
      <c r="AJ117" s="35">
        <v>0</v>
      </c>
      <c r="AK117" s="35">
        <v>0</v>
      </c>
      <c r="AL117" s="35">
        <v>0</v>
      </c>
      <c r="AM117" s="35">
        <v>0</v>
      </c>
      <c r="AN117" s="35">
        <v>0</v>
      </c>
      <c r="AO117" s="35">
        <v>0</v>
      </c>
      <c r="AP117" s="35">
        <v>0</v>
      </c>
      <c r="AQ117" s="35">
        <v>0</v>
      </c>
      <c r="AR117" s="35">
        <v>0</v>
      </c>
      <c r="AS117" s="35">
        <v>0</v>
      </c>
      <c r="AT117" s="35">
        <v>0</v>
      </c>
      <c r="AU117" s="35">
        <v>0</v>
      </c>
      <c r="AV117" s="35">
        <v>0</v>
      </c>
      <c r="AW117" s="35">
        <v>0</v>
      </c>
      <c r="AX117" s="35">
        <v>0</v>
      </c>
      <c r="AY117" s="35">
        <v>0</v>
      </c>
      <c r="AZ117" s="35">
        <v>0</v>
      </c>
      <c r="BA117" s="35">
        <v>0</v>
      </c>
      <c r="BB117" s="35">
        <v>0</v>
      </c>
      <c r="BC117" s="35">
        <v>0</v>
      </c>
      <c r="BD117" s="19"/>
    </row>
    <row r="118" spans="2:56" x14ac:dyDescent="0.25">
      <c r="B118" s="35" t="s">
        <v>273</v>
      </c>
      <c r="C118" s="19"/>
      <c r="D118" s="104">
        <v>1</v>
      </c>
      <c r="E118" s="104">
        <f>D118+1</f>
        <v>2</v>
      </c>
      <c r="F118" s="104">
        <f t="shared" ref="F118:BC118" si="37">E118+1</f>
        <v>3</v>
      </c>
      <c r="G118" s="104">
        <f t="shared" si="37"/>
        <v>4</v>
      </c>
      <c r="H118" s="104">
        <f t="shared" si="37"/>
        <v>5</v>
      </c>
      <c r="I118" s="104">
        <f t="shared" si="37"/>
        <v>6</v>
      </c>
      <c r="J118" s="104">
        <f t="shared" si="37"/>
        <v>7</v>
      </c>
      <c r="K118" s="104">
        <f t="shared" si="37"/>
        <v>8</v>
      </c>
      <c r="L118" s="104">
        <f t="shared" si="37"/>
        <v>9</v>
      </c>
      <c r="M118" s="104">
        <f t="shared" si="37"/>
        <v>10</v>
      </c>
      <c r="N118" s="104">
        <f t="shared" si="37"/>
        <v>11</v>
      </c>
      <c r="O118" s="104">
        <f t="shared" si="37"/>
        <v>12</v>
      </c>
      <c r="P118" s="104">
        <f t="shared" si="37"/>
        <v>13</v>
      </c>
      <c r="Q118" s="104">
        <f t="shared" si="37"/>
        <v>14</v>
      </c>
      <c r="R118" s="104">
        <f t="shared" si="37"/>
        <v>15</v>
      </c>
      <c r="S118" s="104">
        <f t="shared" si="37"/>
        <v>16</v>
      </c>
      <c r="T118" s="104">
        <f t="shared" si="37"/>
        <v>17</v>
      </c>
      <c r="U118" s="104">
        <f t="shared" si="37"/>
        <v>18</v>
      </c>
      <c r="V118" s="104">
        <f t="shared" si="37"/>
        <v>19</v>
      </c>
      <c r="W118" s="104">
        <f t="shared" si="37"/>
        <v>20</v>
      </c>
      <c r="X118" s="104">
        <f t="shared" si="37"/>
        <v>21</v>
      </c>
      <c r="Y118" s="104">
        <f t="shared" si="37"/>
        <v>22</v>
      </c>
      <c r="Z118" s="104">
        <f t="shared" si="37"/>
        <v>23</v>
      </c>
      <c r="AA118" s="104">
        <f t="shared" si="37"/>
        <v>24</v>
      </c>
      <c r="AB118" s="104">
        <f t="shared" si="37"/>
        <v>25</v>
      </c>
      <c r="AC118" s="104">
        <f t="shared" si="37"/>
        <v>26</v>
      </c>
      <c r="AD118" s="104">
        <f t="shared" si="37"/>
        <v>27</v>
      </c>
      <c r="AE118" s="104">
        <f t="shared" si="37"/>
        <v>28</v>
      </c>
      <c r="AF118" s="104">
        <f t="shared" si="37"/>
        <v>29</v>
      </c>
      <c r="AG118" s="104">
        <f t="shared" si="37"/>
        <v>30</v>
      </c>
      <c r="AH118" s="104">
        <f t="shared" si="37"/>
        <v>31</v>
      </c>
      <c r="AI118" s="104">
        <f t="shared" si="37"/>
        <v>32</v>
      </c>
      <c r="AJ118" s="104">
        <f t="shared" si="37"/>
        <v>33</v>
      </c>
      <c r="AK118" s="104">
        <f t="shared" si="37"/>
        <v>34</v>
      </c>
      <c r="AL118" s="104">
        <f t="shared" si="37"/>
        <v>35</v>
      </c>
      <c r="AM118" s="104">
        <f t="shared" si="37"/>
        <v>36</v>
      </c>
      <c r="AN118" s="104">
        <f t="shared" si="37"/>
        <v>37</v>
      </c>
      <c r="AO118" s="104">
        <f t="shared" si="37"/>
        <v>38</v>
      </c>
      <c r="AP118" s="104">
        <f t="shared" si="37"/>
        <v>39</v>
      </c>
      <c r="AQ118" s="104">
        <f t="shared" si="37"/>
        <v>40</v>
      </c>
      <c r="AR118" s="104">
        <f t="shared" si="37"/>
        <v>41</v>
      </c>
      <c r="AS118" s="104">
        <f t="shared" si="37"/>
        <v>42</v>
      </c>
      <c r="AT118" s="104">
        <f t="shared" si="37"/>
        <v>43</v>
      </c>
      <c r="AU118" s="104">
        <f t="shared" si="37"/>
        <v>44</v>
      </c>
      <c r="AV118" s="104">
        <f t="shared" si="37"/>
        <v>45</v>
      </c>
      <c r="AW118" s="104">
        <f t="shared" si="37"/>
        <v>46</v>
      </c>
      <c r="AX118" s="104">
        <f t="shared" si="37"/>
        <v>47</v>
      </c>
      <c r="AY118" s="104">
        <f t="shared" si="37"/>
        <v>48</v>
      </c>
      <c r="AZ118" s="104">
        <f t="shared" si="37"/>
        <v>49</v>
      </c>
      <c r="BA118" s="104">
        <f t="shared" si="37"/>
        <v>50</v>
      </c>
      <c r="BB118" s="104">
        <f t="shared" si="37"/>
        <v>51</v>
      </c>
      <c r="BC118" s="104">
        <f t="shared" si="37"/>
        <v>52</v>
      </c>
      <c r="BD118" s="19"/>
    </row>
    <row r="119" spans="2:56" x14ac:dyDescent="0.25">
      <c r="B119" s="50" t="str">
        <f>B118</f>
        <v>Yield Defect Loss Type B</v>
      </c>
      <c r="C119" s="43" t="str">
        <f>C110</f>
        <v>Product A</v>
      </c>
      <c r="D119" s="35">
        <v>0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  <c r="U119" s="35">
        <v>0</v>
      </c>
      <c r="V119" s="35">
        <v>0</v>
      </c>
      <c r="W119" s="35">
        <v>0</v>
      </c>
      <c r="X119" s="35">
        <v>0</v>
      </c>
      <c r="Y119" s="35">
        <v>0</v>
      </c>
      <c r="Z119" s="35">
        <v>0</v>
      </c>
      <c r="AA119" s="35">
        <v>0</v>
      </c>
      <c r="AB119" s="35">
        <v>0</v>
      </c>
      <c r="AC119" s="35">
        <v>0</v>
      </c>
      <c r="AD119" s="35">
        <v>0</v>
      </c>
      <c r="AE119" s="35">
        <v>0</v>
      </c>
      <c r="AF119" s="35">
        <v>0</v>
      </c>
      <c r="AG119" s="35">
        <v>0</v>
      </c>
      <c r="AH119" s="35">
        <v>0</v>
      </c>
      <c r="AI119" s="35">
        <v>0</v>
      </c>
      <c r="AJ119" s="35">
        <v>0</v>
      </c>
      <c r="AK119" s="35">
        <v>0</v>
      </c>
      <c r="AL119" s="35">
        <v>0</v>
      </c>
      <c r="AM119" s="35">
        <v>0</v>
      </c>
      <c r="AN119" s="35">
        <v>0</v>
      </c>
      <c r="AO119" s="35">
        <v>0</v>
      </c>
      <c r="AP119" s="35">
        <v>0</v>
      </c>
      <c r="AQ119" s="35">
        <v>0</v>
      </c>
      <c r="AR119" s="35">
        <v>0</v>
      </c>
      <c r="AS119" s="35">
        <v>0</v>
      </c>
      <c r="AT119" s="35">
        <v>0</v>
      </c>
      <c r="AU119" s="35">
        <v>0</v>
      </c>
      <c r="AV119" s="35">
        <v>0</v>
      </c>
      <c r="AW119" s="35">
        <v>0</v>
      </c>
      <c r="AX119" s="35">
        <v>0</v>
      </c>
      <c r="AY119" s="35">
        <v>0</v>
      </c>
      <c r="AZ119" s="35">
        <v>0</v>
      </c>
      <c r="BA119" s="35">
        <v>0</v>
      </c>
      <c r="BB119" s="35">
        <v>0</v>
      </c>
      <c r="BC119" s="35">
        <v>0</v>
      </c>
      <c r="BD119" s="19"/>
    </row>
    <row r="120" spans="2:56" x14ac:dyDescent="0.25">
      <c r="B120" s="50" t="str">
        <f>B119</f>
        <v>Yield Defect Loss Type B</v>
      </c>
      <c r="C120" s="43" t="str">
        <f t="shared" ref="C120:C126" si="38">C111</f>
        <v>Product B</v>
      </c>
      <c r="D120" s="35">
        <v>4</v>
      </c>
      <c r="E120" s="35">
        <v>4</v>
      </c>
      <c r="F120" s="35">
        <v>0</v>
      </c>
      <c r="G120" s="35">
        <v>3</v>
      </c>
      <c r="H120" s="35">
        <v>4</v>
      </c>
      <c r="I120" s="35">
        <v>4</v>
      </c>
      <c r="J120" s="35">
        <v>0</v>
      </c>
      <c r="K120" s="35">
        <v>1</v>
      </c>
      <c r="L120" s="35">
        <v>4</v>
      </c>
      <c r="M120" s="35">
        <v>4</v>
      </c>
      <c r="N120" s="35">
        <v>0</v>
      </c>
      <c r="O120" s="35">
        <v>0</v>
      </c>
      <c r="P120" s="35">
        <v>4</v>
      </c>
      <c r="Q120" s="35">
        <v>4</v>
      </c>
      <c r="R120" s="35">
        <v>0</v>
      </c>
      <c r="S120" s="35">
        <v>0</v>
      </c>
      <c r="T120" s="35">
        <v>4</v>
      </c>
      <c r="U120" s="35">
        <v>4</v>
      </c>
      <c r="V120" s="35">
        <v>0</v>
      </c>
      <c r="W120" s="35">
        <v>0</v>
      </c>
      <c r="X120" s="35">
        <v>4</v>
      </c>
      <c r="Y120" s="35">
        <v>4</v>
      </c>
      <c r="Z120" s="35">
        <v>0</v>
      </c>
      <c r="AA120" s="35">
        <v>0</v>
      </c>
      <c r="AB120" s="35">
        <v>4</v>
      </c>
      <c r="AC120" s="35">
        <v>4</v>
      </c>
      <c r="AD120" s="35">
        <v>0</v>
      </c>
      <c r="AE120" s="35">
        <v>0</v>
      </c>
      <c r="AF120" s="35">
        <v>4</v>
      </c>
      <c r="AG120" s="35">
        <v>4</v>
      </c>
      <c r="AH120" s="35">
        <v>0</v>
      </c>
      <c r="AI120" s="35">
        <v>0</v>
      </c>
      <c r="AJ120" s="35">
        <v>4</v>
      </c>
      <c r="AK120" s="35">
        <v>4</v>
      </c>
      <c r="AL120" s="35">
        <v>0</v>
      </c>
      <c r="AM120" s="35">
        <v>0</v>
      </c>
      <c r="AN120" s="35">
        <v>4</v>
      </c>
      <c r="AO120" s="35">
        <v>4</v>
      </c>
      <c r="AP120" s="35">
        <v>0</v>
      </c>
      <c r="AQ120" s="35">
        <v>0</v>
      </c>
      <c r="AR120" s="35">
        <v>4</v>
      </c>
      <c r="AS120" s="35">
        <v>4</v>
      </c>
      <c r="AT120" s="35">
        <v>0</v>
      </c>
      <c r="AU120" s="35">
        <v>2</v>
      </c>
      <c r="AV120" s="35">
        <v>4</v>
      </c>
      <c r="AW120" s="35">
        <v>4</v>
      </c>
      <c r="AX120" s="35">
        <v>0</v>
      </c>
      <c r="AY120" s="35">
        <v>1</v>
      </c>
      <c r="AZ120" s="35">
        <v>4</v>
      </c>
      <c r="BA120" s="35">
        <v>1</v>
      </c>
      <c r="BB120" s="35">
        <v>0</v>
      </c>
      <c r="BC120" s="35">
        <v>0</v>
      </c>
      <c r="BD120" s="19"/>
    </row>
    <row r="121" spans="2:56" x14ac:dyDescent="0.25">
      <c r="B121" s="50" t="str">
        <f t="shared" ref="B121:B125" si="39">B120</f>
        <v>Yield Defect Loss Type B</v>
      </c>
      <c r="C121" s="43" t="str">
        <f t="shared" si="38"/>
        <v>Product C</v>
      </c>
      <c r="D121" s="35">
        <v>0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  <c r="U121" s="35">
        <v>0</v>
      </c>
      <c r="V121" s="35">
        <v>0</v>
      </c>
      <c r="W121" s="35">
        <v>0</v>
      </c>
      <c r="X121" s="35">
        <v>0</v>
      </c>
      <c r="Y121" s="35">
        <v>0</v>
      </c>
      <c r="Z121" s="35">
        <v>0</v>
      </c>
      <c r="AA121" s="35">
        <v>0</v>
      </c>
      <c r="AB121" s="35">
        <v>0</v>
      </c>
      <c r="AC121" s="35">
        <v>0</v>
      </c>
      <c r="AD121" s="35">
        <v>0</v>
      </c>
      <c r="AE121" s="35">
        <v>0</v>
      </c>
      <c r="AF121" s="35">
        <v>0</v>
      </c>
      <c r="AG121" s="35">
        <v>0</v>
      </c>
      <c r="AH121" s="35">
        <v>0</v>
      </c>
      <c r="AI121" s="35">
        <v>0</v>
      </c>
      <c r="AJ121" s="35">
        <v>0</v>
      </c>
      <c r="AK121" s="35">
        <v>0</v>
      </c>
      <c r="AL121" s="35">
        <v>0</v>
      </c>
      <c r="AM121" s="35">
        <v>0</v>
      </c>
      <c r="AN121" s="35">
        <v>0</v>
      </c>
      <c r="AO121" s="35">
        <v>0</v>
      </c>
      <c r="AP121" s="35">
        <v>0</v>
      </c>
      <c r="AQ121" s="35">
        <v>0</v>
      </c>
      <c r="AR121" s="35">
        <v>0</v>
      </c>
      <c r="AS121" s="35">
        <v>0</v>
      </c>
      <c r="AT121" s="35">
        <v>0</v>
      </c>
      <c r="AU121" s="35">
        <v>0</v>
      </c>
      <c r="AV121" s="35">
        <v>0</v>
      </c>
      <c r="AW121" s="35">
        <v>0</v>
      </c>
      <c r="AX121" s="35">
        <v>0</v>
      </c>
      <c r="AY121" s="35">
        <v>0</v>
      </c>
      <c r="AZ121" s="35">
        <v>0</v>
      </c>
      <c r="BA121" s="35">
        <v>0</v>
      </c>
      <c r="BB121" s="35">
        <v>0</v>
      </c>
      <c r="BC121" s="35">
        <v>0</v>
      </c>
      <c r="BD121" s="19"/>
    </row>
    <row r="122" spans="2:56" x14ac:dyDescent="0.25">
      <c r="B122" s="50" t="str">
        <f t="shared" si="39"/>
        <v>Yield Defect Loss Type B</v>
      </c>
      <c r="C122" s="43" t="str">
        <f t="shared" si="38"/>
        <v>Product D</v>
      </c>
      <c r="D122" s="35">
        <v>0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  <c r="U122" s="35">
        <v>0</v>
      </c>
      <c r="V122" s="35">
        <v>0</v>
      </c>
      <c r="W122" s="35">
        <v>0</v>
      </c>
      <c r="X122" s="35">
        <v>0</v>
      </c>
      <c r="Y122" s="35">
        <v>0</v>
      </c>
      <c r="Z122" s="35">
        <v>0</v>
      </c>
      <c r="AA122" s="35">
        <v>0</v>
      </c>
      <c r="AB122" s="35">
        <v>0</v>
      </c>
      <c r="AC122" s="35">
        <v>0</v>
      </c>
      <c r="AD122" s="35">
        <v>0</v>
      </c>
      <c r="AE122" s="35">
        <v>0</v>
      </c>
      <c r="AF122" s="35">
        <v>0</v>
      </c>
      <c r="AG122" s="35">
        <v>0</v>
      </c>
      <c r="AH122" s="35">
        <v>0</v>
      </c>
      <c r="AI122" s="35">
        <v>0</v>
      </c>
      <c r="AJ122" s="35">
        <v>0</v>
      </c>
      <c r="AK122" s="35">
        <v>0</v>
      </c>
      <c r="AL122" s="35">
        <v>0</v>
      </c>
      <c r="AM122" s="35">
        <v>0</v>
      </c>
      <c r="AN122" s="35">
        <v>0</v>
      </c>
      <c r="AO122" s="35">
        <v>0</v>
      </c>
      <c r="AP122" s="35">
        <v>0</v>
      </c>
      <c r="AQ122" s="35">
        <v>0</v>
      </c>
      <c r="AR122" s="35">
        <v>0</v>
      </c>
      <c r="AS122" s="35">
        <v>0</v>
      </c>
      <c r="AT122" s="35">
        <v>0</v>
      </c>
      <c r="AU122" s="35">
        <v>0</v>
      </c>
      <c r="AV122" s="35">
        <v>0</v>
      </c>
      <c r="AW122" s="35">
        <v>0</v>
      </c>
      <c r="AX122" s="35">
        <v>0</v>
      </c>
      <c r="AY122" s="35">
        <v>0</v>
      </c>
      <c r="AZ122" s="35">
        <v>0</v>
      </c>
      <c r="BA122" s="35">
        <v>0</v>
      </c>
      <c r="BB122" s="35">
        <v>0</v>
      </c>
      <c r="BC122" s="35">
        <v>0</v>
      </c>
      <c r="BD122" s="19"/>
    </row>
    <row r="123" spans="2:56" x14ac:dyDescent="0.25">
      <c r="B123" s="50" t="str">
        <f t="shared" si="39"/>
        <v>Yield Defect Loss Type B</v>
      </c>
      <c r="C123" s="43" t="str">
        <f t="shared" si="38"/>
        <v>Product E</v>
      </c>
      <c r="D123" s="35">
        <v>0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  <c r="U123" s="35">
        <v>0</v>
      </c>
      <c r="V123" s="35">
        <v>0</v>
      </c>
      <c r="W123" s="35">
        <v>0</v>
      </c>
      <c r="X123" s="35">
        <v>0</v>
      </c>
      <c r="Y123" s="35">
        <v>0</v>
      </c>
      <c r="Z123" s="35">
        <v>0</v>
      </c>
      <c r="AA123" s="35">
        <v>0</v>
      </c>
      <c r="AB123" s="35">
        <v>0</v>
      </c>
      <c r="AC123" s="35">
        <v>0</v>
      </c>
      <c r="AD123" s="35">
        <v>0</v>
      </c>
      <c r="AE123" s="35">
        <v>0</v>
      </c>
      <c r="AF123" s="35">
        <v>0</v>
      </c>
      <c r="AG123" s="35">
        <v>0</v>
      </c>
      <c r="AH123" s="35">
        <v>0</v>
      </c>
      <c r="AI123" s="35">
        <v>0</v>
      </c>
      <c r="AJ123" s="35">
        <v>0</v>
      </c>
      <c r="AK123" s="35">
        <v>0</v>
      </c>
      <c r="AL123" s="35">
        <v>0</v>
      </c>
      <c r="AM123" s="35">
        <v>0</v>
      </c>
      <c r="AN123" s="35">
        <v>0</v>
      </c>
      <c r="AO123" s="35">
        <v>0</v>
      </c>
      <c r="AP123" s="35">
        <v>0</v>
      </c>
      <c r="AQ123" s="35">
        <v>0</v>
      </c>
      <c r="AR123" s="35">
        <v>0</v>
      </c>
      <c r="AS123" s="35">
        <v>0</v>
      </c>
      <c r="AT123" s="35">
        <v>0</v>
      </c>
      <c r="AU123" s="35">
        <v>0</v>
      </c>
      <c r="AV123" s="35">
        <v>0</v>
      </c>
      <c r="AW123" s="35">
        <v>0</v>
      </c>
      <c r="AX123" s="35">
        <v>0</v>
      </c>
      <c r="AY123" s="35">
        <v>0</v>
      </c>
      <c r="AZ123" s="35">
        <v>0</v>
      </c>
      <c r="BA123" s="35">
        <v>0</v>
      </c>
      <c r="BB123" s="35">
        <v>0</v>
      </c>
      <c r="BC123" s="35">
        <v>0</v>
      </c>
      <c r="BD123" s="19"/>
    </row>
    <row r="124" spans="2:56" x14ac:dyDescent="0.25">
      <c r="B124" s="50" t="str">
        <f t="shared" si="39"/>
        <v>Yield Defect Loss Type B</v>
      </c>
      <c r="C124" s="43" t="str">
        <f t="shared" si="38"/>
        <v>Product F</v>
      </c>
      <c r="D124" s="35">
        <v>0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  <c r="U124" s="35">
        <v>0</v>
      </c>
      <c r="V124" s="35">
        <v>0</v>
      </c>
      <c r="W124" s="35">
        <v>0</v>
      </c>
      <c r="X124" s="35">
        <v>0</v>
      </c>
      <c r="Y124" s="35">
        <v>0</v>
      </c>
      <c r="Z124" s="35">
        <v>0</v>
      </c>
      <c r="AA124" s="35">
        <v>0</v>
      </c>
      <c r="AB124" s="35">
        <v>0</v>
      </c>
      <c r="AC124" s="35">
        <v>0</v>
      </c>
      <c r="AD124" s="35">
        <v>0</v>
      </c>
      <c r="AE124" s="35">
        <v>0</v>
      </c>
      <c r="AF124" s="35">
        <v>0</v>
      </c>
      <c r="AG124" s="35">
        <v>0</v>
      </c>
      <c r="AH124" s="35">
        <v>0</v>
      </c>
      <c r="AI124" s="35">
        <v>0</v>
      </c>
      <c r="AJ124" s="35">
        <v>0</v>
      </c>
      <c r="AK124" s="35">
        <v>0</v>
      </c>
      <c r="AL124" s="35">
        <v>0</v>
      </c>
      <c r="AM124" s="35">
        <v>0</v>
      </c>
      <c r="AN124" s="35">
        <v>0</v>
      </c>
      <c r="AO124" s="35">
        <v>0</v>
      </c>
      <c r="AP124" s="35">
        <v>0</v>
      </c>
      <c r="AQ124" s="35">
        <v>0</v>
      </c>
      <c r="AR124" s="35">
        <v>0</v>
      </c>
      <c r="AS124" s="35">
        <v>0</v>
      </c>
      <c r="AT124" s="35">
        <v>0</v>
      </c>
      <c r="AU124" s="35">
        <v>0</v>
      </c>
      <c r="AV124" s="35">
        <v>0</v>
      </c>
      <c r="AW124" s="35">
        <v>0</v>
      </c>
      <c r="AX124" s="35">
        <v>0</v>
      </c>
      <c r="AY124" s="35">
        <v>0</v>
      </c>
      <c r="AZ124" s="35">
        <v>0</v>
      </c>
      <c r="BA124" s="35">
        <v>0</v>
      </c>
      <c r="BB124" s="35">
        <v>0</v>
      </c>
      <c r="BC124" s="35">
        <v>0</v>
      </c>
      <c r="BD124" s="19"/>
    </row>
    <row r="125" spans="2:56" x14ac:dyDescent="0.25">
      <c r="B125" s="50" t="str">
        <f t="shared" si="39"/>
        <v>Yield Defect Loss Type B</v>
      </c>
      <c r="C125" s="43" t="str">
        <f t="shared" si="38"/>
        <v>Product G</v>
      </c>
      <c r="D125" s="35">
        <v>0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  <c r="U125" s="35">
        <v>0</v>
      </c>
      <c r="V125" s="35">
        <v>0</v>
      </c>
      <c r="W125" s="35">
        <v>0</v>
      </c>
      <c r="X125" s="35">
        <v>0</v>
      </c>
      <c r="Y125" s="35">
        <v>0</v>
      </c>
      <c r="Z125" s="35">
        <v>0</v>
      </c>
      <c r="AA125" s="35">
        <v>0</v>
      </c>
      <c r="AB125" s="35">
        <v>0</v>
      </c>
      <c r="AC125" s="35">
        <v>0</v>
      </c>
      <c r="AD125" s="35">
        <v>0</v>
      </c>
      <c r="AE125" s="35">
        <v>0</v>
      </c>
      <c r="AF125" s="35">
        <v>0</v>
      </c>
      <c r="AG125" s="35">
        <v>0</v>
      </c>
      <c r="AH125" s="35">
        <v>0</v>
      </c>
      <c r="AI125" s="35">
        <v>0</v>
      </c>
      <c r="AJ125" s="35">
        <v>0</v>
      </c>
      <c r="AK125" s="35">
        <v>0</v>
      </c>
      <c r="AL125" s="35">
        <v>0</v>
      </c>
      <c r="AM125" s="35">
        <v>0</v>
      </c>
      <c r="AN125" s="35">
        <v>0</v>
      </c>
      <c r="AO125" s="35">
        <v>0</v>
      </c>
      <c r="AP125" s="35">
        <v>0</v>
      </c>
      <c r="AQ125" s="35">
        <v>0</v>
      </c>
      <c r="AR125" s="35">
        <v>0</v>
      </c>
      <c r="AS125" s="35">
        <v>0</v>
      </c>
      <c r="AT125" s="35">
        <v>0</v>
      </c>
      <c r="AU125" s="35">
        <v>0</v>
      </c>
      <c r="AV125" s="35">
        <v>0</v>
      </c>
      <c r="AW125" s="35">
        <v>0</v>
      </c>
      <c r="AX125" s="35">
        <v>0</v>
      </c>
      <c r="AY125" s="35">
        <v>0</v>
      </c>
      <c r="AZ125" s="35">
        <v>0</v>
      </c>
      <c r="BA125" s="35">
        <v>0</v>
      </c>
      <c r="BB125" s="35">
        <v>0</v>
      </c>
      <c r="BC125" s="35">
        <v>0</v>
      </c>
      <c r="BD125" s="19"/>
    </row>
    <row r="126" spans="2:56" x14ac:dyDescent="0.25">
      <c r="B126" s="50" t="str">
        <f>B125</f>
        <v>Yield Defect Loss Type B</v>
      </c>
      <c r="C126" s="43" t="str">
        <f t="shared" si="38"/>
        <v>Product H</v>
      </c>
      <c r="D126" s="35">
        <v>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  <c r="U126" s="35">
        <v>0</v>
      </c>
      <c r="V126" s="35">
        <v>0</v>
      </c>
      <c r="W126" s="35">
        <v>0</v>
      </c>
      <c r="X126" s="35">
        <v>0</v>
      </c>
      <c r="Y126" s="35">
        <v>0</v>
      </c>
      <c r="Z126" s="35">
        <v>0</v>
      </c>
      <c r="AA126" s="35">
        <v>0</v>
      </c>
      <c r="AB126" s="35">
        <v>0</v>
      </c>
      <c r="AC126" s="35">
        <v>0</v>
      </c>
      <c r="AD126" s="35">
        <v>0</v>
      </c>
      <c r="AE126" s="35">
        <v>0</v>
      </c>
      <c r="AF126" s="35">
        <v>0</v>
      </c>
      <c r="AG126" s="35">
        <v>0</v>
      </c>
      <c r="AH126" s="35">
        <v>0</v>
      </c>
      <c r="AI126" s="35">
        <v>0</v>
      </c>
      <c r="AJ126" s="35">
        <v>0</v>
      </c>
      <c r="AK126" s="35">
        <v>0</v>
      </c>
      <c r="AL126" s="35">
        <v>0</v>
      </c>
      <c r="AM126" s="35">
        <v>0</v>
      </c>
      <c r="AN126" s="35">
        <v>0</v>
      </c>
      <c r="AO126" s="35">
        <v>0</v>
      </c>
      <c r="AP126" s="35">
        <v>0</v>
      </c>
      <c r="AQ126" s="35">
        <v>0</v>
      </c>
      <c r="AR126" s="35">
        <v>0</v>
      </c>
      <c r="AS126" s="35">
        <v>0</v>
      </c>
      <c r="AT126" s="35">
        <v>0</v>
      </c>
      <c r="AU126" s="35">
        <v>0</v>
      </c>
      <c r="AV126" s="35">
        <v>0</v>
      </c>
      <c r="AW126" s="35">
        <v>0</v>
      </c>
      <c r="AX126" s="35">
        <v>0</v>
      </c>
      <c r="AY126" s="35">
        <v>0</v>
      </c>
      <c r="AZ126" s="35">
        <v>0</v>
      </c>
      <c r="BA126" s="35">
        <v>0</v>
      </c>
      <c r="BB126" s="35">
        <v>0</v>
      </c>
      <c r="BC126" s="35">
        <v>0</v>
      </c>
      <c r="BD126" s="19"/>
    </row>
    <row r="127" spans="2:56" x14ac:dyDescent="0.25">
      <c r="B127" s="35" t="s">
        <v>274</v>
      </c>
      <c r="C127" s="19"/>
      <c r="D127" s="104">
        <v>1</v>
      </c>
      <c r="E127" s="104">
        <f>D127+1</f>
        <v>2</v>
      </c>
      <c r="F127" s="104">
        <f t="shared" ref="F127:BC127" si="40">E127+1</f>
        <v>3</v>
      </c>
      <c r="G127" s="104">
        <f t="shared" si="40"/>
        <v>4</v>
      </c>
      <c r="H127" s="104">
        <f t="shared" si="40"/>
        <v>5</v>
      </c>
      <c r="I127" s="104">
        <f t="shared" si="40"/>
        <v>6</v>
      </c>
      <c r="J127" s="104">
        <f t="shared" si="40"/>
        <v>7</v>
      </c>
      <c r="K127" s="104">
        <f t="shared" si="40"/>
        <v>8</v>
      </c>
      <c r="L127" s="104">
        <f t="shared" si="40"/>
        <v>9</v>
      </c>
      <c r="M127" s="104">
        <f t="shared" si="40"/>
        <v>10</v>
      </c>
      <c r="N127" s="104">
        <f t="shared" si="40"/>
        <v>11</v>
      </c>
      <c r="O127" s="104">
        <f t="shared" si="40"/>
        <v>12</v>
      </c>
      <c r="P127" s="104">
        <f t="shared" si="40"/>
        <v>13</v>
      </c>
      <c r="Q127" s="104">
        <f t="shared" si="40"/>
        <v>14</v>
      </c>
      <c r="R127" s="104">
        <f t="shared" si="40"/>
        <v>15</v>
      </c>
      <c r="S127" s="104">
        <f t="shared" si="40"/>
        <v>16</v>
      </c>
      <c r="T127" s="104">
        <f t="shared" si="40"/>
        <v>17</v>
      </c>
      <c r="U127" s="104">
        <f t="shared" si="40"/>
        <v>18</v>
      </c>
      <c r="V127" s="104">
        <f t="shared" si="40"/>
        <v>19</v>
      </c>
      <c r="W127" s="104">
        <f t="shared" si="40"/>
        <v>20</v>
      </c>
      <c r="X127" s="104">
        <f t="shared" si="40"/>
        <v>21</v>
      </c>
      <c r="Y127" s="104">
        <f t="shared" si="40"/>
        <v>22</v>
      </c>
      <c r="Z127" s="104">
        <f t="shared" si="40"/>
        <v>23</v>
      </c>
      <c r="AA127" s="104">
        <f t="shared" si="40"/>
        <v>24</v>
      </c>
      <c r="AB127" s="104">
        <f t="shared" si="40"/>
        <v>25</v>
      </c>
      <c r="AC127" s="104">
        <f t="shared" si="40"/>
        <v>26</v>
      </c>
      <c r="AD127" s="104">
        <f t="shared" si="40"/>
        <v>27</v>
      </c>
      <c r="AE127" s="104">
        <f t="shared" si="40"/>
        <v>28</v>
      </c>
      <c r="AF127" s="104">
        <f t="shared" si="40"/>
        <v>29</v>
      </c>
      <c r="AG127" s="104">
        <f t="shared" si="40"/>
        <v>30</v>
      </c>
      <c r="AH127" s="104">
        <f t="shared" si="40"/>
        <v>31</v>
      </c>
      <c r="AI127" s="104">
        <f t="shared" si="40"/>
        <v>32</v>
      </c>
      <c r="AJ127" s="104">
        <f t="shared" si="40"/>
        <v>33</v>
      </c>
      <c r="AK127" s="104">
        <f t="shared" si="40"/>
        <v>34</v>
      </c>
      <c r="AL127" s="104">
        <f t="shared" si="40"/>
        <v>35</v>
      </c>
      <c r="AM127" s="104">
        <f t="shared" si="40"/>
        <v>36</v>
      </c>
      <c r="AN127" s="104">
        <f t="shared" si="40"/>
        <v>37</v>
      </c>
      <c r="AO127" s="104">
        <f t="shared" si="40"/>
        <v>38</v>
      </c>
      <c r="AP127" s="104">
        <f t="shared" si="40"/>
        <v>39</v>
      </c>
      <c r="AQ127" s="104">
        <f t="shared" si="40"/>
        <v>40</v>
      </c>
      <c r="AR127" s="104">
        <f t="shared" si="40"/>
        <v>41</v>
      </c>
      <c r="AS127" s="104">
        <f t="shared" si="40"/>
        <v>42</v>
      </c>
      <c r="AT127" s="104">
        <f t="shared" si="40"/>
        <v>43</v>
      </c>
      <c r="AU127" s="104">
        <f t="shared" si="40"/>
        <v>44</v>
      </c>
      <c r="AV127" s="104">
        <f t="shared" si="40"/>
        <v>45</v>
      </c>
      <c r="AW127" s="104">
        <f t="shared" si="40"/>
        <v>46</v>
      </c>
      <c r="AX127" s="104">
        <f t="shared" si="40"/>
        <v>47</v>
      </c>
      <c r="AY127" s="104">
        <f t="shared" si="40"/>
        <v>48</v>
      </c>
      <c r="AZ127" s="104">
        <f t="shared" si="40"/>
        <v>49</v>
      </c>
      <c r="BA127" s="104">
        <f t="shared" si="40"/>
        <v>50</v>
      </c>
      <c r="BB127" s="104">
        <f t="shared" si="40"/>
        <v>51</v>
      </c>
      <c r="BC127" s="104">
        <f t="shared" si="40"/>
        <v>52</v>
      </c>
      <c r="BD127" s="19"/>
    </row>
    <row r="128" spans="2:56" x14ac:dyDescent="0.25">
      <c r="B128" s="50" t="str">
        <f>B127</f>
        <v>Yield Defect Loss Type C</v>
      </c>
      <c r="C128" s="43" t="str">
        <f>C119</f>
        <v>Product A</v>
      </c>
      <c r="D128" s="35">
        <v>0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  <c r="U128" s="35">
        <v>0</v>
      </c>
      <c r="V128" s="35">
        <v>0</v>
      </c>
      <c r="W128" s="35">
        <v>0</v>
      </c>
      <c r="X128" s="35">
        <v>0</v>
      </c>
      <c r="Y128" s="35">
        <v>0</v>
      </c>
      <c r="Z128" s="35">
        <v>0</v>
      </c>
      <c r="AA128" s="35">
        <v>0</v>
      </c>
      <c r="AB128" s="35">
        <v>0</v>
      </c>
      <c r="AC128" s="35">
        <v>0</v>
      </c>
      <c r="AD128" s="35">
        <v>0</v>
      </c>
      <c r="AE128" s="35">
        <v>0</v>
      </c>
      <c r="AF128" s="35">
        <v>0</v>
      </c>
      <c r="AG128" s="35">
        <v>0</v>
      </c>
      <c r="AH128" s="35">
        <v>0</v>
      </c>
      <c r="AI128" s="35">
        <v>0</v>
      </c>
      <c r="AJ128" s="35">
        <v>0</v>
      </c>
      <c r="AK128" s="35">
        <v>0</v>
      </c>
      <c r="AL128" s="35">
        <v>0</v>
      </c>
      <c r="AM128" s="35">
        <v>0</v>
      </c>
      <c r="AN128" s="35">
        <v>0</v>
      </c>
      <c r="AO128" s="35">
        <v>0</v>
      </c>
      <c r="AP128" s="35">
        <v>0</v>
      </c>
      <c r="AQ128" s="35">
        <v>0</v>
      </c>
      <c r="AR128" s="35">
        <v>0</v>
      </c>
      <c r="AS128" s="35">
        <v>0</v>
      </c>
      <c r="AT128" s="35">
        <v>0</v>
      </c>
      <c r="AU128" s="35">
        <v>0</v>
      </c>
      <c r="AV128" s="35">
        <v>0</v>
      </c>
      <c r="AW128" s="35">
        <v>0</v>
      </c>
      <c r="AX128" s="35">
        <v>0</v>
      </c>
      <c r="AY128" s="35">
        <v>0</v>
      </c>
      <c r="AZ128" s="35">
        <v>0</v>
      </c>
      <c r="BA128" s="35">
        <v>0</v>
      </c>
      <c r="BB128" s="35">
        <v>0</v>
      </c>
      <c r="BC128" s="35">
        <v>0</v>
      </c>
      <c r="BD128" s="19"/>
    </row>
    <row r="129" spans="2:56" x14ac:dyDescent="0.25">
      <c r="B129" s="50" t="str">
        <f t="shared" ref="B129:B135" si="41">B128</f>
        <v>Yield Defect Loss Type C</v>
      </c>
      <c r="C129" s="43" t="str">
        <f t="shared" ref="C129:C135" si="42">C120</f>
        <v>Product B</v>
      </c>
      <c r="D129" s="35">
        <v>0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  <c r="U129" s="35">
        <v>0</v>
      </c>
      <c r="V129" s="35">
        <v>0</v>
      </c>
      <c r="W129" s="35">
        <v>0</v>
      </c>
      <c r="X129" s="35">
        <v>0</v>
      </c>
      <c r="Y129" s="35">
        <v>0</v>
      </c>
      <c r="Z129" s="35">
        <v>0</v>
      </c>
      <c r="AA129" s="35">
        <v>0</v>
      </c>
      <c r="AB129" s="35">
        <v>0</v>
      </c>
      <c r="AC129" s="35">
        <v>0</v>
      </c>
      <c r="AD129" s="35">
        <v>0</v>
      </c>
      <c r="AE129" s="35">
        <v>0</v>
      </c>
      <c r="AF129" s="35">
        <v>0</v>
      </c>
      <c r="AG129" s="35">
        <v>0</v>
      </c>
      <c r="AH129" s="35">
        <v>0</v>
      </c>
      <c r="AI129" s="35">
        <v>0</v>
      </c>
      <c r="AJ129" s="35">
        <v>0</v>
      </c>
      <c r="AK129" s="35">
        <v>0</v>
      </c>
      <c r="AL129" s="35">
        <v>0</v>
      </c>
      <c r="AM129" s="35">
        <v>0</v>
      </c>
      <c r="AN129" s="35">
        <v>0</v>
      </c>
      <c r="AO129" s="35">
        <v>0</v>
      </c>
      <c r="AP129" s="35">
        <v>0</v>
      </c>
      <c r="AQ129" s="35">
        <v>0</v>
      </c>
      <c r="AR129" s="35">
        <v>0</v>
      </c>
      <c r="AS129" s="35">
        <v>0</v>
      </c>
      <c r="AT129" s="35">
        <v>0</v>
      </c>
      <c r="AU129" s="35">
        <v>0</v>
      </c>
      <c r="AV129" s="35">
        <v>0</v>
      </c>
      <c r="AW129" s="35">
        <v>0</v>
      </c>
      <c r="AX129" s="35">
        <v>0</v>
      </c>
      <c r="AY129" s="35">
        <v>0</v>
      </c>
      <c r="AZ129" s="35">
        <v>0</v>
      </c>
      <c r="BA129" s="35">
        <v>0</v>
      </c>
      <c r="BB129" s="35">
        <v>0</v>
      </c>
      <c r="BC129" s="35">
        <v>0</v>
      </c>
      <c r="BD129" s="19"/>
    </row>
    <row r="130" spans="2:56" x14ac:dyDescent="0.25">
      <c r="B130" s="50" t="str">
        <f t="shared" si="41"/>
        <v>Yield Defect Loss Type C</v>
      </c>
      <c r="C130" s="43" t="str">
        <f t="shared" si="42"/>
        <v>Product C</v>
      </c>
      <c r="D130" s="35">
        <v>5</v>
      </c>
      <c r="E130" s="35">
        <v>4</v>
      </c>
      <c r="F130" s="35">
        <v>4</v>
      </c>
      <c r="G130" s="35">
        <v>0</v>
      </c>
      <c r="H130" s="35">
        <v>5</v>
      </c>
      <c r="I130" s="35">
        <v>4</v>
      </c>
      <c r="J130" s="35">
        <v>4</v>
      </c>
      <c r="K130" s="35">
        <v>0</v>
      </c>
      <c r="L130" s="35">
        <v>3</v>
      </c>
      <c r="M130" s="35">
        <v>4</v>
      </c>
      <c r="N130" s="35">
        <v>4</v>
      </c>
      <c r="O130" s="35">
        <v>0</v>
      </c>
      <c r="P130" s="35">
        <v>3</v>
      </c>
      <c r="Q130" s="35">
        <v>4</v>
      </c>
      <c r="R130" s="35">
        <v>4</v>
      </c>
      <c r="S130" s="35">
        <v>0</v>
      </c>
      <c r="T130" s="35">
        <v>5</v>
      </c>
      <c r="U130" s="35">
        <v>4</v>
      </c>
      <c r="V130" s="35">
        <v>4</v>
      </c>
      <c r="W130" s="35">
        <v>0</v>
      </c>
      <c r="X130" s="35">
        <v>5</v>
      </c>
      <c r="Y130" s="35">
        <v>4</v>
      </c>
      <c r="Z130" s="35">
        <v>4</v>
      </c>
      <c r="AA130" s="35">
        <v>0</v>
      </c>
      <c r="AB130" s="35">
        <v>5</v>
      </c>
      <c r="AC130" s="35">
        <v>4</v>
      </c>
      <c r="AD130" s="35">
        <v>4</v>
      </c>
      <c r="AE130" s="35">
        <v>0</v>
      </c>
      <c r="AF130" s="35">
        <v>5</v>
      </c>
      <c r="AG130" s="35">
        <v>4</v>
      </c>
      <c r="AH130" s="35">
        <v>4</v>
      </c>
      <c r="AI130" s="35">
        <v>0</v>
      </c>
      <c r="AJ130" s="35">
        <v>5</v>
      </c>
      <c r="AK130" s="35">
        <v>4</v>
      </c>
      <c r="AL130" s="35">
        <v>4</v>
      </c>
      <c r="AM130" s="35">
        <v>0</v>
      </c>
      <c r="AN130" s="35">
        <v>5</v>
      </c>
      <c r="AO130" s="35">
        <v>4</v>
      </c>
      <c r="AP130" s="35">
        <v>4</v>
      </c>
      <c r="AQ130" s="35">
        <v>0</v>
      </c>
      <c r="AR130" s="35">
        <v>5</v>
      </c>
      <c r="AS130" s="35">
        <v>4</v>
      </c>
      <c r="AT130" s="35">
        <v>4</v>
      </c>
      <c r="AU130" s="35">
        <v>0</v>
      </c>
      <c r="AV130" s="35">
        <v>5</v>
      </c>
      <c r="AW130" s="35">
        <v>4</v>
      </c>
      <c r="AX130" s="35">
        <v>4</v>
      </c>
      <c r="AY130" s="35">
        <v>0</v>
      </c>
      <c r="AZ130" s="35">
        <v>5</v>
      </c>
      <c r="BA130" s="35">
        <v>4</v>
      </c>
      <c r="BB130" s="35">
        <v>4</v>
      </c>
      <c r="BC130" s="35">
        <v>0</v>
      </c>
      <c r="BD130" s="19"/>
    </row>
    <row r="131" spans="2:56" x14ac:dyDescent="0.25">
      <c r="B131" s="50" t="str">
        <f t="shared" si="41"/>
        <v>Yield Defect Loss Type C</v>
      </c>
      <c r="C131" s="43" t="str">
        <f t="shared" si="42"/>
        <v>Product D</v>
      </c>
      <c r="D131" s="35">
        <v>0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  <c r="U131" s="35">
        <v>0</v>
      </c>
      <c r="V131" s="35">
        <v>0</v>
      </c>
      <c r="W131" s="35">
        <v>0</v>
      </c>
      <c r="X131" s="35">
        <v>0</v>
      </c>
      <c r="Y131" s="35">
        <v>0</v>
      </c>
      <c r="Z131" s="35">
        <v>0</v>
      </c>
      <c r="AA131" s="35">
        <v>0</v>
      </c>
      <c r="AB131" s="35">
        <v>0</v>
      </c>
      <c r="AC131" s="35">
        <v>0</v>
      </c>
      <c r="AD131" s="35">
        <v>0</v>
      </c>
      <c r="AE131" s="35">
        <v>0</v>
      </c>
      <c r="AF131" s="35">
        <v>0</v>
      </c>
      <c r="AG131" s="35">
        <v>0</v>
      </c>
      <c r="AH131" s="35">
        <v>0</v>
      </c>
      <c r="AI131" s="35">
        <v>0</v>
      </c>
      <c r="AJ131" s="35">
        <v>0</v>
      </c>
      <c r="AK131" s="35">
        <v>0</v>
      </c>
      <c r="AL131" s="35">
        <v>0</v>
      </c>
      <c r="AM131" s="35">
        <v>0</v>
      </c>
      <c r="AN131" s="35">
        <v>0</v>
      </c>
      <c r="AO131" s="35">
        <v>0</v>
      </c>
      <c r="AP131" s="35">
        <v>0</v>
      </c>
      <c r="AQ131" s="35">
        <v>0</v>
      </c>
      <c r="AR131" s="35">
        <v>0</v>
      </c>
      <c r="AS131" s="35">
        <v>0</v>
      </c>
      <c r="AT131" s="35">
        <v>0</v>
      </c>
      <c r="AU131" s="35">
        <v>0</v>
      </c>
      <c r="AV131" s="35">
        <v>0</v>
      </c>
      <c r="AW131" s="35">
        <v>0</v>
      </c>
      <c r="AX131" s="35">
        <v>0</v>
      </c>
      <c r="AY131" s="35">
        <v>0</v>
      </c>
      <c r="AZ131" s="35">
        <v>0</v>
      </c>
      <c r="BA131" s="35">
        <v>0</v>
      </c>
      <c r="BB131" s="35">
        <v>0</v>
      </c>
      <c r="BC131" s="35">
        <v>0</v>
      </c>
      <c r="BD131" s="19"/>
    </row>
    <row r="132" spans="2:56" x14ac:dyDescent="0.25">
      <c r="B132" s="50" t="str">
        <f t="shared" si="41"/>
        <v>Yield Defect Loss Type C</v>
      </c>
      <c r="C132" s="43" t="str">
        <f t="shared" si="42"/>
        <v>Product E</v>
      </c>
      <c r="D132" s="35">
        <v>0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  <c r="U132" s="35">
        <v>0</v>
      </c>
      <c r="V132" s="35">
        <v>0</v>
      </c>
      <c r="W132" s="35">
        <v>0</v>
      </c>
      <c r="X132" s="35">
        <v>0</v>
      </c>
      <c r="Y132" s="35">
        <v>0</v>
      </c>
      <c r="Z132" s="35">
        <v>0</v>
      </c>
      <c r="AA132" s="35">
        <v>0</v>
      </c>
      <c r="AB132" s="35">
        <v>0</v>
      </c>
      <c r="AC132" s="35">
        <v>0</v>
      </c>
      <c r="AD132" s="35">
        <v>0</v>
      </c>
      <c r="AE132" s="35">
        <v>0</v>
      </c>
      <c r="AF132" s="35">
        <v>0</v>
      </c>
      <c r="AG132" s="35">
        <v>0</v>
      </c>
      <c r="AH132" s="35">
        <v>0</v>
      </c>
      <c r="AI132" s="35">
        <v>0</v>
      </c>
      <c r="AJ132" s="35">
        <v>0</v>
      </c>
      <c r="AK132" s="35">
        <v>0</v>
      </c>
      <c r="AL132" s="35">
        <v>0</v>
      </c>
      <c r="AM132" s="35">
        <v>0</v>
      </c>
      <c r="AN132" s="35">
        <v>0</v>
      </c>
      <c r="AO132" s="35">
        <v>0</v>
      </c>
      <c r="AP132" s="35">
        <v>0</v>
      </c>
      <c r="AQ132" s="35">
        <v>0</v>
      </c>
      <c r="AR132" s="35">
        <v>0</v>
      </c>
      <c r="AS132" s="35">
        <v>0</v>
      </c>
      <c r="AT132" s="35">
        <v>0</v>
      </c>
      <c r="AU132" s="35">
        <v>0</v>
      </c>
      <c r="AV132" s="35">
        <v>0</v>
      </c>
      <c r="AW132" s="35">
        <v>0</v>
      </c>
      <c r="AX132" s="35">
        <v>0</v>
      </c>
      <c r="AY132" s="35">
        <v>0</v>
      </c>
      <c r="AZ132" s="35">
        <v>0</v>
      </c>
      <c r="BA132" s="35">
        <v>0</v>
      </c>
      <c r="BB132" s="35">
        <v>0</v>
      </c>
      <c r="BC132" s="35">
        <v>0</v>
      </c>
      <c r="BD132" s="19"/>
    </row>
    <row r="133" spans="2:56" x14ac:dyDescent="0.25">
      <c r="B133" s="50" t="str">
        <f t="shared" si="41"/>
        <v>Yield Defect Loss Type C</v>
      </c>
      <c r="C133" s="43" t="str">
        <f t="shared" si="42"/>
        <v>Product F</v>
      </c>
      <c r="D133" s="35">
        <v>0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  <c r="U133" s="35">
        <v>0</v>
      </c>
      <c r="V133" s="35">
        <v>0</v>
      </c>
      <c r="W133" s="35">
        <v>0</v>
      </c>
      <c r="X133" s="35">
        <v>0</v>
      </c>
      <c r="Y133" s="35">
        <v>0</v>
      </c>
      <c r="Z133" s="35">
        <v>0</v>
      </c>
      <c r="AA133" s="35">
        <v>0</v>
      </c>
      <c r="AB133" s="35">
        <v>0</v>
      </c>
      <c r="AC133" s="35">
        <v>0</v>
      </c>
      <c r="AD133" s="35">
        <v>0</v>
      </c>
      <c r="AE133" s="35">
        <v>0</v>
      </c>
      <c r="AF133" s="35">
        <v>0</v>
      </c>
      <c r="AG133" s="35">
        <v>0</v>
      </c>
      <c r="AH133" s="35">
        <v>0</v>
      </c>
      <c r="AI133" s="35">
        <v>0</v>
      </c>
      <c r="AJ133" s="35">
        <v>0</v>
      </c>
      <c r="AK133" s="35">
        <v>0</v>
      </c>
      <c r="AL133" s="35">
        <v>0</v>
      </c>
      <c r="AM133" s="35">
        <v>0</v>
      </c>
      <c r="AN133" s="35">
        <v>0</v>
      </c>
      <c r="AO133" s="35">
        <v>0</v>
      </c>
      <c r="AP133" s="35">
        <v>0</v>
      </c>
      <c r="AQ133" s="35">
        <v>0</v>
      </c>
      <c r="AR133" s="35">
        <v>0</v>
      </c>
      <c r="AS133" s="35">
        <v>0</v>
      </c>
      <c r="AT133" s="35">
        <v>0</v>
      </c>
      <c r="AU133" s="35">
        <v>0</v>
      </c>
      <c r="AV133" s="35">
        <v>0</v>
      </c>
      <c r="AW133" s="35">
        <v>0</v>
      </c>
      <c r="AX133" s="35">
        <v>0</v>
      </c>
      <c r="AY133" s="35">
        <v>0</v>
      </c>
      <c r="AZ133" s="35">
        <v>0</v>
      </c>
      <c r="BA133" s="35">
        <v>0</v>
      </c>
      <c r="BB133" s="35">
        <v>0</v>
      </c>
      <c r="BC133" s="35">
        <v>0</v>
      </c>
      <c r="BD133" s="19"/>
    </row>
    <row r="134" spans="2:56" x14ac:dyDescent="0.25">
      <c r="B134" s="50" t="str">
        <f t="shared" si="41"/>
        <v>Yield Defect Loss Type C</v>
      </c>
      <c r="C134" s="43" t="str">
        <f t="shared" si="42"/>
        <v>Product G</v>
      </c>
      <c r="D134" s="35">
        <v>0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  <c r="U134" s="35">
        <v>0</v>
      </c>
      <c r="V134" s="35">
        <v>0</v>
      </c>
      <c r="W134" s="35">
        <v>0</v>
      </c>
      <c r="X134" s="35">
        <v>0</v>
      </c>
      <c r="Y134" s="35">
        <v>0</v>
      </c>
      <c r="Z134" s="35">
        <v>0</v>
      </c>
      <c r="AA134" s="35">
        <v>0</v>
      </c>
      <c r="AB134" s="35">
        <v>0</v>
      </c>
      <c r="AC134" s="35">
        <v>0</v>
      </c>
      <c r="AD134" s="35">
        <v>0</v>
      </c>
      <c r="AE134" s="35">
        <v>0</v>
      </c>
      <c r="AF134" s="35">
        <v>0</v>
      </c>
      <c r="AG134" s="35">
        <v>0</v>
      </c>
      <c r="AH134" s="35">
        <v>0</v>
      </c>
      <c r="AI134" s="35">
        <v>0</v>
      </c>
      <c r="AJ134" s="35">
        <v>0</v>
      </c>
      <c r="AK134" s="35">
        <v>0</v>
      </c>
      <c r="AL134" s="35">
        <v>0</v>
      </c>
      <c r="AM134" s="35">
        <v>0</v>
      </c>
      <c r="AN134" s="35">
        <v>0</v>
      </c>
      <c r="AO134" s="35">
        <v>0</v>
      </c>
      <c r="AP134" s="35">
        <v>0</v>
      </c>
      <c r="AQ134" s="35">
        <v>0</v>
      </c>
      <c r="AR134" s="35">
        <v>0</v>
      </c>
      <c r="AS134" s="35">
        <v>0</v>
      </c>
      <c r="AT134" s="35">
        <v>0</v>
      </c>
      <c r="AU134" s="35">
        <v>0</v>
      </c>
      <c r="AV134" s="35">
        <v>0</v>
      </c>
      <c r="AW134" s="35">
        <v>0</v>
      </c>
      <c r="AX134" s="35">
        <v>0</v>
      </c>
      <c r="AY134" s="35">
        <v>0</v>
      </c>
      <c r="AZ134" s="35">
        <v>0</v>
      </c>
      <c r="BA134" s="35">
        <v>0</v>
      </c>
      <c r="BB134" s="35">
        <v>0</v>
      </c>
      <c r="BC134" s="35">
        <v>0</v>
      </c>
      <c r="BD134" s="19"/>
    </row>
    <row r="135" spans="2:56" x14ac:dyDescent="0.25">
      <c r="B135" s="50" t="str">
        <f t="shared" si="41"/>
        <v>Yield Defect Loss Type C</v>
      </c>
      <c r="C135" s="43" t="str">
        <f t="shared" si="42"/>
        <v>Product H</v>
      </c>
      <c r="D135" s="35">
        <v>0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  <c r="U135" s="35">
        <v>0</v>
      </c>
      <c r="V135" s="35">
        <v>0</v>
      </c>
      <c r="W135" s="35">
        <v>0</v>
      </c>
      <c r="X135" s="35">
        <v>0</v>
      </c>
      <c r="Y135" s="35">
        <v>0</v>
      </c>
      <c r="Z135" s="35">
        <v>0</v>
      </c>
      <c r="AA135" s="35">
        <v>0</v>
      </c>
      <c r="AB135" s="35">
        <v>0</v>
      </c>
      <c r="AC135" s="35">
        <v>0</v>
      </c>
      <c r="AD135" s="35">
        <v>0</v>
      </c>
      <c r="AE135" s="35">
        <v>0</v>
      </c>
      <c r="AF135" s="35">
        <v>0</v>
      </c>
      <c r="AG135" s="35">
        <v>0</v>
      </c>
      <c r="AH135" s="35">
        <v>0</v>
      </c>
      <c r="AI135" s="35">
        <v>0</v>
      </c>
      <c r="AJ135" s="35">
        <v>0</v>
      </c>
      <c r="AK135" s="35">
        <v>0</v>
      </c>
      <c r="AL135" s="35">
        <v>0</v>
      </c>
      <c r="AM135" s="35">
        <v>0</v>
      </c>
      <c r="AN135" s="35">
        <v>0</v>
      </c>
      <c r="AO135" s="35">
        <v>0</v>
      </c>
      <c r="AP135" s="35">
        <v>0</v>
      </c>
      <c r="AQ135" s="35">
        <v>0</v>
      </c>
      <c r="AR135" s="35">
        <v>0</v>
      </c>
      <c r="AS135" s="35">
        <v>0</v>
      </c>
      <c r="AT135" s="35">
        <v>0</v>
      </c>
      <c r="AU135" s="35">
        <v>0</v>
      </c>
      <c r="AV135" s="35">
        <v>0</v>
      </c>
      <c r="AW135" s="35">
        <v>0</v>
      </c>
      <c r="AX135" s="35">
        <v>0</v>
      </c>
      <c r="AY135" s="35">
        <v>0</v>
      </c>
      <c r="AZ135" s="35">
        <v>0</v>
      </c>
      <c r="BA135" s="35">
        <v>0</v>
      </c>
      <c r="BB135" s="35">
        <v>0</v>
      </c>
      <c r="BC135" s="35">
        <v>0</v>
      </c>
      <c r="BD135" s="19"/>
    </row>
    <row r="136" spans="2:56" x14ac:dyDescent="0.25">
      <c r="B136" s="35" t="s">
        <v>275</v>
      </c>
      <c r="C136" s="19"/>
      <c r="D136" s="104">
        <v>1</v>
      </c>
      <c r="E136" s="104">
        <f>D136+1</f>
        <v>2</v>
      </c>
      <c r="F136" s="104">
        <f t="shared" ref="F136:BC136" si="43">E136+1</f>
        <v>3</v>
      </c>
      <c r="G136" s="104">
        <f t="shared" si="43"/>
        <v>4</v>
      </c>
      <c r="H136" s="104">
        <f t="shared" si="43"/>
        <v>5</v>
      </c>
      <c r="I136" s="104">
        <f t="shared" si="43"/>
        <v>6</v>
      </c>
      <c r="J136" s="104">
        <f t="shared" si="43"/>
        <v>7</v>
      </c>
      <c r="K136" s="104">
        <f t="shared" si="43"/>
        <v>8</v>
      </c>
      <c r="L136" s="104">
        <f t="shared" si="43"/>
        <v>9</v>
      </c>
      <c r="M136" s="104">
        <f t="shared" si="43"/>
        <v>10</v>
      </c>
      <c r="N136" s="104">
        <f t="shared" si="43"/>
        <v>11</v>
      </c>
      <c r="O136" s="104">
        <f t="shared" si="43"/>
        <v>12</v>
      </c>
      <c r="P136" s="104">
        <f t="shared" si="43"/>
        <v>13</v>
      </c>
      <c r="Q136" s="104">
        <f t="shared" si="43"/>
        <v>14</v>
      </c>
      <c r="R136" s="104">
        <f t="shared" si="43"/>
        <v>15</v>
      </c>
      <c r="S136" s="104">
        <f t="shared" si="43"/>
        <v>16</v>
      </c>
      <c r="T136" s="104">
        <f t="shared" si="43"/>
        <v>17</v>
      </c>
      <c r="U136" s="104">
        <f t="shared" si="43"/>
        <v>18</v>
      </c>
      <c r="V136" s="104">
        <f t="shared" si="43"/>
        <v>19</v>
      </c>
      <c r="W136" s="104">
        <f t="shared" si="43"/>
        <v>20</v>
      </c>
      <c r="X136" s="104">
        <f t="shared" si="43"/>
        <v>21</v>
      </c>
      <c r="Y136" s="104">
        <f t="shared" si="43"/>
        <v>22</v>
      </c>
      <c r="Z136" s="104">
        <f t="shared" si="43"/>
        <v>23</v>
      </c>
      <c r="AA136" s="104">
        <f t="shared" si="43"/>
        <v>24</v>
      </c>
      <c r="AB136" s="104">
        <f t="shared" si="43"/>
        <v>25</v>
      </c>
      <c r="AC136" s="104">
        <f t="shared" si="43"/>
        <v>26</v>
      </c>
      <c r="AD136" s="104">
        <f t="shared" si="43"/>
        <v>27</v>
      </c>
      <c r="AE136" s="104">
        <f t="shared" si="43"/>
        <v>28</v>
      </c>
      <c r="AF136" s="104">
        <f t="shared" si="43"/>
        <v>29</v>
      </c>
      <c r="AG136" s="104">
        <f t="shared" si="43"/>
        <v>30</v>
      </c>
      <c r="AH136" s="104">
        <f t="shared" si="43"/>
        <v>31</v>
      </c>
      <c r="AI136" s="104">
        <f t="shared" si="43"/>
        <v>32</v>
      </c>
      <c r="AJ136" s="104">
        <f t="shared" si="43"/>
        <v>33</v>
      </c>
      <c r="AK136" s="104">
        <f t="shared" si="43"/>
        <v>34</v>
      </c>
      <c r="AL136" s="104">
        <f t="shared" si="43"/>
        <v>35</v>
      </c>
      <c r="AM136" s="104">
        <f t="shared" si="43"/>
        <v>36</v>
      </c>
      <c r="AN136" s="104">
        <f t="shared" si="43"/>
        <v>37</v>
      </c>
      <c r="AO136" s="104">
        <f t="shared" si="43"/>
        <v>38</v>
      </c>
      <c r="AP136" s="104">
        <f t="shared" si="43"/>
        <v>39</v>
      </c>
      <c r="AQ136" s="104">
        <f t="shared" si="43"/>
        <v>40</v>
      </c>
      <c r="AR136" s="104">
        <f t="shared" si="43"/>
        <v>41</v>
      </c>
      <c r="AS136" s="104">
        <f t="shared" si="43"/>
        <v>42</v>
      </c>
      <c r="AT136" s="104">
        <f t="shared" si="43"/>
        <v>43</v>
      </c>
      <c r="AU136" s="104">
        <f t="shared" si="43"/>
        <v>44</v>
      </c>
      <c r="AV136" s="104">
        <f t="shared" si="43"/>
        <v>45</v>
      </c>
      <c r="AW136" s="104">
        <f t="shared" si="43"/>
        <v>46</v>
      </c>
      <c r="AX136" s="104">
        <f t="shared" si="43"/>
        <v>47</v>
      </c>
      <c r="AY136" s="104">
        <f t="shared" si="43"/>
        <v>48</v>
      </c>
      <c r="AZ136" s="104">
        <f t="shared" si="43"/>
        <v>49</v>
      </c>
      <c r="BA136" s="104">
        <f t="shared" si="43"/>
        <v>50</v>
      </c>
      <c r="BB136" s="104">
        <f t="shared" si="43"/>
        <v>51</v>
      </c>
      <c r="BC136" s="104">
        <f t="shared" si="43"/>
        <v>52</v>
      </c>
      <c r="BD136" s="19"/>
    </row>
    <row r="137" spans="2:56" x14ac:dyDescent="0.25">
      <c r="B137" s="50" t="str">
        <f>B136</f>
        <v>Yield Defect Loss Type D</v>
      </c>
      <c r="C137" s="43" t="str">
        <f>C128</f>
        <v>Product A</v>
      </c>
      <c r="D137" s="35">
        <v>0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  <c r="U137" s="35">
        <v>0</v>
      </c>
      <c r="V137" s="35">
        <v>0</v>
      </c>
      <c r="W137" s="35">
        <v>0</v>
      </c>
      <c r="X137" s="35">
        <v>0</v>
      </c>
      <c r="Y137" s="35">
        <v>0</v>
      </c>
      <c r="Z137" s="35">
        <v>0</v>
      </c>
      <c r="AA137" s="35">
        <v>0</v>
      </c>
      <c r="AB137" s="35">
        <v>0</v>
      </c>
      <c r="AC137" s="35">
        <v>0</v>
      </c>
      <c r="AD137" s="35">
        <v>0</v>
      </c>
      <c r="AE137" s="35">
        <v>0</v>
      </c>
      <c r="AF137" s="35">
        <v>0</v>
      </c>
      <c r="AG137" s="35">
        <v>0</v>
      </c>
      <c r="AH137" s="35">
        <v>0</v>
      </c>
      <c r="AI137" s="35">
        <v>0</v>
      </c>
      <c r="AJ137" s="35">
        <v>0</v>
      </c>
      <c r="AK137" s="35">
        <v>0</v>
      </c>
      <c r="AL137" s="35">
        <v>0</v>
      </c>
      <c r="AM137" s="35">
        <v>0</v>
      </c>
      <c r="AN137" s="35">
        <v>0</v>
      </c>
      <c r="AO137" s="35">
        <v>0</v>
      </c>
      <c r="AP137" s="35">
        <v>0</v>
      </c>
      <c r="AQ137" s="35">
        <v>0</v>
      </c>
      <c r="AR137" s="35">
        <v>0</v>
      </c>
      <c r="AS137" s="35">
        <v>0</v>
      </c>
      <c r="AT137" s="35">
        <v>0</v>
      </c>
      <c r="AU137" s="35">
        <v>0</v>
      </c>
      <c r="AV137" s="35">
        <v>0</v>
      </c>
      <c r="AW137" s="35">
        <v>0</v>
      </c>
      <c r="AX137" s="35">
        <v>0</v>
      </c>
      <c r="AY137" s="35">
        <v>0</v>
      </c>
      <c r="AZ137" s="35">
        <v>0</v>
      </c>
      <c r="BA137" s="35">
        <v>0</v>
      </c>
      <c r="BB137" s="35">
        <v>0</v>
      </c>
      <c r="BC137" s="35">
        <v>0</v>
      </c>
      <c r="BD137" s="19"/>
    </row>
    <row r="138" spans="2:56" x14ac:dyDescent="0.25">
      <c r="B138" s="50" t="str">
        <f t="shared" ref="B138:B144" si="44">B137</f>
        <v>Yield Defect Loss Type D</v>
      </c>
      <c r="C138" s="43" t="str">
        <f t="shared" ref="C138:C144" si="45">C129</f>
        <v>Product B</v>
      </c>
      <c r="D138" s="35">
        <v>0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  <c r="U138" s="35">
        <v>0</v>
      </c>
      <c r="V138" s="35">
        <v>0</v>
      </c>
      <c r="W138" s="35">
        <v>0</v>
      </c>
      <c r="X138" s="35">
        <v>0</v>
      </c>
      <c r="Y138" s="35">
        <v>0</v>
      </c>
      <c r="Z138" s="35">
        <v>0</v>
      </c>
      <c r="AA138" s="35">
        <v>0</v>
      </c>
      <c r="AB138" s="35">
        <v>0</v>
      </c>
      <c r="AC138" s="35">
        <v>0</v>
      </c>
      <c r="AD138" s="35">
        <v>0</v>
      </c>
      <c r="AE138" s="35">
        <v>0</v>
      </c>
      <c r="AF138" s="35">
        <v>0</v>
      </c>
      <c r="AG138" s="35">
        <v>0</v>
      </c>
      <c r="AH138" s="35">
        <v>0</v>
      </c>
      <c r="AI138" s="35">
        <v>0</v>
      </c>
      <c r="AJ138" s="35">
        <v>0</v>
      </c>
      <c r="AK138" s="35">
        <v>0</v>
      </c>
      <c r="AL138" s="35">
        <v>0</v>
      </c>
      <c r="AM138" s="35">
        <v>0</v>
      </c>
      <c r="AN138" s="35">
        <v>0</v>
      </c>
      <c r="AO138" s="35">
        <v>0</v>
      </c>
      <c r="AP138" s="35">
        <v>0</v>
      </c>
      <c r="AQ138" s="35">
        <v>0</v>
      </c>
      <c r="AR138" s="35">
        <v>0</v>
      </c>
      <c r="AS138" s="35">
        <v>0</v>
      </c>
      <c r="AT138" s="35">
        <v>0</v>
      </c>
      <c r="AU138" s="35">
        <v>0</v>
      </c>
      <c r="AV138" s="35">
        <v>0</v>
      </c>
      <c r="AW138" s="35">
        <v>0</v>
      </c>
      <c r="AX138" s="35">
        <v>0</v>
      </c>
      <c r="AY138" s="35">
        <v>0</v>
      </c>
      <c r="AZ138" s="35">
        <v>0</v>
      </c>
      <c r="BA138" s="35">
        <v>0</v>
      </c>
      <c r="BB138" s="35">
        <v>0</v>
      </c>
      <c r="BC138" s="35">
        <v>0</v>
      </c>
      <c r="BD138" s="19"/>
    </row>
    <row r="139" spans="2:56" x14ac:dyDescent="0.25">
      <c r="B139" s="50" t="str">
        <f t="shared" si="44"/>
        <v>Yield Defect Loss Type D</v>
      </c>
      <c r="C139" s="43" t="str">
        <f t="shared" si="45"/>
        <v>Product C</v>
      </c>
      <c r="D139" s="35">
        <v>0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  <c r="U139" s="35">
        <v>0</v>
      </c>
      <c r="V139" s="35">
        <v>0</v>
      </c>
      <c r="W139" s="35">
        <v>0</v>
      </c>
      <c r="X139" s="35">
        <v>0</v>
      </c>
      <c r="Y139" s="35">
        <v>0</v>
      </c>
      <c r="Z139" s="35">
        <v>0</v>
      </c>
      <c r="AA139" s="35">
        <v>0</v>
      </c>
      <c r="AB139" s="35">
        <v>0</v>
      </c>
      <c r="AC139" s="35">
        <v>0</v>
      </c>
      <c r="AD139" s="35">
        <v>0</v>
      </c>
      <c r="AE139" s="35">
        <v>0</v>
      </c>
      <c r="AF139" s="35">
        <v>0</v>
      </c>
      <c r="AG139" s="35">
        <v>0</v>
      </c>
      <c r="AH139" s="35">
        <v>0</v>
      </c>
      <c r="AI139" s="35">
        <v>0</v>
      </c>
      <c r="AJ139" s="35">
        <v>0</v>
      </c>
      <c r="AK139" s="35">
        <v>0</v>
      </c>
      <c r="AL139" s="35">
        <v>0</v>
      </c>
      <c r="AM139" s="35">
        <v>0</v>
      </c>
      <c r="AN139" s="35">
        <v>0</v>
      </c>
      <c r="AO139" s="35">
        <v>0</v>
      </c>
      <c r="AP139" s="35">
        <v>0</v>
      </c>
      <c r="AQ139" s="35">
        <v>0</v>
      </c>
      <c r="AR139" s="35">
        <v>0</v>
      </c>
      <c r="AS139" s="35">
        <v>0</v>
      </c>
      <c r="AT139" s="35">
        <v>0</v>
      </c>
      <c r="AU139" s="35">
        <v>0</v>
      </c>
      <c r="AV139" s="35">
        <v>0</v>
      </c>
      <c r="AW139" s="35">
        <v>0</v>
      </c>
      <c r="AX139" s="35">
        <v>0</v>
      </c>
      <c r="AY139" s="35">
        <v>0</v>
      </c>
      <c r="AZ139" s="35">
        <v>0</v>
      </c>
      <c r="BA139" s="35">
        <v>0</v>
      </c>
      <c r="BB139" s="35">
        <v>0</v>
      </c>
      <c r="BC139" s="35">
        <v>0</v>
      </c>
      <c r="BD139" s="19"/>
    </row>
    <row r="140" spans="2:56" x14ac:dyDescent="0.25">
      <c r="B140" s="50" t="str">
        <f t="shared" si="44"/>
        <v>Yield Defect Loss Type D</v>
      </c>
      <c r="C140" s="43" t="str">
        <f t="shared" si="45"/>
        <v>Product D</v>
      </c>
      <c r="D140" s="35">
        <v>5</v>
      </c>
      <c r="E140" s="35">
        <v>5</v>
      </c>
      <c r="F140" s="35">
        <v>4</v>
      </c>
      <c r="G140" s="35">
        <v>4</v>
      </c>
      <c r="H140" s="35">
        <v>4</v>
      </c>
      <c r="I140" s="35">
        <v>5</v>
      </c>
      <c r="J140" s="35">
        <v>4</v>
      </c>
      <c r="K140" s="35">
        <v>4</v>
      </c>
      <c r="L140" s="35">
        <v>5</v>
      </c>
      <c r="M140" s="35">
        <v>5</v>
      </c>
      <c r="N140" s="35">
        <v>4</v>
      </c>
      <c r="O140" s="35">
        <v>4</v>
      </c>
      <c r="P140" s="35">
        <v>6</v>
      </c>
      <c r="Q140" s="35">
        <v>5</v>
      </c>
      <c r="R140" s="35">
        <v>4</v>
      </c>
      <c r="S140" s="35">
        <v>4</v>
      </c>
      <c r="T140" s="35">
        <v>4</v>
      </c>
      <c r="U140" s="35">
        <v>4</v>
      </c>
      <c r="V140" s="35">
        <v>4</v>
      </c>
      <c r="W140" s="35">
        <v>4</v>
      </c>
      <c r="X140" s="35">
        <v>6</v>
      </c>
      <c r="Y140" s="35">
        <v>5</v>
      </c>
      <c r="Z140" s="35">
        <v>4</v>
      </c>
      <c r="AA140" s="35">
        <v>3</v>
      </c>
      <c r="AB140" s="35">
        <v>6</v>
      </c>
      <c r="AC140" s="35">
        <v>5</v>
      </c>
      <c r="AD140" s="35">
        <v>4</v>
      </c>
      <c r="AE140" s="35">
        <v>3</v>
      </c>
      <c r="AF140" s="35">
        <v>4</v>
      </c>
      <c r="AG140" s="35">
        <v>5</v>
      </c>
      <c r="AH140" s="35">
        <v>4</v>
      </c>
      <c r="AI140" s="35">
        <v>4</v>
      </c>
      <c r="AJ140" s="35">
        <v>4</v>
      </c>
      <c r="AK140" s="35">
        <v>5</v>
      </c>
      <c r="AL140" s="35">
        <v>4</v>
      </c>
      <c r="AM140" s="35">
        <v>3</v>
      </c>
      <c r="AN140" s="35">
        <v>5</v>
      </c>
      <c r="AO140" s="35">
        <v>5</v>
      </c>
      <c r="AP140" s="35">
        <v>4</v>
      </c>
      <c r="AQ140" s="35">
        <v>4</v>
      </c>
      <c r="AR140" s="35">
        <v>4</v>
      </c>
      <c r="AS140" s="35">
        <v>5</v>
      </c>
      <c r="AT140" s="35">
        <v>4</v>
      </c>
      <c r="AU140" s="35">
        <v>4</v>
      </c>
      <c r="AV140" s="35">
        <v>6</v>
      </c>
      <c r="AW140" s="35">
        <v>4</v>
      </c>
      <c r="AX140" s="35">
        <v>4</v>
      </c>
      <c r="AY140" s="35">
        <v>4</v>
      </c>
      <c r="AZ140" s="35">
        <v>6</v>
      </c>
      <c r="BA140" s="35">
        <v>5</v>
      </c>
      <c r="BB140" s="35">
        <v>4</v>
      </c>
      <c r="BC140" s="35">
        <v>3</v>
      </c>
      <c r="BD140" s="19"/>
    </row>
    <row r="141" spans="2:56" x14ac:dyDescent="0.25">
      <c r="B141" s="50" t="str">
        <f t="shared" si="44"/>
        <v>Yield Defect Loss Type D</v>
      </c>
      <c r="C141" s="43" t="str">
        <f t="shared" si="45"/>
        <v>Product E</v>
      </c>
      <c r="D141" s="35">
        <v>0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  <c r="U141" s="35">
        <v>0</v>
      </c>
      <c r="V141" s="35">
        <v>0</v>
      </c>
      <c r="W141" s="35">
        <v>0</v>
      </c>
      <c r="X141" s="35">
        <v>0</v>
      </c>
      <c r="Y141" s="35">
        <v>0</v>
      </c>
      <c r="Z141" s="35">
        <v>0</v>
      </c>
      <c r="AA141" s="35">
        <v>0</v>
      </c>
      <c r="AB141" s="35">
        <v>0</v>
      </c>
      <c r="AC141" s="35">
        <v>0</v>
      </c>
      <c r="AD141" s="35">
        <v>0</v>
      </c>
      <c r="AE141" s="35">
        <v>0</v>
      </c>
      <c r="AF141" s="35">
        <v>0</v>
      </c>
      <c r="AG141" s="35">
        <v>0</v>
      </c>
      <c r="AH141" s="35">
        <v>0</v>
      </c>
      <c r="AI141" s="35">
        <v>0</v>
      </c>
      <c r="AJ141" s="35">
        <v>0</v>
      </c>
      <c r="AK141" s="35">
        <v>0</v>
      </c>
      <c r="AL141" s="35">
        <v>0</v>
      </c>
      <c r="AM141" s="35">
        <v>0</v>
      </c>
      <c r="AN141" s="35">
        <v>0</v>
      </c>
      <c r="AO141" s="35">
        <v>0</v>
      </c>
      <c r="AP141" s="35">
        <v>0</v>
      </c>
      <c r="AQ141" s="35">
        <v>0</v>
      </c>
      <c r="AR141" s="35">
        <v>0</v>
      </c>
      <c r="AS141" s="35">
        <v>0</v>
      </c>
      <c r="AT141" s="35">
        <v>0</v>
      </c>
      <c r="AU141" s="35">
        <v>0</v>
      </c>
      <c r="AV141" s="35">
        <v>0</v>
      </c>
      <c r="AW141" s="35">
        <v>0</v>
      </c>
      <c r="AX141" s="35">
        <v>0</v>
      </c>
      <c r="AY141" s="35">
        <v>0</v>
      </c>
      <c r="AZ141" s="35">
        <v>0</v>
      </c>
      <c r="BA141" s="35">
        <v>0</v>
      </c>
      <c r="BB141" s="35">
        <v>0</v>
      </c>
      <c r="BC141" s="35">
        <v>0</v>
      </c>
      <c r="BD141" s="19"/>
    </row>
    <row r="142" spans="2:56" x14ac:dyDescent="0.25">
      <c r="B142" s="50" t="str">
        <f t="shared" si="44"/>
        <v>Yield Defect Loss Type D</v>
      </c>
      <c r="C142" s="43" t="str">
        <f t="shared" si="45"/>
        <v>Product F</v>
      </c>
      <c r="D142" s="35">
        <v>0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  <c r="U142" s="35">
        <v>0</v>
      </c>
      <c r="V142" s="35">
        <v>0</v>
      </c>
      <c r="W142" s="35">
        <v>0</v>
      </c>
      <c r="X142" s="35">
        <v>0</v>
      </c>
      <c r="Y142" s="35">
        <v>0</v>
      </c>
      <c r="Z142" s="35">
        <v>0</v>
      </c>
      <c r="AA142" s="35">
        <v>0</v>
      </c>
      <c r="AB142" s="35">
        <v>0</v>
      </c>
      <c r="AC142" s="35">
        <v>0</v>
      </c>
      <c r="AD142" s="35">
        <v>0</v>
      </c>
      <c r="AE142" s="35">
        <v>0</v>
      </c>
      <c r="AF142" s="35">
        <v>0</v>
      </c>
      <c r="AG142" s="35">
        <v>0</v>
      </c>
      <c r="AH142" s="35">
        <v>0</v>
      </c>
      <c r="AI142" s="35">
        <v>0</v>
      </c>
      <c r="AJ142" s="35">
        <v>0</v>
      </c>
      <c r="AK142" s="35">
        <v>0</v>
      </c>
      <c r="AL142" s="35">
        <v>0</v>
      </c>
      <c r="AM142" s="35">
        <v>0</v>
      </c>
      <c r="AN142" s="35">
        <v>0</v>
      </c>
      <c r="AO142" s="35">
        <v>0</v>
      </c>
      <c r="AP142" s="35">
        <v>0</v>
      </c>
      <c r="AQ142" s="35">
        <v>0</v>
      </c>
      <c r="AR142" s="35">
        <v>0</v>
      </c>
      <c r="AS142" s="35">
        <v>0</v>
      </c>
      <c r="AT142" s="35">
        <v>0</v>
      </c>
      <c r="AU142" s="35">
        <v>0</v>
      </c>
      <c r="AV142" s="35">
        <v>0</v>
      </c>
      <c r="AW142" s="35">
        <v>0</v>
      </c>
      <c r="AX142" s="35">
        <v>0</v>
      </c>
      <c r="AY142" s="35">
        <v>0</v>
      </c>
      <c r="AZ142" s="35">
        <v>0</v>
      </c>
      <c r="BA142" s="35">
        <v>0</v>
      </c>
      <c r="BB142" s="35">
        <v>0</v>
      </c>
      <c r="BC142" s="35">
        <v>0</v>
      </c>
      <c r="BD142" s="19"/>
    </row>
    <row r="143" spans="2:56" x14ac:dyDescent="0.25">
      <c r="B143" s="50" t="str">
        <f t="shared" si="44"/>
        <v>Yield Defect Loss Type D</v>
      </c>
      <c r="C143" s="43" t="str">
        <f t="shared" si="45"/>
        <v>Product G</v>
      </c>
      <c r="D143" s="35">
        <v>0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  <c r="U143" s="35">
        <v>0</v>
      </c>
      <c r="V143" s="35">
        <v>0</v>
      </c>
      <c r="W143" s="35">
        <v>0</v>
      </c>
      <c r="X143" s="35">
        <v>0</v>
      </c>
      <c r="Y143" s="35">
        <v>0</v>
      </c>
      <c r="Z143" s="35">
        <v>0</v>
      </c>
      <c r="AA143" s="35">
        <v>0</v>
      </c>
      <c r="AB143" s="35">
        <v>0</v>
      </c>
      <c r="AC143" s="35">
        <v>0</v>
      </c>
      <c r="AD143" s="35">
        <v>0</v>
      </c>
      <c r="AE143" s="35">
        <v>0</v>
      </c>
      <c r="AF143" s="35">
        <v>0</v>
      </c>
      <c r="AG143" s="35">
        <v>0</v>
      </c>
      <c r="AH143" s="35">
        <v>0</v>
      </c>
      <c r="AI143" s="35">
        <v>0</v>
      </c>
      <c r="AJ143" s="35">
        <v>0</v>
      </c>
      <c r="AK143" s="35">
        <v>0</v>
      </c>
      <c r="AL143" s="35">
        <v>0</v>
      </c>
      <c r="AM143" s="35">
        <v>0</v>
      </c>
      <c r="AN143" s="35">
        <v>0</v>
      </c>
      <c r="AO143" s="35">
        <v>0</v>
      </c>
      <c r="AP143" s="35">
        <v>0</v>
      </c>
      <c r="AQ143" s="35">
        <v>0</v>
      </c>
      <c r="AR143" s="35">
        <v>0</v>
      </c>
      <c r="AS143" s="35">
        <v>0</v>
      </c>
      <c r="AT143" s="35">
        <v>0</v>
      </c>
      <c r="AU143" s="35">
        <v>0</v>
      </c>
      <c r="AV143" s="35">
        <v>0</v>
      </c>
      <c r="AW143" s="35">
        <v>0</v>
      </c>
      <c r="AX143" s="35">
        <v>0</v>
      </c>
      <c r="AY143" s="35">
        <v>0</v>
      </c>
      <c r="AZ143" s="35">
        <v>0</v>
      </c>
      <c r="BA143" s="35">
        <v>0</v>
      </c>
      <c r="BB143" s="35">
        <v>0</v>
      </c>
      <c r="BC143" s="35">
        <v>0</v>
      </c>
      <c r="BD143" s="19"/>
    </row>
    <row r="144" spans="2:56" x14ac:dyDescent="0.25">
      <c r="B144" s="50" t="str">
        <f t="shared" si="44"/>
        <v>Yield Defect Loss Type D</v>
      </c>
      <c r="C144" s="43" t="str">
        <f t="shared" si="45"/>
        <v>Product H</v>
      </c>
      <c r="D144" s="35">
        <v>0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  <c r="U144" s="35">
        <v>0</v>
      </c>
      <c r="V144" s="35">
        <v>0</v>
      </c>
      <c r="W144" s="35">
        <v>0</v>
      </c>
      <c r="X144" s="35">
        <v>0</v>
      </c>
      <c r="Y144" s="35">
        <v>0</v>
      </c>
      <c r="Z144" s="35">
        <v>0</v>
      </c>
      <c r="AA144" s="35">
        <v>0</v>
      </c>
      <c r="AB144" s="35">
        <v>0</v>
      </c>
      <c r="AC144" s="35">
        <v>0</v>
      </c>
      <c r="AD144" s="35">
        <v>0</v>
      </c>
      <c r="AE144" s="35">
        <v>0</v>
      </c>
      <c r="AF144" s="35">
        <v>0</v>
      </c>
      <c r="AG144" s="35">
        <v>0</v>
      </c>
      <c r="AH144" s="35">
        <v>0</v>
      </c>
      <c r="AI144" s="35">
        <v>0</v>
      </c>
      <c r="AJ144" s="35">
        <v>0</v>
      </c>
      <c r="AK144" s="35">
        <v>0</v>
      </c>
      <c r="AL144" s="35">
        <v>0</v>
      </c>
      <c r="AM144" s="35">
        <v>0</v>
      </c>
      <c r="AN144" s="35">
        <v>0</v>
      </c>
      <c r="AO144" s="35">
        <v>0</v>
      </c>
      <c r="AP144" s="35">
        <v>0</v>
      </c>
      <c r="AQ144" s="35">
        <v>0</v>
      </c>
      <c r="AR144" s="35">
        <v>0</v>
      </c>
      <c r="AS144" s="35">
        <v>0</v>
      </c>
      <c r="AT144" s="35">
        <v>0</v>
      </c>
      <c r="AU144" s="35">
        <v>0</v>
      </c>
      <c r="AV144" s="35">
        <v>0</v>
      </c>
      <c r="AW144" s="35">
        <v>0</v>
      </c>
      <c r="AX144" s="35">
        <v>0</v>
      </c>
      <c r="AY144" s="35">
        <v>0</v>
      </c>
      <c r="AZ144" s="35">
        <v>0</v>
      </c>
      <c r="BA144" s="35">
        <v>0</v>
      </c>
      <c r="BB144" s="35">
        <v>0</v>
      </c>
      <c r="BC144" s="35">
        <v>0</v>
      </c>
      <c r="BD144" s="19"/>
    </row>
    <row r="145" spans="2:56" x14ac:dyDescent="0.25">
      <c r="B145" s="35" t="s">
        <v>276</v>
      </c>
      <c r="C145" s="19"/>
      <c r="D145" s="104">
        <v>1</v>
      </c>
      <c r="E145" s="104">
        <f>D145+1</f>
        <v>2</v>
      </c>
      <c r="F145" s="104">
        <f t="shared" ref="F145:BC145" si="46">E145+1</f>
        <v>3</v>
      </c>
      <c r="G145" s="104">
        <f t="shared" si="46"/>
        <v>4</v>
      </c>
      <c r="H145" s="104">
        <f t="shared" si="46"/>
        <v>5</v>
      </c>
      <c r="I145" s="104">
        <f t="shared" si="46"/>
        <v>6</v>
      </c>
      <c r="J145" s="104">
        <f t="shared" si="46"/>
        <v>7</v>
      </c>
      <c r="K145" s="104">
        <f t="shared" si="46"/>
        <v>8</v>
      </c>
      <c r="L145" s="104">
        <f t="shared" si="46"/>
        <v>9</v>
      </c>
      <c r="M145" s="104">
        <f t="shared" si="46"/>
        <v>10</v>
      </c>
      <c r="N145" s="104">
        <f t="shared" si="46"/>
        <v>11</v>
      </c>
      <c r="O145" s="104">
        <f t="shared" si="46"/>
        <v>12</v>
      </c>
      <c r="P145" s="104">
        <f t="shared" si="46"/>
        <v>13</v>
      </c>
      <c r="Q145" s="104">
        <f t="shared" si="46"/>
        <v>14</v>
      </c>
      <c r="R145" s="104">
        <f t="shared" si="46"/>
        <v>15</v>
      </c>
      <c r="S145" s="104">
        <f t="shared" si="46"/>
        <v>16</v>
      </c>
      <c r="T145" s="104">
        <f t="shared" si="46"/>
        <v>17</v>
      </c>
      <c r="U145" s="104">
        <f t="shared" si="46"/>
        <v>18</v>
      </c>
      <c r="V145" s="104">
        <f t="shared" si="46"/>
        <v>19</v>
      </c>
      <c r="W145" s="104">
        <f t="shared" si="46"/>
        <v>20</v>
      </c>
      <c r="X145" s="104">
        <f t="shared" si="46"/>
        <v>21</v>
      </c>
      <c r="Y145" s="104">
        <f t="shared" si="46"/>
        <v>22</v>
      </c>
      <c r="Z145" s="104">
        <f t="shared" si="46"/>
        <v>23</v>
      </c>
      <c r="AA145" s="104">
        <f t="shared" si="46"/>
        <v>24</v>
      </c>
      <c r="AB145" s="104">
        <f t="shared" si="46"/>
        <v>25</v>
      </c>
      <c r="AC145" s="104">
        <f t="shared" si="46"/>
        <v>26</v>
      </c>
      <c r="AD145" s="104">
        <f t="shared" si="46"/>
        <v>27</v>
      </c>
      <c r="AE145" s="104">
        <f t="shared" si="46"/>
        <v>28</v>
      </c>
      <c r="AF145" s="104">
        <f t="shared" si="46"/>
        <v>29</v>
      </c>
      <c r="AG145" s="104">
        <f t="shared" si="46"/>
        <v>30</v>
      </c>
      <c r="AH145" s="104">
        <f t="shared" si="46"/>
        <v>31</v>
      </c>
      <c r="AI145" s="104">
        <f t="shared" si="46"/>
        <v>32</v>
      </c>
      <c r="AJ145" s="104">
        <f t="shared" si="46"/>
        <v>33</v>
      </c>
      <c r="AK145" s="104">
        <f t="shared" si="46"/>
        <v>34</v>
      </c>
      <c r="AL145" s="104">
        <f t="shared" si="46"/>
        <v>35</v>
      </c>
      <c r="AM145" s="104">
        <f t="shared" si="46"/>
        <v>36</v>
      </c>
      <c r="AN145" s="104">
        <f t="shared" si="46"/>
        <v>37</v>
      </c>
      <c r="AO145" s="104">
        <f t="shared" si="46"/>
        <v>38</v>
      </c>
      <c r="AP145" s="104">
        <f t="shared" si="46"/>
        <v>39</v>
      </c>
      <c r="AQ145" s="104">
        <f t="shared" si="46"/>
        <v>40</v>
      </c>
      <c r="AR145" s="104">
        <f t="shared" si="46"/>
        <v>41</v>
      </c>
      <c r="AS145" s="104">
        <f t="shared" si="46"/>
        <v>42</v>
      </c>
      <c r="AT145" s="104">
        <f t="shared" si="46"/>
        <v>43</v>
      </c>
      <c r="AU145" s="104">
        <f t="shared" si="46"/>
        <v>44</v>
      </c>
      <c r="AV145" s="104">
        <f t="shared" si="46"/>
        <v>45</v>
      </c>
      <c r="AW145" s="104">
        <f t="shared" si="46"/>
        <v>46</v>
      </c>
      <c r="AX145" s="104">
        <f t="shared" si="46"/>
        <v>47</v>
      </c>
      <c r="AY145" s="104">
        <f t="shared" si="46"/>
        <v>48</v>
      </c>
      <c r="AZ145" s="104">
        <f t="shared" si="46"/>
        <v>49</v>
      </c>
      <c r="BA145" s="104">
        <f t="shared" si="46"/>
        <v>50</v>
      </c>
      <c r="BB145" s="104">
        <f t="shared" si="46"/>
        <v>51</v>
      </c>
      <c r="BC145" s="104">
        <f t="shared" si="46"/>
        <v>52</v>
      </c>
      <c r="BD145" s="19"/>
    </row>
    <row r="146" spans="2:56" x14ac:dyDescent="0.25">
      <c r="B146" s="50" t="str">
        <f>B145</f>
        <v>Yield Defect Loss Type E</v>
      </c>
      <c r="C146" s="43" t="str">
        <f>C137</f>
        <v>Product A</v>
      </c>
      <c r="D146" s="35">
        <v>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  <c r="U146" s="35">
        <v>0</v>
      </c>
      <c r="V146" s="35">
        <v>0</v>
      </c>
      <c r="W146" s="35">
        <v>0</v>
      </c>
      <c r="X146" s="35">
        <v>0</v>
      </c>
      <c r="Y146" s="35">
        <v>0</v>
      </c>
      <c r="Z146" s="35">
        <v>0</v>
      </c>
      <c r="AA146" s="35">
        <v>0</v>
      </c>
      <c r="AB146" s="35">
        <v>0</v>
      </c>
      <c r="AC146" s="35">
        <v>0</v>
      </c>
      <c r="AD146" s="35">
        <v>0</v>
      </c>
      <c r="AE146" s="35">
        <v>0</v>
      </c>
      <c r="AF146" s="35">
        <v>0</v>
      </c>
      <c r="AG146" s="35">
        <v>0</v>
      </c>
      <c r="AH146" s="35">
        <v>0</v>
      </c>
      <c r="AI146" s="35">
        <v>0</v>
      </c>
      <c r="AJ146" s="35">
        <v>0</v>
      </c>
      <c r="AK146" s="35">
        <v>0</v>
      </c>
      <c r="AL146" s="35">
        <v>0</v>
      </c>
      <c r="AM146" s="35">
        <v>0</v>
      </c>
      <c r="AN146" s="35">
        <v>0</v>
      </c>
      <c r="AO146" s="35">
        <v>0</v>
      </c>
      <c r="AP146" s="35">
        <v>0</v>
      </c>
      <c r="AQ146" s="35">
        <v>0</v>
      </c>
      <c r="AR146" s="35">
        <v>0</v>
      </c>
      <c r="AS146" s="35">
        <v>0</v>
      </c>
      <c r="AT146" s="35">
        <v>0</v>
      </c>
      <c r="AU146" s="35">
        <v>0</v>
      </c>
      <c r="AV146" s="35">
        <v>0</v>
      </c>
      <c r="AW146" s="35">
        <v>0</v>
      </c>
      <c r="AX146" s="35">
        <v>0</v>
      </c>
      <c r="AY146" s="35">
        <v>0</v>
      </c>
      <c r="AZ146" s="35">
        <v>0</v>
      </c>
      <c r="BA146" s="35">
        <v>0</v>
      </c>
      <c r="BB146" s="35">
        <v>0</v>
      </c>
      <c r="BC146" s="35">
        <v>0</v>
      </c>
      <c r="BD146" s="19"/>
    </row>
    <row r="147" spans="2:56" x14ac:dyDescent="0.25">
      <c r="B147" s="50" t="str">
        <f t="shared" ref="B147:B153" si="47">B146</f>
        <v>Yield Defect Loss Type E</v>
      </c>
      <c r="C147" s="43" t="str">
        <f t="shared" ref="C147:C153" si="48">C138</f>
        <v>Product B</v>
      </c>
      <c r="D147" s="35">
        <v>0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  <c r="U147" s="35">
        <v>0</v>
      </c>
      <c r="V147" s="35">
        <v>0</v>
      </c>
      <c r="W147" s="35">
        <v>0</v>
      </c>
      <c r="X147" s="35">
        <v>0</v>
      </c>
      <c r="Y147" s="35">
        <v>0</v>
      </c>
      <c r="Z147" s="35">
        <v>0</v>
      </c>
      <c r="AA147" s="35">
        <v>0</v>
      </c>
      <c r="AB147" s="35">
        <v>0</v>
      </c>
      <c r="AC147" s="35">
        <v>0</v>
      </c>
      <c r="AD147" s="35">
        <v>0</v>
      </c>
      <c r="AE147" s="35">
        <v>0</v>
      </c>
      <c r="AF147" s="35">
        <v>0</v>
      </c>
      <c r="AG147" s="35">
        <v>0</v>
      </c>
      <c r="AH147" s="35">
        <v>0</v>
      </c>
      <c r="AI147" s="35">
        <v>0</v>
      </c>
      <c r="AJ147" s="35">
        <v>0</v>
      </c>
      <c r="AK147" s="35">
        <v>0</v>
      </c>
      <c r="AL147" s="35">
        <v>0</v>
      </c>
      <c r="AM147" s="35">
        <v>0</v>
      </c>
      <c r="AN147" s="35">
        <v>0</v>
      </c>
      <c r="AO147" s="35">
        <v>0</v>
      </c>
      <c r="AP147" s="35">
        <v>0</v>
      </c>
      <c r="AQ147" s="35">
        <v>0</v>
      </c>
      <c r="AR147" s="35">
        <v>0</v>
      </c>
      <c r="AS147" s="35">
        <v>0</v>
      </c>
      <c r="AT147" s="35">
        <v>0</v>
      </c>
      <c r="AU147" s="35">
        <v>0</v>
      </c>
      <c r="AV147" s="35">
        <v>0</v>
      </c>
      <c r="AW147" s="35">
        <v>0</v>
      </c>
      <c r="AX147" s="35">
        <v>0</v>
      </c>
      <c r="AY147" s="35">
        <v>0</v>
      </c>
      <c r="AZ147" s="35">
        <v>0</v>
      </c>
      <c r="BA147" s="35">
        <v>0</v>
      </c>
      <c r="BB147" s="35">
        <v>0</v>
      </c>
      <c r="BC147" s="35">
        <v>0</v>
      </c>
      <c r="BD147" s="19"/>
    </row>
    <row r="148" spans="2:56" x14ac:dyDescent="0.25">
      <c r="B148" s="50" t="str">
        <f t="shared" si="47"/>
        <v>Yield Defect Loss Type E</v>
      </c>
      <c r="C148" s="43" t="str">
        <f t="shared" si="48"/>
        <v>Product C</v>
      </c>
      <c r="D148" s="35">
        <v>0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  <c r="U148" s="35">
        <v>0</v>
      </c>
      <c r="V148" s="35">
        <v>0</v>
      </c>
      <c r="W148" s="35">
        <v>0</v>
      </c>
      <c r="X148" s="35">
        <v>0</v>
      </c>
      <c r="Y148" s="35">
        <v>0</v>
      </c>
      <c r="Z148" s="35">
        <v>0</v>
      </c>
      <c r="AA148" s="35">
        <v>0</v>
      </c>
      <c r="AB148" s="35">
        <v>0</v>
      </c>
      <c r="AC148" s="35">
        <v>0</v>
      </c>
      <c r="AD148" s="35">
        <v>0</v>
      </c>
      <c r="AE148" s="35">
        <v>0</v>
      </c>
      <c r="AF148" s="35">
        <v>0</v>
      </c>
      <c r="AG148" s="35">
        <v>0</v>
      </c>
      <c r="AH148" s="35">
        <v>0</v>
      </c>
      <c r="AI148" s="35">
        <v>0</v>
      </c>
      <c r="AJ148" s="35">
        <v>0</v>
      </c>
      <c r="AK148" s="35">
        <v>0</v>
      </c>
      <c r="AL148" s="35">
        <v>0</v>
      </c>
      <c r="AM148" s="35">
        <v>0</v>
      </c>
      <c r="AN148" s="35">
        <v>0</v>
      </c>
      <c r="AO148" s="35">
        <v>0</v>
      </c>
      <c r="AP148" s="35">
        <v>0</v>
      </c>
      <c r="AQ148" s="35">
        <v>0</v>
      </c>
      <c r="AR148" s="35">
        <v>0</v>
      </c>
      <c r="AS148" s="35">
        <v>0</v>
      </c>
      <c r="AT148" s="35">
        <v>0</v>
      </c>
      <c r="AU148" s="35">
        <v>0</v>
      </c>
      <c r="AV148" s="35">
        <v>0</v>
      </c>
      <c r="AW148" s="35">
        <v>0</v>
      </c>
      <c r="AX148" s="35">
        <v>0</v>
      </c>
      <c r="AY148" s="35">
        <v>0</v>
      </c>
      <c r="AZ148" s="35">
        <v>0</v>
      </c>
      <c r="BA148" s="35">
        <v>0</v>
      </c>
      <c r="BB148" s="35">
        <v>0</v>
      </c>
      <c r="BC148" s="35">
        <v>0</v>
      </c>
      <c r="BD148" s="19"/>
    </row>
    <row r="149" spans="2:56" x14ac:dyDescent="0.25">
      <c r="B149" s="50" t="str">
        <f t="shared" si="47"/>
        <v>Yield Defect Loss Type E</v>
      </c>
      <c r="C149" s="43" t="str">
        <f t="shared" si="48"/>
        <v>Product D</v>
      </c>
      <c r="D149" s="35">
        <v>0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  <c r="U149" s="35">
        <v>0</v>
      </c>
      <c r="V149" s="35">
        <v>0</v>
      </c>
      <c r="W149" s="35">
        <v>0</v>
      </c>
      <c r="X149" s="35">
        <v>0</v>
      </c>
      <c r="Y149" s="35">
        <v>0</v>
      </c>
      <c r="Z149" s="35">
        <v>0</v>
      </c>
      <c r="AA149" s="35">
        <v>0</v>
      </c>
      <c r="AB149" s="35">
        <v>0</v>
      </c>
      <c r="AC149" s="35">
        <v>0</v>
      </c>
      <c r="AD149" s="35">
        <v>0</v>
      </c>
      <c r="AE149" s="35">
        <v>0</v>
      </c>
      <c r="AF149" s="35">
        <v>0</v>
      </c>
      <c r="AG149" s="35">
        <v>0</v>
      </c>
      <c r="AH149" s="35">
        <v>0</v>
      </c>
      <c r="AI149" s="35">
        <v>0</v>
      </c>
      <c r="AJ149" s="35">
        <v>0</v>
      </c>
      <c r="AK149" s="35">
        <v>0</v>
      </c>
      <c r="AL149" s="35">
        <v>0</v>
      </c>
      <c r="AM149" s="35">
        <v>0</v>
      </c>
      <c r="AN149" s="35">
        <v>0</v>
      </c>
      <c r="AO149" s="35">
        <v>0</v>
      </c>
      <c r="AP149" s="35">
        <v>0</v>
      </c>
      <c r="AQ149" s="35">
        <v>0</v>
      </c>
      <c r="AR149" s="35">
        <v>0</v>
      </c>
      <c r="AS149" s="35">
        <v>0</v>
      </c>
      <c r="AT149" s="35">
        <v>0</v>
      </c>
      <c r="AU149" s="35">
        <v>0</v>
      </c>
      <c r="AV149" s="35">
        <v>0</v>
      </c>
      <c r="AW149" s="35">
        <v>0</v>
      </c>
      <c r="AX149" s="35">
        <v>0</v>
      </c>
      <c r="AY149" s="35">
        <v>0</v>
      </c>
      <c r="AZ149" s="35">
        <v>0</v>
      </c>
      <c r="BA149" s="35">
        <v>0</v>
      </c>
      <c r="BB149" s="35">
        <v>0</v>
      </c>
      <c r="BC149" s="35">
        <v>0</v>
      </c>
      <c r="BD149" s="19"/>
    </row>
    <row r="150" spans="2:56" x14ac:dyDescent="0.25">
      <c r="B150" s="50" t="str">
        <f t="shared" si="47"/>
        <v>Yield Defect Loss Type E</v>
      </c>
      <c r="C150" s="43" t="str">
        <f t="shared" si="48"/>
        <v>Product E</v>
      </c>
      <c r="D150" s="73">
        <v>2</v>
      </c>
      <c r="E150" s="73">
        <v>4</v>
      </c>
      <c r="F150" s="73">
        <v>5</v>
      </c>
      <c r="G150" s="73">
        <v>4</v>
      </c>
      <c r="H150" s="73">
        <v>2</v>
      </c>
      <c r="I150" s="73">
        <v>5</v>
      </c>
      <c r="J150" s="73">
        <v>5</v>
      </c>
      <c r="K150" s="73">
        <v>4</v>
      </c>
      <c r="L150" s="73">
        <v>2</v>
      </c>
      <c r="M150" s="73">
        <v>3</v>
      </c>
      <c r="N150" s="73">
        <v>3</v>
      </c>
      <c r="O150" s="73">
        <v>4</v>
      </c>
      <c r="P150" s="73">
        <v>2</v>
      </c>
      <c r="Q150" s="73">
        <v>6</v>
      </c>
      <c r="R150" s="73">
        <v>5</v>
      </c>
      <c r="S150" s="73">
        <v>4</v>
      </c>
      <c r="T150" s="73">
        <v>2</v>
      </c>
      <c r="U150" s="73">
        <v>4</v>
      </c>
      <c r="V150" s="73">
        <v>5</v>
      </c>
      <c r="W150" s="73">
        <v>4</v>
      </c>
      <c r="X150" s="73">
        <v>2</v>
      </c>
      <c r="Y150" s="73">
        <v>3</v>
      </c>
      <c r="Z150" s="73">
        <v>2</v>
      </c>
      <c r="AA150" s="73">
        <v>4</v>
      </c>
      <c r="AB150" s="73">
        <v>2</v>
      </c>
      <c r="AC150" s="73">
        <v>4</v>
      </c>
      <c r="AD150" s="73">
        <v>4</v>
      </c>
      <c r="AE150" s="73">
        <v>4</v>
      </c>
      <c r="AF150" s="73">
        <v>2</v>
      </c>
      <c r="AG150" s="73">
        <v>5</v>
      </c>
      <c r="AH150" s="73">
        <v>5</v>
      </c>
      <c r="AI150" s="73">
        <v>4</v>
      </c>
      <c r="AJ150" s="73">
        <v>2</v>
      </c>
      <c r="AK150" s="73">
        <v>3</v>
      </c>
      <c r="AL150" s="73">
        <v>5</v>
      </c>
      <c r="AM150" s="73">
        <v>4</v>
      </c>
      <c r="AN150" s="73">
        <v>2</v>
      </c>
      <c r="AO150" s="73">
        <v>6</v>
      </c>
      <c r="AP150" s="73">
        <v>5</v>
      </c>
      <c r="AQ150" s="73">
        <v>4</v>
      </c>
      <c r="AR150" s="73">
        <v>2</v>
      </c>
      <c r="AS150" s="73">
        <v>5</v>
      </c>
      <c r="AT150" s="73">
        <v>5</v>
      </c>
      <c r="AU150" s="73">
        <v>4</v>
      </c>
      <c r="AV150" s="73">
        <v>2</v>
      </c>
      <c r="AW150" s="73">
        <v>5</v>
      </c>
      <c r="AX150" s="73">
        <v>3</v>
      </c>
      <c r="AY150" s="73">
        <v>4</v>
      </c>
      <c r="AZ150" s="73">
        <v>2</v>
      </c>
      <c r="BA150" s="73">
        <v>6</v>
      </c>
      <c r="BB150" s="73">
        <v>5</v>
      </c>
      <c r="BC150" s="73">
        <v>4</v>
      </c>
      <c r="BD150" s="19"/>
    </row>
    <row r="151" spans="2:56" x14ac:dyDescent="0.25">
      <c r="B151" s="50" t="str">
        <f t="shared" si="47"/>
        <v>Yield Defect Loss Type E</v>
      </c>
      <c r="C151" s="43" t="str">
        <f t="shared" si="48"/>
        <v>Product F</v>
      </c>
      <c r="D151" s="35">
        <v>0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  <c r="U151" s="35">
        <v>0</v>
      </c>
      <c r="V151" s="35">
        <v>0</v>
      </c>
      <c r="W151" s="35">
        <v>0</v>
      </c>
      <c r="X151" s="35">
        <v>0</v>
      </c>
      <c r="Y151" s="35">
        <v>0</v>
      </c>
      <c r="Z151" s="35">
        <v>0</v>
      </c>
      <c r="AA151" s="35">
        <v>0</v>
      </c>
      <c r="AB151" s="35">
        <v>0</v>
      </c>
      <c r="AC151" s="35">
        <v>0</v>
      </c>
      <c r="AD151" s="35">
        <v>0</v>
      </c>
      <c r="AE151" s="35">
        <v>0</v>
      </c>
      <c r="AF151" s="35">
        <v>0</v>
      </c>
      <c r="AG151" s="35">
        <v>0</v>
      </c>
      <c r="AH151" s="35">
        <v>0</v>
      </c>
      <c r="AI151" s="35">
        <v>0</v>
      </c>
      <c r="AJ151" s="35">
        <v>0</v>
      </c>
      <c r="AK151" s="35">
        <v>0</v>
      </c>
      <c r="AL151" s="35">
        <v>0</v>
      </c>
      <c r="AM151" s="35">
        <v>0</v>
      </c>
      <c r="AN151" s="35">
        <v>0</v>
      </c>
      <c r="AO151" s="35">
        <v>0</v>
      </c>
      <c r="AP151" s="35">
        <v>0</v>
      </c>
      <c r="AQ151" s="35">
        <v>0</v>
      </c>
      <c r="AR151" s="35">
        <v>0</v>
      </c>
      <c r="AS151" s="35">
        <v>0</v>
      </c>
      <c r="AT151" s="35">
        <v>0</v>
      </c>
      <c r="AU151" s="35">
        <v>0</v>
      </c>
      <c r="AV151" s="35">
        <v>0</v>
      </c>
      <c r="AW151" s="35">
        <v>0</v>
      </c>
      <c r="AX151" s="35">
        <v>0</v>
      </c>
      <c r="AY151" s="35">
        <v>0</v>
      </c>
      <c r="AZ151" s="35">
        <v>0</v>
      </c>
      <c r="BA151" s="35">
        <v>0</v>
      </c>
      <c r="BB151" s="35">
        <v>0</v>
      </c>
      <c r="BC151" s="35">
        <v>0</v>
      </c>
      <c r="BD151" s="19"/>
    </row>
    <row r="152" spans="2:56" x14ac:dyDescent="0.25">
      <c r="B152" s="50" t="str">
        <f t="shared" si="47"/>
        <v>Yield Defect Loss Type E</v>
      </c>
      <c r="C152" s="43" t="str">
        <f t="shared" si="48"/>
        <v>Product G</v>
      </c>
      <c r="D152" s="35">
        <v>0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  <c r="U152" s="35">
        <v>0</v>
      </c>
      <c r="V152" s="35">
        <v>0</v>
      </c>
      <c r="W152" s="35">
        <v>0</v>
      </c>
      <c r="X152" s="35">
        <v>0</v>
      </c>
      <c r="Y152" s="35">
        <v>0</v>
      </c>
      <c r="Z152" s="35">
        <v>0</v>
      </c>
      <c r="AA152" s="35">
        <v>0</v>
      </c>
      <c r="AB152" s="35">
        <v>0</v>
      </c>
      <c r="AC152" s="35">
        <v>0</v>
      </c>
      <c r="AD152" s="35">
        <v>0</v>
      </c>
      <c r="AE152" s="35">
        <v>0</v>
      </c>
      <c r="AF152" s="35">
        <v>0</v>
      </c>
      <c r="AG152" s="35">
        <v>0</v>
      </c>
      <c r="AH152" s="35">
        <v>0</v>
      </c>
      <c r="AI152" s="35">
        <v>0</v>
      </c>
      <c r="AJ152" s="35">
        <v>0</v>
      </c>
      <c r="AK152" s="35">
        <v>0</v>
      </c>
      <c r="AL152" s="35">
        <v>0</v>
      </c>
      <c r="AM152" s="35">
        <v>0</v>
      </c>
      <c r="AN152" s="35">
        <v>0</v>
      </c>
      <c r="AO152" s="35">
        <v>0</v>
      </c>
      <c r="AP152" s="35">
        <v>0</v>
      </c>
      <c r="AQ152" s="35">
        <v>0</v>
      </c>
      <c r="AR152" s="35">
        <v>0</v>
      </c>
      <c r="AS152" s="35">
        <v>0</v>
      </c>
      <c r="AT152" s="35">
        <v>0</v>
      </c>
      <c r="AU152" s="35">
        <v>0</v>
      </c>
      <c r="AV152" s="35">
        <v>0</v>
      </c>
      <c r="AW152" s="35">
        <v>0</v>
      </c>
      <c r="AX152" s="35">
        <v>0</v>
      </c>
      <c r="AY152" s="35">
        <v>0</v>
      </c>
      <c r="AZ152" s="35">
        <v>0</v>
      </c>
      <c r="BA152" s="35">
        <v>0</v>
      </c>
      <c r="BB152" s="35">
        <v>0</v>
      </c>
      <c r="BC152" s="35">
        <v>0</v>
      </c>
      <c r="BD152" s="19"/>
    </row>
    <row r="153" spans="2:56" x14ac:dyDescent="0.25">
      <c r="B153" s="50" t="str">
        <f t="shared" si="47"/>
        <v>Yield Defect Loss Type E</v>
      </c>
      <c r="C153" s="43" t="str">
        <f t="shared" si="48"/>
        <v>Product H</v>
      </c>
      <c r="D153" s="35">
        <v>0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  <c r="U153" s="35">
        <v>0</v>
      </c>
      <c r="V153" s="35">
        <v>0</v>
      </c>
      <c r="W153" s="35">
        <v>0</v>
      </c>
      <c r="X153" s="35">
        <v>0</v>
      </c>
      <c r="Y153" s="35">
        <v>0</v>
      </c>
      <c r="Z153" s="35">
        <v>0</v>
      </c>
      <c r="AA153" s="35">
        <v>0</v>
      </c>
      <c r="AB153" s="35">
        <v>0</v>
      </c>
      <c r="AC153" s="35">
        <v>0</v>
      </c>
      <c r="AD153" s="35">
        <v>0</v>
      </c>
      <c r="AE153" s="35">
        <v>0</v>
      </c>
      <c r="AF153" s="35">
        <v>0</v>
      </c>
      <c r="AG153" s="35">
        <v>0</v>
      </c>
      <c r="AH153" s="35">
        <v>0</v>
      </c>
      <c r="AI153" s="35">
        <v>0</v>
      </c>
      <c r="AJ153" s="35">
        <v>0</v>
      </c>
      <c r="AK153" s="35">
        <v>0</v>
      </c>
      <c r="AL153" s="35">
        <v>0</v>
      </c>
      <c r="AM153" s="35">
        <v>0</v>
      </c>
      <c r="AN153" s="35">
        <v>0</v>
      </c>
      <c r="AO153" s="35">
        <v>0</v>
      </c>
      <c r="AP153" s="35">
        <v>0</v>
      </c>
      <c r="AQ153" s="35">
        <v>0</v>
      </c>
      <c r="AR153" s="35">
        <v>0</v>
      </c>
      <c r="AS153" s="35">
        <v>0</v>
      </c>
      <c r="AT153" s="35">
        <v>0</v>
      </c>
      <c r="AU153" s="35">
        <v>0</v>
      </c>
      <c r="AV153" s="35">
        <v>0</v>
      </c>
      <c r="AW153" s="35">
        <v>0</v>
      </c>
      <c r="AX153" s="35">
        <v>0</v>
      </c>
      <c r="AY153" s="35">
        <v>0</v>
      </c>
      <c r="AZ153" s="35">
        <v>0</v>
      </c>
      <c r="BA153" s="35">
        <v>0</v>
      </c>
      <c r="BB153" s="35">
        <v>0</v>
      </c>
      <c r="BC153" s="35">
        <v>0</v>
      </c>
      <c r="BD153" s="19"/>
    </row>
    <row r="154" spans="2:56" x14ac:dyDescent="0.25">
      <c r="B154" s="35" t="s">
        <v>277</v>
      </c>
      <c r="C154" s="19"/>
      <c r="D154" s="104">
        <v>1</v>
      </c>
      <c r="E154" s="104">
        <f>D154+1</f>
        <v>2</v>
      </c>
      <c r="F154" s="104">
        <f t="shared" ref="F154:BC154" si="49">E154+1</f>
        <v>3</v>
      </c>
      <c r="G154" s="104">
        <f t="shared" si="49"/>
        <v>4</v>
      </c>
      <c r="H154" s="104">
        <f t="shared" si="49"/>
        <v>5</v>
      </c>
      <c r="I154" s="104">
        <f t="shared" si="49"/>
        <v>6</v>
      </c>
      <c r="J154" s="104">
        <f t="shared" si="49"/>
        <v>7</v>
      </c>
      <c r="K154" s="104">
        <f t="shared" si="49"/>
        <v>8</v>
      </c>
      <c r="L154" s="104">
        <f t="shared" si="49"/>
        <v>9</v>
      </c>
      <c r="M154" s="104">
        <f t="shared" si="49"/>
        <v>10</v>
      </c>
      <c r="N154" s="104">
        <f t="shared" si="49"/>
        <v>11</v>
      </c>
      <c r="O154" s="104">
        <f t="shared" si="49"/>
        <v>12</v>
      </c>
      <c r="P154" s="104">
        <f t="shared" si="49"/>
        <v>13</v>
      </c>
      <c r="Q154" s="104">
        <f t="shared" si="49"/>
        <v>14</v>
      </c>
      <c r="R154" s="104">
        <f t="shared" si="49"/>
        <v>15</v>
      </c>
      <c r="S154" s="104">
        <f t="shared" si="49"/>
        <v>16</v>
      </c>
      <c r="T154" s="104">
        <f t="shared" si="49"/>
        <v>17</v>
      </c>
      <c r="U154" s="104">
        <f t="shared" si="49"/>
        <v>18</v>
      </c>
      <c r="V154" s="104">
        <f t="shared" si="49"/>
        <v>19</v>
      </c>
      <c r="W154" s="104">
        <f t="shared" si="49"/>
        <v>20</v>
      </c>
      <c r="X154" s="104">
        <f t="shared" si="49"/>
        <v>21</v>
      </c>
      <c r="Y154" s="104">
        <f t="shared" si="49"/>
        <v>22</v>
      </c>
      <c r="Z154" s="104">
        <f t="shared" si="49"/>
        <v>23</v>
      </c>
      <c r="AA154" s="104">
        <f t="shared" si="49"/>
        <v>24</v>
      </c>
      <c r="AB154" s="104">
        <f t="shared" si="49"/>
        <v>25</v>
      </c>
      <c r="AC154" s="104">
        <f t="shared" si="49"/>
        <v>26</v>
      </c>
      <c r="AD154" s="104">
        <f t="shared" si="49"/>
        <v>27</v>
      </c>
      <c r="AE154" s="104">
        <f t="shared" si="49"/>
        <v>28</v>
      </c>
      <c r="AF154" s="104">
        <f t="shared" si="49"/>
        <v>29</v>
      </c>
      <c r="AG154" s="104">
        <f t="shared" si="49"/>
        <v>30</v>
      </c>
      <c r="AH154" s="104">
        <f t="shared" si="49"/>
        <v>31</v>
      </c>
      <c r="AI154" s="104">
        <f t="shared" si="49"/>
        <v>32</v>
      </c>
      <c r="AJ154" s="104">
        <f t="shared" si="49"/>
        <v>33</v>
      </c>
      <c r="AK154" s="104">
        <f t="shared" si="49"/>
        <v>34</v>
      </c>
      <c r="AL154" s="104">
        <f t="shared" si="49"/>
        <v>35</v>
      </c>
      <c r="AM154" s="104">
        <f t="shared" si="49"/>
        <v>36</v>
      </c>
      <c r="AN154" s="104">
        <f t="shared" si="49"/>
        <v>37</v>
      </c>
      <c r="AO154" s="104">
        <f t="shared" si="49"/>
        <v>38</v>
      </c>
      <c r="AP154" s="104">
        <f t="shared" si="49"/>
        <v>39</v>
      </c>
      <c r="AQ154" s="104">
        <f t="shared" si="49"/>
        <v>40</v>
      </c>
      <c r="AR154" s="104">
        <f t="shared" si="49"/>
        <v>41</v>
      </c>
      <c r="AS154" s="104">
        <f t="shared" si="49"/>
        <v>42</v>
      </c>
      <c r="AT154" s="104">
        <f t="shared" si="49"/>
        <v>43</v>
      </c>
      <c r="AU154" s="104">
        <f t="shared" si="49"/>
        <v>44</v>
      </c>
      <c r="AV154" s="104">
        <f t="shared" si="49"/>
        <v>45</v>
      </c>
      <c r="AW154" s="104">
        <f t="shared" si="49"/>
        <v>46</v>
      </c>
      <c r="AX154" s="104">
        <f t="shared" si="49"/>
        <v>47</v>
      </c>
      <c r="AY154" s="104">
        <f t="shared" si="49"/>
        <v>48</v>
      </c>
      <c r="AZ154" s="104">
        <f t="shared" si="49"/>
        <v>49</v>
      </c>
      <c r="BA154" s="104">
        <f t="shared" si="49"/>
        <v>50</v>
      </c>
      <c r="BB154" s="104">
        <f t="shared" si="49"/>
        <v>51</v>
      </c>
      <c r="BC154" s="104">
        <f t="shared" si="49"/>
        <v>52</v>
      </c>
      <c r="BD154" s="19"/>
    </row>
    <row r="155" spans="2:56" x14ac:dyDescent="0.25">
      <c r="B155" s="50" t="str">
        <f>B154</f>
        <v>Yield Defect Loss Type F</v>
      </c>
      <c r="C155" s="43" t="str">
        <f>C146</f>
        <v>Product A</v>
      </c>
      <c r="D155" s="35">
        <v>0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  <c r="U155" s="35">
        <v>0</v>
      </c>
      <c r="V155" s="35">
        <v>0</v>
      </c>
      <c r="W155" s="35">
        <v>0</v>
      </c>
      <c r="X155" s="35">
        <v>0</v>
      </c>
      <c r="Y155" s="35">
        <v>0</v>
      </c>
      <c r="Z155" s="35">
        <v>0</v>
      </c>
      <c r="AA155" s="35">
        <v>0</v>
      </c>
      <c r="AB155" s="35">
        <v>0</v>
      </c>
      <c r="AC155" s="35">
        <v>0</v>
      </c>
      <c r="AD155" s="35">
        <v>0</v>
      </c>
      <c r="AE155" s="35">
        <v>0</v>
      </c>
      <c r="AF155" s="35">
        <v>0</v>
      </c>
      <c r="AG155" s="35">
        <v>0</v>
      </c>
      <c r="AH155" s="35">
        <v>0</v>
      </c>
      <c r="AI155" s="35">
        <v>0</v>
      </c>
      <c r="AJ155" s="35">
        <v>0</v>
      </c>
      <c r="AK155" s="35">
        <v>0</v>
      </c>
      <c r="AL155" s="35">
        <v>0</v>
      </c>
      <c r="AM155" s="35">
        <v>0</v>
      </c>
      <c r="AN155" s="35">
        <v>0</v>
      </c>
      <c r="AO155" s="35">
        <v>0</v>
      </c>
      <c r="AP155" s="35">
        <v>0</v>
      </c>
      <c r="AQ155" s="35">
        <v>0</v>
      </c>
      <c r="AR155" s="35">
        <v>0</v>
      </c>
      <c r="AS155" s="35">
        <v>0</v>
      </c>
      <c r="AT155" s="35">
        <v>0</v>
      </c>
      <c r="AU155" s="35">
        <v>0</v>
      </c>
      <c r="AV155" s="35">
        <v>0</v>
      </c>
      <c r="AW155" s="35">
        <v>0</v>
      </c>
      <c r="AX155" s="35">
        <v>0</v>
      </c>
      <c r="AY155" s="35">
        <v>0</v>
      </c>
      <c r="AZ155" s="35">
        <v>0</v>
      </c>
      <c r="BA155" s="35">
        <v>0</v>
      </c>
      <c r="BB155" s="35">
        <v>0</v>
      </c>
      <c r="BC155" s="35">
        <v>0</v>
      </c>
      <c r="BD155" s="19"/>
    </row>
    <row r="156" spans="2:56" x14ac:dyDescent="0.25">
      <c r="B156" s="50" t="str">
        <f t="shared" ref="B156:B162" si="50">B155</f>
        <v>Yield Defect Loss Type F</v>
      </c>
      <c r="C156" s="43" t="str">
        <f t="shared" ref="C156:C162" si="51">C147</f>
        <v>Product B</v>
      </c>
      <c r="D156" s="35">
        <v>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  <c r="U156" s="35">
        <v>0</v>
      </c>
      <c r="V156" s="35">
        <v>0</v>
      </c>
      <c r="W156" s="35">
        <v>0</v>
      </c>
      <c r="X156" s="35">
        <v>0</v>
      </c>
      <c r="Y156" s="35">
        <v>0</v>
      </c>
      <c r="Z156" s="35">
        <v>0</v>
      </c>
      <c r="AA156" s="35">
        <v>0</v>
      </c>
      <c r="AB156" s="35">
        <v>0</v>
      </c>
      <c r="AC156" s="35">
        <v>0</v>
      </c>
      <c r="AD156" s="35">
        <v>0</v>
      </c>
      <c r="AE156" s="35">
        <v>0</v>
      </c>
      <c r="AF156" s="35">
        <v>0</v>
      </c>
      <c r="AG156" s="35">
        <v>0</v>
      </c>
      <c r="AH156" s="35">
        <v>0</v>
      </c>
      <c r="AI156" s="35">
        <v>0</v>
      </c>
      <c r="AJ156" s="35">
        <v>0</v>
      </c>
      <c r="AK156" s="35">
        <v>0</v>
      </c>
      <c r="AL156" s="35">
        <v>0</v>
      </c>
      <c r="AM156" s="35">
        <v>0</v>
      </c>
      <c r="AN156" s="35">
        <v>0</v>
      </c>
      <c r="AO156" s="35">
        <v>0</v>
      </c>
      <c r="AP156" s="35">
        <v>0</v>
      </c>
      <c r="AQ156" s="35">
        <v>0</v>
      </c>
      <c r="AR156" s="35">
        <v>0</v>
      </c>
      <c r="AS156" s="35">
        <v>0</v>
      </c>
      <c r="AT156" s="35">
        <v>0</v>
      </c>
      <c r="AU156" s="35">
        <v>0</v>
      </c>
      <c r="AV156" s="35">
        <v>0</v>
      </c>
      <c r="AW156" s="35">
        <v>0</v>
      </c>
      <c r="AX156" s="35">
        <v>0</v>
      </c>
      <c r="AY156" s="35">
        <v>0</v>
      </c>
      <c r="AZ156" s="35">
        <v>0</v>
      </c>
      <c r="BA156" s="35">
        <v>0</v>
      </c>
      <c r="BB156" s="35">
        <v>0</v>
      </c>
      <c r="BC156" s="35">
        <v>0</v>
      </c>
      <c r="BD156" s="19"/>
    </row>
    <row r="157" spans="2:56" x14ac:dyDescent="0.25">
      <c r="B157" s="50" t="str">
        <f t="shared" si="50"/>
        <v>Yield Defect Loss Type F</v>
      </c>
      <c r="C157" s="43" t="str">
        <f t="shared" si="51"/>
        <v>Product C</v>
      </c>
      <c r="D157" s="35">
        <v>0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  <c r="U157" s="35">
        <v>0</v>
      </c>
      <c r="V157" s="35">
        <v>0</v>
      </c>
      <c r="W157" s="35">
        <v>0</v>
      </c>
      <c r="X157" s="35">
        <v>0</v>
      </c>
      <c r="Y157" s="35">
        <v>0</v>
      </c>
      <c r="Z157" s="35">
        <v>0</v>
      </c>
      <c r="AA157" s="35">
        <v>0</v>
      </c>
      <c r="AB157" s="35">
        <v>0</v>
      </c>
      <c r="AC157" s="35">
        <v>0</v>
      </c>
      <c r="AD157" s="35">
        <v>0</v>
      </c>
      <c r="AE157" s="35">
        <v>0</v>
      </c>
      <c r="AF157" s="35">
        <v>0</v>
      </c>
      <c r="AG157" s="35">
        <v>0</v>
      </c>
      <c r="AH157" s="35">
        <v>0</v>
      </c>
      <c r="AI157" s="35">
        <v>0</v>
      </c>
      <c r="AJ157" s="35">
        <v>0</v>
      </c>
      <c r="AK157" s="35">
        <v>0</v>
      </c>
      <c r="AL157" s="35">
        <v>0</v>
      </c>
      <c r="AM157" s="35">
        <v>0</v>
      </c>
      <c r="AN157" s="35">
        <v>0</v>
      </c>
      <c r="AO157" s="35">
        <v>0</v>
      </c>
      <c r="AP157" s="35">
        <v>0</v>
      </c>
      <c r="AQ157" s="35">
        <v>0</v>
      </c>
      <c r="AR157" s="35">
        <v>0</v>
      </c>
      <c r="AS157" s="35">
        <v>0</v>
      </c>
      <c r="AT157" s="35">
        <v>0</v>
      </c>
      <c r="AU157" s="35">
        <v>0</v>
      </c>
      <c r="AV157" s="35">
        <v>0</v>
      </c>
      <c r="AW157" s="35">
        <v>0</v>
      </c>
      <c r="AX157" s="35">
        <v>0</v>
      </c>
      <c r="AY157" s="35">
        <v>0</v>
      </c>
      <c r="AZ157" s="35">
        <v>0</v>
      </c>
      <c r="BA157" s="35">
        <v>0</v>
      </c>
      <c r="BB157" s="35">
        <v>0</v>
      </c>
      <c r="BC157" s="35">
        <v>0</v>
      </c>
      <c r="BD157" s="19"/>
    </row>
    <row r="158" spans="2:56" x14ac:dyDescent="0.25">
      <c r="B158" s="50" t="str">
        <f t="shared" si="50"/>
        <v>Yield Defect Loss Type F</v>
      </c>
      <c r="C158" s="43" t="str">
        <f t="shared" si="51"/>
        <v>Product D</v>
      </c>
      <c r="D158" s="35">
        <v>0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  <c r="U158" s="35">
        <v>0</v>
      </c>
      <c r="V158" s="35">
        <v>0</v>
      </c>
      <c r="W158" s="35">
        <v>0</v>
      </c>
      <c r="X158" s="35">
        <v>0</v>
      </c>
      <c r="Y158" s="35">
        <v>0</v>
      </c>
      <c r="Z158" s="35">
        <v>0</v>
      </c>
      <c r="AA158" s="35">
        <v>0</v>
      </c>
      <c r="AB158" s="35">
        <v>0</v>
      </c>
      <c r="AC158" s="35">
        <v>0</v>
      </c>
      <c r="AD158" s="35">
        <v>0</v>
      </c>
      <c r="AE158" s="35">
        <v>0</v>
      </c>
      <c r="AF158" s="35">
        <v>0</v>
      </c>
      <c r="AG158" s="35">
        <v>0</v>
      </c>
      <c r="AH158" s="35">
        <v>0</v>
      </c>
      <c r="AI158" s="35">
        <v>0</v>
      </c>
      <c r="AJ158" s="35">
        <v>0</v>
      </c>
      <c r="AK158" s="35">
        <v>0</v>
      </c>
      <c r="AL158" s="35">
        <v>0</v>
      </c>
      <c r="AM158" s="35">
        <v>0</v>
      </c>
      <c r="AN158" s="35">
        <v>0</v>
      </c>
      <c r="AO158" s="35">
        <v>0</v>
      </c>
      <c r="AP158" s="35">
        <v>0</v>
      </c>
      <c r="AQ158" s="35">
        <v>0</v>
      </c>
      <c r="AR158" s="35">
        <v>0</v>
      </c>
      <c r="AS158" s="35">
        <v>0</v>
      </c>
      <c r="AT158" s="35">
        <v>0</v>
      </c>
      <c r="AU158" s="35">
        <v>0</v>
      </c>
      <c r="AV158" s="35">
        <v>0</v>
      </c>
      <c r="AW158" s="35">
        <v>0</v>
      </c>
      <c r="AX158" s="35">
        <v>0</v>
      </c>
      <c r="AY158" s="35">
        <v>0</v>
      </c>
      <c r="AZ158" s="35">
        <v>0</v>
      </c>
      <c r="BA158" s="35">
        <v>0</v>
      </c>
      <c r="BB158" s="35">
        <v>0</v>
      </c>
      <c r="BC158" s="35">
        <v>0</v>
      </c>
      <c r="BD158" s="19"/>
    </row>
    <row r="159" spans="2:56" x14ac:dyDescent="0.25">
      <c r="B159" s="50" t="str">
        <f t="shared" si="50"/>
        <v>Yield Defect Loss Type F</v>
      </c>
      <c r="C159" s="43" t="str">
        <f t="shared" si="51"/>
        <v>Product E</v>
      </c>
      <c r="D159" s="35">
        <v>0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  <c r="U159" s="35">
        <v>0</v>
      </c>
      <c r="V159" s="35">
        <v>0</v>
      </c>
      <c r="W159" s="35">
        <v>0</v>
      </c>
      <c r="X159" s="35">
        <v>0</v>
      </c>
      <c r="Y159" s="35">
        <v>0</v>
      </c>
      <c r="Z159" s="35">
        <v>0</v>
      </c>
      <c r="AA159" s="35">
        <v>0</v>
      </c>
      <c r="AB159" s="35">
        <v>0</v>
      </c>
      <c r="AC159" s="35">
        <v>0</v>
      </c>
      <c r="AD159" s="35">
        <v>0</v>
      </c>
      <c r="AE159" s="35">
        <v>0</v>
      </c>
      <c r="AF159" s="35">
        <v>0</v>
      </c>
      <c r="AG159" s="35">
        <v>0</v>
      </c>
      <c r="AH159" s="35">
        <v>0</v>
      </c>
      <c r="AI159" s="35">
        <v>0</v>
      </c>
      <c r="AJ159" s="35">
        <v>0</v>
      </c>
      <c r="AK159" s="35">
        <v>0</v>
      </c>
      <c r="AL159" s="35">
        <v>0</v>
      </c>
      <c r="AM159" s="35">
        <v>0</v>
      </c>
      <c r="AN159" s="35">
        <v>0</v>
      </c>
      <c r="AO159" s="35">
        <v>0</v>
      </c>
      <c r="AP159" s="35">
        <v>0</v>
      </c>
      <c r="AQ159" s="35">
        <v>0</v>
      </c>
      <c r="AR159" s="35">
        <v>0</v>
      </c>
      <c r="AS159" s="35">
        <v>0</v>
      </c>
      <c r="AT159" s="35">
        <v>0</v>
      </c>
      <c r="AU159" s="35">
        <v>0</v>
      </c>
      <c r="AV159" s="35">
        <v>0</v>
      </c>
      <c r="AW159" s="35">
        <v>0</v>
      </c>
      <c r="AX159" s="35">
        <v>0</v>
      </c>
      <c r="AY159" s="35">
        <v>0</v>
      </c>
      <c r="AZ159" s="35">
        <v>0</v>
      </c>
      <c r="BA159" s="35">
        <v>0</v>
      </c>
      <c r="BB159" s="35">
        <v>0</v>
      </c>
      <c r="BC159" s="35">
        <v>0</v>
      </c>
      <c r="BD159" s="19"/>
    </row>
    <row r="160" spans="2:56" x14ac:dyDescent="0.25">
      <c r="B160" s="50" t="str">
        <f t="shared" si="50"/>
        <v>Yield Defect Loss Type F</v>
      </c>
      <c r="C160" s="43" t="str">
        <f t="shared" si="51"/>
        <v>Product F</v>
      </c>
      <c r="D160" s="35">
        <v>0</v>
      </c>
      <c r="E160" s="35">
        <v>2</v>
      </c>
      <c r="F160" s="35">
        <v>6</v>
      </c>
      <c r="G160" s="35">
        <v>0</v>
      </c>
      <c r="H160" s="35">
        <v>0</v>
      </c>
      <c r="I160" s="35">
        <v>2</v>
      </c>
      <c r="J160" s="35">
        <v>4</v>
      </c>
      <c r="K160" s="35">
        <v>5</v>
      </c>
      <c r="L160" s="35">
        <v>3</v>
      </c>
      <c r="M160" s="35">
        <v>2</v>
      </c>
      <c r="N160" s="35">
        <v>6</v>
      </c>
      <c r="O160" s="35">
        <v>5</v>
      </c>
      <c r="P160" s="35">
        <v>0</v>
      </c>
      <c r="Q160" s="35">
        <v>2</v>
      </c>
      <c r="R160" s="35">
        <v>6</v>
      </c>
      <c r="S160" s="35">
        <v>5</v>
      </c>
      <c r="T160" s="35">
        <v>0</v>
      </c>
      <c r="U160" s="35">
        <v>2</v>
      </c>
      <c r="V160" s="35">
        <v>3</v>
      </c>
      <c r="W160" s="35">
        <v>5</v>
      </c>
      <c r="X160" s="35">
        <v>0</v>
      </c>
      <c r="Y160" s="35">
        <v>2</v>
      </c>
      <c r="Z160" s="35">
        <v>4</v>
      </c>
      <c r="AA160" s="35">
        <v>5</v>
      </c>
      <c r="AB160" s="35">
        <v>0</v>
      </c>
      <c r="AC160" s="35">
        <v>2</v>
      </c>
      <c r="AD160" s="35">
        <v>5</v>
      </c>
      <c r="AE160" s="35">
        <v>2</v>
      </c>
      <c r="AF160" s="35">
        <v>0</v>
      </c>
      <c r="AG160" s="35">
        <v>2</v>
      </c>
      <c r="AH160" s="35">
        <v>6</v>
      </c>
      <c r="AI160" s="35">
        <v>5</v>
      </c>
      <c r="AJ160" s="35">
        <v>0</v>
      </c>
      <c r="AK160" s="35">
        <v>2</v>
      </c>
      <c r="AL160" s="35">
        <v>4</v>
      </c>
      <c r="AM160" s="35">
        <v>5</v>
      </c>
      <c r="AN160" s="35">
        <v>0</v>
      </c>
      <c r="AO160" s="35">
        <v>2</v>
      </c>
      <c r="AP160" s="35">
        <v>6</v>
      </c>
      <c r="AQ160" s="35">
        <v>2</v>
      </c>
      <c r="AR160" s="35">
        <v>0</v>
      </c>
      <c r="AS160" s="35">
        <v>2</v>
      </c>
      <c r="AT160" s="35">
        <v>6</v>
      </c>
      <c r="AU160" s="35">
        <v>5</v>
      </c>
      <c r="AV160" s="35">
        <v>2</v>
      </c>
      <c r="AW160" s="35">
        <v>2</v>
      </c>
      <c r="AX160" s="35">
        <v>5</v>
      </c>
      <c r="AY160" s="35">
        <v>5</v>
      </c>
      <c r="AZ160" s="35">
        <v>3</v>
      </c>
      <c r="BA160" s="35">
        <v>2</v>
      </c>
      <c r="BB160" s="35">
        <v>4</v>
      </c>
      <c r="BC160" s="35">
        <v>5</v>
      </c>
      <c r="BD160" s="19"/>
    </row>
    <row r="161" spans="2:56" x14ac:dyDescent="0.25">
      <c r="B161" s="50" t="str">
        <f t="shared" si="50"/>
        <v>Yield Defect Loss Type F</v>
      </c>
      <c r="C161" s="43" t="str">
        <f t="shared" si="51"/>
        <v>Product G</v>
      </c>
      <c r="D161" s="35">
        <v>0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  <c r="U161" s="35">
        <v>0</v>
      </c>
      <c r="V161" s="35">
        <v>0</v>
      </c>
      <c r="W161" s="35">
        <v>0</v>
      </c>
      <c r="X161" s="35">
        <v>0</v>
      </c>
      <c r="Y161" s="35">
        <v>0</v>
      </c>
      <c r="Z161" s="35">
        <v>0</v>
      </c>
      <c r="AA161" s="35">
        <v>0</v>
      </c>
      <c r="AB161" s="35">
        <v>0</v>
      </c>
      <c r="AC161" s="35">
        <v>0</v>
      </c>
      <c r="AD161" s="35">
        <v>0</v>
      </c>
      <c r="AE161" s="35">
        <v>0</v>
      </c>
      <c r="AF161" s="35">
        <v>0</v>
      </c>
      <c r="AG161" s="35">
        <v>0</v>
      </c>
      <c r="AH161" s="35">
        <v>0</v>
      </c>
      <c r="AI161" s="35">
        <v>0</v>
      </c>
      <c r="AJ161" s="35">
        <v>0</v>
      </c>
      <c r="AK161" s="35">
        <v>0</v>
      </c>
      <c r="AL161" s="35">
        <v>0</v>
      </c>
      <c r="AM161" s="35">
        <v>0</v>
      </c>
      <c r="AN161" s="35">
        <v>0</v>
      </c>
      <c r="AO161" s="35">
        <v>0</v>
      </c>
      <c r="AP161" s="35">
        <v>0</v>
      </c>
      <c r="AQ161" s="35">
        <v>0</v>
      </c>
      <c r="AR161" s="35">
        <v>0</v>
      </c>
      <c r="AS161" s="35">
        <v>0</v>
      </c>
      <c r="AT161" s="35">
        <v>0</v>
      </c>
      <c r="AU161" s="35">
        <v>0</v>
      </c>
      <c r="AV161" s="35">
        <v>0</v>
      </c>
      <c r="AW161" s="35">
        <v>0</v>
      </c>
      <c r="AX161" s="35">
        <v>0</v>
      </c>
      <c r="AY161" s="35">
        <v>0</v>
      </c>
      <c r="AZ161" s="35">
        <v>0</v>
      </c>
      <c r="BA161" s="35">
        <v>0</v>
      </c>
      <c r="BB161" s="35">
        <v>0</v>
      </c>
      <c r="BC161" s="35">
        <v>0</v>
      </c>
      <c r="BD161" s="19"/>
    </row>
    <row r="162" spans="2:56" x14ac:dyDescent="0.25">
      <c r="B162" s="50" t="str">
        <f t="shared" si="50"/>
        <v>Yield Defect Loss Type F</v>
      </c>
      <c r="C162" s="43" t="str">
        <f t="shared" si="51"/>
        <v>Product H</v>
      </c>
      <c r="D162" s="35">
        <v>0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  <c r="U162" s="35">
        <v>0</v>
      </c>
      <c r="V162" s="35">
        <v>0</v>
      </c>
      <c r="W162" s="35">
        <v>0</v>
      </c>
      <c r="X162" s="35">
        <v>0</v>
      </c>
      <c r="Y162" s="35">
        <v>0</v>
      </c>
      <c r="Z162" s="35">
        <v>0</v>
      </c>
      <c r="AA162" s="35">
        <v>0</v>
      </c>
      <c r="AB162" s="35">
        <v>0</v>
      </c>
      <c r="AC162" s="35">
        <v>0</v>
      </c>
      <c r="AD162" s="35">
        <v>0</v>
      </c>
      <c r="AE162" s="35">
        <v>0</v>
      </c>
      <c r="AF162" s="35">
        <v>0</v>
      </c>
      <c r="AG162" s="35">
        <v>0</v>
      </c>
      <c r="AH162" s="35">
        <v>0</v>
      </c>
      <c r="AI162" s="35">
        <v>0</v>
      </c>
      <c r="AJ162" s="35">
        <v>0</v>
      </c>
      <c r="AK162" s="35">
        <v>0</v>
      </c>
      <c r="AL162" s="35">
        <v>0</v>
      </c>
      <c r="AM162" s="35">
        <v>0</v>
      </c>
      <c r="AN162" s="35">
        <v>0</v>
      </c>
      <c r="AO162" s="35">
        <v>0</v>
      </c>
      <c r="AP162" s="35">
        <v>0</v>
      </c>
      <c r="AQ162" s="35">
        <v>0</v>
      </c>
      <c r="AR162" s="35">
        <v>0</v>
      </c>
      <c r="AS162" s="35">
        <v>0</v>
      </c>
      <c r="AT162" s="35">
        <v>0</v>
      </c>
      <c r="AU162" s="35">
        <v>0</v>
      </c>
      <c r="AV162" s="35">
        <v>0</v>
      </c>
      <c r="AW162" s="35">
        <v>0</v>
      </c>
      <c r="AX162" s="35">
        <v>0</v>
      </c>
      <c r="AY162" s="35">
        <v>0</v>
      </c>
      <c r="AZ162" s="35">
        <v>0</v>
      </c>
      <c r="BA162" s="35">
        <v>0</v>
      </c>
      <c r="BB162" s="35">
        <v>0</v>
      </c>
      <c r="BC162" s="35">
        <v>0</v>
      </c>
      <c r="BD162" s="19"/>
    </row>
    <row r="163" spans="2:56" x14ac:dyDescent="0.25">
      <c r="B163" s="35" t="s">
        <v>278</v>
      </c>
      <c r="C163" s="19"/>
      <c r="D163" s="104">
        <v>1</v>
      </c>
      <c r="E163" s="104">
        <f>D163+1</f>
        <v>2</v>
      </c>
      <c r="F163" s="104">
        <f t="shared" ref="F163:BC163" si="52">E163+1</f>
        <v>3</v>
      </c>
      <c r="G163" s="104">
        <f t="shared" si="52"/>
        <v>4</v>
      </c>
      <c r="H163" s="104">
        <f t="shared" si="52"/>
        <v>5</v>
      </c>
      <c r="I163" s="104">
        <f t="shared" si="52"/>
        <v>6</v>
      </c>
      <c r="J163" s="104">
        <f t="shared" si="52"/>
        <v>7</v>
      </c>
      <c r="K163" s="104">
        <f t="shared" si="52"/>
        <v>8</v>
      </c>
      <c r="L163" s="104">
        <f t="shared" si="52"/>
        <v>9</v>
      </c>
      <c r="M163" s="104">
        <f t="shared" si="52"/>
        <v>10</v>
      </c>
      <c r="N163" s="104">
        <f t="shared" si="52"/>
        <v>11</v>
      </c>
      <c r="O163" s="104">
        <f t="shared" si="52"/>
        <v>12</v>
      </c>
      <c r="P163" s="104">
        <f t="shared" si="52"/>
        <v>13</v>
      </c>
      <c r="Q163" s="104">
        <f t="shared" si="52"/>
        <v>14</v>
      </c>
      <c r="R163" s="104">
        <f t="shared" si="52"/>
        <v>15</v>
      </c>
      <c r="S163" s="104">
        <f t="shared" si="52"/>
        <v>16</v>
      </c>
      <c r="T163" s="104">
        <f t="shared" si="52"/>
        <v>17</v>
      </c>
      <c r="U163" s="104">
        <f t="shared" si="52"/>
        <v>18</v>
      </c>
      <c r="V163" s="104">
        <f t="shared" si="52"/>
        <v>19</v>
      </c>
      <c r="W163" s="104">
        <f t="shared" si="52"/>
        <v>20</v>
      </c>
      <c r="X163" s="104">
        <f t="shared" si="52"/>
        <v>21</v>
      </c>
      <c r="Y163" s="104">
        <f t="shared" si="52"/>
        <v>22</v>
      </c>
      <c r="Z163" s="104">
        <f t="shared" si="52"/>
        <v>23</v>
      </c>
      <c r="AA163" s="104">
        <f t="shared" si="52"/>
        <v>24</v>
      </c>
      <c r="AB163" s="104">
        <f t="shared" si="52"/>
        <v>25</v>
      </c>
      <c r="AC163" s="104">
        <f t="shared" si="52"/>
        <v>26</v>
      </c>
      <c r="AD163" s="104">
        <f t="shared" si="52"/>
        <v>27</v>
      </c>
      <c r="AE163" s="104">
        <f t="shared" si="52"/>
        <v>28</v>
      </c>
      <c r="AF163" s="104">
        <f t="shared" si="52"/>
        <v>29</v>
      </c>
      <c r="AG163" s="104">
        <f t="shared" si="52"/>
        <v>30</v>
      </c>
      <c r="AH163" s="104">
        <f t="shared" si="52"/>
        <v>31</v>
      </c>
      <c r="AI163" s="104">
        <f t="shared" si="52"/>
        <v>32</v>
      </c>
      <c r="AJ163" s="104">
        <f t="shared" si="52"/>
        <v>33</v>
      </c>
      <c r="AK163" s="104">
        <f t="shared" si="52"/>
        <v>34</v>
      </c>
      <c r="AL163" s="104">
        <f t="shared" si="52"/>
        <v>35</v>
      </c>
      <c r="AM163" s="104">
        <f t="shared" si="52"/>
        <v>36</v>
      </c>
      <c r="AN163" s="104">
        <f t="shared" si="52"/>
        <v>37</v>
      </c>
      <c r="AO163" s="104">
        <f t="shared" si="52"/>
        <v>38</v>
      </c>
      <c r="AP163" s="104">
        <f t="shared" si="52"/>
        <v>39</v>
      </c>
      <c r="AQ163" s="104">
        <f t="shared" si="52"/>
        <v>40</v>
      </c>
      <c r="AR163" s="104">
        <f t="shared" si="52"/>
        <v>41</v>
      </c>
      <c r="AS163" s="104">
        <f t="shared" si="52"/>
        <v>42</v>
      </c>
      <c r="AT163" s="104">
        <f t="shared" si="52"/>
        <v>43</v>
      </c>
      <c r="AU163" s="104">
        <f t="shared" si="52"/>
        <v>44</v>
      </c>
      <c r="AV163" s="104">
        <f t="shared" si="52"/>
        <v>45</v>
      </c>
      <c r="AW163" s="104">
        <f t="shared" si="52"/>
        <v>46</v>
      </c>
      <c r="AX163" s="104">
        <f t="shared" si="52"/>
        <v>47</v>
      </c>
      <c r="AY163" s="104">
        <f t="shared" si="52"/>
        <v>48</v>
      </c>
      <c r="AZ163" s="104">
        <f t="shared" si="52"/>
        <v>49</v>
      </c>
      <c r="BA163" s="104">
        <f t="shared" si="52"/>
        <v>50</v>
      </c>
      <c r="BB163" s="104">
        <f t="shared" si="52"/>
        <v>51</v>
      </c>
      <c r="BC163" s="104">
        <f t="shared" si="52"/>
        <v>52</v>
      </c>
      <c r="BD163" s="19"/>
    </row>
    <row r="164" spans="2:56" x14ac:dyDescent="0.25">
      <c r="B164" s="50" t="str">
        <f>B163</f>
        <v>Yield Defect Loss Type G</v>
      </c>
      <c r="C164" s="43" t="str">
        <f>C155</f>
        <v>Product A</v>
      </c>
      <c r="D164" s="35">
        <v>0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  <c r="U164" s="35">
        <v>0</v>
      </c>
      <c r="V164" s="35">
        <v>0</v>
      </c>
      <c r="W164" s="35">
        <v>0</v>
      </c>
      <c r="X164" s="35">
        <v>0</v>
      </c>
      <c r="Y164" s="35">
        <v>0</v>
      </c>
      <c r="Z164" s="35">
        <v>0</v>
      </c>
      <c r="AA164" s="35">
        <v>0</v>
      </c>
      <c r="AB164" s="35">
        <v>0</v>
      </c>
      <c r="AC164" s="35">
        <v>0</v>
      </c>
      <c r="AD164" s="35">
        <v>0</v>
      </c>
      <c r="AE164" s="35">
        <v>0</v>
      </c>
      <c r="AF164" s="35">
        <v>0</v>
      </c>
      <c r="AG164" s="35">
        <v>0</v>
      </c>
      <c r="AH164" s="35">
        <v>0</v>
      </c>
      <c r="AI164" s="35">
        <v>0</v>
      </c>
      <c r="AJ164" s="35">
        <v>0</v>
      </c>
      <c r="AK164" s="35">
        <v>0</v>
      </c>
      <c r="AL164" s="35">
        <v>0</v>
      </c>
      <c r="AM164" s="35">
        <v>0</v>
      </c>
      <c r="AN164" s="35">
        <v>0</v>
      </c>
      <c r="AO164" s="35">
        <v>0</v>
      </c>
      <c r="AP164" s="35">
        <v>0</v>
      </c>
      <c r="AQ164" s="35">
        <v>0</v>
      </c>
      <c r="AR164" s="35">
        <v>0</v>
      </c>
      <c r="AS164" s="35">
        <v>0</v>
      </c>
      <c r="AT164" s="35">
        <v>0</v>
      </c>
      <c r="AU164" s="35">
        <v>0</v>
      </c>
      <c r="AV164" s="35">
        <v>0</v>
      </c>
      <c r="AW164" s="35">
        <v>0</v>
      </c>
      <c r="AX164" s="35">
        <v>0</v>
      </c>
      <c r="AY164" s="35">
        <v>0</v>
      </c>
      <c r="AZ164" s="35">
        <v>0</v>
      </c>
      <c r="BA164" s="35">
        <v>0</v>
      </c>
      <c r="BB164" s="35">
        <v>0</v>
      </c>
      <c r="BC164" s="35">
        <v>0</v>
      </c>
      <c r="BD164" s="19"/>
    </row>
    <row r="165" spans="2:56" x14ac:dyDescent="0.25">
      <c r="B165" s="50" t="str">
        <f t="shared" ref="B165:B171" si="53">B164</f>
        <v>Yield Defect Loss Type G</v>
      </c>
      <c r="C165" s="43" t="str">
        <f t="shared" ref="C165:C171" si="54">C156</f>
        <v>Product B</v>
      </c>
      <c r="D165" s="35">
        <v>0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  <c r="U165" s="35">
        <v>0</v>
      </c>
      <c r="V165" s="35">
        <v>0</v>
      </c>
      <c r="W165" s="35">
        <v>0</v>
      </c>
      <c r="X165" s="35">
        <v>0</v>
      </c>
      <c r="Y165" s="35">
        <v>0</v>
      </c>
      <c r="Z165" s="35">
        <v>0</v>
      </c>
      <c r="AA165" s="35">
        <v>0</v>
      </c>
      <c r="AB165" s="35">
        <v>0</v>
      </c>
      <c r="AC165" s="35">
        <v>0</v>
      </c>
      <c r="AD165" s="35">
        <v>0</v>
      </c>
      <c r="AE165" s="35">
        <v>0</v>
      </c>
      <c r="AF165" s="35">
        <v>0</v>
      </c>
      <c r="AG165" s="35">
        <v>0</v>
      </c>
      <c r="AH165" s="35">
        <v>0</v>
      </c>
      <c r="AI165" s="35">
        <v>0</v>
      </c>
      <c r="AJ165" s="35">
        <v>0</v>
      </c>
      <c r="AK165" s="35">
        <v>0</v>
      </c>
      <c r="AL165" s="35">
        <v>0</v>
      </c>
      <c r="AM165" s="35">
        <v>0</v>
      </c>
      <c r="AN165" s="35">
        <v>0</v>
      </c>
      <c r="AO165" s="35">
        <v>0</v>
      </c>
      <c r="AP165" s="35">
        <v>0</v>
      </c>
      <c r="AQ165" s="35">
        <v>0</v>
      </c>
      <c r="AR165" s="35">
        <v>0</v>
      </c>
      <c r="AS165" s="35">
        <v>0</v>
      </c>
      <c r="AT165" s="35">
        <v>0</v>
      </c>
      <c r="AU165" s="35">
        <v>0</v>
      </c>
      <c r="AV165" s="35">
        <v>0</v>
      </c>
      <c r="AW165" s="35">
        <v>0</v>
      </c>
      <c r="AX165" s="35">
        <v>0</v>
      </c>
      <c r="AY165" s="35">
        <v>0</v>
      </c>
      <c r="AZ165" s="35">
        <v>0</v>
      </c>
      <c r="BA165" s="35">
        <v>0</v>
      </c>
      <c r="BB165" s="35">
        <v>0</v>
      </c>
      <c r="BC165" s="35">
        <v>0</v>
      </c>
      <c r="BD165" s="19"/>
    </row>
    <row r="166" spans="2:56" x14ac:dyDescent="0.25">
      <c r="B166" s="50" t="str">
        <f t="shared" si="53"/>
        <v>Yield Defect Loss Type G</v>
      </c>
      <c r="C166" s="43" t="str">
        <f t="shared" si="54"/>
        <v>Product C</v>
      </c>
      <c r="D166" s="35">
        <v>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  <c r="U166" s="35">
        <v>0</v>
      </c>
      <c r="V166" s="35">
        <v>0</v>
      </c>
      <c r="W166" s="35">
        <v>0</v>
      </c>
      <c r="X166" s="35">
        <v>0</v>
      </c>
      <c r="Y166" s="35">
        <v>0</v>
      </c>
      <c r="Z166" s="35">
        <v>0</v>
      </c>
      <c r="AA166" s="35">
        <v>0</v>
      </c>
      <c r="AB166" s="35">
        <v>0</v>
      </c>
      <c r="AC166" s="35">
        <v>0</v>
      </c>
      <c r="AD166" s="35">
        <v>0</v>
      </c>
      <c r="AE166" s="35">
        <v>0</v>
      </c>
      <c r="AF166" s="35">
        <v>0</v>
      </c>
      <c r="AG166" s="35">
        <v>0</v>
      </c>
      <c r="AH166" s="35">
        <v>0</v>
      </c>
      <c r="AI166" s="35">
        <v>0</v>
      </c>
      <c r="AJ166" s="35">
        <v>0</v>
      </c>
      <c r="AK166" s="35">
        <v>0</v>
      </c>
      <c r="AL166" s="35">
        <v>0</v>
      </c>
      <c r="AM166" s="35">
        <v>0</v>
      </c>
      <c r="AN166" s="35">
        <v>0</v>
      </c>
      <c r="AO166" s="35">
        <v>0</v>
      </c>
      <c r="AP166" s="35">
        <v>0</v>
      </c>
      <c r="AQ166" s="35">
        <v>0</v>
      </c>
      <c r="AR166" s="35">
        <v>0</v>
      </c>
      <c r="AS166" s="35">
        <v>0</v>
      </c>
      <c r="AT166" s="35">
        <v>0</v>
      </c>
      <c r="AU166" s="35">
        <v>0</v>
      </c>
      <c r="AV166" s="35">
        <v>0</v>
      </c>
      <c r="AW166" s="35">
        <v>0</v>
      </c>
      <c r="AX166" s="35">
        <v>0</v>
      </c>
      <c r="AY166" s="35">
        <v>0</v>
      </c>
      <c r="AZ166" s="35">
        <v>0</v>
      </c>
      <c r="BA166" s="35">
        <v>0</v>
      </c>
      <c r="BB166" s="35">
        <v>0</v>
      </c>
      <c r="BC166" s="35">
        <v>0</v>
      </c>
      <c r="BD166" s="19"/>
    </row>
    <row r="167" spans="2:56" x14ac:dyDescent="0.25">
      <c r="B167" s="50" t="str">
        <f t="shared" si="53"/>
        <v>Yield Defect Loss Type G</v>
      </c>
      <c r="C167" s="43" t="str">
        <f t="shared" si="54"/>
        <v>Product D</v>
      </c>
      <c r="D167" s="35">
        <v>0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  <c r="U167" s="35">
        <v>0</v>
      </c>
      <c r="V167" s="35">
        <v>0</v>
      </c>
      <c r="W167" s="35">
        <v>0</v>
      </c>
      <c r="X167" s="35">
        <v>0</v>
      </c>
      <c r="Y167" s="35">
        <v>0</v>
      </c>
      <c r="Z167" s="35">
        <v>0</v>
      </c>
      <c r="AA167" s="35">
        <v>0</v>
      </c>
      <c r="AB167" s="35">
        <v>0</v>
      </c>
      <c r="AC167" s="35">
        <v>0</v>
      </c>
      <c r="AD167" s="35">
        <v>0</v>
      </c>
      <c r="AE167" s="35">
        <v>0</v>
      </c>
      <c r="AF167" s="35">
        <v>0</v>
      </c>
      <c r="AG167" s="35">
        <v>0</v>
      </c>
      <c r="AH167" s="35">
        <v>0</v>
      </c>
      <c r="AI167" s="35">
        <v>0</v>
      </c>
      <c r="AJ167" s="35">
        <v>0</v>
      </c>
      <c r="AK167" s="35">
        <v>0</v>
      </c>
      <c r="AL167" s="35">
        <v>0</v>
      </c>
      <c r="AM167" s="35">
        <v>0</v>
      </c>
      <c r="AN167" s="35">
        <v>0</v>
      </c>
      <c r="AO167" s="35">
        <v>0</v>
      </c>
      <c r="AP167" s="35">
        <v>0</v>
      </c>
      <c r="AQ167" s="35">
        <v>0</v>
      </c>
      <c r="AR167" s="35">
        <v>0</v>
      </c>
      <c r="AS167" s="35">
        <v>0</v>
      </c>
      <c r="AT167" s="35">
        <v>0</v>
      </c>
      <c r="AU167" s="35">
        <v>0</v>
      </c>
      <c r="AV167" s="35">
        <v>0</v>
      </c>
      <c r="AW167" s="35">
        <v>0</v>
      </c>
      <c r="AX167" s="35">
        <v>0</v>
      </c>
      <c r="AY167" s="35">
        <v>0</v>
      </c>
      <c r="AZ167" s="35">
        <v>0</v>
      </c>
      <c r="BA167" s="35">
        <v>0</v>
      </c>
      <c r="BB167" s="35">
        <v>0</v>
      </c>
      <c r="BC167" s="35">
        <v>0</v>
      </c>
      <c r="BD167" s="19"/>
    </row>
    <row r="168" spans="2:56" x14ac:dyDescent="0.25">
      <c r="B168" s="50" t="str">
        <f t="shared" si="53"/>
        <v>Yield Defect Loss Type G</v>
      </c>
      <c r="C168" s="43" t="str">
        <f t="shared" si="54"/>
        <v>Product E</v>
      </c>
      <c r="D168" s="35">
        <v>0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  <c r="U168" s="35">
        <v>0</v>
      </c>
      <c r="V168" s="35">
        <v>0</v>
      </c>
      <c r="W168" s="35">
        <v>0</v>
      </c>
      <c r="X168" s="35">
        <v>0</v>
      </c>
      <c r="Y168" s="35">
        <v>0</v>
      </c>
      <c r="Z168" s="35">
        <v>0</v>
      </c>
      <c r="AA168" s="35">
        <v>0</v>
      </c>
      <c r="AB168" s="35">
        <v>0</v>
      </c>
      <c r="AC168" s="35">
        <v>0</v>
      </c>
      <c r="AD168" s="35">
        <v>0</v>
      </c>
      <c r="AE168" s="35">
        <v>0</v>
      </c>
      <c r="AF168" s="35">
        <v>0</v>
      </c>
      <c r="AG168" s="35">
        <v>0</v>
      </c>
      <c r="AH168" s="35">
        <v>0</v>
      </c>
      <c r="AI168" s="35">
        <v>0</v>
      </c>
      <c r="AJ168" s="35">
        <v>0</v>
      </c>
      <c r="AK168" s="35">
        <v>0</v>
      </c>
      <c r="AL168" s="35">
        <v>0</v>
      </c>
      <c r="AM168" s="35">
        <v>0</v>
      </c>
      <c r="AN168" s="35">
        <v>0</v>
      </c>
      <c r="AO168" s="35">
        <v>0</v>
      </c>
      <c r="AP168" s="35">
        <v>0</v>
      </c>
      <c r="AQ168" s="35">
        <v>0</v>
      </c>
      <c r="AR168" s="35">
        <v>0</v>
      </c>
      <c r="AS168" s="35">
        <v>0</v>
      </c>
      <c r="AT168" s="35">
        <v>0</v>
      </c>
      <c r="AU168" s="35">
        <v>0</v>
      </c>
      <c r="AV168" s="35">
        <v>0</v>
      </c>
      <c r="AW168" s="35">
        <v>0</v>
      </c>
      <c r="AX168" s="35">
        <v>0</v>
      </c>
      <c r="AY168" s="35">
        <v>0</v>
      </c>
      <c r="AZ168" s="35">
        <v>0</v>
      </c>
      <c r="BA168" s="35">
        <v>0</v>
      </c>
      <c r="BB168" s="35">
        <v>0</v>
      </c>
      <c r="BC168" s="35">
        <v>0</v>
      </c>
      <c r="BD168" s="19"/>
    </row>
    <row r="169" spans="2:56" x14ac:dyDescent="0.25">
      <c r="B169" s="50" t="str">
        <f t="shared" si="53"/>
        <v>Yield Defect Loss Type G</v>
      </c>
      <c r="C169" s="43" t="str">
        <f t="shared" si="54"/>
        <v>Product F</v>
      </c>
      <c r="D169" s="35">
        <v>0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  <c r="U169" s="35">
        <v>0</v>
      </c>
      <c r="V169" s="35">
        <v>0</v>
      </c>
      <c r="W169" s="35">
        <v>0</v>
      </c>
      <c r="X169" s="35">
        <v>0</v>
      </c>
      <c r="Y169" s="35">
        <v>0</v>
      </c>
      <c r="Z169" s="35">
        <v>0</v>
      </c>
      <c r="AA169" s="35">
        <v>0</v>
      </c>
      <c r="AB169" s="35">
        <v>0</v>
      </c>
      <c r="AC169" s="35">
        <v>0</v>
      </c>
      <c r="AD169" s="35">
        <v>0</v>
      </c>
      <c r="AE169" s="35">
        <v>0</v>
      </c>
      <c r="AF169" s="35">
        <v>0</v>
      </c>
      <c r="AG169" s="35">
        <v>0</v>
      </c>
      <c r="AH169" s="35">
        <v>0</v>
      </c>
      <c r="AI169" s="35">
        <v>0</v>
      </c>
      <c r="AJ169" s="35">
        <v>0</v>
      </c>
      <c r="AK169" s="35">
        <v>0</v>
      </c>
      <c r="AL169" s="35">
        <v>0</v>
      </c>
      <c r="AM169" s="35">
        <v>0</v>
      </c>
      <c r="AN169" s="35">
        <v>0</v>
      </c>
      <c r="AO169" s="35">
        <v>0</v>
      </c>
      <c r="AP169" s="35">
        <v>0</v>
      </c>
      <c r="AQ169" s="35">
        <v>0</v>
      </c>
      <c r="AR169" s="35">
        <v>0</v>
      </c>
      <c r="AS169" s="35">
        <v>0</v>
      </c>
      <c r="AT169" s="35">
        <v>0</v>
      </c>
      <c r="AU169" s="35">
        <v>0</v>
      </c>
      <c r="AV169" s="35">
        <v>0</v>
      </c>
      <c r="AW169" s="35">
        <v>0</v>
      </c>
      <c r="AX169" s="35">
        <v>0</v>
      </c>
      <c r="AY169" s="35">
        <v>0</v>
      </c>
      <c r="AZ169" s="35">
        <v>0</v>
      </c>
      <c r="BA169" s="35">
        <v>0</v>
      </c>
      <c r="BB169" s="35">
        <v>0</v>
      </c>
      <c r="BC169" s="35">
        <v>0</v>
      </c>
      <c r="BD169" s="19"/>
    </row>
    <row r="170" spans="2:56" x14ac:dyDescent="0.25">
      <c r="B170" s="50" t="str">
        <f t="shared" si="53"/>
        <v>Yield Defect Loss Type G</v>
      </c>
      <c r="C170" s="43" t="str">
        <f t="shared" si="54"/>
        <v>Product G</v>
      </c>
      <c r="D170" s="35">
        <v>0</v>
      </c>
      <c r="E170" s="35">
        <v>1</v>
      </c>
      <c r="F170" s="35">
        <v>3</v>
      </c>
      <c r="G170" s="35">
        <v>5</v>
      </c>
      <c r="H170" s="35">
        <v>0</v>
      </c>
      <c r="I170" s="35">
        <v>0</v>
      </c>
      <c r="J170" s="35">
        <v>2</v>
      </c>
      <c r="K170" s="35">
        <v>6</v>
      </c>
      <c r="L170" s="35">
        <v>0</v>
      </c>
      <c r="M170" s="35">
        <v>0</v>
      </c>
      <c r="N170" s="35">
        <v>2</v>
      </c>
      <c r="O170" s="35">
        <v>5</v>
      </c>
      <c r="P170" s="35">
        <v>0</v>
      </c>
      <c r="Q170" s="35">
        <v>0</v>
      </c>
      <c r="R170" s="35">
        <v>2</v>
      </c>
      <c r="S170" s="35">
        <v>3</v>
      </c>
      <c r="T170" s="35">
        <v>0</v>
      </c>
      <c r="U170" s="35">
        <v>0</v>
      </c>
      <c r="V170" s="35">
        <v>2</v>
      </c>
      <c r="W170" s="35">
        <v>6</v>
      </c>
      <c r="X170" s="35">
        <v>0</v>
      </c>
      <c r="Y170" s="35">
        <v>0</v>
      </c>
      <c r="Z170" s="35">
        <v>2</v>
      </c>
      <c r="AA170" s="35">
        <v>6</v>
      </c>
      <c r="AB170" s="35">
        <v>0</v>
      </c>
      <c r="AC170" s="35">
        <v>0</v>
      </c>
      <c r="AD170" s="35">
        <v>2</v>
      </c>
      <c r="AE170" s="35">
        <v>6</v>
      </c>
      <c r="AF170" s="35">
        <v>0</v>
      </c>
      <c r="AG170" s="35">
        <v>0</v>
      </c>
      <c r="AH170" s="35">
        <v>2</v>
      </c>
      <c r="AI170" s="35">
        <v>6</v>
      </c>
      <c r="AJ170" s="35">
        <v>0</v>
      </c>
      <c r="AK170" s="35">
        <v>0</v>
      </c>
      <c r="AL170" s="35">
        <v>2</v>
      </c>
      <c r="AM170" s="35">
        <v>6</v>
      </c>
      <c r="AN170" s="35">
        <v>0</v>
      </c>
      <c r="AO170" s="35">
        <v>0</v>
      </c>
      <c r="AP170" s="35">
        <v>2</v>
      </c>
      <c r="AQ170" s="35">
        <v>6</v>
      </c>
      <c r="AR170" s="35">
        <v>0</v>
      </c>
      <c r="AS170" s="35">
        <v>0</v>
      </c>
      <c r="AT170" s="35">
        <v>2</v>
      </c>
      <c r="AU170" s="35">
        <v>6</v>
      </c>
      <c r="AV170" s="35">
        <v>0</v>
      </c>
      <c r="AW170" s="35">
        <v>0</v>
      </c>
      <c r="AX170" s="35">
        <v>2</v>
      </c>
      <c r="AY170" s="35">
        <v>6</v>
      </c>
      <c r="AZ170" s="35">
        <v>0</v>
      </c>
      <c r="BA170" s="35">
        <v>0</v>
      </c>
      <c r="BB170" s="35">
        <v>2</v>
      </c>
      <c r="BC170" s="35">
        <v>3</v>
      </c>
      <c r="BD170" s="19"/>
    </row>
    <row r="171" spans="2:56" x14ac:dyDescent="0.25">
      <c r="B171" s="50" t="str">
        <f t="shared" si="53"/>
        <v>Yield Defect Loss Type G</v>
      </c>
      <c r="C171" s="43" t="str">
        <f t="shared" si="54"/>
        <v>Product H</v>
      </c>
      <c r="D171" s="35">
        <v>0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  <c r="U171" s="35">
        <v>0</v>
      </c>
      <c r="V171" s="35">
        <v>0</v>
      </c>
      <c r="W171" s="35">
        <v>0</v>
      </c>
      <c r="X171" s="35">
        <v>0</v>
      </c>
      <c r="Y171" s="35">
        <v>0</v>
      </c>
      <c r="Z171" s="35">
        <v>0</v>
      </c>
      <c r="AA171" s="35">
        <v>0</v>
      </c>
      <c r="AB171" s="35">
        <v>0</v>
      </c>
      <c r="AC171" s="35">
        <v>0</v>
      </c>
      <c r="AD171" s="35">
        <v>0</v>
      </c>
      <c r="AE171" s="35">
        <v>0</v>
      </c>
      <c r="AF171" s="35">
        <v>0</v>
      </c>
      <c r="AG171" s="35">
        <v>0</v>
      </c>
      <c r="AH171" s="35">
        <v>0</v>
      </c>
      <c r="AI171" s="35">
        <v>0</v>
      </c>
      <c r="AJ171" s="35">
        <v>0</v>
      </c>
      <c r="AK171" s="35">
        <v>0</v>
      </c>
      <c r="AL171" s="35">
        <v>0</v>
      </c>
      <c r="AM171" s="35">
        <v>0</v>
      </c>
      <c r="AN171" s="35">
        <v>0</v>
      </c>
      <c r="AO171" s="35">
        <v>0</v>
      </c>
      <c r="AP171" s="35">
        <v>0</v>
      </c>
      <c r="AQ171" s="35">
        <v>0</v>
      </c>
      <c r="AR171" s="35">
        <v>0</v>
      </c>
      <c r="AS171" s="35">
        <v>0</v>
      </c>
      <c r="AT171" s="35">
        <v>0</v>
      </c>
      <c r="AU171" s="35">
        <v>0</v>
      </c>
      <c r="AV171" s="35">
        <v>0</v>
      </c>
      <c r="AW171" s="35">
        <v>0</v>
      </c>
      <c r="AX171" s="35">
        <v>0</v>
      </c>
      <c r="AY171" s="35">
        <v>0</v>
      </c>
      <c r="AZ171" s="35">
        <v>0</v>
      </c>
      <c r="BA171" s="35">
        <v>0</v>
      </c>
      <c r="BB171" s="35">
        <v>0</v>
      </c>
      <c r="BC171" s="35">
        <v>0</v>
      </c>
      <c r="BD171" s="19"/>
    </row>
    <row r="172" spans="2:56" x14ac:dyDescent="0.25">
      <c r="B172" s="35" t="s">
        <v>279</v>
      </c>
      <c r="C172" s="19"/>
      <c r="D172" s="104">
        <v>1</v>
      </c>
      <c r="E172" s="104">
        <f>D172+1</f>
        <v>2</v>
      </c>
      <c r="F172" s="104">
        <f t="shared" ref="F172:BC172" si="55">E172+1</f>
        <v>3</v>
      </c>
      <c r="G172" s="104">
        <f t="shared" si="55"/>
        <v>4</v>
      </c>
      <c r="H172" s="104">
        <f t="shared" si="55"/>
        <v>5</v>
      </c>
      <c r="I172" s="104">
        <f t="shared" si="55"/>
        <v>6</v>
      </c>
      <c r="J172" s="104">
        <f t="shared" si="55"/>
        <v>7</v>
      </c>
      <c r="K172" s="104">
        <f t="shared" si="55"/>
        <v>8</v>
      </c>
      <c r="L172" s="104">
        <f t="shared" si="55"/>
        <v>9</v>
      </c>
      <c r="M172" s="104">
        <f t="shared" si="55"/>
        <v>10</v>
      </c>
      <c r="N172" s="104">
        <f t="shared" si="55"/>
        <v>11</v>
      </c>
      <c r="O172" s="104">
        <f t="shared" si="55"/>
        <v>12</v>
      </c>
      <c r="P172" s="104">
        <f t="shared" si="55"/>
        <v>13</v>
      </c>
      <c r="Q172" s="104">
        <f t="shared" si="55"/>
        <v>14</v>
      </c>
      <c r="R172" s="104">
        <f t="shared" si="55"/>
        <v>15</v>
      </c>
      <c r="S172" s="104">
        <f t="shared" si="55"/>
        <v>16</v>
      </c>
      <c r="T172" s="104">
        <f t="shared" si="55"/>
        <v>17</v>
      </c>
      <c r="U172" s="104">
        <f t="shared" si="55"/>
        <v>18</v>
      </c>
      <c r="V172" s="104">
        <f t="shared" si="55"/>
        <v>19</v>
      </c>
      <c r="W172" s="104">
        <f t="shared" si="55"/>
        <v>20</v>
      </c>
      <c r="X172" s="104">
        <f t="shared" si="55"/>
        <v>21</v>
      </c>
      <c r="Y172" s="104">
        <f t="shared" si="55"/>
        <v>22</v>
      </c>
      <c r="Z172" s="104">
        <f t="shared" si="55"/>
        <v>23</v>
      </c>
      <c r="AA172" s="104">
        <f t="shared" si="55"/>
        <v>24</v>
      </c>
      <c r="AB172" s="104">
        <f t="shared" si="55"/>
        <v>25</v>
      </c>
      <c r="AC172" s="104">
        <f t="shared" si="55"/>
        <v>26</v>
      </c>
      <c r="AD172" s="104">
        <f t="shared" si="55"/>
        <v>27</v>
      </c>
      <c r="AE172" s="104">
        <f t="shared" si="55"/>
        <v>28</v>
      </c>
      <c r="AF172" s="104">
        <f t="shared" si="55"/>
        <v>29</v>
      </c>
      <c r="AG172" s="104">
        <f t="shared" si="55"/>
        <v>30</v>
      </c>
      <c r="AH172" s="104">
        <f t="shared" si="55"/>
        <v>31</v>
      </c>
      <c r="AI172" s="104">
        <f t="shared" si="55"/>
        <v>32</v>
      </c>
      <c r="AJ172" s="104">
        <f t="shared" si="55"/>
        <v>33</v>
      </c>
      <c r="AK172" s="104">
        <f t="shared" si="55"/>
        <v>34</v>
      </c>
      <c r="AL172" s="104">
        <f t="shared" si="55"/>
        <v>35</v>
      </c>
      <c r="AM172" s="104">
        <f t="shared" si="55"/>
        <v>36</v>
      </c>
      <c r="AN172" s="104">
        <f t="shared" si="55"/>
        <v>37</v>
      </c>
      <c r="AO172" s="104">
        <f t="shared" si="55"/>
        <v>38</v>
      </c>
      <c r="AP172" s="104">
        <f t="shared" si="55"/>
        <v>39</v>
      </c>
      <c r="AQ172" s="104">
        <f t="shared" si="55"/>
        <v>40</v>
      </c>
      <c r="AR172" s="104">
        <f t="shared" si="55"/>
        <v>41</v>
      </c>
      <c r="AS172" s="104">
        <f t="shared" si="55"/>
        <v>42</v>
      </c>
      <c r="AT172" s="104">
        <f t="shared" si="55"/>
        <v>43</v>
      </c>
      <c r="AU172" s="104">
        <f t="shared" si="55"/>
        <v>44</v>
      </c>
      <c r="AV172" s="104">
        <f t="shared" si="55"/>
        <v>45</v>
      </c>
      <c r="AW172" s="104">
        <f t="shared" si="55"/>
        <v>46</v>
      </c>
      <c r="AX172" s="104">
        <f t="shared" si="55"/>
        <v>47</v>
      </c>
      <c r="AY172" s="104">
        <f t="shared" si="55"/>
        <v>48</v>
      </c>
      <c r="AZ172" s="104">
        <f t="shared" si="55"/>
        <v>49</v>
      </c>
      <c r="BA172" s="104">
        <f t="shared" si="55"/>
        <v>50</v>
      </c>
      <c r="BB172" s="104">
        <f t="shared" si="55"/>
        <v>51</v>
      </c>
      <c r="BC172" s="104">
        <f t="shared" si="55"/>
        <v>52</v>
      </c>
      <c r="BD172" s="19"/>
    </row>
    <row r="173" spans="2:56" x14ac:dyDescent="0.25">
      <c r="B173" s="50" t="str">
        <f>B172</f>
        <v>Yield Defect Loss Type H</v>
      </c>
      <c r="C173" s="43" t="str">
        <f>C164</f>
        <v>Product A</v>
      </c>
      <c r="D173" s="35">
        <v>0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  <c r="U173" s="35">
        <v>0</v>
      </c>
      <c r="V173" s="35">
        <v>0</v>
      </c>
      <c r="W173" s="35">
        <v>0</v>
      </c>
      <c r="X173" s="35">
        <v>0</v>
      </c>
      <c r="Y173" s="35">
        <v>0</v>
      </c>
      <c r="Z173" s="35">
        <v>0</v>
      </c>
      <c r="AA173" s="35">
        <v>0</v>
      </c>
      <c r="AB173" s="35">
        <v>0</v>
      </c>
      <c r="AC173" s="35">
        <v>0</v>
      </c>
      <c r="AD173" s="35">
        <v>0</v>
      </c>
      <c r="AE173" s="35">
        <v>0</v>
      </c>
      <c r="AF173" s="35">
        <v>0</v>
      </c>
      <c r="AG173" s="35">
        <v>0</v>
      </c>
      <c r="AH173" s="35">
        <v>0</v>
      </c>
      <c r="AI173" s="35">
        <v>0</v>
      </c>
      <c r="AJ173" s="35">
        <v>0</v>
      </c>
      <c r="AK173" s="35">
        <v>0</v>
      </c>
      <c r="AL173" s="35">
        <v>0</v>
      </c>
      <c r="AM173" s="35">
        <v>0</v>
      </c>
      <c r="AN173" s="35">
        <v>0</v>
      </c>
      <c r="AO173" s="35">
        <v>0</v>
      </c>
      <c r="AP173" s="35">
        <v>0</v>
      </c>
      <c r="AQ173" s="35">
        <v>0</v>
      </c>
      <c r="AR173" s="35">
        <v>0</v>
      </c>
      <c r="AS173" s="35">
        <v>0</v>
      </c>
      <c r="AT173" s="35">
        <v>0</v>
      </c>
      <c r="AU173" s="35">
        <v>0</v>
      </c>
      <c r="AV173" s="35">
        <v>0</v>
      </c>
      <c r="AW173" s="35">
        <v>0</v>
      </c>
      <c r="AX173" s="35">
        <v>0</v>
      </c>
      <c r="AY173" s="35">
        <v>0</v>
      </c>
      <c r="AZ173" s="35">
        <v>0</v>
      </c>
      <c r="BA173" s="35">
        <v>0</v>
      </c>
      <c r="BB173" s="35">
        <v>0</v>
      </c>
      <c r="BC173" s="35">
        <v>0</v>
      </c>
      <c r="BD173" s="19"/>
    </row>
    <row r="174" spans="2:56" x14ac:dyDescent="0.25">
      <c r="B174" s="50" t="str">
        <f t="shared" ref="B174:B180" si="56">B173</f>
        <v>Yield Defect Loss Type H</v>
      </c>
      <c r="C174" s="43" t="str">
        <f t="shared" ref="C174:C180" si="57">C165</f>
        <v>Product B</v>
      </c>
      <c r="D174" s="35">
        <v>0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  <c r="U174" s="35">
        <v>0</v>
      </c>
      <c r="V174" s="35">
        <v>0</v>
      </c>
      <c r="W174" s="35">
        <v>0</v>
      </c>
      <c r="X174" s="35">
        <v>0</v>
      </c>
      <c r="Y174" s="35">
        <v>0</v>
      </c>
      <c r="Z174" s="35">
        <v>0</v>
      </c>
      <c r="AA174" s="35">
        <v>0</v>
      </c>
      <c r="AB174" s="35">
        <v>0</v>
      </c>
      <c r="AC174" s="35">
        <v>0</v>
      </c>
      <c r="AD174" s="35">
        <v>0</v>
      </c>
      <c r="AE174" s="35">
        <v>0</v>
      </c>
      <c r="AF174" s="35">
        <v>0</v>
      </c>
      <c r="AG174" s="35">
        <v>0</v>
      </c>
      <c r="AH174" s="35">
        <v>0</v>
      </c>
      <c r="AI174" s="35">
        <v>0</v>
      </c>
      <c r="AJ174" s="35">
        <v>0</v>
      </c>
      <c r="AK174" s="35">
        <v>0</v>
      </c>
      <c r="AL174" s="35">
        <v>0</v>
      </c>
      <c r="AM174" s="35">
        <v>0</v>
      </c>
      <c r="AN174" s="35">
        <v>0</v>
      </c>
      <c r="AO174" s="35">
        <v>0</v>
      </c>
      <c r="AP174" s="35">
        <v>0</v>
      </c>
      <c r="AQ174" s="35">
        <v>0</v>
      </c>
      <c r="AR174" s="35">
        <v>0</v>
      </c>
      <c r="AS174" s="35">
        <v>0</v>
      </c>
      <c r="AT174" s="35">
        <v>0</v>
      </c>
      <c r="AU174" s="35">
        <v>0</v>
      </c>
      <c r="AV174" s="35">
        <v>0</v>
      </c>
      <c r="AW174" s="35">
        <v>0</v>
      </c>
      <c r="AX174" s="35">
        <v>0</v>
      </c>
      <c r="AY174" s="35">
        <v>0</v>
      </c>
      <c r="AZ174" s="35">
        <v>0</v>
      </c>
      <c r="BA174" s="35">
        <v>0</v>
      </c>
      <c r="BB174" s="35">
        <v>0</v>
      </c>
      <c r="BC174" s="35">
        <v>0</v>
      </c>
      <c r="BD174" s="19"/>
    </row>
    <row r="175" spans="2:56" x14ac:dyDescent="0.25">
      <c r="B175" s="50" t="str">
        <f t="shared" si="56"/>
        <v>Yield Defect Loss Type H</v>
      </c>
      <c r="C175" s="43" t="str">
        <f t="shared" si="57"/>
        <v>Product C</v>
      </c>
      <c r="D175" s="35">
        <v>0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  <c r="U175" s="35">
        <v>0</v>
      </c>
      <c r="V175" s="35">
        <v>0</v>
      </c>
      <c r="W175" s="35">
        <v>0</v>
      </c>
      <c r="X175" s="35">
        <v>0</v>
      </c>
      <c r="Y175" s="35">
        <v>0</v>
      </c>
      <c r="Z175" s="35">
        <v>0</v>
      </c>
      <c r="AA175" s="35">
        <v>0</v>
      </c>
      <c r="AB175" s="35">
        <v>0</v>
      </c>
      <c r="AC175" s="35">
        <v>0</v>
      </c>
      <c r="AD175" s="35">
        <v>0</v>
      </c>
      <c r="AE175" s="35">
        <v>0</v>
      </c>
      <c r="AF175" s="35">
        <v>0</v>
      </c>
      <c r="AG175" s="35">
        <v>0</v>
      </c>
      <c r="AH175" s="35">
        <v>0</v>
      </c>
      <c r="AI175" s="35">
        <v>0</v>
      </c>
      <c r="AJ175" s="35">
        <v>0</v>
      </c>
      <c r="AK175" s="35">
        <v>0</v>
      </c>
      <c r="AL175" s="35">
        <v>0</v>
      </c>
      <c r="AM175" s="35">
        <v>0</v>
      </c>
      <c r="AN175" s="35">
        <v>0</v>
      </c>
      <c r="AO175" s="35">
        <v>0</v>
      </c>
      <c r="AP175" s="35">
        <v>0</v>
      </c>
      <c r="AQ175" s="35">
        <v>0</v>
      </c>
      <c r="AR175" s="35">
        <v>0</v>
      </c>
      <c r="AS175" s="35">
        <v>0</v>
      </c>
      <c r="AT175" s="35">
        <v>0</v>
      </c>
      <c r="AU175" s="35">
        <v>0</v>
      </c>
      <c r="AV175" s="35">
        <v>0</v>
      </c>
      <c r="AW175" s="35">
        <v>0</v>
      </c>
      <c r="AX175" s="35">
        <v>0</v>
      </c>
      <c r="AY175" s="35">
        <v>0</v>
      </c>
      <c r="AZ175" s="35">
        <v>0</v>
      </c>
      <c r="BA175" s="35">
        <v>0</v>
      </c>
      <c r="BB175" s="35">
        <v>0</v>
      </c>
      <c r="BC175" s="35">
        <v>0</v>
      </c>
      <c r="BD175" s="19"/>
    </row>
    <row r="176" spans="2:56" x14ac:dyDescent="0.25">
      <c r="B176" s="50" t="str">
        <f t="shared" si="56"/>
        <v>Yield Defect Loss Type H</v>
      </c>
      <c r="C176" s="43" t="str">
        <f t="shared" si="57"/>
        <v>Product D</v>
      </c>
      <c r="D176" s="35">
        <v>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  <c r="U176" s="35">
        <v>0</v>
      </c>
      <c r="V176" s="35">
        <v>0</v>
      </c>
      <c r="W176" s="35">
        <v>0</v>
      </c>
      <c r="X176" s="35">
        <v>0</v>
      </c>
      <c r="Y176" s="35">
        <v>0</v>
      </c>
      <c r="Z176" s="35">
        <v>0</v>
      </c>
      <c r="AA176" s="35">
        <v>0</v>
      </c>
      <c r="AB176" s="35">
        <v>0</v>
      </c>
      <c r="AC176" s="35">
        <v>0</v>
      </c>
      <c r="AD176" s="35">
        <v>0</v>
      </c>
      <c r="AE176" s="35">
        <v>0</v>
      </c>
      <c r="AF176" s="35">
        <v>0</v>
      </c>
      <c r="AG176" s="35">
        <v>0</v>
      </c>
      <c r="AH176" s="35">
        <v>0</v>
      </c>
      <c r="AI176" s="35">
        <v>0</v>
      </c>
      <c r="AJ176" s="35">
        <v>0</v>
      </c>
      <c r="AK176" s="35">
        <v>0</v>
      </c>
      <c r="AL176" s="35">
        <v>0</v>
      </c>
      <c r="AM176" s="35">
        <v>0</v>
      </c>
      <c r="AN176" s="35">
        <v>0</v>
      </c>
      <c r="AO176" s="35">
        <v>0</v>
      </c>
      <c r="AP176" s="35">
        <v>0</v>
      </c>
      <c r="AQ176" s="35">
        <v>0</v>
      </c>
      <c r="AR176" s="35">
        <v>0</v>
      </c>
      <c r="AS176" s="35">
        <v>0</v>
      </c>
      <c r="AT176" s="35">
        <v>0</v>
      </c>
      <c r="AU176" s="35">
        <v>0</v>
      </c>
      <c r="AV176" s="35">
        <v>0</v>
      </c>
      <c r="AW176" s="35">
        <v>0</v>
      </c>
      <c r="AX176" s="35">
        <v>0</v>
      </c>
      <c r="AY176" s="35">
        <v>0</v>
      </c>
      <c r="AZ176" s="35">
        <v>0</v>
      </c>
      <c r="BA176" s="35">
        <v>0</v>
      </c>
      <c r="BB176" s="35">
        <v>0</v>
      </c>
      <c r="BC176" s="35">
        <v>0</v>
      </c>
      <c r="BD176" s="19"/>
    </row>
    <row r="177" spans="1:56" x14ac:dyDescent="0.25">
      <c r="B177" s="50" t="str">
        <f t="shared" si="56"/>
        <v>Yield Defect Loss Type H</v>
      </c>
      <c r="C177" s="43" t="str">
        <f t="shared" si="57"/>
        <v>Product E</v>
      </c>
      <c r="D177" s="35">
        <v>0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  <c r="U177" s="35">
        <v>0</v>
      </c>
      <c r="V177" s="35">
        <v>0</v>
      </c>
      <c r="W177" s="35">
        <v>0</v>
      </c>
      <c r="X177" s="35">
        <v>0</v>
      </c>
      <c r="Y177" s="35">
        <v>0</v>
      </c>
      <c r="Z177" s="35">
        <v>0</v>
      </c>
      <c r="AA177" s="35">
        <v>0</v>
      </c>
      <c r="AB177" s="35">
        <v>0</v>
      </c>
      <c r="AC177" s="35">
        <v>0</v>
      </c>
      <c r="AD177" s="35">
        <v>0</v>
      </c>
      <c r="AE177" s="35">
        <v>0</v>
      </c>
      <c r="AF177" s="35">
        <v>0</v>
      </c>
      <c r="AG177" s="35">
        <v>0</v>
      </c>
      <c r="AH177" s="35">
        <v>0</v>
      </c>
      <c r="AI177" s="35">
        <v>0</v>
      </c>
      <c r="AJ177" s="35">
        <v>0</v>
      </c>
      <c r="AK177" s="35">
        <v>0</v>
      </c>
      <c r="AL177" s="35">
        <v>0</v>
      </c>
      <c r="AM177" s="35">
        <v>0</v>
      </c>
      <c r="AN177" s="35">
        <v>0</v>
      </c>
      <c r="AO177" s="35">
        <v>0</v>
      </c>
      <c r="AP177" s="35">
        <v>0</v>
      </c>
      <c r="AQ177" s="35">
        <v>0</v>
      </c>
      <c r="AR177" s="35">
        <v>0</v>
      </c>
      <c r="AS177" s="35">
        <v>0</v>
      </c>
      <c r="AT177" s="35">
        <v>0</v>
      </c>
      <c r="AU177" s="35">
        <v>0</v>
      </c>
      <c r="AV177" s="35">
        <v>0</v>
      </c>
      <c r="AW177" s="35">
        <v>0</v>
      </c>
      <c r="AX177" s="35">
        <v>0</v>
      </c>
      <c r="AY177" s="35">
        <v>0</v>
      </c>
      <c r="AZ177" s="35">
        <v>0</v>
      </c>
      <c r="BA177" s="35">
        <v>0</v>
      </c>
      <c r="BB177" s="35">
        <v>0</v>
      </c>
      <c r="BC177" s="35">
        <v>0</v>
      </c>
      <c r="BD177" s="19"/>
    </row>
    <row r="178" spans="1:56" x14ac:dyDescent="0.25">
      <c r="B178" s="50" t="str">
        <f t="shared" si="56"/>
        <v>Yield Defect Loss Type H</v>
      </c>
      <c r="C178" s="43" t="str">
        <f t="shared" si="57"/>
        <v>Product F</v>
      </c>
      <c r="D178" s="35">
        <v>0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  <c r="U178" s="35">
        <v>0</v>
      </c>
      <c r="V178" s="35">
        <v>0</v>
      </c>
      <c r="W178" s="35">
        <v>0</v>
      </c>
      <c r="X178" s="35">
        <v>0</v>
      </c>
      <c r="Y178" s="35">
        <v>0</v>
      </c>
      <c r="Z178" s="35">
        <v>0</v>
      </c>
      <c r="AA178" s="35">
        <v>0</v>
      </c>
      <c r="AB178" s="35">
        <v>0</v>
      </c>
      <c r="AC178" s="35">
        <v>0</v>
      </c>
      <c r="AD178" s="35">
        <v>0</v>
      </c>
      <c r="AE178" s="35">
        <v>0</v>
      </c>
      <c r="AF178" s="35">
        <v>0</v>
      </c>
      <c r="AG178" s="35">
        <v>0</v>
      </c>
      <c r="AH178" s="35">
        <v>0</v>
      </c>
      <c r="AI178" s="35">
        <v>0</v>
      </c>
      <c r="AJ178" s="35">
        <v>0</v>
      </c>
      <c r="AK178" s="35">
        <v>0</v>
      </c>
      <c r="AL178" s="35">
        <v>0</v>
      </c>
      <c r="AM178" s="35">
        <v>0</v>
      </c>
      <c r="AN178" s="35">
        <v>0</v>
      </c>
      <c r="AO178" s="35">
        <v>0</v>
      </c>
      <c r="AP178" s="35">
        <v>0</v>
      </c>
      <c r="AQ178" s="35">
        <v>0</v>
      </c>
      <c r="AR178" s="35">
        <v>0</v>
      </c>
      <c r="AS178" s="35">
        <v>0</v>
      </c>
      <c r="AT178" s="35">
        <v>0</v>
      </c>
      <c r="AU178" s="35">
        <v>0</v>
      </c>
      <c r="AV178" s="35">
        <v>0</v>
      </c>
      <c r="AW178" s="35">
        <v>0</v>
      </c>
      <c r="AX178" s="35">
        <v>0</v>
      </c>
      <c r="AY178" s="35">
        <v>0</v>
      </c>
      <c r="AZ178" s="35">
        <v>0</v>
      </c>
      <c r="BA178" s="35">
        <v>0</v>
      </c>
      <c r="BB178" s="35">
        <v>0</v>
      </c>
      <c r="BC178" s="35">
        <v>0</v>
      </c>
      <c r="BD178" s="19"/>
    </row>
    <row r="179" spans="1:56" x14ac:dyDescent="0.25">
      <c r="B179" s="50" t="str">
        <f t="shared" si="56"/>
        <v>Yield Defect Loss Type H</v>
      </c>
      <c r="C179" s="43" t="str">
        <f t="shared" si="57"/>
        <v>Product G</v>
      </c>
      <c r="D179" s="35">
        <v>0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  <c r="U179" s="35">
        <v>0</v>
      </c>
      <c r="V179" s="35">
        <v>0</v>
      </c>
      <c r="W179" s="35">
        <v>0</v>
      </c>
      <c r="X179" s="35">
        <v>0</v>
      </c>
      <c r="Y179" s="35">
        <v>0</v>
      </c>
      <c r="Z179" s="35">
        <v>0</v>
      </c>
      <c r="AA179" s="35">
        <v>0</v>
      </c>
      <c r="AB179" s="35">
        <v>0</v>
      </c>
      <c r="AC179" s="35">
        <v>0</v>
      </c>
      <c r="AD179" s="35">
        <v>0</v>
      </c>
      <c r="AE179" s="35">
        <v>0</v>
      </c>
      <c r="AF179" s="35">
        <v>0</v>
      </c>
      <c r="AG179" s="35">
        <v>0</v>
      </c>
      <c r="AH179" s="35">
        <v>0</v>
      </c>
      <c r="AI179" s="35">
        <v>0</v>
      </c>
      <c r="AJ179" s="35">
        <v>0</v>
      </c>
      <c r="AK179" s="35">
        <v>0</v>
      </c>
      <c r="AL179" s="35">
        <v>0</v>
      </c>
      <c r="AM179" s="35">
        <v>0</v>
      </c>
      <c r="AN179" s="35">
        <v>0</v>
      </c>
      <c r="AO179" s="35">
        <v>0</v>
      </c>
      <c r="AP179" s="35">
        <v>0</v>
      </c>
      <c r="AQ179" s="35">
        <v>0</v>
      </c>
      <c r="AR179" s="35">
        <v>0</v>
      </c>
      <c r="AS179" s="35">
        <v>0</v>
      </c>
      <c r="AT179" s="35">
        <v>0</v>
      </c>
      <c r="AU179" s="35">
        <v>0</v>
      </c>
      <c r="AV179" s="35">
        <v>0</v>
      </c>
      <c r="AW179" s="35">
        <v>0</v>
      </c>
      <c r="AX179" s="35">
        <v>0</v>
      </c>
      <c r="AY179" s="35">
        <v>0</v>
      </c>
      <c r="AZ179" s="35">
        <v>0</v>
      </c>
      <c r="BA179" s="35">
        <v>0</v>
      </c>
      <c r="BB179" s="35">
        <v>0</v>
      </c>
      <c r="BC179" s="35">
        <v>0</v>
      </c>
      <c r="BD179" s="19"/>
    </row>
    <row r="180" spans="1:56" x14ac:dyDescent="0.25">
      <c r="B180" s="50" t="str">
        <f t="shared" si="56"/>
        <v>Yield Defect Loss Type H</v>
      </c>
      <c r="C180" s="43" t="str">
        <f t="shared" si="57"/>
        <v>Product H</v>
      </c>
      <c r="D180" s="35">
        <v>0</v>
      </c>
      <c r="E180" s="35">
        <v>0</v>
      </c>
      <c r="F180" s="35">
        <v>0</v>
      </c>
      <c r="G180" s="35">
        <v>2</v>
      </c>
      <c r="H180" s="35">
        <v>0</v>
      </c>
      <c r="I180" s="35">
        <v>0</v>
      </c>
      <c r="J180" s="35">
        <v>0</v>
      </c>
      <c r="K180" s="35">
        <v>2</v>
      </c>
      <c r="L180" s="35">
        <v>0</v>
      </c>
      <c r="M180" s="35">
        <v>0</v>
      </c>
      <c r="N180" s="35">
        <v>0</v>
      </c>
      <c r="O180" s="35">
        <v>2</v>
      </c>
      <c r="P180" s="35">
        <v>0</v>
      </c>
      <c r="Q180" s="35">
        <v>0</v>
      </c>
      <c r="R180" s="35">
        <v>3</v>
      </c>
      <c r="S180" s="35">
        <v>2</v>
      </c>
      <c r="T180" s="35">
        <v>0</v>
      </c>
      <c r="U180" s="35">
        <v>0</v>
      </c>
      <c r="V180" s="35">
        <v>0</v>
      </c>
      <c r="W180" s="35">
        <v>2</v>
      </c>
      <c r="X180" s="35">
        <v>3</v>
      </c>
      <c r="Y180" s="35">
        <v>0</v>
      </c>
      <c r="Z180" s="35">
        <v>0</v>
      </c>
      <c r="AA180" s="35">
        <v>2</v>
      </c>
      <c r="AB180" s="35">
        <v>0</v>
      </c>
      <c r="AC180" s="35">
        <v>1</v>
      </c>
      <c r="AD180" s="35">
        <v>0</v>
      </c>
      <c r="AE180" s="35">
        <v>2</v>
      </c>
      <c r="AF180" s="35">
        <v>0</v>
      </c>
      <c r="AG180" s="35">
        <v>0</v>
      </c>
      <c r="AH180" s="35">
        <v>0</v>
      </c>
      <c r="AI180" s="35">
        <v>2</v>
      </c>
      <c r="AJ180" s="35">
        <v>3</v>
      </c>
      <c r="AK180" s="35">
        <v>0</v>
      </c>
      <c r="AL180" s="35">
        <v>0</v>
      </c>
      <c r="AM180" s="35">
        <v>2</v>
      </c>
      <c r="AN180" s="35">
        <v>0</v>
      </c>
      <c r="AO180" s="35">
        <v>0</v>
      </c>
      <c r="AP180" s="35">
        <v>3</v>
      </c>
      <c r="AQ180" s="35">
        <v>3</v>
      </c>
      <c r="AR180" s="35">
        <v>0</v>
      </c>
      <c r="AS180" s="35">
        <v>0</v>
      </c>
      <c r="AT180" s="35">
        <v>0</v>
      </c>
      <c r="AU180" s="35">
        <v>2</v>
      </c>
      <c r="AV180" s="35">
        <v>0</v>
      </c>
      <c r="AW180" s="35">
        <v>0</v>
      </c>
      <c r="AX180" s="35">
        <v>0</v>
      </c>
      <c r="AY180" s="35">
        <v>2</v>
      </c>
      <c r="AZ180" s="35">
        <v>0</v>
      </c>
      <c r="BA180" s="35">
        <v>0</v>
      </c>
      <c r="BB180" s="35">
        <v>0</v>
      </c>
      <c r="BC180" s="35">
        <v>2</v>
      </c>
      <c r="BD180" s="19"/>
    </row>
    <row r="184" spans="1:56" x14ac:dyDescent="0.25">
      <c r="A184" s="35">
        <v>8</v>
      </c>
      <c r="B184" s="35" t="s">
        <v>240</v>
      </c>
      <c r="C184" s="104">
        <v>1</v>
      </c>
      <c r="D184" s="104">
        <f>C184+1</f>
        <v>2</v>
      </c>
      <c r="E184" s="104">
        <f t="shared" ref="E184:BB184" si="58">D184+1</f>
        <v>3</v>
      </c>
      <c r="F184" s="104">
        <f t="shared" si="58"/>
        <v>4</v>
      </c>
      <c r="G184" s="104">
        <f t="shared" si="58"/>
        <v>5</v>
      </c>
      <c r="H184" s="104">
        <f t="shared" si="58"/>
        <v>6</v>
      </c>
      <c r="I184" s="104">
        <f t="shared" si="58"/>
        <v>7</v>
      </c>
      <c r="J184" s="104">
        <f t="shared" si="58"/>
        <v>8</v>
      </c>
      <c r="K184" s="104">
        <f t="shared" si="58"/>
        <v>9</v>
      </c>
      <c r="L184" s="104">
        <f t="shared" si="58"/>
        <v>10</v>
      </c>
      <c r="M184" s="104">
        <f t="shared" si="58"/>
        <v>11</v>
      </c>
      <c r="N184" s="104">
        <f t="shared" si="58"/>
        <v>12</v>
      </c>
      <c r="O184" s="104">
        <f t="shared" si="58"/>
        <v>13</v>
      </c>
      <c r="P184" s="104">
        <f t="shared" si="58"/>
        <v>14</v>
      </c>
      <c r="Q184" s="104">
        <f t="shared" si="58"/>
        <v>15</v>
      </c>
      <c r="R184" s="104">
        <f t="shared" si="58"/>
        <v>16</v>
      </c>
      <c r="S184" s="104">
        <f t="shared" si="58"/>
        <v>17</v>
      </c>
      <c r="T184" s="104">
        <f t="shared" si="58"/>
        <v>18</v>
      </c>
      <c r="U184" s="104">
        <f t="shared" si="58"/>
        <v>19</v>
      </c>
      <c r="V184" s="104">
        <f t="shared" si="58"/>
        <v>20</v>
      </c>
      <c r="W184" s="104">
        <f t="shared" si="58"/>
        <v>21</v>
      </c>
      <c r="X184" s="104">
        <f t="shared" si="58"/>
        <v>22</v>
      </c>
      <c r="Y184" s="104">
        <f t="shared" si="58"/>
        <v>23</v>
      </c>
      <c r="Z184" s="104">
        <f t="shared" si="58"/>
        <v>24</v>
      </c>
      <c r="AA184" s="104">
        <f t="shared" si="58"/>
        <v>25</v>
      </c>
      <c r="AB184" s="104">
        <f t="shared" si="58"/>
        <v>26</v>
      </c>
      <c r="AC184" s="104">
        <f t="shared" si="58"/>
        <v>27</v>
      </c>
      <c r="AD184" s="104">
        <f t="shared" si="58"/>
        <v>28</v>
      </c>
      <c r="AE184" s="104">
        <f t="shared" si="58"/>
        <v>29</v>
      </c>
      <c r="AF184" s="104">
        <f t="shared" si="58"/>
        <v>30</v>
      </c>
      <c r="AG184" s="104">
        <f t="shared" si="58"/>
        <v>31</v>
      </c>
      <c r="AH184" s="104">
        <f t="shared" si="58"/>
        <v>32</v>
      </c>
      <c r="AI184" s="104">
        <f t="shared" si="58"/>
        <v>33</v>
      </c>
      <c r="AJ184" s="104">
        <f t="shared" si="58"/>
        <v>34</v>
      </c>
      <c r="AK184" s="104">
        <f t="shared" si="58"/>
        <v>35</v>
      </c>
      <c r="AL184" s="104">
        <f t="shared" si="58"/>
        <v>36</v>
      </c>
      <c r="AM184" s="104">
        <f t="shared" si="58"/>
        <v>37</v>
      </c>
      <c r="AN184" s="104">
        <f t="shared" si="58"/>
        <v>38</v>
      </c>
      <c r="AO184" s="104">
        <f t="shared" si="58"/>
        <v>39</v>
      </c>
      <c r="AP184" s="104">
        <f t="shared" si="58"/>
        <v>40</v>
      </c>
      <c r="AQ184" s="104">
        <f t="shared" si="58"/>
        <v>41</v>
      </c>
      <c r="AR184" s="104">
        <f t="shared" si="58"/>
        <v>42</v>
      </c>
      <c r="AS184" s="104">
        <f t="shared" si="58"/>
        <v>43</v>
      </c>
      <c r="AT184" s="104">
        <f t="shared" si="58"/>
        <v>44</v>
      </c>
      <c r="AU184" s="104">
        <f t="shared" si="58"/>
        <v>45</v>
      </c>
      <c r="AV184" s="104">
        <f t="shared" si="58"/>
        <v>46</v>
      </c>
      <c r="AW184" s="104">
        <f t="shared" si="58"/>
        <v>47</v>
      </c>
      <c r="AX184" s="104">
        <f t="shared" si="58"/>
        <v>48</v>
      </c>
      <c r="AY184" s="104">
        <f t="shared" si="58"/>
        <v>49</v>
      </c>
      <c r="AZ184" s="104">
        <f t="shared" si="58"/>
        <v>50</v>
      </c>
      <c r="BA184" s="104">
        <f t="shared" si="58"/>
        <v>51</v>
      </c>
      <c r="BB184" s="104">
        <f t="shared" si="58"/>
        <v>52</v>
      </c>
    </row>
    <row r="185" spans="1:56" x14ac:dyDescent="0.25">
      <c r="A185" s="35">
        <v>6</v>
      </c>
      <c r="B185" s="35" t="s">
        <v>234</v>
      </c>
      <c r="C185" s="35">
        <v>0.4</v>
      </c>
      <c r="D185" s="35">
        <v>0.5</v>
      </c>
      <c r="E185" s="35">
        <v>0.3</v>
      </c>
      <c r="F185" s="35">
        <v>0.6</v>
      </c>
      <c r="G185" s="35">
        <v>0.3</v>
      </c>
      <c r="H185" s="35">
        <v>0.4</v>
      </c>
      <c r="I185" s="35">
        <v>0.4</v>
      </c>
      <c r="J185" s="35">
        <v>0.5</v>
      </c>
      <c r="K185" s="35">
        <v>0.3</v>
      </c>
      <c r="L185" s="35">
        <v>0.6</v>
      </c>
      <c r="M185" s="35">
        <v>0.3</v>
      </c>
      <c r="N185" s="35">
        <v>0.4</v>
      </c>
      <c r="O185" s="35">
        <v>0.5</v>
      </c>
      <c r="P185" s="35">
        <v>0.3</v>
      </c>
      <c r="Q185" s="35">
        <v>0.6</v>
      </c>
      <c r="R185" s="35">
        <v>0.3</v>
      </c>
      <c r="S185" s="35">
        <v>0.4</v>
      </c>
      <c r="T185" s="35">
        <v>0.4</v>
      </c>
      <c r="U185" s="35">
        <v>0.5</v>
      </c>
      <c r="V185" s="35">
        <v>0.3</v>
      </c>
      <c r="W185" s="35">
        <v>0.6</v>
      </c>
      <c r="X185" s="35">
        <v>0.3</v>
      </c>
      <c r="Y185" s="35">
        <v>0.4</v>
      </c>
      <c r="Z185" s="35">
        <v>0.5</v>
      </c>
      <c r="AA185" s="35">
        <v>0.3</v>
      </c>
      <c r="AB185" s="35">
        <v>0.6</v>
      </c>
      <c r="AC185" s="35">
        <v>0.3</v>
      </c>
      <c r="AD185" s="35">
        <v>0.4</v>
      </c>
      <c r="AE185" s="35">
        <v>0.4</v>
      </c>
      <c r="AF185" s="35">
        <v>0.5</v>
      </c>
      <c r="AG185" s="35">
        <v>0.3</v>
      </c>
      <c r="AH185" s="35">
        <v>0.6</v>
      </c>
      <c r="AI185" s="35">
        <v>0.3</v>
      </c>
      <c r="AJ185" s="35">
        <v>0.4</v>
      </c>
      <c r="AK185" s="35">
        <v>0.4</v>
      </c>
      <c r="AL185" s="35">
        <v>0.4</v>
      </c>
      <c r="AM185" s="35">
        <v>0.5</v>
      </c>
      <c r="AN185" s="35">
        <v>0.3</v>
      </c>
      <c r="AO185" s="35">
        <v>0.4</v>
      </c>
      <c r="AP185" s="35">
        <v>0.5</v>
      </c>
      <c r="AQ185" s="35">
        <v>0.3</v>
      </c>
      <c r="AR185" s="35">
        <v>0.6</v>
      </c>
      <c r="AS185" s="35">
        <v>0.3</v>
      </c>
      <c r="AT185" s="35">
        <v>0.4</v>
      </c>
      <c r="AU185" s="35">
        <v>0.4</v>
      </c>
      <c r="AV185" s="35">
        <v>0.5</v>
      </c>
      <c r="AW185" s="35">
        <v>0.3</v>
      </c>
      <c r="AX185" s="35">
        <v>0.6</v>
      </c>
      <c r="AY185" s="35">
        <v>0.3</v>
      </c>
      <c r="AZ185" s="35">
        <v>0.4</v>
      </c>
      <c r="BA185" s="35">
        <v>0.4</v>
      </c>
      <c r="BB185" s="35">
        <v>0.2</v>
      </c>
    </row>
    <row r="186" spans="1:56" x14ac:dyDescent="0.25">
      <c r="B186" s="35" t="s">
        <v>235</v>
      </c>
      <c r="C186" s="35">
        <v>0</v>
      </c>
      <c r="D186" s="35">
        <v>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  <c r="U186" s="35">
        <v>0</v>
      </c>
      <c r="V186" s="35">
        <v>0</v>
      </c>
      <c r="W186" s="35">
        <v>0</v>
      </c>
      <c r="X186" s="35">
        <v>0</v>
      </c>
      <c r="Y186" s="35">
        <v>0</v>
      </c>
      <c r="Z186" s="35">
        <v>0</v>
      </c>
      <c r="AA186" s="35">
        <v>0</v>
      </c>
      <c r="AB186" s="35">
        <v>0</v>
      </c>
      <c r="AC186" s="35">
        <v>0</v>
      </c>
      <c r="AD186" s="35">
        <v>0</v>
      </c>
      <c r="AE186" s="35">
        <v>0</v>
      </c>
      <c r="AF186" s="35">
        <v>0</v>
      </c>
      <c r="AG186" s="35">
        <v>0</v>
      </c>
      <c r="AH186" s="35">
        <v>0</v>
      </c>
      <c r="AI186" s="35">
        <v>0</v>
      </c>
      <c r="AJ186" s="35">
        <v>0</v>
      </c>
      <c r="AK186" s="35">
        <v>0</v>
      </c>
      <c r="AL186" s="35">
        <v>0</v>
      </c>
      <c r="AM186" s="35">
        <v>0</v>
      </c>
      <c r="AN186" s="35">
        <v>0</v>
      </c>
      <c r="AO186" s="35">
        <v>0</v>
      </c>
      <c r="AP186" s="35">
        <v>0</v>
      </c>
      <c r="AQ186" s="35">
        <v>0</v>
      </c>
      <c r="AR186" s="35">
        <v>0</v>
      </c>
      <c r="AS186" s="35">
        <v>0</v>
      </c>
      <c r="AT186" s="35">
        <v>0</v>
      </c>
      <c r="AU186" s="35">
        <v>0</v>
      </c>
      <c r="AV186" s="35">
        <v>0</v>
      </c>
      <c r="AW186" s="35">
        <v>0</v>
      </c>
      <c r="AX186" s="35">
        <v>0</v>
      </c>
      <c r="AY186" s="35">
        <v>0</v>
      </c>
      <c r="AZ186" s="35">
        <v>0</v>
      </c>
      <c r="BA186" s="35">
        <v>0</v>
      </c>
      <c r="BB186" s="35">
        <v>0</v>
      </c>
    </row>
    <row r="187" spans="1:56" x14ac:dyDescent="0.25">
      <c r="B187" s="35" t="s">
        <v>236</v>
      </c>
      <c r="C187" s="35">
        <v>0</v>
      </c>
      <c r="D187" s="35">
        <v>0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  <c r="U187" s="35">
        <v>0</v>
      </c>
      <c r="V187" s="35">
        <v>0</v>
      </c>
      <c r="W187" s="35">
        <v>0</v>
      </c>
      <c r="X187" s="35">
        <v>0</v>
      </c>
      <c r="Y187" s="35">
        <v>0</v>
      </c>
      <c r="Z187" s="35">
        <v>0</v>
      </c>
      <c r="AA187" s="35">
        <v>0</v>
      </c>
      <c r="AB187" s="35">
        <v>0</v>
      </c>
      <c r="AC187" s="35">
        <v>0</v>
      </c>
      <c r="AD187" s="35">
        <v>0</v>
      </c>
      <c r="AE187" s="35">
        <v>0</v>
      </c>
      <c r="AF187" s="35">
        <v>0</v>
      </c>
      <c r="AG187" s="35">
        <v>0</v>
      </c>
      <c r="AH187" s="35">
        <v>0</v>
      </c>
      <c r="AI187" s="35">
        <v>0</v>
      </c>
      <c r="AJ187" s="35">
        <v>0</v>
      </c>
      <c r="AK187" s="35">
        <v>0</v>
      </c>
      <c r="AL187" s="35">
        <v>0</v>
      </c>
      <c r="AM187" s="35">
        <v>0</v>
      </c>
      <c r="AN187" s="35">
        <v>0</v>
      </c>
      <c r="AO187" s="35">
        <v>0</v>
      </c>
      <c r="AP187" s="35">
        <v>0</v>
      </c>
      <c r="AQ187" s="35">
        <v>0</v>
      </c>
      <c r="AR187" s="35">
        <v>0</v>
      </c>
      <c r="AS187" s="35">
        <v>0</v>
      </c>
      <c r="AT187" s="35">
        <v>0</v>
      </c>
      <c r="AU187" s="35">
        <v>0</v>
      </c>
      <c r="AV187" s="35">
        <v>0</v>
      </c>
      <c r="AW187" s="35">
        <v>0</v>
      </c>
      <c r="AX187" s="35">
        <v>0</v>
      </c>
      <c r="AY187" s="35">
        <v>0</v>
      </c>
      <c r="AZ187" s="35">
        <v>0</v>
      </c>
      <c r="BA187" s="35">
        <v>0</v>
      </c>
      <c r="BB187" s="35">
        <v>0</v>
      </c>
    </row>
    <row r="188" spans="1:56" x14ac:dyDescent="0.25">
      <c r="B188" s="35" t="s">
        <v>237</v>
      </c>
      <c r="C188" s="35">
        <v>0</v>
      </c>
      <c r="D188" s="35">
        <v>0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  <c r="U188" s="35">
        <v>0</v>
      </c>
      <c r="V188" s="35">
        <v>0</v>
      </c>
      <c r="W188" s="35">
        <v>0</v>
      </c>
      <c r="X188" s="35">
        <v>0</v>
      </c>
      <c r="Y188" s="35">
        <v>0</v>
      </c>
      <c r="Z188" s="35">
        <v>0</v>
      </c>
      <c r="AA188" s="35">
        <v>0</v>
      </c>
      <c r="AB188" s="35">
        <v>0</v>
      </c>
      <c r="AC188" s="35">
        <v>0</v>
      </c>
      <c r="AD188" s="35">
        <v>0</v>
      </c>
      <c r="AE188" s="35">
        <v>0</v>
      </c>
      <c r="AF188" s="35">
        <v>0</v>
      </c>
      <c r="AG188" s="35">
        <v>0</v>
      </c>
      <c r="AH188" s="35">
        <v>0</v>
      </c>
      <c r="AI188" s="35">
        <v>0</v>
      </c>
      <c r="AJ188" s="35">
        <v>0</v>
      </c>
      <c r="AK188" s="35">
        <v>0</v>
      </c>
      <c r="AL188" s="35">
        <v>0</v>
      </c>
      <c r="AM188" s="35">
        <v>0</v>
      </c>
      <c r="AN188" s="35">
        <v>0</v>
      </c>
      <c r="AO188" s="35">
        <v>0</v>
      </c>
      <c r="AP188" s="35">
        <v>0</v>
      </c>
      <c r="AQ188" s="35">
        <v>0</v>
      </c>
      <c r="AR188" s="35">
        <v>0</v>
      </c>
      <c r="AS188" s="35">
        <v>0</v>
      </c>
      <c r="AT188" s="35">
        <v>0</v>
      </c>
      <c r="AU188" s="35">
        <v>0</v>
      </c>
      <c r="AV188" s="35">
        <v>0</v>
      </c>
      <c r="AW188" s="35">
        <v>0</v>
      </c>
      <c r="AX188" s="35">
        <v>0</v>
      </c>
      <c r="AY188" s="35">
        <v>0</v>
      </c>
      <c r="AZ188" s="35">
        <v>0</v>
      </c>
      <c r="BA188" s="35">
        <v>0</v>
      </c>
      <c r="BB188" s="35">
        <v>0</v>
      </c>
    </row>
    <row r="189" spans="1:56" x14ac:dyDescent="0.25">
      <c r="B189" s="35" t="s">
        <v>238</v>
      </c>
      <c r="C189" s="35">
        <v>0</v>
      </c>
      <c r="D189" s="35">
        <v>0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  <c r="U189" s="35">
        <v>0</v>
      </c>
      <c r="V189" s="35">
        <v>0</v>
      </c>
      <c r="W189" s="35">
        <v>0</v>
      </c>
      <c r="X189" s="35">
        <v>0</v>
      </c>
      <c r="Y189" s="35">
        <v>0</v>
      </c>
      <c r="Z189" s="35">
        <v>0</v>
      </c>
      <c r="AA189" s="35">
        <v>0</v>
      </c>
      <c r="AB189" s="35">
        <v>0</v>
      </c>
      <c r="AC189" s="35">
        <v>0</v>
      </c>
      <c r="AD189" s="35">
        <v>0</v>
      </c>
      <c r="AE189" s="35">
        <v>0</v>
      </c>
      <c r="AF189" s="35">
        <v>0</v>
      </c>
      <c r="AG189" s="35">
        <v>0</v>
      </c>
      <c r="AH189" s="35">
        <v>0</v>
      </c>
      <c r="AI189" s="35">
        <v>0</v>
      </c>
      <c r="AJ189" s="35">
        <v>0</v>
      </c>
      <c r="AK189" s="35">
        <v>0</v>
      </c>
      <c r="AL189" s="35">
        <v>0</v>
      </c>
      <c r="AM189" s="35">
        <v>0</v>
      </c>
      <c r="AN189" s="35">
        <v>0</v>
      </c>
      <c r="AO189" s="35">
        <v>0</v>
      </c>
      <c r="AP189" s="35">
        <v>0</v>
      </c>
      <c r="AQ189" s="35">
        <v>0</v>
      </c>
      <c r="AR189" s="35">
        <v>0</v>
      </c>
      <c r="AS189" s="35">
        <v>0</v>
      </c>
      <c r="AT189" s="35">
        <v>0</v>
      </c>
      <c r="AU189" s="35">
        <v>0</v>
      </c>
      <c r="AV189" s="35">
        <v>0</v>
      </c>
      <c r="AW189" s="35">
        <v>0</v>
      </c>
      <c r="AX189" s="35">
        <v>0</v>
      </c>
      <c r="AY189" s="35">
        <v>0</v>
      </c>
      <c r="AZ189" s="35">
        <v>0</v>
      </c>
      <c r="BA189" s="35">
        <v>0</v>
      </c>
      <c r="BB189" s="35">
        <v>0</v>
      </c>
    </row>
    <row r="190" spans="1:56" x14ac:dyDescent="0.25">
      <c r="B190" s="35" t="s">
        <v>239</v>
      </c>
      <c r="C190" s="35">
        <v>0</v>
      </c>
      <c r="D190" s="35">
        <v>0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  <c r="U190" s="35">
        <v>0</v>
      </c>
      <c r="V190" s="35">
        <v>0</v>
      </c>
      <c r="W190" s="35">
        <v>0</v>
      </c>
      <c r="X190" s="35">
        <v>0</v>
      </c>
      <c r="Y190" s="35">
        <v>0</v>
      </c>
      <c r="Z190" s="35">
        <v>0</v>
      </c>
      <c r="AA190" s="35">
        <v>0</v>
      </c>
      <c r="AB190" s="35">
        <v>0</v>
      </c>
      <c r="AC190" s="35">
        <v>0</v>
      </c>
      <c r="AD190" s="35">
        <v>0</v>
      </c>
      <c r="AE190" s="35">
        <v>0</v>
      </c>
      <c r="AF190" s="35">
        <v>0</v>
      </c>
      <c r="AG190" s="35">
        <v>0</v>
      </c>
      <c r="AH190" s="35">
        <v>0</v>
      </c>
      <c r="AI190" s="35">
        <v>0</v>
      </c>
      <c r="AJ190" s="35">
        <v>0</v>
      </c>
      <c r="AK190" s="35">
        <v>0</v>
      </c>
      <c r="AL190" s="35">
        <v>0</v>
      </c>
      <c r="AM190" s="35">
        <v>0</v>
      </c>
      <c r="AN190" s="35">
        <v>0</v>
      </c>
      <c r="AO190" s="35">
        <v>0</v>
      </c>
      <c r="AP190" s="35">
        <v>0</v>
      </c>
      <c r="AQ190" s="35">
        <v>0</v>
      </c>
      <c r="AR190" s="35">
        <v>0</v>
      </c>
      <c r="AS190" s="35">
        <v>0</v>
      </c>
      <c r="AT190" s="35">
        <v>0</v>
      </c>
      <c r="AU190" s="35">
        <v>0</v>
      </c>
      <c r="AV190" s="35">
        <v>0</v>
      </c>
      <c r="AW190" s="35">
        <v>0</v>
      </c>
      <c r="AX190" s="35">
        <v>0</v>
      </c>
      <c r="AY190" s="35">
        <v>0</v>
      </c>
      <c r="AZ190" s="35">
        <v>0</v>
      </c>
      <c r="BA190" s="35">
        <v>0</v>
      </c>
      <c r="BB190" s="35">
        <v>0</v>
      </c>
    </row>
    <row r="191" spans="1:56" x14ac:dyDescent="0.25">
      <c r="B191" s="35" t="s">
        <v>241</v>
      </c>
      <c r="C191" s="104">
        <v>1</v>
      </c>
      <c r="D191" s="104">
        <f>C191+1</f>
        <v>2</v>
      </c>
      <c r="E191" s="104">
        <f t="shared" ref="E191:BB191" si="59">D191+1</f>
        <v>3</v>
      </c>
      <c r="F191" s="104">
        <f t="shared" si="59"/>
        <v>4</v>
      </c>
      <c r="G191" s="104">
        <f t="shared" si="59"/>
        <v>5</v>
      </c>
      <c r="H191" s="104">
        <f t="shared" si="59"/>
        <v>6</v>
      </c>
      <c r="I191" s="104">
        <f t="shared" si="59"/>
        <v>7</v>
      </c>
      <c r="J191" s="104">
        <f t="shared" si="59"/>
        <v>8</v>
      </c>
      <c r="K191" s="104">
        <f t="shared" si="59"/>
        <v>9</v>
      </c>
      <c r="L191" s="104">
        <f t="shared" si="59"/>
        <v>10</v>
      </c>
      <c r="M191" s="104">
        <f t="shared" si="59"/>
        <v>11</v>
      </c>
      <c r="N191" s="104">
        <f t="shared" si="59"/>
        <v>12</v>
      </c>
      <c r="O191" s="104">
        <f t="shared" si="59"/>
        <v>13</v>
      </c>
      <c r="P191" s="104">
        <f t="shared" si="59"/>
        <v>14</v>
      </c>
      <c r="Q191" s="104">
        <f t="shared" si="59"/>
        <v>15</v>
      </c>
      <c r="R191" s="104">
        <f t="shared" si="59"/>
        <v>16</v>
      </c>
      <c r="S191" s="104">
        <f t="shared" si="59"/>
        <v>17</v>
      </c>
      <c r="T191" s="104">
        <f t="shared" si="59"/>
        <v>18</v>
      </c>
      <c r="U191" s="104">
        <f t="shared" si="59"/>
        <v>19</v>
      </c>
      <c r="V191" s="104">
        <f t="shared" si="59"/>
        <v>20</v>
      </c>
      <c r="W191" s="104">
        <f t="shared" si="59"/>
        <v>21</v>
      </c>
      <c r="X191" s="104">
        <f t="shared" si="59"/>
        <v>22</v>
      </c>
      <c r="Y191" s="104">
        <f t="shared" si="59"/>
        <v>23</v>
      </c>
      <c r="Z191" s="104">
        <f t="shared" si="59"/>
        <v>24</v>
      </c>
      <c r="AA191" s="104">
        <f t="shared" si="59"/>
        <v>25</v>
      </c>
      <c r="AB191" s="104">
        <f t="shared" si="59"/>
        <v>26</v>
      </c>
      <c r="AC191" s="104">
        <f t="shared" si="59"/>
        <v>27</v>
      </c>
      <c r="AD191" s="104">
        <f t="shared" si="59"/>
        <v>28</v>
      </c>
      <c r="AE191" s="104">
        <f t="shared" si="59"/>
        <v>29</v>
      </c>
      <c r="AF191" s="104">
        <f t="shared" si="59"/>
        <v>30</v>
      </c>
      <c r="AG191" s="104">
        <f t="shared" si="59"/>
        <v>31</v>
      </c>
      <c r="AH191" s="104">
        <f t="shared" si="59"/>
        <v>32</v>
      </c>
      <c r="AI191" s="104">
        <f t="shared" si="59"/>
        <v>33</v>
      </c>
      <c r="AJ191" s="104">
        <f t="shared" si="59"/>
        <v>34</v>
      </c>
      <c r="AK191" s="104">
        <f t="shared" si="59"/>
        <v>35</v>
      </c>
      <c r="AL191" s="104">
        <f t="shared" si="59"/>
        <v>36</v>
      </c>
      <c r="AM191" s="104">
        <f t="shared" si="59"/>
        <v>37</v>
      </c>
      <c r="AN191" s="104">
        <f t="shared" si="59"/>
        <v>38</v>
      </c>
      <c r="AO191" s="104">
        <f t="shared" si="59"/>
        <v>39</v>
      </c>
      <c r="AP191" s="104">
        <f t="shared" si="59"/>
        <v>40</v>
      </c>
      <c r="AQ191" s="104">
        <f t="shared" si="59"/>
        <v>41</v>
      </c>
      <c r="AR191" s="104">
        <f t="shared" si="59"/>
        <v>42</v>
      </c>
      <c r="AS191" s="104">
        <f t="shared" si="59"/>
        <v>43</v>
      </c>
      <c r="AT191" s="104">
        <f t="shared" si="59"/>
        <v>44</v>
      </c>
      <c r="AU191" s="104">
        <f t="shared" si="59"/>
        <v>45</v>
      </c>
      <c r="AV191" s="104">
        <f t="shared" si="59"/>
        <v>46</v>
      </c>
      <c r="AW191" s="104">
        <f t="shared" si="59"/>
        <v>47</v>
      </c>
      <c r="AX191" s="104">
        <f t="shared" si="59"/>
        <v>48</v>
      </c>
      <c r="AY191" s="104">
        <f t="shared" si="59"/>
        <v>49</v>
      </c>
      <c r="AZ191" s="104">
        <f t="shared" si="59"/>
        <v>50</v>
      </c>
      <c r="BA191" s="104">
        <f t="shared" si="59"/>
        <v>51</v>
      </c>
      <c r="BB191" s="104">
        <f t="shared" si="59"/>
        <v>52</v>
      </c>
    </row>
    <row r="192" spans="1:56" x14ac:dyDescent="0.25">
      <c r="B192" s="43" t="str">
        <f>B185</f>
        <v>DownTime A</v>
      </c>
      <c r="C192" s="35">
        <v>0</v>
      </c>
      <c r="D192" s="35">
        <v>0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  <c r="U192" s="35">
        <v>0</v>
      </c>
      <c r="V192" s="35">
        <v>0</v>
      </c>
      <c r="W192" s="35">
        <v>0</v>
      </c>
      <c r="X192" s="35">
        <v>0</v>
      </c>
      <c r="Y192" s="35">
        <v>0</v>
      </c>
      <c r="Z192" s="35">
        <v>0</v>
      </c>
      <c r="AA192" s="35">
        <v>0</v>
      </c>
      <c r="AB192" s="35">
        <v>0</v>
      </c>
      <c r="AC192" s="35">
        <v>0</v>
      </c>
      <c r="AD192" s="35">
        <v>0</v>
      </c>
      <c r="AE192" s="35">
        <v>0</v>
      </c>
      <c r="AF192" s="35">
        <v>0</v>
      </c>
      <c r="AG192" s="35">
        <v>0</v>
      </c>
      <c r="AH192" s="35">
        <v>0</v>
      </c>
      <c r="AI192" s="35">
        <v>0</v>
      </c>
      <c r="AJ192" s="35">
        <v>0</v>
      </c>
      <c r="AK192" s="35">
        <v>0</v>
      </c>
      <c r="AL192" s="35">
        <v>0</v>
      </c>
      <c r="AM192" s="35">
        <v>0</v>
      </c>
      <c r="AN192" s="35">
        <v>0</v>
      </c>
      <c r="AO192" s="35">
        <v>0</v>
      </c>
      <c r="AP192" s="35">
        <v>0</v>
      </c>
      <c r="AQ192" s="35">
        <v>0</v>
      </c>
      <c r="AR192" s="35">
        <v>0</v>
      </c>
      <c r="AS192" s="35">
        <v>0</v>
      </c>
      <c r="AT192" s="35">
        <v>0</v>
      </c>
      <c r="AU192" s="35">
        <v>0</v>
      </c>
      <c r="AV192" s="35">
        <v>0</v>
      </c>
      <c r="AW192" s="35">
        <v>0</v>
      </c>
      <c r="AX192" s="35">
        <v>0</v>
      </c>
      <c r="AY192" s="35">
        <v>0</v>
      </c>
      <c r="AZ192" s="35">
        <v>0</v>
      </c>
      <c r="BA192" s="35">
        <v>0</v>
      </c>
      <c r="BB192" s="35">
        <v>0</v>
      </c>
    </row>
    <row r="193" spans="2:54" x14ac:dyDescent="0.25">
      <c r="B193" s="43" t="str">
        <f t="shared" ref="B193:B197" si="60">B186</f>
        <v>DownTime B</v>
      </c>
      <c r="C193" s="35">
        <v>0.5</v>
      </c>
      <c r="D193" s="35">
        <v>0.3</v>
      </c>
      <c r="E193" s="35">
        <v>0.6</v>
      </c>
      <c r="F193" s="35">
        <v>0.3</v>
      </c>
      <c r="G193" s="35">
        <v>0.4</v>
      </c>
      <c r="H193" s="35">
        <v>0.4</v>
      </c>
      <c r="I193" s="35">
        <v>0.5</v>
      </c>
      <c r="J193" s="35">
        <v>0.3</v>
      </c>
      <c r="K193" s="35">
        <v>0.6</v>
      </c>
      <c r="L193" s="35">
        <v>0.3</v>
      </c>
      <c r="M193" s="35">
        <v>0.4</v>
      </c>
      <c r="N193" s="35">
        <v>0.5</v>
      </c>
      <c r="O193" s="35">
        <v>0.3</v>
      </c>
      <c r="P193" s="35">
        <v>0.6</v>
      </c>
      <c r="Q193" s="35">
        <v>0.3</v>
      </c>
      <c r="R193" s="35">
        <v>0.4</v>
      </c>
      <c r="S193" s="35">
        <v>0.4</v>
      </c>
      <c r="T193" s="35">
        <v>0.5</v>
      </c>
      <c r="U193" s="35">
        <v>0.3</v>
      </c>
      <c r="V193" s="35">
        <v>0.6</v>
      </c>
      <c r="W193" s="35">
        <v>0.3</v>
      </c>
      <c r="X193" s="35">
        <v>0.4</v>
      </c>
      <c r="Y193" s="35">
        <v>0.5</v>
      </c>
      <c r="Z193" s="35">
        <v>0.3</v>
      </c>
      <c r="AA193" s="35">
        <v>0.6</v>
      </c>
      <c r="AB193" s="35">
        <v>0.3</v>
      </c>
      <c r="AC193" s="35">
        <v>0.4</v>
      </c>
      <c r="AD193" s="35">
        <v>0.4</v>
      </c>
      <c r="AE193" s="35">
        <v>0.5</v>
      </c>
      <c r="AF193" s="35">
        <v>0.3</v>
      </c>
      <c r="AG193" s="35">
        <v>0.6</v>
      </c>
      <c r="AH193" s="35">
        <v>0.3</v>
      </c>
      <c r="AI193" s="35">
        <v>0.4</v>
      </c>
      <c r="AJ193" s="35">
        <v>0.4</v>
      </c>
      <c r="AK193" s="35">
        <v>0.4</v>
      </c>
      <c r="AL193" s="35">
        <v>0.5</v>
      </c>
      <c r="AM193" s="35">
        <v>0.3</v>
      </c>
      <c r="AN193" s="35">
        <v>0.4</v>
      </c>
      <c r="AO193" s="35">
        <v>0.5</v>
      </c>
      <c r="AP193" s="35">
        <v>0.3</v>
      </c>
      <c r="AQ193" s="35">
        <v>0.6</v>
      </c>
      <c r="AR193" s="35">
        <v>0.3</v>
      </c>
      <c r="AS193" s="35">
        <v>0.4</v>
      </c>
      <c r="AT193" s="35">
        <v>0.4</v>
      </c>
      <c r="AU193" s="35">
        <v>0.4</v>
      </c>
      <c r="AV193" s="35">
        <v>0.4</v>
      </c>
      <c r="AW193" s="35">
        <v>0.4</v>
      </c>
      <c r="AX193" s="35">
        <v>0.4</v>
      </c>
      <c r="AY193" s="35">
        <v>0.7</v>
      </c>
      <c r="AZ193" s="35">
        <v>0.4</v>
      </c>
      <c r="BA193" s="35">
        <v>0.4</v>
      </c>
      <c r="BB193" s="35">
        <v>0.2</v>
      </c>
    </row>
    <row r="194" spans="2:54" x14ac:dyDescent="0.25">
      <c r="B194" s="43" t="str">
        <f t="shared" si="60"/>
        <v>DownTime C</v>
      </c>
      <c r="C194" s="35">
        <v>0</v>
      </c>
      <c r="D194" s="35">
        <v>0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  <c r="U194" s="35">
        <v>0</v>
      </c>
      <c r="V194" s="35">
        <v>0</v>
      </c>
      <c r="W194" s="35">
        <v>0</v>
      </c>
      <c r="X194" s="35">
        <v>0</v>
      </c>
      <c r="Y194" s="35">
        <v>0</v>
      </c>
      <c r="Z194" s="35">
        <v>0</v>
      </c>
      <c r="AA194" s="35">
        <v>0</v>
      </c>
      <c r="AB194" s="35">
        <v>0</v>
      </c>
      <c r="AC194" s="35">
        <v>0</v>
      </c>
      <c r="AD194" s="35">
        <v>0</v>
      </c>
      <c r="AE194" s="35">
        <v>0</v>
      </c>
      <c r="AF194" s="35">
        <v>0</v>
      </c>
      <c r="AG194" s="35">
        <v>0</v>
      </c>
      <c r="AH194" s="35">
        <v>0</v>
      </c>
      <c r="AI194" s="35">
        <v>0</v>
      </c>
      <c r="AJ194" s="35">
        <v>0</v>
      </c>
      <c r="AK194" s="35">
        <v>0</v>
      </c>
      <c r="AL194" s="35">
        <v>0</v>
      </c>
      <c r="AM194" s="35">
        <v>0</v>
      </c>
      <c r="AN194" s="35">
        <v>0</v>
      </c>
      <c r="AO194" s="35">
        <v>0</v>
      </c>
      <c r="AP194" s="35">
        <v>0</v>
      </c>
      <c r="AQ194" s="35">
        <v>0</v>
      </c>
      <c r="AR194" s="35">
        <v>0</v>
      </c>
      <c r="AS194" s="35">
        <v>0</v>
      </c>
      <c r="AT194" s="35">
        <v>0</v>
      </c>
      <c r="AU194" s="35">
        <v>0</v>
      </c>
      <c r="AV194" s="35">
        <v>0</v>
      </c>
      <c r="AW194" s="35">
        <v>0</v>
      </c>
      <c r="AX194" s="35">
        <v>0</v>
      </c>
      <c r="AY194" s="35">
        <v>0</v>
      </c>
      <c r="AZ194" s="35">
        <v>0</v>
      </c>
      <c r="BA194" s="35">
        <v>0</v>
      </c>
      <c r="BB194" s="35">
        <v>0</v>
      </c>
    </row>
    <row r="195" spans="2:54" x14ac:dyDescent="0.25">
      <c r="B195" s="43" t="str">
        <f t="shared" si="60"/>
        <v>DownTime D</v>
      </c>
      <c r="C195" s="35">
        <v>0</v>
      </c>
      <c r="D195" s="35">
        <v>0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  <c r="U195" s="35">
        <v>0</v>
      </c>
      <c r="V195" s="35">
        <v>0</v>
      </c>
      <c r="W195" s="35">
        <v>0</v>
      </c>
      <c r="X195" s="35">
        <v>0</v>
      </c>
      <c r="Y195" s="35">
        <v>0</v>
      </c>
      <c r="Z195" s="35">
        <v>0</v>
      </c>
      <c r="AA195" s="35">
        <v>0</v>
      </c>
      <c r="AB195" s="35">
        <v>0</v>
      </c>
      <c r="AC195" s="35">
        <v>0</v>
      </c>
      <c r="AD195" s="35">
        <v>0</v>
      </c>
      <c r="AE195" s="35">
        <v>0</v>
      </c>
      <c r="AF195" s="35">
        <v>0</v>
      </c>
      <c r="AG195" s="35">
        <v>0</v>
      </c>
      <c r="AH195" s="35">
        <v>0</v>
      </c>
      <c r="AI195" s="35">
        <v>0</v>
      </c>
      <c r="AJ195" s="35">
        <v>0</v>
      </c>
      <c r="AK195" s="35">
        <v>0</v>
      </c>
      <c r="AL195" s="35">
        <v>0</v>
      </c>
      <c r="AM195" s="35">
        <v>0</v>
      </c>
      <c r="AN195" s="35">
        <v>0</v>
      </c>
      <c r="AO195" s="35">
        <v>0</v>
      </c>
      <c r="AP195" s="35">
        <v>0</v>
      </c>
      <c r="AQ195" s="35">
        <v>0</v>
      </c>
      <c r="AR195" s="35">
        <v>0</v>
      </c>
      <c r="AS195" s="35">
        <v>0</v>
      </c>
      <c r="AT195" s="35">
        <v>0</v>
      </c>
      <c r="AU195" s="35">
        <v>0</v>
      </c>
      <c r="AV195" s="35">
        <v>0</v>
      </c>
      <c r="AW195" s="35">
        <v>0</v>
      </c>
      <c r="AX195" s="35">
        <v>0</v>
      </c>
      <c r="AY195" s="35">
        <v>0</v>
      </c>
      <c r="AZ195" s="35">
        <v>0</v>
      </c>
      <c r="BA195" s="35">
        <v>0</v>
      </c>
      <c r="BB195" s="35">
        <v>0</v>
      </c>
    </row>
    <row r="196" spans="2:54" x14ac:dyDescent="0.25">
      <c r="B196" s="43" t="str">
        <f t="shared" si="60"/>
        <v>DownTime E</v>
      </c>
      <c r="C196" s="35">
        <v>0</v>
      </c>
      <c r="D196" s="35">
        <v>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  <c r="U196" s="35">
        <v>0</v>
      </c>
      <c r="V196" s="35">
        <v>0</v>
      </c>
      <c r="W196" s="35">
        <v>0</v>
      </c>
      <c r="X196" s="35">
        <v>0</v>
      </c>
      <c r="Y196" s="35">
        <v>0</v>
      </c>
      <c r="Z196" s="35">
        <v>0</v>
      </c>
      <c r="AA196" s="35">
        <v>0</v>
      </c>
      <c r="AB196" s="35">
        <v>0</v>
      </c>
      <c r="AC196" s="35">
        <v>0</v>
      </c>
      <c r="AD196" s="35">
        <v>0</v>
      </c>
      <c r="AE196" s="35">
        <v>0</v>
      </c>
      <c r="AF196" s="35">
        <v>0</v>
      </c>
      <c r="AG196" s="35">
        <v>0</v>
      </c>
      <c r="AH196" s="35">
        <v>0</v>
      </c>
      <c r="AI196" s="35">
        <v>0</v>
      </c>
      <c r="AJ196" s="35">
        <v>0</v>
      </c>
      <c r="AK196" s="35">
        <v>0</v>
      </c>
      <c r="AL196" s="35">
        <v>0</v>
      </c>
      <c r="AM196" s="35">
        <v>0</v>
      </c>
      <c r="AN196" s="35">
        <v>0</v>
      </c>
      <c r="AO196" s="35">
        <v>0</v>
      </c>
      <c r="AP196" s="35">
        <v>0</v>
      </c>
      <c r="AQ196" s="35">
        <v>0</v>
      </c>
      <c r="AR196" s="35">
        <v>0</v>
      </c>
      <c r="AS196" s="35">
        <v>0</v>
      </c>
      <c r="AT196" s="35">
        <v>0</v>
      </c>
      <c r="AU196" s="35">
        <v>0</v>
      </c>
      <c r="AV196" s="35">
        <v>0</v>
      </c>
      <c r="AW196" s="35">
        <v>0</v>
      </c>
      <c r="AX196" s="35">
        <v>0</v>
      </c>
      <c r="AY196" s="35">
        <v>0</v>
      </c>
      <c r="AZ196" s="35">
        <v>0</v>
      </c>
      <c r="BA196" s="35">
        <v>0</v>
      </c>
      <c r="BB196" s="35">
        <v>0</v>
      </c>
    </row>
    <row r="197" spans="2:54" x14ac:dyDescent="0.25">
      <c r="B197" s="43" t="str">
        <f t="shared" si="60"/>
        <v>DownTime F</v>
      </c>
      <c r="C197" s="35">
        <v>0</v>
      </c>
      <c r="D197" s="35">
        <v>0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  <c r="U197" s="35">
        <v>0</v>
      </c>
      <c r="V197" s="35">
        <v>0</v>
      </c>
      <c r="W197" s="35">
        <v>0</v>
      </c>
      <c r="X197" s="35">
        <v>0</v>
      </c>
      <c r="Y197" s="35">
        <v>0</v>
      </c>
      <c r="Z197" s="35">
        <v>0</v>
      </c>
      <c r="AA197" s="35">
        <v>0</v>
      </c>
      <c r="AB197" s="35">
        <v>0</v>
      </c>
      <c r="AC197" s="35">
        <v>0</v>
      </c>
      <c r="AD197" s="35">
        <v>0</v>
      </c>
      <c r="AE197" s="35">
        <v>0</v>
      </c>
      <c r="AF197" s="35">
        <v>0</v>
      </c>
      <c r="AG197" s="35">
        <v>0</v>
      </c>
      <c r="AH197" s="35">
        <v>0</v>
      </c>
      <c r="AI197" s="35">
        <v>0</v>
      </c>
      <c r="AJ197" s="35">
        <v>0</v>
      </c>
      <c r="AK197" s="35">
        <v>0</v>
      </c>
      <c r="AL197" s="35">
        <v>0</v>
      </c>
      <c r="AM197" s="35">
        <v>0</v>
      </c>
      <c r="AN197" s="35">
        <v>0</v>
      </c>
      <c r="AO197" s="35">
        <v>0</v>
      </c>
      <c r="AP197" s="35">
        <v>0</v>
      </c>
      <c r="AQ197" s="35">
        <v>0</v>
      </c>
      <c r="AR197" s="35">
        <v>0</v>
      </c>
      <c r="AS197" s="35">
        <v>0</v>
      </c>
      <c r="AT197" s="35">
        <v>0</v>
      </c>
      <c r="AU197" s="35">
        <v>0</v>
      </c>
      <c r="AV197" s="35">
        <v>0</v>
      </c>
      <c r="AW197" s="35">
        <v>0</v>
      </c>
      <c r="AX197" s="35">
        <v>0</v>
      </c>
      <c r="AY197" s="35">
        <v>0</v>
      </c>
      <c r="AZ197" s="35">
        <v>0</v>
      </c>
      <c r="BA197" s="35">
        <v>0</v>
      </c>
      <c r="BB197" s="35">
        <v>0</v>
      </c>
    </row>
    <row r="198" spans="2:54" x14ac:dyDescent="0.25">
      <c r="B198" s="35" t="s">
        <v>242</v>
      </c>
      <c r="C198" s="104">
        <v>1</v>
      </c>
      <c r="D198" s="104">
        <f>C198+1</f>
        <v>2</v>
      </c>
      <c r="E198" s="104">
        <f t="shared" ref="E198:BB198" si="61">D198+1</f>
        <v>3</v>
      </c>
      <c r="F198" s="104">
        <f t="shared" si="61"/>
        <v>4</v>
      </c>
      <c r="G198" s="104">
        <f t="shared" si="61"/>
        <v>5</v>
      </c>
      <c r="H198" s="104">
        <f t="shared" si="61"/>
        <v>6</v>
      </c>
      <c r="I198" s="104">
        <f t="shared" si="61"/>
        <v>7</v>
      </c>
      <c r="J198" s="104">
        <f t="shared" si="61"/>
        <v>8</v>
      </c>
      <c r="K198" s="104">
        <f t="shared" si="61"/>
        <v>9</v>
      </c>
      <c r="L198" s="104">
        <f t="shared" si="61"/>
        <v>10</v>
      </c>
      <c r="M198" s="104">
        <f t="shared" si="61"/>
        <v>11</v>
      </c>
      <c r="N198" s="104">
        <f t="shared" si="61"/>
        <v>12</v>
      </c>
      <c r="O198" s="104">
        <f t="shared" si="61"/>
        <v>13</v>
      </c>
      <c r="P198" s="104">
        <f t="shared" si="61"/>
        <v>14</v>
      </c>
      <c r="Q198" s="104">
        <f t="shared" si="61"/>
        <v>15</v>
      </c>
      <c r="R198" s="104">
        <f t="shared" si="61"/>
        <v>16</v>
      </c>
      <c r="S198" s="104">
        <f t="shared" si="61"/>
        <v>17</v>
      </c>
      <c r="T198" s="104">
        <f t="shared" si="61"/>
        <v>18</v>
      </c>
      <c r="U198" s="104">
        <f t="shared" si="61"/>
        <v>19</v>
      </c>
      <c r="V198" s="104">
        <f t="shared" si="61"/>
        <v>20</v>
      </c>
      <c r="W198" s="104">
        <f t="shared" si="61"/>
        <v>21</v>
      </c>
      <c r="X198" s="104">
        <f t="shared" si="61"/>
        <v>22</v>
      </c>
      <c r="Y198" s="104">
        <f t="shared" si="61"/>
        <v>23</v>
      </c>
      <c r="Z198" s="104">
        <f t="shared" si="61"/>
        <v>24</v>
      </c>
      <c r="AA198" s="104">
        <f t="shared" si="61"/>
        <v>25</v>
      </c>
      <c r="AB198" s="104">
        <f t="shared" si="61"/>
        <v>26</v>
      </c>
      <c r="AC198" s="104">
        <f t="shared" si="61"/>
        <v>27</v>
      </c>
      <c r="AD198" s="104">
        <f t="shared" si="61"/>
        <v>28</v>
      </c>
      <c r="AE198" s="104">
        <f t="shared" si="61"/>
        <v>29</v>
      </c>
      <c r="AF198" s="104">
        <f t="shared" si="61"/>
        <v>30</v>
      </c>
      <c r="AG198" s="104">
        <f t="shared" si="61"/>
        <v>31</v>
      </c>
      <c r="AH198" s="104">
        <f t="shared" si="61"/>
        <v>32</v>
      </c>
      <c r="AI198" s="104">
        <f t="shared" si="61"/>
        <v>33</v>
      </c>
      <c r="AJ198" s="104">
        <f t="shared" si="61"/>
        <v>34</v>
      </c>
      <c r="AK198" s="104">
        <f t="shared" si="61"/>
        <v>35</v>
      </c>
      <c r="AL198" s="104">
        <f t="shared" si="61"/>
        <v>36</v>
      </c>
      <c r="AM198" s="104">
        <f t="shared" si="61"/>
        <v>37</v>
      </c>
      <c r="AN198" s="104">
        <f t="shared" si="61"/>
        <v>38</v>
      </c>
      <c r="AO198" s="104">
        <f t="shared" si="61"/>
        <v>39</v>
      </c>
      <c r="AP198" s="104">
        <f t="shared" si="61"/>
        <v>40</v>
      </c>
      <c r="AQ198" s="104">
        <f t="shared" si="61"/>
        <v>41</v>
      </c>
      <c r="AR198" s="104">
        <f t="shared" si="61"/>
        <v>42</v>
      </c>
      <c r="AS198" s="104">
        <f t="shared" si="61"/>
        <v>43</v>
      </c>
      <c r="AT198" s="104">
        <f t="shared" si="61"/>
        <v>44</v>
      </c>
      <c r="AU198" s="104">
        <f t="shared" si="61"/>
        <v>45</v>
      </c>
      <c r="AV198" s="104">
        <f t="shared" si="61"/>
        <v>46</v>
      </c>
      <c r="AW198" s="104">
        <f t="shared" si="61"/>
        <v>47</v>
      </c>
      <c r="AX198" s="104">
        <f t="shared" si="61"/>
        <v>48</v>
      </c>
      <c r="AY198" s="104">
        <f t="shared" si="61"/>
        <v>49</v>
      </c>
      <c r="AZ198" s="104">
        <f t="shared" si="61"/>
        <v>50</v>
      </c>
      <c r="BA198" s="104">
        <f t="shared" si="61"/>
        <v>51</v>
      </c>
      <c r="BB198" s="104">
        <f t="shared" si="61"/>
        <v>52</v>
      </c>
    </row>
    <row r="199" spans="2:54" x14ac:dyDescent="0.25">
      <c r="B199" s="43" t="str">
        <f>B192</f>
        <v>DownTime A</v>
      </c>
      <c r="C199" s="35">
        <v>0</v>
      </c>
      <c r="D199" s="35">
        <v>0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  <c r="U199" s="35">
        <v>0</v>
      </c>
      <c r="V199" s="35">
        <v>0</v>
      </c>
      <c r="W199" s="35">
        <v>0</v>
      </c>
      <c r="X199" s="35">
        <v>0</v>
      </c>
      <c r="Y199" s="35">
        <v>0</v>
      </c>
      <c r="Z199" s="35">
        <v>0</v>
      </c>
      <c r="AA199" s="35">
        <v>0</v>
      </c>
      <c r="AB199" s="35">
        <v>0</v>
      </c>
      <c r="AC199" s="35">
        <v>0</v>
      </c>
      <c r="AD199" s="35">
        <v>0</v>
      </c>
      <c r="AE199" s="35">
        <v>0</v>
      </c>
      <c r="AF199" s="35">
        <v>0</v>
      </c>
      <c r="AG199" s="35">
        <v>0</v>
      </c>
      <c r="AH199" s="35">
        <v>0</v>
      </c>
      <c r="AI199" s="35">
        <v>0</v>
      </c>
      <c r="AJ199" s="35">
        <v>0</v>
      </c>
      <c r="AK199" s="35">
        <v>0</v>
      </c>
      <c r="AL199" s="35">
        <v>0</v>
      </c>
      <c r="AM199" s="35">
        <v>0</v>
      </c>
      <c r="AN199" s="35">
        <v>0</v>
      </c>
      <c r="AO199" s="35">
        <v>0</v>
      </c>
      <c r="AP199" s="35">
        <v>0</v>
      </c>
      <c r="AQ199" s="35">
        <v>0</v>
      </c>
      <c r="AR199" s="35">
        <v>0</v>
      </c>
      <c r="AS199" s="35">
        <v>0</v>
      </c>
      <c r="AT199" s="35">
        <v>0</v>
      </c>
      <c r="AU199" s="35">
        <v>0</v>
      </c>
      <c r="AV199" s="35">
        <v>0</v>
      </c>
      <c r="AW199" s="35">
        <v>0</v>
      </c>
      <c r="AX199" s="35">
        <v>0</v>
      </c>
      <c r="AY199" s="35">
        <v>0</v>
      </c>
      <c r="AZ199" s="35">
        <v>0</v>
      </c>
      <c r="BA199" s="35">
        <v>0</v>
      </c>
      <c r="BB199" s="35">
        <v>0</v>
      </c>
    </row>
    <row r="200" spans="2:54" x14ac:dyDescent="0.25">
      <c r="B200" s="43" t="str">
        <f t="shared" ref="B200:B204" si="62">B193</f>
        <v>DownTime B</v>
      </c>
      <c r="C200" s="35">
        <v>0</v>
      </c>
      <c r="D200" s="35">
        <v>0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  <c r="U200" s="35">
        <v>0</v>
      </c>
      <c r="V200" s="35">
        <v>0</v>
      </c>
      <c r="W200" s="35">
        <v>0</v>
      </c>
      <c r="X200" s="35">
        <v>0</v>
      </c>
      <c r="Y200" s="35">
        <v>0</v>
      </c>
      <c r="Z200" s="35">
        <v>0</v>
      </c>
      <c r="AA200" s="35">
        <v>0</v>
      </c>
      <c r="AB200" s="35">
        <v>0</v>
      </c>
      <c r="AC200" s="35">
        <v>0</v>
      </c>
      <c r="AD200" s="35">
        <v>0</v>
      </c>
      <c r="AE200" s="35">
        <v>0</v>
      </c>
      <c r="AF200" s="35">
        <v>0</v>
      </c>
      <c r="AG200" s="35">
        <v>0</v>
      </c>
      <c r="AH200" s="35">
        <v>0</v>
      </c>
      <c r="AI200" s="35">
        <v>0</v>
      </c>
      <c r="AJ200" s="35">
        <v>0</v>
      </c>
      <c r="AK200" s="35">
        <v>0</v>
      </c>
      <c r="AL200" s="35">
        <v>0</v>
      </c>
      <c r="AM200" s="35">
        <v>0</v>
      </c>
      <c r="AN200" s="35">
        <v>0</v>
      </c>
      <c r="AO200" s="35">
        <v>0</v>
      </c>
      <c r="AP200" s="35">
        <v>0</v>
      </c>
      <c r="AQ200" s="35">
        <v>0</v>
      </c>
      <c r="AR200" s="35">
        <v>0</v>
      </c>
      <c r="AS200" s="35">
        <v>0</v>
      </c>
      <c r="AT200" s="35">
        <v>0</v>
      </c>
      <c r="AU200" s="35">
        <v>0</v>
      </c>
      <c r="AV200" s="35">
        <v>0</v>
      </c>
      <c r="AW200" s="35">
        <v>0</v>
      </c>
      <c r="AX200" s="35">
        <v>0</v>
      </c>
      <c r="AY200" s="35">
        <v>0</v>
      </c>
      <c r="AZ200" s="35">
        <v>0</v>
      </c>
      <c r="BA200" s="35">
        <v>0</v>
      </c>
      <c r="BB200" s="35">
        <v>0</v>
      </c>
    </row>
    <row r="201" spans="2:54" x14ac:dyDescent="0.25">
      <c r="B201" s="43" t="str">
        <f t="shared" si="62"/>
        <v>DownTime C</v>
      </c>
      <c r="C201" s="35">
        <v>0.4</v>
      </c>
      <c r="D201" s="35">
        <v>0.4</v>
      </c>
      <c r="E201" s="35">
        <v>0.4</v>
      </c>
      <c r="F201" s="35">
        <v>0.4</v>
      </c>
      <c r="G201" s="35">
        <v>0.5</v>
      </c>
      <c r="H201" s="35">
        <v>0.3</v>
      </c>
      <c r="I201" s="35">
        <v>0.6</v>
      </c>
      <c r="J201" s="35">
        <v>0.3</v>
      </c>
      <c r="K201" s="35">
        <v>0.4</v>
      </c>
      <c r="L201" s="35">
        <v>0.4</v>
      </c>
      <c r="M201" s="35">
        <v>0.5</v>
      </c>
      <c r="N201" s="35">
        <v>0.3</v>
      </c>
      <c r="O201" s="35">
        <v>0.6</v>
      </c>
      <c r="P201" s="35">
        <v>0.3</v>
      </c>
      <c r="Q201" s="35">
        <v>0.4</v>
      </c>
      <c r="R201" s="35">
        <v>0.5</v>
      </c>
      <c r="S201" s="35">
        <v>0.3</v>
      </c>
      <c r="T201" s="35">
        <v>0.6</v>
      </c>
      <c r="U201" s="35">
        <v>0.3</v>
      </c>
      <c r="V201" s="35">
        <v>0.4</v>
      </c>
      <c r="W201" s="35">
        <v>0.4</v>
      </c>
      <c r="X201" s="35">
        <v>0.5</v>
      </c>
      <c r="Y201" s="35">
        <v>0.3</v>
      </c>
      <c r="Z201" s="35">
        <v>0.6</v>
      </c>
      <c r="AA201" s="35">
        <v>0.3</v>
      </c>
      <c r="AB201" s="35">
        <v>0.4</v>
      </c>
      <c r="AC201" s="35">
        <v>0.5</v>
      </c>
      <c r="AD201" s="35">
        <v>0.3</v>
      </c>
      <c r="AE201" s="35">
        <v>0.6</v>
      </c>
      <c r="AF201" s="35">
        <v>0.3</v>
      </c>
      <c r="AG201" s="35">
        <v>0.4</v>
      </c>
      <c r="AH201" s="35">
        <v>0.4</v>
      </c>
      <c r="AI201" s="35">
        <v>0.5</v>
      </c>
      <c r="AJ201" s="35">
        <v>0.3</v>
      </c>
      <c r="AK201" s="35">
        <v>0.6</v>
      </c>
      <c r="AL201" s="35">
        <v>0.3</v>
      </c>
      <c r="AM201" s="35">
        <v>0.4</v>
      </c>
      <c r="AN201" s="35">
        <v>0.4</v>
      </c>
      <c r="AO201" s="35">
        <v>0.4</v>
      </c>
      <c r="AP201" s="35">
        <v>0.5</v>
      </c>
      <c r="AQ201" s="35">
        <v>0.3</v>
      </c>
      <c r="AR201" s="35">
        <v>0.4</v>
      </c>
      <c r="AS201" s="35">
        <v>0.5</v>
      </c>
      <c r="AT201" s="35">
        <v>0.3</v>
      </c>
      <c r="AU201" s="35">
        <v>0.6</v>
      </c>
      <c r="AV201" s="35">
        <v>0.3</v>
      </c>
      <c r="AW201" s="35">
        <v>0.4</v>
      </c>
      <c r="AX201" s="35">
        <v>0.4</v>
      </c>
      <c r="AY201" s="35">
        <v>0.4</v>
      </c>
      <c r="AZ201" s="35">
        <v>0.4</v>
      </c>
      <c r="BA201" s="35">
        <v>0.4</v>
      </c>
      <c r="BB201" s="35">
        <v>0.2</v>
      </c>
    </row>
    <row r="202" spans="2:54" x14ac:dyDescent="0.25">
      <c r="B202" s="43" t="str">
        <f t="shared" si="62"/>
        <v>DownTime D</v>
      </c>
      <c r="C202" s="35">
        <v>0</v>
      </c>
      <c r="D202" s="35">
        <v>0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  <c r="U202" s="35">
        <v>0</v>
      </c>
      <c r="V202" s="35">
        <v>0</v>
      </c>
      <c r="W202" s="35">
        <v>0</v>
      </c>
      <c r="X202" s="35">
        <v>0</v>
      </c>
      <c r="Y202" s="35">
        <v>0</v>
      </c>
      <c r="Z202" s="35">
        <v>0</v>
      </c>
      <c r="AA202" s="35">
        <v>0</v>
      </c>
      <c r="AB202" s="35">
        <v>0</v>
      </c>
      <c r="AC202" s="35">
        <v>0</v>
      </c>
      <c r="AD202" s="35">
        <v>0</v>
      </c>
      <c r="AE202" s="35">
        <v>0</v>
      </c>
      <c r="AF202" s="35">
        <v>0</v>
      </c>
      <c r="AG202" s="35">
        <v>0</v>
      </c>
      <c r="AH202" s="35">
        <v>0</v>
      </c>
      <c r="AI202" s="35">
        <v>0</v>
      </c>
      <c r="AJ202" s="35">
        <v>0</v>
      </c>
      <c r="AK202" s="35">
        <v>0</v>
      </c>
      <c r="AL202" s="35">
        <v>0</v>
      </c>
      <c r="AM202" s="35">
        <v>0</v>
      </c>
      <c r="AN202" s="35">
        <v>0</v>
      </c>
      <c r="AO202" s="35">
        <v>0</v>
      </c>
      <c r="AP202" s="35">
        <v>0</v>
      </c>
      <c r="AQ202" s="35">
        <v>0</v>
      </c>
      <c r="AR202" s="35">
        <v>0</v>
      </c>
      <c r="AS202" s="35">
        <v>0</v>
      </c>
      <c r="AT202" s="35">
        <v>0</v>
      </c>
      <c r="AU202" s="35">
        <v>0</v>
      </c>
      <c r="AV202" s="35">
        <v>0</v>
      </c>
      <c r="AW202" s="35">
        <v>0</v>
      </c>
      <c r="AX202" s="35">
        <v>0</v>
      </c>
      <c r="AY202" s="35">
        <v>0</v>
      </c>
      <c r="AZ202" s="35">
        <v>0</v>
      </c>
      <c r="BA202" s="35">
        <v>0</v>
      </c>
      <c r="BB202" s="35">
        <v>0</v>
      </c>
    </row>
    <row r="203" spans="2:54" x14ac:dyDescent="0.25">
      <c r="B203" s="43" t="str">
        <f t="shared" si="62"/>
        <v>DownTime E</v>
      </c>
      <c r="C203" s="35">
        <v>0</v>
      </c>
      <c r="D203" s="35">
        <v>0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  <c r="U203" s="35">
        <v>0</v>
      </c>
      <c r="V203" s="35">
        <v>0</v>
      </c>
      <c r="W203" s="35">
        <v>0</v>
      </c>
      <c r="X203" s="35">
        <v>0</v>
      </c>
      <c r="Y203" s="35">
        <v>0</v>
      </c>
      <c r="Z203" s="35">
        <v>0</v>
      </c>
      <c r="AA203" s="35">
        <v>0</v>
      </c>
      <c r="AB203" s="35">
        <v>0</v>
      </c>
      <c r="AC203" s="35">
        <v>0</v>
      </c>
      <c r="AD203" s="35">
        <v>0</v>
      </c>
      <c r="AE203" s="35">
        <v>0</v>
      </c>
      <c r="AF203" s="35">
        <v>0</v>
      </c>
      <c r="AG203" s="35">
        <v>0</v>
      </c>
      <c r="AH203" s="35">
        <v>0</v>
      </c>
      <c r="AI203" s="35">
        <v>0</v>
      </c>
      <c r="AJ203" s="35">
        <v>0</v>
      </c>
      <c r="AK203" s="35">
        <v>0</v>
      </c>
      <c r="AL203" s="35">
        <v>0</v>
      </c>
      <c r="AM203" s="35">
        <v>0</v>
      </c>
      <c r="AN203" s="35">
        <v>0</v>
      </c>
      <c r="AO203" s="35">
        <v>0</v>
      </c>
      <c r="AP203" s="35">
        <v>0</v>
      </c>
      <c r="AQ203" s="35">
        <v>0</v>
      </c>
      <c r="AR203" s="35">
        <v>0</v>
      </c>
      <c r="AS203" s="35">
        <v>0</v>
      </c>
      <c r="AT203" s="35">
        <v>0</v>
      </c>
      <c r="AU203" s="35">
        <v>0</v>
      </c>
      <c r="AV203" s="35">
        <v>0</v>
      </c>
      <c r="AW203" s="35">
        <v>0</v>
      </c>
      <c r="AX203" s="35">
        <v>0</v>
      </c>
      <c r="AY203" s="35">
        <v>0</v>
      </c>
      <c r="AZ203" s="35">
        <v>0</v>
      </c>
      <c r="BA203" s="35">
        <v>0</v>
      </c>
      <c r="BB203" s="35">
        <v>0</v>
      </c>
    </row>
    <row r="204" spans="2:54" x14ac:dyDescent="0.25">
      <c r="B204" s="43" t="str">
        <f t="shared" si="62"/>
        <v>DownTime F</v>
      </c>
      <c r="C204" s="35">
        <v>0</v>
      </c>
      <c r="D204" s="35">
        <v>0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  <c r="U204" s="35">
        <v>0</v>
      </c>
      <c r="V204" s="35">
        <v>0</v>
      </c>
      <c r="W204" s="35">
        <v>0</v>
      </c>
      <c r="X204" s="35">
        <v>0</v>
      </c>
      <c r="Y204" s="35">
        <v>0</v>
      </c>
      <c r="Z204" s="35">
        <v>0</v>
      </c>
      <c r="AA204" s="35">
        <v>0</v>
      </c>
      <c r="AB204" s="35">
        <v>0</v>
      </c>
      <c r="AC204" s="35">
        <v>0</v>
      </c>
      <c r="AD204" s="35">
        <v>0</v>
      </c>
      <c r="AE204" s="35">
        <v>0</v>
      </c>
      <c r="AF204" s="35">
        <v>0</v>
      </c>
      <c r="AG204" s="35">
        <v>0</v>
      </c>
      <c r="AH204" s="35">
        <v>0</v>
      </c>
      <c r="AI204" s="35">
        <v>0</v>
      </c>
      <c r="AJ204" s="35">
        <v>0</v>
      </c>
      <c r="AK204" s="35">
        <v>0</v>
      </c>
      <c r="AL204" s="35">
        <v>0</v>
      </c>
      <c r="AM204" s="35">
        <v>0</v>
      </c>
      <c r="AN204" s="35">
        <v>0</v>
      </c>
      <c r="AO204" s="35">
        <v>0</v>
      </c>
      <c r="AP204" s="35">
        <v>0</v>
      </c>
      <c r="AQ204" s="35">
        <v>0</v>
      </c>
      <c r="AR204" s="35">
        <v>0</v>
      </c>
      <c r="AS204" s="35">
        <v>0</v>
      </c>
      <c r="AT204" s="35">
        <v>0</v>
      </c>
      <c r="AU204" s="35">
        <v>0</v>
      </c>
      <c r="AV204" s="35">
        <v>0</v>
      </c>
      <c r="AW204" s="35">
        <v>0</v>
      </c>
      <c r="AX204" s="35">
        <v>0</v>
      </c>
      <c r="AY204" s="35">
        <v>0</v>
      </c>
      <c r="AZ204" s="35">
        <v>0</v>
      </c>
      <c r="BA204" s="35">
        <v>0</v>
      </c>
      <c r="BB204" s="35">
        <v>0</v>
      </c>
    </row>
    <row r="205" spans="2:54" x14ac:dyDescent="0.25">
      <c r="B205" s="35" t="s">
        <v>243</v>
      </c>
      <c r="C205" s="104">
        <v>1</v>
      </c>
      <c r="D205" s="104">
        <f>C205+1</f>
        <v>2</v>
      </c>
      <c r="E205" s="104">
        <f t="shared" ref="E205:BB205" si="63">D205+1</f>
        <v>3</v>
      </c>
      <c r="F205" s="104">
        <f t="shared" si="63"/>
        <v>4</v>
      </c>
      <c r="G205" s="104">
        <f t="shared" si="63"/>
        <v>5</v>
      </c>
      <c r="H205" s="104">
        <f t="shared" si="63"/>
        <v>6</v>
      </c>
      <c r="I205" s="104">
        <f t="shared" si="63"/>
        <v>7</v>
      </c>
      <c r="J205" s="104">
        <f t="shared" si="63"/>
        <v>8</v>
      </c>
      <c r="K205" s="104">
        <f t="shared" si="63"/>
        <v>9</v>
      </c>
      <c r="L205" s="104">
        <f t="shared" si="63"/>
        <v>10</v>
      </c>
      <c r="M205" s="104">
        <f t="shared" si="63"/>
        <v>11</v>
      </c>
      <c r="N205" s="104">
        <f t="shared" si="63"/>
        <v>12</v>
      </c>
      <c r="O205" s="104">
        <f t="shared" si="63"/>
        <v>13</v>
      </c>
      <c r="P205" s="104">
        <f t="shared" si="63"/>
        <v>14</v>
      </c>
      <c r="Q205" s="104">
        <f t="shared" si="63"/>
        <v>15</v>
      </c>
      <c r="R205" s="104">
        <f t="shared" si="63"/>
        <v>16</v>
      </c>
      <c r="S205" s="104">
        <f t="shared" si="63"/>
        <v>17</v>
      </c>
      <c r="T205" s="104">
        <f t="shared" si="63"/>
        <v>18</v>
      </c>
      <c r="U205" s="104">
        <f t="shared" si="63"/>
        <v>19</v>
      </c>
      <c r="V205" s="104">
        <f t="shared" si="63"/>
        <v>20</v>
      </c>
      <c r="W205" s="104">
        <f t="shared" si="63"/>
        <v>21</v>
      </c>
      <c r="X205" s="104">
        <f t="shared" si="63"/>
        <v>22</v>
      </c>
      <c r="Y205" s="104">
        <f t="shared" si="63"/>
        <v>23</v>
      </c>
      <c r="Z205" s="104">
        <f t="shared" si="63"/>
        <v>24</v>
      </c>
      <c r="AA205" s="104">
        <f t="shared" si="63"/>
        <v>25</v>
      </c>
      <c r="AB205" s="104">
        <f t="shared" si="63"/>
        <v>26</v>
      </c>
      <c r="AC205" s="104">
        <f t="shared" si="63"/>
        <v>27</v>
      </c>
      <c r="AD205" s="104">
        <f t="shared" si="63"/>
        <v>28</v>
      </c>
      <c r="AE205" s="104">
        <f t="shared" si="63"/>
        <v>29</v>
      </c>
      <c r="AF205" s="104">
        <f t="shared" si="63"/>
        <v>30</v>
      </c>
      <c r="AG205" s="104">
        <f t="shared" si="63"/>
        <v>31</v>
      </c>
      <c r="AH205" s="104">
        <f t="shared" si="63"/>
        <v>32</v>
      </c>
      <c r="AI205" s="104">
        <f t="shared" si="63"/>
        <v>33</v>
      </c>
      <c r="AJ205" s="104">
        <f t="shared" si="63"/>
        <v>34</v>
      </c>
      <c r="AK205" s="104">
        <f t="shared" si="63"/>
        <v>35</v>
      </c>
      <c r="AL205" s="104">
        <f t="shared" si="63"/>
        <v>36</v>
      </c>
      <c r="AM205" s="104">
        <f t="shared" si="63"/>
        <v>37</v>
      </c>
      <c r="AN205" s="104">
        <f t="shared" si="63"/>
        <v>38</v>
      </c>
      <c r="AO205" s="104">
        <f t="shared" si="63"/>
        <v>39</v>
      </c>
      <c r="AP205" s="104">
        <f t="shared" si="63"/>
        <v>40</v>
      </c>
      <c r="AQ205" s="104">
        <f t="shared" si="63"/>
        <v>41</v>
      </c>
      <c r="AR205" s="104">
        <f t="shared" si="63"/>
        <v>42</v>
      </c>
      <c r="AS205" s="104">
        <f t="shared" si="63"/>
        <v>43</v>
      </c>
      <c r="AT205" s="104">
        <f t="shared" si="63"/>
        <v>44</v>
      </c>
      <c r="AU205" s="104">
        <f t="shared" si="63"/>
        <v>45</v>
      </c>
      <c r="AV205" s="104">
        <f t="shared" si="63"/>
        <v>46</v>
      </c>
      <c r="AW205" s="104">
        <f t="shared" si="63"/>
        <v>47</v>
      </c>
      <c r="AX205" s="104">
        <f t="shared" si="63"/>
        <v>48</v>
      </c>
      <c r="AY205" s="104">
        <f t="shared" si="63"/>
        <v>49</v>
      </c>
      <c r="AZ205" s="104">
        <f t="shared" si="63"/>
        <v>50</v>
      </c>
      <c r="BA205" s="104">
        <f t="shared" si="63"/>
        <v>51</v>
      </c>
      <c r="BB205" s="104">
        <f t="shared" si="63"/>
        <v>52</v>
      </c>
    </row>
    <row r="206" spans="2:54" x14ac:dyDescent="0.25">
      <c r="B206" s="43" t="str">
        <f>B199</f>
        <v>DownTime A</v>
      </c>
      <c r="C206" s="35">
        <v>0</v>
      </c>
      <c r="D206" s="35">
        <v>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  <c r="U206" s="35">
        <v>0</v>
      </c>
      <c r="V206" s="35">
        <v>0</v>
      </c>
      <c r="W206" s="35">
        <v>0</v>
      </c>
      <c r="X206" s="35">
        <v>0</v>
      </c>
      <c r="Y206" s="35">
        <v>0</v>
      </c>
      <c r="Z206" s="35">
        <v>0</v>
      </c>
      <c r="AA206" s="35">
        <v>0</v>
      </c>
      <c r="AB206" s="35">
        <v>0</v>
      </c>
      <c r="AC206" s="35">
        <v>0</v>
      </c>
      <c r="AD206" s="35">
        <v>0</v>
      </c>
      <c r="AE206" s="35">
        <v>0</v>
      </c>
      <c r="AF206" s="35">
        <v>0</v>
      </c>
      <c r="AG206" s="35">
        <v>0</v>
      </c>
      <c r="AH206" s="35">
        <v>0</v>
      </c>
      <c r="AI206" s="35">
        <v>0</v>
      </c>
      <c r="AJ206" s="35">
        <v>0</v>
      </c>
      <c r="AK206" s="35">
        <v>0</v>
      </c>
      <c r="AL206" s="35">
        <v>0</v>
      </c>
      <c r="AM206" s="35">
        <v>0</v>
      </c>
      <c r="AN206" s="35">
        <v>0</v>
      </c>
      <c r="AO206" s="35">
        <v>0</v>
      </c>
      <c r="AP206" s="35">
        <v>0</v>
      </c>
      <c r="AQ206" s="35">
        <v>0</v>
      </c>
      <c r="AR206" s="35">
        <v>0</v>
      </c>
      <c r="AS206" s="35">
        <v>0</v>
      </c>
      <c r="AT206" s="35">
        <v>0</v>
      </c>
      <c r="AU206" s="35">
        <v>0</v>
      </c>
      <c r="AV206" s="35">
        <v>0</v>
      </c>
      <c r="AW206" s="35">
        <v>0</v>
      </c>
      <c r="AX206" s="35">
        <v>0</v>
      </c>
      <c r="AY206" s="35">
        <v>0</v>
      </c>
      <c r="AZ206" s="35">
        <v>0</v>
      </c>
      <c r="BA206" s="35">
        <v>0</v>
      </c>
      <c r="BB206" s="35">
        <v>0</v>
      </c>
    </row>
    <row r="207" spans="2:54" x14ac:dyDescent="0.25">
      <c r="B207" s="43" t="str">
        <f t="shared" ref="B207:B211" si="64">B200</f>
        <v>DownTime B</v>
      </c>
      <c r="C207" s="35">
        <v>0</v>
      </c>
      <c r="D207" s="35">
        <v>0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  <c r="U207" s="35">
        <v>0</v>
      </c>
      <c r="V207" s="35">
        <v>0</v>
      </c>
      <c r="W207" s="35">
        <v>0</v>
      </c>
      <c r="X207" s="35">
        <v>0</v>
      </c>
      <c r="Y207" s="35">
        <v>0</v>
      </c>
      <c r="Z207" s="35">
        <v>0</v>
      </c>
      <c r="AA207" s="35">
        <v>0</v>
      </c>
      <c r="AB207" s="35">
        <v>0</v>
      </c>
      <c r="AC207" s="35">
        <v>0</v>
      </c>
      <c r="AD207" s="35">
        <v>0</v>
      </c>
      <c r="AE207" s="35">
        <v>0</v>
      </c>
      <c r="AF207" s="35">
        <v>0</v>
      </c>
      <c r="AG207" s="35">
        <v>0</v>
      </c>
      <c r="AH207" s="35">
        <v>0</v>
      </c>
      <c r="AI207" s="35">
        <v>0</v>
      </c>
      <c r="AJ207" s="35">
        <v>0</v>
      </c>
      <c r="AK207" s="35">
        <v>0</v>
      </c>
      <c r="AL207" s="35">
        <v>0</v>
      </c>
      <c r="AM207" s="35">
        <v>0</v>
      </c>
      <c r="AN207" s="35">
        <v>0</v>
      </c>
      <c r="AO207" s="35">
        <v>0</v>
      </c>
      <c r="AP207" s="35">
        <v>0</v>
      </c>
      <c r="AQ207" s="35">
        <v>0</v>
      </c>
      <c r="AR207" s="35">
        <v>0</v>
      </c>
      <c r="AS207" s="35">
        <v>0</v>
      </c>
      <c r="AT207" s="35">
        <v>0</v>
      </c>
      <c r="AU207" s="35">
        <v>0</v>
      </c>
      <c r="AV207" s="35">
        <v>0</v>
      </c>
      <c r="AW207" s="35">
        <v>0</v>
      </c>
      <c r="AX207" s="35">
        <v>0</v>
      </c>
      <c r="AY207" s="35">
        <v>0</v>
      </c>
      <c r="AZ207" s="35">
        <v>0</v>
      </c>
      <c r="BA207" s="35">
        <v>0</v>
      </c>
      <c r="BB207" s="35">
        <v>0</v>
      </c>
    </row>
    <row r="208" spans="2:54" x14ac:dyDescent="0.25">
      <c r="B208" s="43" t="str">
        <f t="shared" si="64"/>
        <v>DownTime C</v>
      </c>
      <c r="C208" s="35">
        <v>0</v>
      </c>
      <c r="D208" s="35">
        <v>0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  <c r="U208" s="35">
        <v>0</v>
      </c>
      <c r="V208" s="35">
        <v>0</v>
      </c>
      <c r="W208" s="35">
        <v>0</v>
      </c>
      <c r="X208" s="35">
        <v>0</v>
      </c>
      <c r="Y208" s="35">
        <v>0</v>
      </c>
      <c r="Z208" s="35">
        <v>0</v>
      </c>
      <c r="AA208" s="35">
        <v>0</v>
      </c>
      <c r="AB208" s="35">
        <v>0</v>
      </c>
      <c r="AC208" s="35">
        <v>0</v>
      </c>
      <c r="AD208" s="35">
        <v>0</v>
      </c>
      <c r="AE208" s="35">
        <v>0</v>
      </c>
      <c r="AF208" s="35">
        <v>0</v>
      </c>
      <c r="AG208" s="35">
        <v>0</v>
      </c>
      <c r="AH208" s="35">
        <v>0</v>
      </c>
      <c r="AI208" s="35">
        <v>0</v>
      </c>
      <c r="AJ208" s="35">
        <v>0</v>
      </c>
      <c r="AK208" s="35">
        <v>0</v>
      </c>
      <c r="AL208" s="35">
        <v>0</v>
      </c>
      <c r="AM208" s="35">
        <v>0</v>
      </c>
      <c r="AN208" s="35">
        <v>0</v>
      </c>
      <c r="AO208" s="35">
        <v>0</v>
      </c>
      <c r="AP208" s="35">
        <v>0</v>
      </c>
      <c r="AQ208" s="35">
        <v>0</v>
      </c>
      <c r="AR208" s="35">
        <v>0</v>
      </c>
      <c r="AS208" s="35">
        <v>0</v>
      </c>
      <c r="AT208" s="35">
        <v>0</v>
      </c>
      <c r="AU208" s="35">
        <v>0</v>
      </c>
      <c r="AV208" s="35">
        <v>0</v>
      </c>
      <c r="AW208" s="35">
        <v>0</v>
      </c>
      <c r="AX208" s="35">
        <v>0</v>
      </c>
      <c r="AY208" s="35">
        <v>0</v>
      </c>
      <c r="AZ208" s="35">
        <v>0</v>
      </c>
      <c r="BA208" s="35">
        <v>0</v>
      </c>
      <c r="BB208" s="35">
        <v>0</v>
      </c>
    </row>
    <row r="209" spans="2:54" x14ac:dyDescent="0.25">
      <c r="B209" s="43" t="str">
        <f t="shared" si="64"/>
        <v>DownTime D</v>
      </c>
      <c r="C209" s="35">
        <v>0.5</v>
      </c>
      <c r="D209" s="35">
        <v>0.3</v>
      </c>
      <c r="E209" s="35">
        <v>0.6</v>
      </c>
      <c r="F209" s="35">
        <v>0.3</v>
      </c>
      <c r="G209" s="35">
        <v>0.4</v>
      </c>
      <c r="H209" s="35">
        <v>0.4</v>
      </c>
      <c r="I209" s="35">
        <v>0.5</v>
      </c>
      <c r="J209" s="35">
        <v>0.3</v>
      </c>
      <c r="K209" s="35">
        <v>0.6</v>
      </c>
      <c r="L209" s="35">
        <v>0.3</v>
      </c>
      <c r="M209" s="35">
        <v>0.4</v>
      </c>
      <c r="N209" s="35">
        <v>0.5</v>
      </c>
      <c r="O209" s="35">
        <v>0.3</v>
      </c>
      <c r="P209" s="35">
        <v>0.6</v>
      </c>
      <c r="Q209" s="35">
        <v>0.3</v>
      </c>
      <c r="R209" s="35">
        <v>0.4</v>
      </c>
      <c r="S209" s="35">
        <v>0.4</v>
      </c>
      <c r="T209" s="35">
        <v>0.5</v>
      </c>
      <c r="U209" s="35">
        <v>0.3</v>
      </c>
      <c r="V209" s="35">
        <v>0.6</v>
      </c>
      <c r="W209" s="35">
        <v>0.3</v>
      </c>
      <c r="X209" s="35">
        <v>0.4</v>
      </c>
      <c r="Y209" s="35">
        <v>0.5</v>
      </c>
      <c r="Z209" s="35">
        <v>0.3</v>
      </c>
      <c r="AA209" s="35">
        <v>0.6</v>
      </c>
      <c r="AB209" s="35">
        <v>0.3</v>
      </c>
      <c r="AC209" s="35">
        <v>0.4</v>
      </c>
      <c r="AD209" s="35">
        <v>0.4</v>
      </c>
      <c r="AE209" s="35">
        <v>0.5</v>
      </c>
      <c r="AF209" s="35">
        <v>0.3</v>
      </c>
      <c r="AG209" s="35">
        <v>0.6</v>
      </c>
      <c r="AH209" s="35">
        <v>0.3</v>
      </c>
      <c r="AI209" s="35">
        <v>0.4</v>
      </c>
      <c r="AJ209" s="35">
        <v>0.4</v>
      </c>
      <c r="AK209" s="35">
        <v>0.4</v>
      </c>
      <c r="AL209" s="35">
        <v>0.5</v>
      </c>
      <c r="AM209" s="35">
        <v>0.3</v>
      </c>
      <c r="AN209" s="35">
        <v>0.4</v>
      </c>
      <c r="AO209" s="35">
        <v>0.5</v>
      </c>
      <c r="AP209" s="35">
        <v>0.3</v>
      </c>
      <c r="AQ209" s="35">
        <v>0.6</v>
      </c>
      <c r="AR209" s="35">
        <v>0.3</v>
      </c>
      <c r="AS209" s="35">
        <v>0.4</v>
      </c>
      <c r="AT209" s="35">
        <v>0.4</v>
      </c>
      <c r="AU209" s="35">
        <v>0.4</v>
      </c>
      <c r="AV209" s="35">
        <v>0.4</v>
      </c>
      <c r="AW209" s="35">
        <v>0.4</v>
      </c>
      <c r="AX209" s="35">
        <v>0.6</v>
      </c>
      <c r="AY209" s="35">
        <v>0.4</v>
      </c>
      <c r="AZ209" s="35">
        <v>0.4</v>
      </c>
      <c r="BA209" s="35">
        <v>0.4</v>
      </c>
      <c r="BB209" s="35">
        <v>0.2</v>
      </c>
    </row>
    <row r="210" spans="2:54" x14ac:dyDescent="0.25">
      <c r="B210" s="43" t="str">
        <f t="shared" si="64"/>
        <v>DownTime E</v>
      </c>
      <c r="C210" s="35">
        <v>0</v>
      </c>
      <c r="D210" s="35">
        <v>0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  <c r="U210" s="35">
        <v>0</v>
      </c>
      <c r="V210" s="35">
        <v>0</v>
      </c>
      <c r="W210" s="35">
        <v>0</v>
      </c>
      <c r="X210" s="35">
        <v>0</v>
      </c>
      <c r="Y210" s="35">
        <v>0</v>
      </c>
      <c r="Z210" s="35">
        <v>0</v>
      </c>
      <c r="AA210" s="35">
        <v>0</v>
      </c>
      <c r="AB210" s="35">
        <v>0</v>
      </c>
      <c r="AC210" s="35">
        <v>0</v>
      </c>
      <c r="AD210" s="35">
        <v>0</v>
      </c>
      <c r="AE210" s="35">
        <v>0</v>
      </c>
      <c r="AF210" s="35">
        <v>0</v>
      </c>
      <c r="AG210" s="35">
        <v>0</v>
      </c>
      <c r="AH210" s="35">
        <v>0</v>
      </c>
      <c r="AI210" s="35">
        <v>0</v>
      </c>
      <c r="AJ210" s="35">
        <v>0</v>
      </c>
      <c r="AK210" s="35">
        <v>0</v>
      </c>
      <c r="AL210" s="35">
        <v>0</v>
      </c>
      <c r="AM210" s="35">
        <v>0</v>
      </c>
      <c r="AN210" s="35">
        <v>0</v>
      </c>
      <c r="AO210" s="35">
        <v>0</v>
      </c>
      <c r="AP210" s="35">
        <v>0</v>
      </c>
      <c r="AQ210" s="35">
        <v>0</v>
      </c>
      <c r="AR210" s="35">
        <v>0</v>
      </c>
      <c r="AS210" s="35">
        <v>0</v>
      </c>
      <c r="AT210" s="35">
        <v>0</v>
      </c>
      <c r="AU210" s="35">
        <v>0</v>
      </c>
      <c r="AV210" s="35">
        <v>0</v>
      </c>
      <c r="AW210" s="35">
        <v>0</v>
      </c>
      <c r="AX210" s="35">
        <v>0</v>
      </c>
      <c r="AY210" s="35">
        <v>0</v>
      </c>
      <c r="AZ210" s="35">
        <v>0</v>
      </c>
      <c r="BA210" s="35">
        <v>0</v>
      </c>
      <c r="BB210" s="35">
        <v>0</v>
      </c>
    </row>
    <row r="211" spans="2:54" x14ac:dyDescent="0.25">
      <c r="B211" s="43" t="str">
        <f t="shared" si="64"/>
        <v>DownTime F</v>
      </c>
      <c r="C211" s="35">
        <v>0</v>
      </c>
      <c r="D211" s="35">
        <v>0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  <c r="U211" s="35">
        <v>0</v>
      </c>
      <c r="V211" s="35">
        <v>0</v>
      </c>
      <c r="W211" s="35">
        <v>0</v>
      </c>
      <c r="X211" s="35">
        <v>0</v>
      </c>
      <c r="Y211" s="35">
        <v>0</v>
      </c>
      <c r="Z211" s="35">
        <v>0</v>
      </c>
      <c r="AA211" s="35">
        <v>0</v>
      </c>
      <c r="AB211" s="35">
        <v>0</v>
      </c>
      <c r="AC211" s="35">
        <v>0</v>
      </c>
      <c r="AD211" s="35">
        <v>0</v>
      </c>
      <c r="AE211" s="35">
        <v>0</v>
      </c>
      <c r="AF211" s="35">
        <v>0</v>
      </c>
      <c r="AG211" s="35">
        <v>0</v>
      </c>
      <c r="AH211" s="35">
        <v>0</v>
      </c>
      <c r="AI211" s="35">
        <v>0</v>
      </c>
      <c r="AJ211" s="35">
        <v>0</v>
      </c>
      <c r="AK211" s="35">
        <v>0</v>
      </c>
      <c r="AL211" s="35">
        <v>0</v>
      </c>
      <c r="AM211" s="35">
        <v>0</v>
      </c>
      <c r="AN211" s="35">
        <v>0</v>
      </c>
      <c r="AO211" s="35">
        <v>0</v>
      </c>
      <c r="AP211" s="35">
        <v>0</v>
      </c>
      <c r="AQ211" s="35">
        <v>0</v>
      </c>
      <c r="AR211" s="35">
        <v>0</v>
      </c>
      <c r="AS211" s="35">
        <v>0</v>
      </c>
      <c r="AT211" s="35">
        <v>0</v>
      </c>
      <c r="AU211" s="35">
        <v>0</v>
      </c>
      <c r="AV211" s="35">
        <v>0</v>
      </c>
      <c r="AW211" s="35">
        <v>0</v>
      </c>
      <c r="AX211" s="35">
        <v>0</v>
      </c>
      <c r="AY211" s="35">
        <v>0</v>
      </c>
      <c r="AZ211" s="35">
        <v>0</v>
      </c>
      <c r="BA211" s="35">
        <v>0</v>
      </c>
      <c r="BB211" s="35">
        <v>0</v>
      </c>
    </row>
    <row r="212" spans="2:54" x14ac:dyDescent="0.25">
      <c r="B212" s="35" t="s">
        <v>244</v>
      </c>
      <c r="C212" s="104">
        <v>1</v>
      </c>
      <c r="D212" s="104">
        <f>C212+1</f>
        <v>2</v>
      </c>
      <c r="E212" s="104">
        <f t="shared" ref="E212:BB212" si="65">D212+1</f>
        <v>3</v>
      </c>
      <c r="F212" s="104">
        <f t="shared" si="65"/>
        <v>4</v>
      </c>
      <c r="G212" s="104">
        <f t="shared" si="65"/>
        <v>5</v>
      </c>
      <c r="H212" s="104">
        <f t="shared" si="65"/>
        <v>6</v>
      </c>
      <c r="I212" s="104">
        <f t="shared" si="65"/>
        <v>7</v>
      </c>
      <c r="J212" s="104">
        <f t="shared" si="65"/>
        <v>8</v>
      </c>
      <c r="K212" s="104">
        <f t="shared" si="65"/>
        <v>9</v>
      </c>
      <c r="L212" s="104">
        <f t="shared" si="65"/>
        <v>10</v>
      </c>
      <c r="M212" s="104">
        <f t="shared" si="65"/>
        <v>11</v>
      </c>
      <c r="N212" s="104">
        <f t="shared" si="65"/>
        <v>12</v>
      </c>
      <c r="O212" s="104">
        <f t="shared" si="65"/>
        <v>13</v>
      </c>
      <c r="P212" s="104">
        <f t="shared" si="65"/>
        <v>14</v>
      </c>
      <c r="Q212" s="104">
        <f t="shared" si="65"/>
        <v>15</v>
      </c>
      <c r="R212" s="104">
        <f t="shared" si="65"/>
        <v>16</v>
      </c>
      <c r="S212" s="104">
        <f t="shared" si="65"/>
        <v>17</v>
      </c>
      <c r="T212" s="104">
        <f t="shared" si="65"/>
        <v>18</v>
      </c>
      <c r="U212" s="104">
        <f t="shared" si="65"/>
        <v>19</v>
      </c>
      <c r="V212" s="104">
        <f t="shared" si="65"/>
        <v>20</v>
      </c>
      <c r="W212" s="104">
        <f t="shared" si="65"/>
        <v>21</v>
      </c>
      <c r="X212" s="104">
        <f t="shared" si="65"/>
        <v>22</v>
      </c>
      <c r="Y212" s="104">
        <f t="shared" si="65"/>
        <v>23</v>
      </c>
      <c r="Z212" s="104">
        <f t="shared" si="65"/>
        <v>24</v>
      </c>
      <c r="AA212" s="104">
        <f t="shared" si="65"/>
        <v>25</v>
      </c>
      <c r="AB212" s="104">
        <f t="shared" si="65"/>
        <v>26</v>
      </c>
      <c r="AC212" s="104">
        <f t="shared" si="65"/>
        <v>27</v>
      </c>
      <c r="AD212" s="104">
        <f t="shared" si="65"/>
        <v>28</v>
      </c>
      <c r="AE212" s="104">
        <f t="shared" si="65"/>
        <v>29</v>
      </c>
      <c r="AF212" s="104">
        <f t="shared" si="65"/>
        <v>30</v>
      </c>
      <c r="AG212" s="104">
        <f t="shared" si="65"/>
        <v>31</v>
      </c>
      <c r="AH212" s="104">
        <f t="shared" si="65"/>
        <v>32</v>
      </c>
      <c r="AI212" s="104">
        <f t="shared" si="65"/>
        <v>33</v>
      </c>
      <c r="AJ212" s="104">
        <f t="shared" si="65"/>
        <v>34</v>
      </c>
      <c r="AK212" s="104">
        <f t="shared" si="65"/>
        <v>35</v>
      </c>
      <c r="AL212" s="104">
        <f t="shared" si="65"/>
        <v>36</v>
      </c>
      <c r="AM212" s="104">
        <f t="shared" si="65"/>
        <v>37</v>
      </c>
      <c r="AN212" s="104">
        <f t="shared" si="65"/>
        <v>38</v>
      </c>
      <c r="AO212" s="104">
        <f t="shared" si="65"/>
        <v>39</v>
      </c>
      <c r="AP212" s="104">
        <f t="shared" si="65"/>
        <v>40</v>
      </c>
      <c r="AQ212" s="104">
        <f t="shared" si="65"/>
        <v>41</v>
      </c>
      <c r="AR212" s="104">
        <f t="shared" si="65"/>
        <v>42</v>
      </c>
      <c r="AS212" s="104">
        <f t="shared" si="65"/>
        <v>43</v>
      </c>
      <c r="AT212" s="104">
        <f t="shared" si="65"/>
        <v>44</v>
      </c>
      <c r="AU212" s="104">
        <f t="shared" si="65"/>
        <v>45</v>
      </c>
      <c r="AV212" s="104">
        <f t="shared" si="65"/>
        <v>46</v>
      </c>
      <c r="AW212" s="104">
        <f t="shared" si="65"/>
        <v>47</v>
      </c>
      <c r="AX212" s="104">
        <f t="shared" si="65"/>
        <v>48</v>
      </c>
      <c r="AY212" s="104">
        <f t="shared" si="65"/>
        <v>49</v>
      </c>
      <c r="AZ212" s="104">
        <f t="shared" si="65"/>
        <v>50</v>
      </c>
      <c r="BA212" s="104">
        <f t="shared" si="65"/>
        <v>51</v>
      </c>
      <c r="BB212" s="104">
        <f t="shared" si="65"/>
        <v>52</v>
      </c>
    </row>
    <row r="213" spans="2:54" x14ac:dyDescent="0.25">
      <c r="B213" s="43" t="str">
        <f>B206</f>
        <v>DownTime A</v>
      </c>
      <c r="C213" s="35">
        <v>0</v>
      </c>
      <c r="D213" s="35">
        <v>0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  <c r="U213" s="35">
        <v>0</v>
      </c>
      <c r="V213" s="35">
        <v>0</v>
      </c>
      <c r="W213" s="35">
        <v>0</v>
      </c>
      <c r="X213" s="35">
        <v>0</v>
      </c>
      <c r="Y213" s="35">
        <v>0</v>
      </c>
      <c r="Z213" s="35">
        <v>0</v>
      </c>
      <c r="AA213" s="35">
        <v>0</v>
      </c>
      <c r="AB213" s="35">
        <v>0</v>
      </c>
      <c r="AC213" s="35">
        <v>0</v>
      </c>
      <c r="AD213" s="35">
        <v>0</v>
      </c>
      <c r="AE213" s="35">
        <v>0</v>
      </c>
      <c r="AF213" s="35">
        <v>0</v>
      </c>
      <c r="AG213" s="35">
        <v>0</v>
      </c>
      <c r="AH213" s="35">
        <v>0</v>
      </c>
      <c r="AI213" s="35">
        <v>0</v>
      </c>
      <c r="AJ213" s="35">
        <v>0</v>
      </c>
      <c r="AK213" s="35">
        <v>0</v>
      </c>
      <c r="AL213" s="35">
        <v>0</v>
      </c>
      <c r="AM213" s="35">
        <v>0</v>
      </c>
      <c r="AN213" s="35">
        <v>0</v>
      </c>
      <c r="AO213" s="35">
        <v>0</v>
      </c>
      <c r="AP213" s="35">
        <v>0</v>
      </c>
      <c r="AQ213" s="35">
        <v>0</v>
      </c>
      <c r="AR213" s="35">
        <v>0</v>
      </c>
      <c r="AS213" s="35">
        <v>0</v>
      </c>
      <c r="AT213" s="35">
        <v>0</v>
      </c>
      <c r="AU213" s="35">
        <v>0</v>
      </c>
      <c r="AV213" s="35">
        <v>0</v>
      </c>
      <c r="AW213" s="35">
        <v>0</v>
      </c>
      <c r="AX213" s="35">
        <v>0</v>
      </c>
      <c r="AY213" s="35">
        <v>0</v>
      </c>
      <c r="AZ213" s="35">
        <v>0</v>
      </c>
      <c r="BA213" s="35">
        <v>0</v>
      </c>
      <c r="BB213" s="35">
        <v>0</v>
      </c>
    </row>
    <row r="214" spans="2:54" x14ac:dyDescent="0.25">
      <c r="B214" s="43" t="str">
        <f t="shared" ref="B214:B218" si="66">B207</f>
        <v>DownTime B</v>
      </c>
      <c r="C214" s="35">
        <v>0</v>
      </c>
      <c r="D214" s="35">
        <v>0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  <c r="U214" s="35">
        <v>0</v>
      </c>
      <c r="V214" s="35">
        <v>0</v>
      </c>
      <c r="W214" s="35">
        <v>0</v>
      </c>
      <c r="X214" s="35">
        <v>0</v>
      </c>
      <c r="Y214" s="35">
        <v>0</v>
      </c>
      <c r="Z214" s="35">
        <v>0</v>
      </c>
      <c r="AA214" s="35">
        <v>0</v>
      </c>
      <c r="AB214" s="35">
        <v>0</v>
      </c>
      <c r="AC214" s="35">
        <v>0</v>
      </c>
      <c r="AD214" s="35">
        <v>0</v>
      </c>
      <c r="AE214" s="35">
        <v>0</v>
      </c>
      <c r="AF214" s="35">
        <v>0</v>
      </c>
      <c r="AG214" s="35">
        <v>0</v>
      </c>
      <c r="AH214" s="35">
        <v>0</v>
      </c>
      <c r="AI214" s="35">
        <v>0</v>
      </c>
      <c r="AJ214" s="35">
        <v>0</v>
      </c>
      <c r="AK214" s="35">
        <v>0</v>
      </c>
      <c r="AL214" s="35">
        <v>0</v>
      </c>
      <c r="AM214" s="35">
        <v>0</v>
      </c>
      <c r="AN214" s="35">
        <v>0</v>
      </c>
      <c r="AO214" s="35">
        <v>0</v>
      </c>
      <c r="AP214" s="35">
        <v>0</v>
      </c>
      <c r="AQ214" s="35">
        <v>0</v>
      </c>
      <c r="AR214" s="35">
        <v>0</v>
      </c>
      <c r="AS214" s="35">
        <v>0</v>
      </c>
      <c r="AT214" s="35">
        <v>0</v>
      </c>
      <c r="AU214" s="35">
        <v>0</v>
      </c>
      <c r="AV214" s="35">
        <v>0</v>
      </c>
      <c r="AW214" s="35">
        <v>0</v>
      </c>
      <c r="AX214" s="35">
        <v>0</v>
      </c>
      <c r="AY214" s="35">
        <v>0</v>
      </c>
      <c r="AZ214" s="35">
        <v>0</v>
      </c>
      <c r="BA214" s="35">
        <v>0</v>
      </c>
      <c r="BB214" s="35">
        <v>0</v>
      </c>
    </row>
    <row r="215" spans="2:54" x14ac:dyDescent="0.25">
      <c r="B215" s="43" t="str">
        <f t="shared" si="66"/>
        <v>DownTime C</v>
      </c>
      <c r="C215" s="35">
        <v>0</v>
      </c>
      <c r="D215" s="35">
        <v>0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  <c r="U215" s="35">
        <v>0</v>
      </c>
      <c r="V215" s="35">
        <v>0</v>
      </c>
      <c r="W215" s="35">
        <v>0</v>
      </c>
      <c r="X215" s="35">
        <v>0</v>
      </c>
      <c r="Y215" s="35">
        <v>0</v>
      </c>
      <c r="Z215" s="35">
        <v>0</v>
      </c>
      <c r="AA215" s="35">
        <v>0</v>
      </c>
      <c r="AB215" s="35">
        <v>0</v>
      </c>
      <c r="AC215" s="35">
        <v>0</v>
      </c>
      <c r="AD215" s="35">
        <v>0</v>
      </c>
      <c r="AE215" s="35">
        <v>0</v>
      </c>
      <c r="AF215" s="35">
        <v>0</v>
      </c>
      <c r="AG215" s="35">
        <v>0</v>
      </c>
      <c r="AH215" s="35">
        <v>0</v>
      </c>
      <c r="AI215" s="35">
        <v>0</v>
      </c>
      <c r="AJ215" s="35">
        <v>0</v>
      </c>
      <c r="AK215" s="35">
        <v>0</v>
      </c>
      <c r="AL215" s="35">
        <v>0</v>
      </c>
      <c r="AM215" s="35">
        <v>0</v>
      </c>
      <c r="AN215" s="35">
        <v>0</v>
      </c>
      <c r="AO215" s="35">
        <v>0</v>
      </c>
      <c r="AP215" s="35">
        <v>0</v>
      </c>
      <c r="AQ215" s="35">
        <v>0</v>
      </c>
      <c r="AR215" s="35">
        <v>0</v>
      </c>
      <c r="AS215" s="35">
        <v>0</v>
      </c>
      <c r="AT215" s="35">
        <v>0</v>
      </c>
      <c r="AU215" s="35">
        <v>0</v>
      </c>
      <c r="AV215" s="35">
        <v>0</v>
      </c>
      <c r="AW215" s="35">
        <v>0</v>
      </c>
      <c r="AX215" s="35">
        <v>0</v>
      </c>
      <c r="AY215" s="35">
        <v>0</v>
      </c>
      <c r="AZ215" s="35">
        <v>0</v>
      </c>
      <c r="BA215" s="35">
        <v>0</v>
      </c>
      <c r="BB215" s="35">
        <v>0</v>
      </c>
    </row>
    <row r="216" spans="2:54" x14ac:dyDescent="0.25">
      <c r="B216" s="43" t="str">
        <f t="shared" si="66"/>
        <v>DownTime D</v>
      </c>
      <c r="C216" s="35">
        <v>0</v>
      </c>
      <c r="D216" s="35">
        <v>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  <c r="U216" s="35">
        <v>0</v>
      </c>
      <c r="V216" s="35">
        <v>0</v>
      </c>
      <c r="W216" s="35">
        <v>0</v>
      </c>
      <c r="X216" s="35">
        <v>0</v>
      </c>
      <c r="Y216" s="35">
        <v>0</v>
      </c>
      <c r="Z216" s="35">
        <v>0</v>
      </c>
      <c r="AA216" s="35">
        <v>0</v>
      </c>
      <c r="AB216" s="35">
        <v>0</v>
      </c>
      <c r="AC216" s="35">
        <v>0</v>
      </c>
      <c r="AD216" s="35">
        <v>0</v>
      </c>
      <c r="AE216" s="35">
        <v>0</v>
      </c>
      <c r="AF216" s="35">
        <v>0</v>
      </c>
      <c r="AG216" s="35">
        <v>0</v>
      </c>
      <c r="AH216" s="35">
        <v>0</v>
      </c>
      <c r="AI216" s="35">
        <v>0</v>
      </c>
      <c r="AJ216" s="35">
        <v>0</v>
      </c>
      <c r="AK216" s="35">
        <v>0</v>
      </c>
      <c r="AL216" s="35">
        <v>0</v>
      </c>
      <c r="AM216" s="35">
        <v>0</v>
      </c>
      <c r="AN216" s="35">
        <v>0</v>
      </c>
      <c r="AO216" s="35">
        <v>0</v>
      </c>
      <c r="AP216" s="35">
        <v>0</v>
      </c>
      <c r="AQ216" s="35">
        <v>0</v>
      </c>
      <c r="AR216" s="35">
        <v>0</v>
      </c>
      <c r="AS216" s="35">
        <v>0</v>
      </c>
      <c r="AT216" s="35">
        <v>0</v>
      </c>
      <c r="AU216" s="35">
        <v>0</v>
      </c>
      <c r="AV216" s="35">
        <v>0</v>
      </c>
      <c r="AW216" s="35">
        <v>0</v>
      </c>
      <c r="AX216" s="35">
        <v>0</v>
      </c>
      <c r="AY216" s="35">
        <v>0</v>
      </c>
      <c r="AZ216" s="35">
        <v>0</v>
      </c>
      <c r="BA216" s="35">
        <v>0</v>
      </c>
      <c r="BB216" s="35">
        <v>0</v>
      </c>
    </row>
    <row r="217" spans="2:54" x14ac:dyDescent="0.25">
      <c r="B217" s="43" t="str">
        <f t="shared" si="66"/>
        <v>DownTime E</v>
      </c>
      <c r="C217" s="35">
        <v>0.8</v>
      </c>
      <c r="D217" s="35">
        <v>0.6</v>
      </c>
      <c r="E217" s="35">
        <v>0.3</v>
      </c>
      <c r="F217" s="35">
        <v>0.9</v>
      </c>
      <c r="G217" s="35">
        <v>0.2</v>
      </c>
      <c r="H217" s="35">
        <v>0.1</v>
      </c>
      <c r="I217" s="35">
        <v>0.3</v>
      </c>
      <c r="J217" s="35">
        <v>0.1</v>
      </c>
      <c r="K217" s="35">
        <v>0.2</v>
      </c>
      <c r="L217" s="35">
        <v>0.6</v>
      </c>
      <c r="M217" s="35">
        <v>0.8</v>
      </c>
      <c r="N217" s="35">
        <v>0.6</v>
      </c>
      <c r="O217" s="35">
        <v>0.3</v>
      </c>
      <c r="P217" s="35">
        <v>0.9</v>
      </c>
      <c r="Q217" s="35">
        <v>0.2</v>
      </c>
      <c r="R217" s="35">
        <v>0.1</v>
      </c>
      <c r="S217" s="35">
        <v>0.3</v>
      </c>
      <c r="T217" s="35">
        <v>0.1</v>
      </c>
      <c r="U217" s="35">
        <v>0.2</v>
      </c>
      <c r="V217" s="35">
        <v>0.6</v>
      </c>
      <c r="W217" s="35">
        <v>0.2</v>
      </c>
      <c r="X217" s="35">
        <v>0.6</v>
      </c>
      <c r="Y217" s="35">
        <v>0.8</v>
      </c>
      <c r="Z217" s="35">
        <v>0.6</v>
      </c>
      <c r="AA217" s="35">
        <v>0.3</v>
      </c>
      <c r="AB217" s="35">
        <v>0.9</v>
      </c>
      <c r="AC217" s="35">
        <v>0.2</v>
      </c>
      <c r="AD217" s="35">
        <v>0.1</v>
      </c>
      <c r="AE217" s="35">
        <v>0.3</v>
      </c>
      <c r="AF217" s="35">
        <v>0.1</v>
      </c>
      <c r="AG217" s="35">
        <v>0.2</v>
      </c>
      <c r="AH217" s="35">
        <v>0.6</v>
      </c>
      <c r="AI217" s="35">
        <v>0.1</v>
      </c>
      <c r="AJ217" s="35">
        <v>0.5</v>
      </c>
      <c r="AK217" s="35">
        <v>0.3</v>
      </c>
      <c r="AL217" s="35">
        <v>0.6</v>
      </c>
      <c r="AM217" s="35">
        <v>0.3</v>
      </c>
      <c r="AN217" s="35">
        <v>0.4</v>
      </c>
      <c r="AO217" s="35">
        <v>0.4</v>
      </c>
      <c r="AP217" s="35">
        <v>0.4</v>
      </c>
      <c r="AQ217" s="35">
        <v>0.5</v>
      </c>
      <c r="AR217" s="35">
        <v>0.3</v>
      </c>
      <c r="AS217" s="35">
        <v>0.4</v>
      </c>
      <c r="AT217" s="35">
        <v>0.5</v>
      </c>
      <c r="AU217" s="35">
        <v>0.3</v>
      </c>
      <c r="AV217" s="35">
        <v>0.6</v>
      </c>
      <c r="AW217" s="35">
        <v>0.3</v>
      </c>
      <c r="AX217" s="35">
        <v>0.4</v>
      </c>
      <c r="AY217" s="35">
        <v>0.4</v>
      </c>
      <c r="AZ217" s="35">
        <v>0.4</v>
      </c>
      <c r="BA217" s="35">
        <v>0.4</v>
      </c>
      <c r="BB217" s="35">
        <v>0.4</v>
      </c>
    </row>
    <row r="218" spans="2:54" x14ac:dyDescent="0.25">
      <c r="B218" s="43" t="str">
        <f t="shared" si="66"/>
        <v>DownTime F</v>
      </c>
      <c r="C218" s="35">
        <v>0</v>
      </c>
      <c r="D218" s="35">
        <v>0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  <c r="U218" s="35">
        <v>0</v>
      </c>
      <c r="V218" s="35">
        <v>0</v>
      </c>
      <c r="W218" s="35">
        <v>0</v>
      </c>
      <c r="X218" s="35">
        <v>0</v>
      </c>
      <c r="Y218" s="35">
        <v>0</v>
      </c>
      <c r="Z218" s="35">
        <v>0</v>
      </c>
      <c r="AA218" s="35">
        <v>0</v>
      </c>
      <c r="AB218" s="35">
        <v>0</v>
      </c>
      <c r="AC218" s="35">
        <v>0</v>
      </c>
      <c r="AD218" s="35">
        <v>0</v>
      </c>
      <c r="AE218" s="35">
        <v>0</v>
      </c>
      <c r="AF218" s="35">
        <v>0</v>
      </c>
      <c r="AG218" s="35">
        <v>0</v>
      </c>
      <c r="AH218" s="35">
        <v>0</v>
      </c>
      <c r="AI218" s="35">
        <v>0</v>
      </c>
      <c r="AJ218" s="35">
        <v>0</v>
      </c>
      <c r="AK218" s="35">
        <v>0</v>
      </c>
      <c r="AL218" s="35">
        <v>0</v>
      </c>
      <c r="AM218" s="35">
        <v>0</v>
      </c>
      <c r="AN218" s="35">
        <v>0</v>
      </c>
      <c r="AO218" s="35">
        <v>0</v>
      </c>
      <c r="AP218" s="35">
        <v>0</v>
      </c>
      <c r="AQ218" s="35">
        <v>0</v>
      </c>
      <c r="AR218" s="35">
        <v>0</v>
      </c>
      <c r="AS218" s="35">
        <v>0</v>
      </c>
      <c r="AT218" s="35">
        <v>0</v>
      </c>
      <c r="AU218" s="35">
        <v>0</v>
      </c>
      <c r="AV218" s="35">
        <v>0</v>
      </c>
      <c r="AW218" s="35">
        <v>0</v>
      </c>
      <c r="AX218" s="35">
        <v>0</v>
      </c>
      <c r="AY218" s="35">
        <v>0</v>
      </c>
      <c r="AZ218" s="35">
        <v>0</v>
      </c>
      <c r="BA218" s="35">
        <v>0</v>
      </c>
      <c r="BB218" s="35">
        <v>0</v>
      </c>
    </row>
    <row r="219" spans="2:54" x14ac:dyDescent="0.25">
      <c r="B219" s="35" t="s">
        <v>245</v>
      </c>
      <c r="C219" s="104">
        <v>1</v>
      </c>
      <c r="D219" s="104">
        <f>C219+1</f>
        <v>2</v>
      </c>
      <c r="E219" s="104">
        <f t="shared" ref="E219:BB219" si="67">D219+1</f>
        <v>3</v>
      </c>
      <c r="F219" s="104">
        <f t="shared" si="67"/>
        <v>4</v>
      </c>
      <c r="G219" s="104">
        <f t="shared" si="67"/>
        <v>5</v>
      </c>
      <c r="H219" s="104">
        <f t="shared" si="67"/>
        <v>6</v>
      </c>
      <c r="I219" s="104">
        <f t="shared" si="67"/>
        <v>7</v>
      </c>
      <c r="J219" s="104">
        <f t="shared" si="67"/>
        <v>8</v>
      </c>
      <c r="K219" s="104">
        <f t="shared" si="67"/>
        <v>9</v>
      </c>
      <c r="L219" s="104">
        <f t="shared" si="67"/>
        <v>10</v>
      </c>
      <c r="M219" s="104">
        <f t="shared" si="67"/>
        <v>11</v>
      </c>
      <c r="N219" s="104">
        <f t="shared" si="67"/>
        <v>12</v>
      </c>
      <c r="O219" s="104">
        <f t="shared" si="67"/>
        <v>13</v>
      </c>
      <c r="P219" s="104">
        <f t="shared" si="67"/>
        <v>14</v>
      </c>
      <c r="Q219" s="104">
        <f t="shared" si="67"/>
        <v>15</v>
      </c>
      <c r="R219" s="104">
        <f t="shared" si="67"/>
        <v>16</v>
      </c>
      <c r="S219" s="104">
        <f t="shared" si="67"/>
        <v>17</v>
      </c>
      <c r="T219" s="104">
        <f t="shared" si="67"/>
        <v>18</v>
      </c>
      <c r="U219" s="104">
        <f t="shared" si="67"/>
        <v>19</v>
      </c>
      <c r="V219" s="104">
        <f t="shared" si="67"/>
        <v>20</v>
      </c>
      <c r="W219" s="104">
        <f t="shared" si="67"/>
        <v>21</v>
      </c>
      <c r="X219" s="104">
        <f t="shared" si="67"/>
        <v>22</v>
      </c>
      <c r="Y219" s="104">
        <f t="shared" si="67"/>
        <v>23</v>
      </c>
      <c r="Z219" s="104">
        <f t="shared" si="67"/>
        <v>24</v>
      </c>
      <c r="AA219" s="104">
        <f t="shared" si="67"/>
        <v>25</v>
      </c>
      <c r="AB219" s="104">
        <f t="shared" si="67"/>
        <v>26</v>
      </c>
      <c r="AC219" s="104">
        <f t="shared" si="67"/>
        <v>27</v>
      </c>
      <c r="AD219" s="104">
        <f t="shared" si="67"/>
        <v>28</v>
      </c>
      <c r="AE219" s="104">
        <f t="shared" si="67"/>
        <v>29</v>
      </c>
      <c r="AF219" s="104">
        <f t="shared" si="67"/>
        <v>30</v>
      </c>
      <c r="AG219" s="104">
        <f t="shared" si="67"/>
        <v>31</v>
      </c>
      <c r="AH219" s="104">
        <f t="shared" si="67"/>
        <v>32</v>
      </c>
      <c r="AI219" s="104">
        <f t="shared" si="67"/>
        <v>33</v>
      </c>
      <c r="AJ219" s="104">
        <f t="shared" si="67"/>
        <v>34</v>
      </c>
      <c r="AK219" s="104">
        <f t="shared" si="67"/>
        <v>35</v>
      </c>
      <c r="AL219" s="104">
        <f t="shared" si="67"/>
        <v>36</v>
      </c>
      <c r="AM219" s="104">
        <f t="shared" si="67"/>
        <v>37</v>
      </c>
      <c r="AN219" s="104">
        <f t="shared" si="67"/>
        <v>38</v>
      </c>
      <c r="AO219" s="104">
        <f t="shared" si="67"/>
        <v>39</v>
      </c>
      <c r="AP219" s="104">
        <f t="shared" si="67"/>
        <v>40</v>
      </c>
      <c r="AQ219" s="104">
        <f t="shared" si="67"/>
        <v>41</v>
      </c>
      <c r="AR219" s="104">
        <f t="shared" si="67"/>
        <v>42</v>
      </c>
      <c r="AS219" s="104">
        <f t="shared" si="67"/>
        <v>43</v>
      </c>
      <c r="AT219" s="104">
        <f t="shared" si="67"/>
        <v>44</v>
      </c>
      <c r="AU219" s="104">
        <f t="shared" si="67"/>
        <v>45</v>
      </c>
      <c r="AV219" s="104">
        <f t="shared" si="67"/>
        <v>46</v>
      </c>
      <c r="AW219" s="104">
        <f t="shared" si="67"/>
        <v>47</v>
      </c>
      <c r="AX219" s="104">
        <f t="shared" si="67"/>
        <v>48</v>
      </c>
      <c r="AY219" s="104">
        <f t="shared" si="67"/>
        <v>49</v>
      </c>
      <c r="AZ219" s="104">
        <f t="shared" si="67"/>
        <v>50</v>
      </c>
      <c r="BA219" s="104">
        <f t="shared" si="67"/>
        <v>51</v>
      </c>
      <c r="BB219" s="104">
        <f t="shared" si="67"/>
        <v>52</v>
      </c>
    </row>
    <row r="220" spans="2:54" x14ac:dyDescent="0.25">
      <c r="B220" s="43" t="str">
        <f>B213</f>
        <v>DownTime A</v>
      </c>
      <c r="C220" s="35">
        <v>0</v>
      </c>
      <c r="D220" s="35">
        <v>0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  <c r="U220" s="35">
        <v>0</v>
      </c>
      <c r="V220" s="35">
        <v>0</v>
      </c>
      <c r="W220" s="35">
        <v>0</v>
      </c>
      <c r="X220" s="35">
        <v>0</v>
      </c>
      <c r="Y220" s="35">
        <v>0</v>
      </c>
      <c r="Z220" s="35">
        <v>0</v>
      </c>
      <c r="AA220" s="35">
        <v>0</v>
      </c>
      <c r="AB220" s="35">
        <v>0</v>
      </c>
      <c r="AC220" s="35">
        <v>0</v>
      </c>
      <c r="AD220" s="35">
        <v>0</v>
      </c>
      <c r="AE220" s="35">
        <v>0</v>
      </c>
      <c r="AF220" s="35">
        <v>0</v>
      </c>
      <c r="AG220" s="35">
        <v>0</v>
      </c>
      <c r="AH220" s="35">
        <v>0</v>
      </c>
      <c r="AI220" s="35">
        <v>0</v>
      </c>
      <c r="AJ220" s="35">
        <v>0</v>
      </c>
      <c r="AK220" s="35">
        <v>0</v>
      </c>
      <c r="AL220" s="35">
        <v>0</v>
      </c>
      <c r="AM220" s="35">
        <v>0</v>
      </c>
      <c r="AN220" s="35">
        <v>0</v>
      </c>
      <c r="AO220" s="35">
        <v>0</v>
      </c>
      <c r="AP220" s="35">
        <v>0</v>
      </c>
      <c r="AQ220" s="35">
        <v>0</v>
      </c>
      <c r="AR220" s="35">
        <v>0</v>
      </c>
      <c r="AS220" s="35">
        <v>0</v>
      </c>
      <c r="AT220" s="35">
        <v>0</v>
      </c>
      <c r="AU220" s="35">
        <v>0</v>
      </c>
      <c r="AV220" s="35">
        <v>0</v>
      </c>
      <c r="AW220" s="35">
        <v>0</v>
      </c>
      <c r="AX220" s="35">
        <v>0</v>
      </c>
      <c r="AY220" s="35">
        <v>0</v>
      </c>
      <c r="AZ220" s="35">
        <v>0</v>
      </c>
      <c r="BA220" s="35">
        <v>0</v>
      </c>
      <c r="BB220" s="35">
        <v>0</v>
      </c>
    </row>
    <row r="221" spans="2:54" x14ac:dyDescent="0.25">
      <c r="B221" s="43" t="str">
        <f t="shared" ref="B221:B225" si="68">B214</f>
        <v>DownTime B</v>
      </c>
      <c r="C221" s="35">
        <v>0</v>
      </c>
      <c r="D221" s="35">
        <v>0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  <c r="U221" s="35">
        <v>0</v>
      </c>
      <c r="V221" s="35">
        <v>0</v>
      </c>
      <c r="W221" s="35">
        <v>0</v>
      </c>
      <c r="X221" s="35">
        <v>0</v>
      </c>
      <c r="Y221" s="35">
        <v>0</v>
      </c>
      <c r="Z221" s="35">
        <v>0</v>
      </c>
      <c r="AA221" s="35">
        <v>0</v>
      </c>
      <c r="AB221" s="35">
        <v>0</v>
      </c>
      <c r="AC221" s="35">
        <v>0</v>
      </c>
      <c r="AD221" s="35">
        <v>0</v>
      </c>
      <c r="AE221" s="35">
        <v>0</v>
      </c>
      <c r="AF221" s="35">
        <v>0</v>
      </c>
      <c r="AG221" s="35">
        <v>0</v>
      </c>
      <c r="AH221" s="35">
        <v>0</v>
      </c>
      <c r="AI221" s="35">
        <v>0</v>
      </c>
      <c r="AJ221" s="35">
        <v>0</v>
      </c>
      <c r="AK221" s="35">
        <v>0</v>
      </c>
      <c r="AL221" s="35">
        <v>0</v>
      </c>
      <c r="AM221" s="35">
        <v>0</v>
      </c>
      <c r="AN221" s="35">
        <v>0</v>
      </c>
      <c r="AO221" s="35">
        <v>0</v>
      </c>
      <c r="AP221" s="35">
        <v>0</v>
      </c>
      <c r="AQ221" s="35">
        <v>0</v>
      </c>
      <c r="AR221" s="35">
        <v>0</v>
      </c>
      <c r="AS221" s="35">
        <v>0</v>
      </c>
      <c r="AT221" s="35">
        <v>0</v>
      </c>
      <c r="AU221" s="35">
        <v>0</v>
      </c>
      <c r="AV221" s="35">
        <v>0</v>
      </c>
      <c r="AW221" s="35">
        <v>0</v>
      </c>
      <c r="AX221" s="35">
        <v>0</v>
      </c>
      <c r="AY221" s="35">
        <v>0</v>
      </c>
      <c r="AZ221" s="35">
        <v>0</v>
      </c>
      <c r="BA221" s="35">
        <v>0</v>
      </c>
      <c r="BB221" s="35">
        <v>0</v>
      </c>
    </row>
    <row r="222" spans="2:54" x14ac:dyDescent="0.25">
      <c r="B222" s="43" t="str">
        <f t="shared" si="68"/>
        <v>DownTime C</v>
      </c>
      <c r="C222" s="35">
        <v>0</v>
      </c>
      <c r="D222" s="35">
        <v>0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  <c r="U222" s="35">
        <v>0</v>
      </c>
      <c r="V222" s="35">
        <v>0</v>
      </c>
      <c r="W222" s="35">
        <v>0</v>
      </c>
      <c r="X222" s="35">
        <v>0</v>
      </c>
      <c r="Y222" s="35">
        <v>0</v>
      </c>
      <c r="Z222" s="35">
        <v>0</v>
      </c>
      <c r="AA222" s="35">
        <v>0</v>
      </c>
      <c r="AB222" s="35">
        <v>0</v>
      </c>
      <c r="AC222" s="35">
        <v>0</v>
      </c>
      <c r="AD222" s="35">
        <v>0</v>
      </c>
      <c r="AE222" s="35">
        <v>0</v>
      </c>
      <c r="AF222" s="35">
        <v>0</v>
      </c>
      <c r="AG222" s="35">
        <v>0</v>
      </c>
      <c r="AH222" s="35">
        <v>0</v>
      </c>
      <c r="AI222" s="35">
        <v>0</v>
      </c>
      <c r="AJ222" s="35">
        <v>0</v>
      </c>
      <c r="AK222" s="35">
        <v>0</v>
      </c>
      <c r="AL222" s="35">
        <v>0</v>
      </c>
      <c r="AM222" s="35">
        <v>0</v>
      </c>
      <c r="AN222" s="35">
        <v>0</v>
      </c>
      <c r="AO222" s="35">
        <v>0</v>
      </c>
      <c r="AP222" s="35">
        <v>0</v>
      </c>
      <c r="AQ222" s="35">
        <v>0</v>
      </c>
      <c r="AR222" s="35">
        <v>0</v>
      </c>
      <c r="AS222" s="35">
        <v>0</v>
      </c>
      <c r="AT222" s="35">
        <v>0</v>
      </c>
      <c r="AU222" s="35">
        <v>0</v>
      </c>
      <c r="AV222" s="35">
        <v>0</v>
      </c>
      <c r="AW222" s="35">
        <v>0</v>
      </c>
      <c r="AX222" s="35">
        <v>0</v>
      </c>
      <c r="AY222" s="35">
        <v>0</v>
      </c>
      <c r="AZ222" s="35">
        <v>0</v>
      </c>
      <c r="BA222" s="35">
        <v>0</v>
      </c>
      <c r="BB222" s="35">
        <v>0</v>
      </c>
    </row>
    <row r="223" spans="2:54" x14ac:dyDescent="0.25">
      <c r="B223" s="43" t="str">
        <f t="shared" si="68"/>
        <v>DownTime D</v>
      </c>
      <c r="C223" s="35">
        <v>0</v>
      </c>
      <c r="D223" s="35">
        <v>0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  <c r="U223" s="35">
        <v>0</v>
      </c>
      <c r="V223" s="35">
        <v>0</v>
      </c>
      <c r="W223" s="35">
        <v>0</v>
      </c>
      <c r="X223" s="35">
        <v>0</v>
      </c>
      <c r="Y223" s="35">
        <v>0</v>
      </c>
      <c r="Z223" s="35">
        <v>0</v>
      </c>
      <c r="AA223" s="35">
        <v>0</v>
      </c>
      <c r="AB223" s="35">
        <v>0</v>
      </c>
      <c r="AC223" s="35">
        <v>0</v>
      </c>
      <c r="AD223" s="35">
        <v>0</v>
      </c>
      <c r="AE223" s="35">
        <v>0</v>
      </c>
      <c r="AF223" s="35">
        <v>0</v>
      </c>
      <c r="AG223" s="35">
        <v>0</v>
      </c>
      <c r="AH223" s="35">
        <v>0</v>
      </c>
      <c r="AI223" s="35">
        <v>0</v>
      </c>
      <c r="AJ223" s="35">
        <v>0</v>
      </c>
      <c r="AK223" s="35">
        <v>0</v>
      </c>
      <c r="AL223" s="35">
        <v>0</v>
      </c>
      <c r="AM223" s="35">
        <v>0</v>
      </c>
      <c r="AN223" s="35">
        <v>0</v>
      </c>
      <c r="AO223" s="35">
        <v>0</v>
      </c>
      <c r="AP223" s="35">
        <v>0</v>
      </c>
      <c r="AQ223" s="35">
        <v>0</v>
      </c>
      <c r="AR223" s="35">
        <v>0</v>
      </c>
      <c r="AS223" s="35">
        <v>0</v>
      </c>
      <c r="AT223" s="35">
        <v>0</v>
      </c>
      <c r="AU223" s="35">
        <v>0</v>
      </c>
      <c r="AV223" s="35">
        <v>0</v>
      </c>
      <c r="AW223" s="35">
        <v>0</v>
      </c>
      <c r="AX223" s="35">
        <v>0</v>
      </c>
      <c r="AY223" s="35">
        <v>0</v>
      </c>
      <c r="AZ223" s="35">
        <v>0</v>
      </c>
      <c r="BA223" s="35">
        <v>0</v>
      </c>
      <c r="BB223" s="35">
        <v>0</v>
      </c>
    </row>
    <row r="224" spans="2:54" x14ac:dyDescent="0.25">
      <c r="B224" s="43" t="str">
        <f t="shared" si="68"/>
        <v>DownTime E</v>
      </c>
      <c r="C224" s="35">
        <v>0</v>
      </c>
      <c r="D224" s="35">
        <v>0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  <c r="U224" s="35">
        <v>0</v>
      </c>
      <c r="V224" s="35">
        <v>0</v>
      </c>
      <c r="W224" s="35">
        <v>0</v>
      </c>
      <c r="X224" s="35">
        <v>0</v>
      </c>
      <c r="Y224" s="35">
        <v>0</v>
      </c>
      <c r="Z224" s="35">
        <v>0</v>
      </c>
      <c r="AA224" s="35">
        <v>0</v>
      </c>
      <c r="AB224" s="35">
        <v>0</v>
      </c>
      <c r="AC224" s="35">
        <v>0</v>
      </c>
      <c r="AD224" s="35">
        <v>0</v>
      </c>
      <c r="AE224" s="35">
        <v>0</v>
      </c>
      <c r="AF224" s="35">
        <v>0</v>
      </c>
      <c r="AG224" s="35">
        <v>0</v>
      </c>
      <c r="AH224" s="35">
        <v>0</v>
      </c>
      <c r="AI224" s="35">
        <v>0</v>
      </c>
      <c r="AJ224" s="35">
        <v>0</v>
      </c>
      <c r="AK224" s="35">
        <v>0</v>
      </c>
      <c r="AL224" s="35">
        <v>0</v>
      </c>
      <c r="AM224" s="35">
        <v>0</v>
      </c>
      <c r="AN224" s="35">
        <v>0</v>
      </c>
      <c r="AO224" s="35">
        <v>0</v>
      </c>
      <c r="AP224" s="35">
        <v>0</v>
      </c>
      <c r="AQ224" s="35">
        <v>0</v>
      </c>
      <c r="AR224" s="35">
        <v>0</v>
      </c>
      <c r="AS224" s="35">
        <v>0</v>
      </c>
      <c r="AT224" s="35">
        <v>0</v>
      </c>
      <c r="AU224" s="35">
        <v>0</v>
      </c>
      <c r="AV224" s="35">
        <v>0</v>
      </c>
      <c r="AW224" s="35">
        <v>0</v>
      </c>
      <c r="AX224" s="35">
        <v>0</v>
      </c>
      <c r="AY224" s="35">
        <v>0</v>
      </c>
      <c r="AZ224" s="35">
        <v>0</v>
      </c>
      <c r="BA224" s="35">
        <v>0</v>
      </c>
      <c r="BB224" s="35">
        <v>0</v>
      </c>
    </row>
    <row r="225" spans="2:54" x14ac:dyDescent="0.25">
      <c r="B225" s="43" t="str">
        <f t="shared" si="68"/>
        <v>DownTime F</v>
      </c>
      <c r="C225" s="35">
        <v>0.3</v>
      </c>
      <c r="D225" s="35">
        <v>0.4</v>
      </c>
      <c r="E225" s="35">
        <v>0.7</v>
      </c>
      <c r="F225" s="35">
        <v>0.2</v>
      </c>
      <c r="G225" s="35">
        <v>0.1</v>
      </c>
      <c r="H225" s="35">
        <v>0.4</v>
      </c>
      <c r="I225" s="35">
        <v>0.1</v>
      </c>
      <c r="J225" s="35">
        <v>0.1</v>
      </c>
      <c r="K225" s="35">
        <v>0.1</v>
      </c>
      <c r="L225" s="35">
        <v>0.5</v>
      </c>
      <c r="M225" s="35">
        <v>0.3</v>
      </c>
      <c r="N225" s="35">
        <v>0.4</v>
      </c>
      <c r="O225" s="35">
        <v>0.7</v>
      </c>
      <c r="P225" s="35">
        <v>0.2</v>
      </c>
      <c r="Q225" s="35">
        <v>0.1</v>
      </c>
      <c r="R225" s="35">
        <v>0.4</v>
      </c>
      <c r="S225" s="35">
        <v>0.1</v>
      </c>
      <c r="T225" s="35">
        <v>0.1</v>
      </c>
      <c r="U225" s="35">
        <v>0.1</v>
      </c>
      <c r="V225" s="35">
        <v>0.5</v>
      </c>
      <c r="W225" s="35">
        <v>0.1</v>
      </c>
      <c r="X225" s="35">
        <v>0.5</v>
      </c>
      <c r="Y225" s="35">
        <v>0.3</v>
      </c>
      <c r="Z225" s="35">
        <v>0.4</v>
      </c>
      <c r="AA225" s="35">
        <v>0.7</v>
      </c>
      <c r="AB225" s="35">
        <v>0.2</v>
      </c>
      <c r="AC225" s="35">
        <v>0.1</v>
      </c>
      <c r="AD225" s="35">
        <v>0.4</v>
      </c>
      <c r="AE225" s="35">
        <v>0.1</v>
      </c>
      <c r="AF225" s="35">
        <v>0.1</v>
      </c>
      <c r="AG225" s="35">
        <v>0.1</v>
      </c>
      <c r="AH225" s="35">
        <v>0.5</v>
      </c>
      <c r="AI225" s="35">
        <v>0.2</v>
      </c>
      <c r="AJ225" s="35">
        <v>0.4</v>
      </c>
      <c r="AK225" s="35">
        <v>0.4</v>
      </c>
      <c r="AL225" s="35">
        <v>0.4</v>
      </c>
      <c r="AM225" s="35">
        <v>0.5</v>
      </c>
      <c r="AN225" s="35">
        <v>0.3</v>
      </c>
      <c r="AO225" s="35">
        <v>0.4</v>
      </c>
      <c r="AP225" s="35">
        <v>0.5</v>
      </c>
      <c r="AQ225" s="35">
        <v>0.3</v>
      </c>
      <c r="AR225" s="35">
        <v>0.6</v>
      </c>
      <c r="AS225" s="35">
        <v>0.3</v>
      </c>
      <c r="AT225" s="35">
        <v>0.4</v>
      </c>
      <c r="AU225" s="35">
        <v>0.4</v>
      </c>
      <c r="AV225" s="35">
        <v>0.4</v>
      </c>
      <c r="AW225" s="35">
        <v>0.4</v>
      </c>
      <c r="AX225" s="35">
        <v>0.4</v>
      </c>
      <c r="AY225" s="35">
        <v>0.4</v>
      </c>
      <c r="AZ225" s="35">
        <v>0.4</v>
      </c>
      <c r="BA225" s="35">
        <v>0.4</v>
      </c>
      <c r="BB225" s="35">
        <v>0.4</v>
      </c>
    </row>
    <row r="226" spans="2:54" x14ac:dyDescent="0.25">
      <c r="B226" s="35" t="s">
        <v>246</v>
      </c>
      <c r="C226" s="104">
        <v>1</v>
      </c>
      <c r="D226" s="104">
        <f>C226+1</f>
        <v>2</v>
      </c>
      <c r="E226" s="104">
        <f t="shared" ref="E226:BB226" si="69">D226+1</f>
        <v>3</v>
      </c>
      <c r="F226" s="104">
        <f t="shared" si="69"/>
        <v>4</v>
      </c>
      <c r="G226" s="104">
        <f t="shared" si="69"/>
        <v>5</v>
      </c>
      <c r="H226" s="104">
        <f t="shared" si="69"/>
        <v>6</v>
      </c>
      <c r="I226" s="104">
        <f t="shared" si="69"/>
        <v>7</v>
      </c>
      <c r="J226" s="104">
        <f t="shared" si="69"/>
        <v>8</v>
      </c>
      <c r="K226" s="104">
        <f t="shared" si="69"/>
        <v>9</v>
      </c>
      <c r="L226" s="104">
        <f t="shared" si="69"/>
        <v>10</v>
      </c>
      <c r="M226" s="104">
        <f t="shared" si="69"/>
        <v>11</v>
      </c>
      <c r="N226" s="104">
        <f t="shared" si="69"/>
        <v>12</v>
      </c>
      <c r="O226" s="104">
        <f t="shared" si="69"/>
        <v>13</v>
      </c>
      <c r="P226" s="104">
        <f t="shared" si="69"/>
        <v>14</v>
      </c>
      <c r="Q226" s="104">
        <f t="shared" si="69"/>
        <v>15</v>
      </c>
      <c r="R226" s="104">
        <f t="shared" si="69"/>
        <v>16</v>
      </c>
      <c r="S226" s="104">
        <f t="shared" si="69"/>
        <v>17</v>
      </c>
      <c r="T226" s="104">
        <f t="shared" si="69"/>
        <v>18</v>
      </c>
      <c r="U226" s="104">
        <f t="shared" si="69"/>
        <v>19</v>
      </c>
      <c r="V226" s="104">
        <f t="shared" si="69"/>
        <v>20</v>
      </c>
      <c r="W226" s="104">
        <f t="shared" si="69"/>
        <v>21</v>
      </c>
      <c r="X226" s="104">
        <f t="shared" si="69"/>
        <v>22</v>
      </c>
      <c r="Y226" s="104">
        <f t="shared" si="69"/>
        <v>23</v>
      </c>
      <c r="Z226" s="104">
        <f t="shared" si="69"/>
        <v>24</v>
      </c>
      <c r="AA226" s="104">
        <f t="shared" si="69"/>
        <v>25</v>
      </c>
      <c r="AB226" s="104">
        <f t="shared" si="69"/>
        <v>26</v>
      </c>
      <c r="AC226" s="104">
        <f t="shared" si="69"/>
        <v>27</v>
      </c>
      <c r="AD226" s="104">
        <f t="shared" si="69"/>
        <v>28</v>
      </c>
      <c r="AE226" s="104">
        <f t="shared" si="69"/>
        <v>29</v>
      </c>
      <c r="AF226" s="104">
        <f t="shared" si="69"/>
        <v>30</v>
      </c>
      <c r="AG226" s="104">
        <f t="shared" si="69"/>
        <v>31</v>
      </c>
      <c r="AH226" s="104">
        <f t="shared" si="69"/>
        <v>32</v>
      </c>
      <c r="AI226" s="104">
        <f t="shared" si="69"/>
        <v>33</v>
      </c>
      <c r="AJ226" s="104">
        <f t="shared" si="69"/>
        <v>34</v>
      </c>
      <c r="AK226" s="104">
        <f t="shared" si="69"/>
        <v>35</v>
      </c>
      <c r="AL226" s="104">
        <f t="shared" si="69"/>
        <v>36</v>
      </c>
      <c r="AM226" s="104">
        <f t="shared" si="69"/>
        <v>37</v>
      </c>
      <c r="AN226" s="104">
        <f t="shared" si="69"/>
        <v>38</v>
      </c>
      <c r="AO226" s="104">
        <f t="shared" si="69"/>
        <v>39</v>
      </c>
      <c r="AP226" s="104">
        <f t="shared" si="69"/>
        <v>40</v>
      </c>
      <c r="AQ226" s="104">
        <f t="shared" si="69"/>
        <v>41</v>
      </c>
      <c r="AR226" s="104">
        <f t="shared" si="69"/>
        <v>42</v>
      </c>
      <c r="AS226" s="104">
        <f t="shared" si="69"/>
        <v>43</v>
      </c>
      <c r="AT226" s="104">
        <f t="shared" si="69"/>
        <v>44</v>
      </c>
      <c r="AU226" s="104">
        <f t="shared" si="69"/>
        <v>45</v>
      </c>
      <c r="AV226" s="104">
        <f t="shared" si="69"/>
        <v>46</v>
      </c>
      <c r="AW226" s="104">
        <f t="shared" si="69"/>
        <v>47</v>
      </c>
      <c r="AX226" s="104">
        <f t="shared" si="69"/>
        <v>48</v>
      </c>
      <c r="AY226" s="104">
        <f t="shared" si="69"/>
        <v>49</v>
      </c>
      <c r="AZ226" s="104">
        <f t="shared" si="69"/>
        <v>50</v>
      </c>
      <c r="BA226" s="104">
        <f t="shared" si="69"/>
        <v>51</v>
      </c>
      <c r="BB226" s="104">
        <f t="shared" si="69"/>
        <v>52</v>
      </c>
    </row>
    <row r="227" spans="2:54" x14ac:dyDescent="0.25">
      <c r="B227" s="43" t="str">
        <f>B220</f>
        <v>DownTime A</v>
      </c>
      <c r="C227" s="35">
        <v>0.4</v>
      </c>
      <c r="D227" s="35">
        <v>0.5</v>
      </c>
      <c r="E227" s="35">
        <v>0.3</v>
      </c>
      <c r="F227" s="35">
        <v>0.6</v>
      </c>
      <c r="G227" s="35">
        <v>0.3</v>
      </c>
      <c r="H227" s="35">
        <v>0.4</v>
      </c>
      <c r="I227" s="35">
        <v>0.4</v>
      </c>
      <c r="J227" s="35">
        <v>0.5</v>
      </c>
      <c r="K227" s="35">
        <v>0.3</v>
      </c>
      <c r="L227" s="35">
        <v>0.6</v>
      </c>
      <c r="M227" s="35">
        <v>0.3</v>
      </c>
      <c r="N227" s="35">
        <v>0.4</v>
      </c>
      <c r="O227" s="35">
        <v>0.5</v>
      </c>
      <c r="P227" s="35">
        <v>0.3</v>
      </c>
      <c r="Q227" s="35">
        <v>0.6</v>
      </c>
      <c r="R227" s="35">
        <v>0.3</v>
      </c>
      <c r="S227" s="35">
        <v>0.4</v>
      </c>
      <c r="T227" s="35">
        <v>0.4</v>
      </c>
      <c r="U227" s="35">
        <v>0.5</v>
      </c>
      <c r="V227" s="35">
        <v>0.3</v>
      </c>
      <c r="W227" s="35">
        <v>0.6</v>
      </c>
      <c r="X227" s="35">
        <v>0.3</v>
      </c>
      <c r="Y227" s="35">
        <v>0.4</v>
      </c>
      <c r="Z227" s="35">
        <v>0.5</v>
      </c>
      <c r="AA227" s="35">
        <v>0.3</v>
      </c>
      <c r="AB227" s="35">
        <v>0.6</v>
      </c>
      <c r="AC227" s="35">
        <v>0.3</v>
      </c>
      <c r="AD227" s="35">
        <v>0.4</v>
      </c>
      <c r="AE227" s="35">
        <v>0.4</v>
      </c>
      <c r="AF227" s="35">
        <v>0.5</v>
      </c>
      <c r="AG227" s="35">
        <v>0.3</v>
      </c>
      <c r="AH227" s="35">
        <v>0.6</v>
      </c>
      <c r="AI227" s="35">
        <v>0.3</v>
      </c>
      <c r="AJ227" s="35">
        <v>0.4</v>
      </c>
      <c r="AK227" s="35">
        <v>0.4</v>
      </c>
      <c r="AL227" s="35">
        <v>0.4</v>
      </c>
      <c r="AM227" s="35">
        <v>0.5</v>
      </c>
      <c r="AN227" s="35">
        <v>0.3</v>
      </c>
      <c r="AO227" s="35">
        <v>0.4</v>
      </c>
      <c r="AP227" s="35">
        <v>0.5</v>
      </c>
      <c r="AQ227" s="35">
        <v>0.3</v>
      </c>
      <c r="AR227" s="35">
        <v>0.6</v>
      </c>
      <c r="AS227" s="35">
        <v>0.3</v>
      </c>
      <c r="AT227" s="35">
        <v>0.4</v>
      </c>
      <c r="AU227" s="35">
        <v>0.4</v>
      </c>
      <c r="AV227" s="35">
        <v>0.4</v>
      </c>
      <c r="AW227" s="35">
        <v>0.9</v>
      </c>
      <c r="AX227" s="35">
        <v>0.4</v>
      </c>
      <c r="AY227" s="35">
        <v>0.4</v>
      </c>
      <c r="AZ227" s="35">
        <v>0.4</v>
      </c>
      <c r="BA227" s="35">
        <v>0.4</v>
      </c>
      <c r="BB227" s="35">
        <v>0.2</v>
      </c>
    </row>
    <row r="228" spans="2:54" x14ac:dyDescent="0.25">
      <c r="B228" s="43" t="str">
        <f t="shared" ref="B228:B232" si="70">B221</f>
        <v>DownTime B</v>
      </c>
      <c r="C228" s="35">
        <v>0</v>
      </c>
      <c r="D228" s="35">
        <v>0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  <c r="U228" s="35">
        <v>0</v>
      </c>
      <c r="V228" s="35">
        <v>0</v>
      </c>
      <c r="W228" s="35">
        <v>0</v>
      </c>
      <c r="X228" s="35">
        <v>0</v>
      </c>
      <c r="Y228" s="35">
        <v>0</v>
      </c>
      <c r="Z228" s="35">
        <v>0</v>
      </c>
      <c r="AA228" s="35">
        <v>0</v>
      </c>
      <c r="AB228" s="35">
        <v>0</v>
      </c>
      <c r="AC228" s="35">
        <v>0</v>
      </c>
      <c r="AD228" s="35">
        <v>0</v>
      </c>
      <c r="AE228" s="35">
        <v>0</v>
      </c>
      <c r="AF228" s="35">
        <v>0</v>
      </c>
      <c r="AG228" s="35">
        <v>0</v>
      </c>
      <c r="AH228" s="35">
        <v>0</v>
      </c>
      <c r="AI228" s="35">
        <v>0</v>
      </c>
      <c r="AJ228" s="35">
        <v>0</v>
      </c>
      <c r="AK228" s="35">
        <v>0</v>
      </c>
      <c r="AL228" s="35">
        <v>0</v>
      </c>
      <c r="AM228" s="35">
        <v>0</v>
      </c>
      <c r="AN228" s="35">
        <v>0</v>
      </c>
      <c r="AO228" s="35">
        <v>0</v>
      </c>
      <c r="AP228" s="35">
        <v>0</v>
      </c>
      <c r="AQ228" s="35">
        <v>0</v>
      </c>
      <c r="AR228" s="35">
        <v>0</v>
      </c>
      <c r="AS228" s="35">
        <v>0</v>
      </c>
      <c r="AT228" s="35">
        <v>0</v>
      </c>
      <c r="AU228" s="35">
        <v>0</v>
      </c>
      <c r="AV228" s="35">
        <v>0</v>
      </c>
      <c r="AW228" s="35">
        <v>0</v>
      </c>
      <c r="AX228" s="35">
        <v>0</v>
      </c>
      <c r="AY228" s="35">
        <v>0</v>
      </c>
      <c r="AZ228" s="35">
        <v>0</v>
      </c>
      <c r="BA228" s="35">
        <v>0</v>
      </c>
      <c r="BB228" s="35">
        <v>0</v>
      </c>
    </row>
    <row r="229" spans="2:54" x14ac:dyDescent="0.25">
      <c r="B229" s="43" t="str">
        <f t="shared" si="70"/>
        <v>DownTime C</v>
      </c>
      <c r="C229" s="35">
        <v>0</v>
      </c>
      <c r="D229" s="35">
        <v>0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  <c r="U229" s="35">
        <v>0</v>
      </c>
      <c r="V229" s="35">
        <v>0</v>
      </c>
      <c r="W229" s="35">
        <v>0</v>
      </c>
      <c r="X229" s="35">
        <v>0</v>
      </c>
      <c r="Y229" s="35">
        <v>0</v>
      </c>
      <c r="Z229" s="35">
        <v>0</v>
      </c>
      <c r="AA229" s="35">
        <v>0</v>
      </c>
      <c r="AB229" s="35">
        <v>0</v>
      </c>
      <c r="AC229" s="35">
        <v>0</v>
      </c>
      <c r="AD229" s="35">
        <v>0</v>
      </c>
      <c r="AE229" s="35">
        <v>0</v>
      </c>
      <c r="AF229" s="35">
        <v>0</v>
      </c>
      <c r="AG229" s="35">
        <v>0</v>
      </c>
      <c r="AH229" s="35">
        <v>0</v>
      </c>
      <c r="AI229" s="35">
        <v>0</v>
      </c>
      <c r="AJ229" s="35">
        <v>0</v>
      </c>
      <c r="AK229" s="35">
        <v>0</v>
      </c>
      <c r="AL229" s="35">
        <v>0</v>
      </c>
      <c r="AM229" s="35">
        <v>0</v>
      </c>
      <c r="AN229" s="35">
        <v>0</v>
      </c>
      <c r="AO229" s="35">
        <v>0</v>
      </c>
      <c r="AP229" s="35">
        <v>0</v>
      </c>
      <c r="AQ229" s="35">
        <v>0</v>
      </c>
      <c r="AR229" s="35">
        <v>0</v>
      </c>
      <c r="AS229" s="35">
        <v>0</v>
      </c>
      <c r="AT229" s="35">
        <v>0</v>
      </c>
      <c r="AU229" s="35">
        <v>0</v>
      </c>
      <c r="AV229" s="35">
        <v>0</v>
      </c>
      <c r="AW229" s="35">
        <v>0</v>
      </c>
      <c r="AX229" s="35">
        <v>0</v>
      </c>
      <c r="AY229" s="35">
        <v>0</v>
      </c>
      <c r="AZ229" s="35">
        <v>0</v>
      </c>
      <c r="BA229" s="35">
        <v>0</v>
      </c>
      <c r="BB229" s="35">
        <v>0</v>
      </c>
    </row>
    <row r="230" spans="2:54" x14ac:dyDescent="0.25">
      <c r="B230" s="43" t="str">
        <f t="shared" si="70"/>
        <v>DownTime D</v>
      </c>
      <c r="C230" s="35">
        <v>0</v>
      </c>
      <c r="D230" s="35">
        <v>0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  <c r="U230" s="35">
        <v>0</v>
      </c>
      <c r="V230" s="35">
        <v>0</v>
      </c>
      <c r="W230" s="35">
        <v>0</v>
      </c>
      <c r="X230" s="35">
        <v>0</v>
      </c>
      <c r="Y230" s="35">
        <v>0</v>
      </c>
      <c r="Z230" s="35">
        <v>0</v>
      </c>
      <c r="AA230" s="35">
        <v>0</v>
      </c>
      <c r="AB230" s="35">
        <v>0</v>
      </c>
      <c r="AC230" s="35">
        <v>0</v>
      </c>
      <c r="AD230" s="35">
        <v>0</v>
      </c>
      <c r="AE230" s="35">
        <v>0</v>
      </c>
      <c r="AF230" s="35">
        <v>0</v>
      </c>
      <c r="AG230" s="35">
        <v>0</v>
      </c>
      <c r="AH230" s="35">
        <v>0</v>
      </c>
      <c r="AI230" s="35">
        <v>0</v>
      </c>
      <c r="AJ230" s="35">
        <v>0</v>
      </c>
      <c r="AK230" s="35">
        <v>0</v>
      </c>
      <c r="AL230" s="35">
        <v>0</v>
      </c>
      <c r="AM230" s="35">
        <v>0</v>
      </c>
      <c r="AN230" s="35">
        <v>0</v>
      </c>
      <c r="AO230" s="35">
        <v>0</v>
      </c>
      <c r="AP230" s="35">
        <v>0</v>
      </c>
      <c r="AQ230" s="35">
        <v>0</v>
      </c>
      <c r="AR230" s="35">
        <v>0</v>
      </c>
      <c r="AS230" s="35">
        <v>0</v>
      </c>
      <c r="AT230" s="35">
        <v>0</v>
      </c>
      <c r="AU230" s="35">
        <v>0</v>
      </c>
      <c r="AV230" s="35">
        <v>0</v>
      </c>
      <c r="AW230" s="35">
        <v>0</v>
      </c>
      <c r="AX230" s="35">
        <v>0</v>
      </c>
      <c r="AY230" s="35">
        <v>0</v>
      </c>
      <c r="AZ230" s="35">
        <v>0</v>
      </c>
      <c r="BA230" s="35">
        <v>0</v>
      </c>
      <c r="BB230" s="35">
        <v>0</v>
      </c>
    </row>
    <row r="231" spans="2:54" x14ac:dyDescent="0.25">
      <c r="B231" s="43" t="str">
        <f t="shared" si="70"/>
        <v>DownTime E</v>
      </c>
      <c r="C231" s="35">
        <v>0</v>
      </c>
      <c r="D231" s="35">
        <v>0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  <c r="U231" s="35">
        <v>0</v>
      </c>
      <c r="V231" s="35">
        <v>0</v>
      </c>
      <c r="W231" s="35">
        <v>0</v>
      </c>
      <c r="X231" s="35">
        <v>0</v>
      </c>
      <c r="Y231" s="35">
        <v>0</v>
      </c>
      <c r="Z231" s="35">
        <v>0</v>
      </c>
      <c r="AA231" s="35">
        <v>0</v>
      </c>
      <c r="AB231" s="35">
        <v>0</v>
      </c>
      <c r="AC231" s="35">
        <v>0</v>
      </c>
      <c r="AD231" s="35">
        <v>0</v>
      </c>
      <c r="AE231" s="35">
        <v>0</v>
      </c>
      <c r="AF231" s="35">
        <v>0</v>
      </c>
      <c r="AG231" s="35">
        <v>0</v>
      </c>
      <c r="AH231" s="35">
        <v>0</v>
      </c>
      <c r="AI231" s="35">
        <v>0</v>
      </c>
      <c r="AJ231" s="35">
        <v>0</v>
      </c>
      <c r="AK231" s="35">
        <v>0</v>
      </c>
      <c r="AL231" s="35">
        <v>0</v>
      </c>
      <c r="AM231" s="35">
        <v>0</v>
      </c>
      <c r="AN231" s="35">
        <v>0</v>
      </c>
      <c r="AO231" s="35">
        <v>0</v>
      </c>
      <c r="AP231" s="35">
        <v>0</v>
      </c>
      <c r="AQ231" s="35">
        <v>0</v>
      </c>
      <c r="AR231" s="35">
        <v>0</v>
      </c>
      <c r="AS231" s="35">
        <v>0</v>
      </c>
      <c r="AT231" s="35">
        <v>0</v>
      </c>
      <c r="AU231" s="35">
        <v>0</v>
      </c>
      <c r="AV231" s="35">
        <v>0</v>
      </c>
      <c r="AW231" s="35">
        <v>0</v>
      </c>
      <c r="AX231" s="35">
        <v>0</v>
      </c>
      <c r="AY231" s="35">
        <v>0</v>
      </c>
      <c r="AZ231" s="35">
        <v>0</v>
      </c>
      <c r="BA231" s="35">
        <v>0</v>
      </c>
      <c r="BB231" s="35">
        <v>0</v>
      </c>
    </row>
    <row r="232" spans="2:54" x14ac:dyDescent="0.25">
      <c r="B232" s="43" t="str">
        <f t="shared" si="70"/>
        <v>DownTime F</v>
      </c>
      <c r="C232" s="35">
        <v>0</v>
      </c>
      <c r="D232" s="35">
        <v>0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  <c r="U232" s="35">
        <v>0</v>
      </c>
      <c r="V232" s="35">
        <v>0</v>
      </c>
      <c r="W232" s="35">
        <v>0</v>
      </c>
      <c r="X232" s="35">
        <v>0</v>
      </c>
      <c r="Y232" s="35">
        <v>0</v>
      </c>
      <c r="Z232" s="35">
        <v>0</v>
      </c>
      <c r="AA232" s="35">
        <v>0</v>
      </c>
      <c r="AB232" s="35">
        <v>0</v>
      </c>
      <c r="AC232" s="35">
        <v>0</v>
      </c>
      <c r="AD232" s="35">
        <v>0</v>
      </c>
      <c r="AE232" s="35">
        <v>0</v>
      </c>
      <c r="AF232" s="35">
        <v>0</v>
      </c>
      <c r="AG232" s="35">
        <v>0</v>
      </c>
      <c r="AH232" s="35">
        <v>0</v>
      </c>
      <c r="AI232" s="35">
        <v>0</v>
      </c>
      <c r="AJ232" s="35">
        <v>0</v>
      </c>
      <c r="AK232" s="35">
        <v>0</v>
      </c>
      <c r="AL232" s="35">
        <v>0</v>
      </c>
      <c r="AM232" s="35">
        <v>0</v>
      </c>
      <c r="AN232" s="35">
        <v>0</v>
      </c>
      <c r="AO232" s="35">
        <v>0</v>
      </c>
      <c r="AP232" s="35">
        <v>0</v>
      </c>
      <c r="AQ232" s="35">
        <v>0</v>
      </c>
      <c r="AR232" s="35">
        <v>0</v>
      </c>
      <c r="AS232" s="35">
        <v>0</v>
      </c>
      <c r="AT232" s="35">
        <v>0</v>
      </c>
      <c r="AU232" s="35">
        <v>0</v>
      </c>
      <c r="AV232" s="35">
        <v>0</v>
      </c>
      <c r="AW232" s="35">
        <v>0</v>
      </c>
      <c r="AX232" s="35">
        <v>0</v>
      </c>
      <c r="AY232" s="35">
        <v>0</v>
      </c>
      <c r="AZ232" s="35">
        <v>0</v>
      </c>
      <c r="BA232" s="35">
        <v>0</v>
      </c>
      <c r="BB232" s="35">
        <v>0</v>
      </c>
    </row>
    <row r="233" spans="2:54" x14ac:dyDescent="0.25">
      <c r="B233" s="35" t="s">
        <v>247</v>
      </c>
      <c r="C233" s="104">
        <v>1</v>
      </c>
      <c r="D233" s="104">
        <f>C233+1</f>
        <v>2</v>
      </c>
      <c r="E233" s="104">
        <f t="shared" ref="E233:BB233" si="71">D233+1</f>
        <v>3</v>
      </c>
      <c r="F233" s="104">
        <f t="shared" si="71"/>
        <v>4</v>
      </c>
      <c r="G233" s="104">
        <f t="shared" si="71"/>
        <v>5</v>
      </c>
      <c r="H233" s="104">
        <f t="shared" si="71"/>
        <v>6</v>
      </c>
      <c r="I233" s="104">
        <f t="shared" si="71"/>
        <v>7</v>
      </c>
      <c r="J233" s="104">
        <f t="shared" si="71"/>
        <v>8</v>
      </c>
      <c r="K233" s="104">
        <f t="shared" si="71"/>
        <v>9</v>
      </c>
      <c r="L233" s="104">
        <f t="shared" si="71"/>
        <v>10</v>
      </c>
      <c r="M233" s="104">
        <f t="shared" si="71"/>
        <v>11</v>
      </c>
      <c r="N233" s="104">
        <f t="shared" si="71"/>
        <v>12</v>
      </c>
      <c r="O233" s="104">
        <f t="shared" si="71"/>
        <v>13</v>
      </c>
      <c r="P233" s="104">
        <f t="shared" si="71"/>
        <v>14</v>
      </c>
      <c r="Q233" s="104">
        <f t="shared" si="71"/>
        <v>15</v>
      </c>
      <c r="R233" s="104">
        <f t="shared" si="71"/>
        <v>16</v>
      </c>
      <c r="S233" s="104">
        <f t="shared" si="71"/>
        <v>17</v>
      </c>
      <c r="T233" s="104">
        <f t="shared" si="71"/>
        <v>18</v>
      </c>
      <c r="U233" s="104">
        <f t="shared" si="71"/>
        <v>19</v>
      </c>
      <c r="V233" s="104">
        <f t="shared" si="71"/>
        <v>20</v>
      </c>
      <c r="W233" s="104">
        <f t="shared" si="71"/>
        <v>21</v>
      </c>
      <c r="X233" s="104">
        <f t="shared" si="71"/>
        <v>22</v>
      </c>
      <c r="Y233" s="104">
        <f t="shared" si="71"/>
        <v>23</v>
      </c>
      <c r="Z233" s="104">
        <f t="shared" si="71"/>
        <v>24</v>
      </c>
      <c r="AA233" s="104">
        <f t="shared" si="71"/>
        <v>25</v>
      </c>
      <c r="AB233" s="104">
        <f t="shared" si="71"/>
        <v>26</v>
      </c>
      <c r="AC233" s="104">
        <f t="shared" si="71"/>
        <v>27</v>
      </c>
      <c r="AD233" s="104">
        <f t="shared" si="71"/>
        <v>28</v>
      </c>
      <c r="AE233" s="104">
        <f t="shared" si="71"/>
        <v>29</v>
      </c>
      <c r="AF233" s="104">
        <f t="shared" si="71"/>
        <v>30</v>
      </c>
      <c r="AG233" s="104">
        <f t="shared" si="71"/>
        <v>31</v>
      </c>
      <c r="AH233" s="104">
        <f t="shared" si="71"/>
        <v>32</v>
      </c>
      <c r="AI233" s="104">
        <f t="shared" si="71"/>
        <v>33</v>
      </c>
      <c r="AJ233" s="104">
        <f t="shared" si="71"/>
        <v>34</v>
      </c>
      <c r="AK233" s="104">
        <f t="shared" si="71"/>
        <v>35</v>
      </c>
      <c r="AL233" s="104">
        <f t="shared" si="71"/>
        <v>36</v>
      </c>
      <c r="AM233" s="104">
        <f t="shared" si="71"/>
        <v>37</v>
      </c>
      <c r="AN233" s="104">
        <f t="shared" si="71"/>
        <v>38</v>
      </c>
      <c r="AO233" s="104">
        <f t="shared" si="71"/>
        <v>39</v>
      </c>
      <c r="AP233" s="104">
        <f t="shared" si="71"/>
        <v>40</v>
      </c>
      <c r="AQ233" s="104">
        <f t="shared" si="71"/>
        <v>41</v>
      </c>
      <c r="AR233" s="104">
        <f t="shared" si="71"/>
        <v>42</v>
      </c>
      <c r="AS233" s="104">
        <f t="shared" si="71"/>
        <v>43</v>
      </c>
      <c r="AT233" s="104">
        <f t="shared" si="71"/>
        <v>44</v>
      </c>
      <c r="AU233" s="104">
        <f t="shared" si="71"/>
        <v>45</v>
      </c>
      <c r="AV233" s="104">
        <f t="shared" si="71"/>
        <v>46</v>
      </c>
      <c r="AW233" s="104">
        <f t="shared" si="71"/>
        <v>47</v>
      </c>
      <c r="AX233" s="104">
        <f t="shared" si="71"/>
        <v>48</v>
      </c>
      <c r="AY233" s="104">
        <f t="shared" si="71"/>
        <v>49</v>
      </c>
      <c r="AZ233" s="104">
        <f t="shared" si="71"/>
        <v>50</v>
      </c>
      <c r="BA233" s="104">
        <f t="shared" si="71"/>
        <v>51</v>
      </c>
      <c r="BB233" s="104">
        <f t="shared" si="71"/>
        <v>52</v>
      </c>
    </row>
    <row r="234" spans="2:54" x14ac:dyDescent="0.25">
      <c r="B234" s="43" t="str">
        <f>B227</f>
        <v>DownTime A</v>
      </c>
      <c r="C234" s="35">
        <v>0</v>
      </c>
      <c r="D234" s="35">
        <v>0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  <c r="U234" s="35">
        <v>0</v>
      </c>
      <c r="V234" s="35">
        <v>0</v>
      </c>
      <c r="W234" s="35">
        <v>0</v>
      </c>
      <c r="X234" s="35">
        <v>0</v>
      </c>
      <c r="Y234" s="35">
        <v>0</v>
      </c>
      <c r="Z234" s="35">
        <v>0</v>
      </c>
      <c r="AA234" s="35">
        <v>0</v>
      </c>
      <c r="AB234" s="35">
        <v>0</v>
      </c>
      <c r="AC234" s="35">
        <v>0</v>
      </c>
      <c r="AD234" s="35">
        <v>0</v>
      </c>
      <c r="AE234" s="35">
        <v>0</v>
      </c>
      <c r="AF234" s="35">
        <v>0</v>
      </c>
      <c r="AG234" s="35">
        <v>0</v>
      </c>
      <c r="AH234" s="35">
        <v>0</v>
      </c>
      <c r="AI234" s="35">
        <v>0</v>
      </c>
      <c r="AJ234" s="35">
        <v>0</v>
      </c>
      <c r="AK234" s="35">
        <v>0</v>
      </c>
      <c r="AL234" s="35">
        <v>0</v>
      </c>
      <c r="AM234" s="35">
        <v>0</v>
      </c>
      <c r="AN234" s="35">
        <v>0</v>
      </c>
      <c r="AO234" s="35">
        <v>0</v>
      </c>
      <c r="AP234" s="35">
        <v>0</v>
      </c>
      <c r="AQ234" s="35">
        <v>0</v>
      </c>
      <c r="AR234" s="35">
        <v>0</v>
      </c>
      <c r="AS234" s="35">
        <v>0</v>
      </c>
      <c r="AT234" s="35">
        <v>0</v>
      </c>
      <c r="AU234" s="35">
        <v>0</v>
      </c>
      <c r="AV234" s="35">
        <v>0</v>
      </c>
      <c r="AW234" s="35">
        <v>0</v>
      </c>
      <c r="AX234" s="35">
        <v>0</v>
      </c>
      <c r="AY234" s="35">
        <v>0</v>
      </c>
      <c r="AZ234" s="35">
        <v>0</v>
      </c>
      <c r="BA234" s="35">
        <v>0</v>
      </c>
      <c r="BB234" s="35">
        <v>0</v>
      </c>
    </row>
    <row r="235" spans="2:54" x14ac:dyDescent="0.25">
      <c r="B235" s="43" t="str">
        <f t="shared" ref="B235:B239" si="72">B228</f>
        <v>DownTime B</v>
      </c>
      <c r="C235" s="35">
        <v>0.4</v>
      </c>
      <c r="D235" s="35">
        <v>0.4</v>
      </c>
      <c r="E235" s="35">
        <v>0.4</v>
      </c>
      <c r="F235" s="35">
        <v>0.4</v>
      </c>
      <c r="G235" s="35">
        <v>0.4</v>
      </c>
      <c r="H235" s="35">
        <v>0.4</v>
      </c>
      <c r="I235" s="35">
        <v>0.4</v>
      </c>
      <c r="J235" s="35">
        <v>0.5</v>
      </c>
      <c r="K235" s="35">
        <v>0.3</v>
      </c>
      <c r="L235" s="35">
        <v>0.6</v>
      </c>
      <c r="M235" s="35">
        <v>0.3</v>
      </c>
      <c r="N235" s="35">
        <v>0.4</v>
      </c>
      <c r="O235" s="35">
        <v>0.4</v>
      </c>
      <c r="P235" s="35">
        <v>0.5</v>
      </c>
      <c r="Q235" s="35">
        <v>0.3</v>
      </c>
      <c r="R235" s="35">
        <v>0.6</v>
      </c>
      <c r="S235" s="35">
        <v>0.3</v>
      </c>
      <c r="T235" s="35">
        <v>0.4</v>
      </c>
      <c r="U235" s="35">
        <v>0.5</v>
      </c>
      <c r="V235" s="35">
        <v>0.3</v>
      </c>
      <c r="W235" s="35">
        <v>0.6</v>
      </c>
      <c r="X235" s="35">
        <v>0.3</v>
      </c>
      <c r="Y235" s="35">
        <v>0.4</v>
      </c>
      <c r="Z235" s="35">
        <v>0.4</v>
      </c>
      <c r="AA235" s="35">
        <v>0.5</v>
      </c>
      <c r="AB235" s="35">
        <v>0.3</v>
      </c>
      <c r="AC235" s="35">
        <v>0.6</v>
      </c>
      <c r="AD235" s="35">
        <v>0.3</v>
      </c>
      <c r="AE235" s="35">
        <v>0.4</v>
      </c>
      <c r="AF235" s="35">
        <v>0.5</v>
      </c>
      <c r="AG235" s="35">
        <v>0.3</v>
      </c>
      <c r="AH235" s="35">
        <v>0.6</v>
      </c>
      <c r="AI235" s="35">
        <v>0.3</v>
      </c>
      <c r="AJ235" s="35">
        <v>0.4</v>
      </c>
      <c r="AK235" s="35">
        <v>0.4</v>
      </c>
      <c r="AL235" s="35">
        <v>0.5</v>
      </c>
      <c r="AM235" s="35">
        <v>0.3</v>
      </c>
      <c r="AN235" s="35">
        <v>0.6</v>
      </c>
      <c r="AO235" s="35">
        <v>0.3</v>
      </c>
      <c r="AP235" s="35">
        <v>0.4</v>
      </c>
      <c r="AQ235" s="35">
        <v>0.4</v>
      </c>
      <c r="AR235" s="35">
        <v>0.4</v>
      </c>
      <c r="AS235" s="35">
        <v>0.5</v>
      </c>
      <c r="AT235" s="35">
        <v>0.3</v>
      </c>
      <c r="AU235" s="35">
        <v>0.4</v>
      </c>
      <c r="AV235" s="35">
        <v>0.5</v>
      </c>
      <c r="AW235" s="35">
        <v>0.3</v>
      </c>
      <c r="AX235" s="35">
        <v>0.6</v>
      </c>
      <c r="AY235" s="35">
        <v>0.3</v>
      </c>
      <c r="AZ235" s="35">
        <v>0.4</v>
      </c>
      <c r="BA235" s="35">
        <v>0.4</v>
      </c>
      <c r="BB235" s="35">
        <v>0.2</v>
      </c>
    </row>
    <row r="236" spans="2:54" x14ac:dyDescent="0.25">
      <c r="B236" s="43" t="str">
        <f t="shared" si="72"/>
        <v>DownTime C</v>
      </c>
      <c r="C236" s="35">
        <v>0</v>
      </c>
      <c r="D236" s="35">
        <v>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  <c r="U236" s="35">
        <v>0</v>
      </c>
      <c r="V236" s="35">
        <v>0</v>
      </c>
      <c r="W236" s="35">
        <v>0</v>
      </c>
      <c r="X236" s="35">
        <v>0</v>
      </c>
      <c r="Y236" s="35">
        <v>0</v>
      </c>
      <c r="Z236" s="35">
        <v>0</v>
      </c>
      <c r="AA236" s="35">
        <v>0</v>
      </c>
      <c r="AB236" s="35">
        <v>0</v>
      </c>
      <c r="AC236" s="35">
        <v>0</v>
      </c>
      <c r="AD236" s="35">
        <v>0</v>
      </c>
      <c r="AE236" s="35">
        <v>0</v>
      </c>
      <c r="AF236" s="35">
        <v>0</v>
      </c>
      <c r="AG236" s="35">
        <v>0</v>
      </c>
      <c r="AH236" s="35">
        <v>0</v>
      </c>
      <c r="AI236" s="35">
        <v>0</v>
      </c>
      <c r="AJ236" s="35">
        <v>0</v>
      </c>
      <c r="AK236" s="35">
        <v>0</v>
      </c>
      <c r="AL236" s="35">
        <v>0</v>
      </c>
      <c r="AM236" s="35">
        <v>0</v>
      </c>
      <c r="AN236" s="35">
        <v>0</v>
      </c>
      <c r="AO236" s="35">
        <v>0</v>
      </c>
      <c r="AP236" s="35">
        <v>0</v>
      </c>
      <c r="AQ236" s="35">
        <v>0</v>
      </c>
      <c r="AR236" s="35">
        <v>0</v>
      </c>
      <c r="AS236" s="35">
        <v>0</v>
      </c>
      <c r="AT236" s="35">
        <v>0</v>
      </c>
      <c r="AU236" s="35">
        <v>0</v>
      </c>
      <c r="AV236" s="35">
        <v>0</v>
      </c>
      <c r="AW236" s="35">
        <v>0</v>
      </c>
      <c r="AX236" s="35">
        <v>0</v>
      </c>
      <c r="AY236" s="35">
        <v>0</v>
      </c>
      <c r="AZ236" s="35">
        <v>0</v>
      </c>
      <c r="BA236" s="35">
        <v>0</v>
      </c>
      <c r="BB236" s="35">
        <v>0</v>
      </c>
    </row>
    <row r="237" spans="2:54" x14ac:dyDescent="0.25">
      <c r="B237" s="43" t="str">
        <f t="shared" si="72"/>
        <v>DownTime D</v>
      </c>
      <c r="C237" s="35">
        <v>0</v>
      </c>
      <c r="D237" s="35">
        <v>0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  <c r="U237" s="35">
        <v>0</v>
      </c>
      <c r="V237" s="35">
        <v>0</v>
      </c>
      <c r="W237" s="35">
        <v>0</v>
      </c>
      <c r="X237" s="35">
        <v>0</v>
      </c>
      <c r="Y237" s="35">
        <v>0</v>
      </c>
      <c r="Z237" s="35">
        <v>0</v>
      </c>
      <c r="AA237" s="35">
        <v>0</v>
      </c>
      <c r="AB237" s="35">
        <v>0</v>
      </c>
      <c r="AC237" s="35">
        <v>0</v>
      </c>
      <c r="AD237" s="35">
        <v>0</v>
      </c>
      <c r="AE237" s="35">
        <v>0</v>
      </c>
      <c r="AF237" s="35">
        <v>0</v>
      </c>
      <c r="AG237" s="35">
        <v>0</v>
      </c>
      <c r="AH237" s="35">
        <v>0</v>
      </c>
      <c r="AI237" s="35">
        <v>0</v>
      </c>
      <c r="AJ237" s="35">
        <v>0</v>
      </c>
      <c r="AK237" s="35">
        <v>0</v>
      </c>
      <c r="AL237" s="35">
        <v>0</v>
      </c>
      <c r="AM237" s="35">
        <v>0</v>
      </c>
      <c r="AN237" s="35">
        <v>0</v>
      </c>
      <c r="AO237" s="35">
        <v>0</v>
      </c>
      <c r="AP237" s="35">
        <v>0</v>
      </c>
      <c r="AQ237" s="35">
        <v>0</v>
      </c>
      <c r="AR237" s="35">
        <v>0</v>
      </c>
      <c r="AS237" s="35">
        <v>0</v>
      </c>
      <c r="AT237" s="35">
        <v>0</v>
      </c>
      <c r="AU237" s="35">
        <v>0</v>
      </c>
      <c r="AV237" s="35">
        <v>0</v>
      </c>
      <c r="AW237" s="35">
        <v>0</v>
      </c>
      <c r="AX237" s="35">
        <v>0</v>
      </c>
      <c r="AY237" s="35">
        <v>0</v>
      </c>
      <c r="AZ237" s="35">
        <v>0</v>
      </c>
      <c r="BA237" s="35">
        <v>0</v>
      </c>
      <c r="BB237" s="35">
        <v>0</v>
      </c>
    </row>
    <row r="238" spans="2:54" x14ac:dyDescent="0.25">
      <c r="B238" s="43" t="str">
        <f t="shared" si="72"/>
        <v>DownTime E</v>
      </c>
      <c r="C238" s="35">
        <v>0</v>
      </c>
      <c r="D238" s="35">
        <v>0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  <c r="U238" s="35">
        <v>0</v>
      </c>
      <c r="V238" s="35">
        <v>0</v>
      </c>
      <c r="W238" s="35">
        <v>0</v>
      </c>
      <c r="X238" s="35">
        <v>0</v>
      </c>
      <c r="Y238" s="35">
        <v>0</v>
      </c>
      <c r="Z238" s="35">
        <v>0</v>
      </c>
      <c r="AA238" s="35">
        <v>0</v>
      </c>
      <c r="AB238" s="35">
        <v>0</v>
      </c>
      <c r="AC238" s="35">
        <v>0</v>
      </c>
      <c r="AD238" s="35">
        <v>0</v>
      </c>
      <c r="AE238" s="35">
        <v>0</v>
      </c>
      <c r="AF238" s="35">
        <v>0</v>
      </c>
      <c r="AG238" s="35">
        <v>0</v>
      </c>
      <c r="AH238" s="35">
        <v>0</v>
      </c>
      <c r="AI238" s="35">
        <v>0</v>
      </c>
      <c r="AJ238" s="35">
        <v>0</v>
      </c>
      <c r="AK238" s="35">
        <v>0</v>
      </c>
      <c r="AL238" s="35">
        <v>0</v>
      </c>
      <c r="AM238" s="35">
        <v>0</v>
      </c>
      <c r="AN238" s="35">
        <v>0</v>
      </c>
      <c r="AO238" s="35">
        <v>0</v>
      </c>
      <c r="AP238" s="35">
        <v>0</v>
      </c>
      <c r="AQ238" s="35">
        <v>0</v>
      </c>
      <c r="AR238" s="35">
        <v>0</v>
      </c>
      <c r="AS238" s="35">
        <v>0</v>
      </c>
      <c r="AT238" s="35">
        <v>0</v>
      </c>
      <c r="AU238" s="35">
        <v>0</v>
      </c>
      <c r="AV238" s="35">
        <v>0</v>
      </c>
      <c r="AW238" s="35">
        <v>0</v>
      </c>
      <c r="AX238" s="35">
        <v>0</v>
      </c>
      <c r="AY238" s="35">
        <v>0</v>
      </c>
      <c r="AZ238" s="35">
        <v>0</v>
      </c>
      <c r="BA238" s="35">
        <v>0</v>
      </c>
      <c r="BB238" s="35">
        <v>0</v>
      </c>
    </row>
    <row r="239" spans="2:54" x14ac:dyDescent="0.25">
      <c r="B239" s="43" t="str">
        <f t="shared" si="72"/>
        <v>DownTime F</v>
      </c>
      <c r="C239" s="35">
        <v>0</v>
      </c>
      <c r="D239" s="35">
        <v>0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  <c r="U239" s="35">
        <v>0</v>
      </c>
      <c r="V239" s="35">
        <v>0</v>
      </c>
      <c r="W239" s="35">
        <v>0</v>
      </c>
      <c r="X239" s="35">
        <v>0</v>
      </c>
      <c r="Y239" s="35">
        <v>0</v>
      </c>
      <c r="Z239" s="35">
        <v>0</v>
      </c>
      <c r="AA239" s="35">
        <v>0</v>
      </c>
      <c r="AB239" s="35">
        <v>0</v>
      </c>
      <c r="AC239" s="35">
        <v>0</v>
      </c>
      <c r="AD239" s="35">
        <v>0</v>
      </c>
      <c r="AE239" s="35">
        <v>0</v>
      </c>
      <c r="AF239" s="35">
        <v>0</v>
      </c>
      <c r="AG239" s="35">
        <v>0</v>
      </c>
      <c r="AH239" s="35">
        <v>0</v>
      </c>
      <c r="AI239" s="35">
        <v>0</v>
      </c>
      <c r="AJ239" s="35">
        <v>0</v>
      </c>
      <c r="AK239" s="35">
        <v>0</v>
      </c>
      <c r="AL239" s="35">
        <v>0</v>
      </c>
      <c r="AM239" s="35">
        <v>0</v>
      </c>
      <c r="AN239" s="35">
        <v>0</v>
      </c>
      <c r="AO239" s="35">
        <v>0</v>
      </c>
      <c r="AP239" s="35">
        <v>0</v>
      </c>
      <c r="AQ239" s="35">
        <v>0</v>
      </c>
      <c r="AR239" s="35">
        <v>0</v>
      </c>
      <c r="AS239" s="35">
        <v>0</v>
      </c>
      <c r="AT239" s="35">
        <v>0</v>
      </c>
      <c r="AU239" s="35">
        <v>0</v>
      </c>
      <c r="AV239" s="35">
        <v>0</v>
      </c>
      <c r="AW239" s="35">
        <v>0</v>
      </c>
      <c r="AX239" s="35">
        <v>0</v>
      </c>
      <c r="AY239" s="35">
        <v>0</v>
      </c>
      <c r="AZ239" s="35">
        <v>0</v>
      </c>
      <c r="BA239" s="35">
        <v>0</v>
      </c>
      <c r="BB239" s="35">
        <v>0</v>
      </c>
    </row>
    <row r="241" spans="1:54" x14ac:dyDescent="0.25">
      <c r="A241" s="35">
        <v>8</v>
      </c>
      <c r="B241" s="106" t="s">
        <v>248</v>
      </c>
      <c r="C241" s="104">
        <v>1</v>
      </c>
      <c r="D241" s="104">
        <f>C241+1</f>
        <v>2</v>
      </c>
      <c r="E241" s="104">
        <f t="shared" ref="E241:BB241" si="73">D241+1</f>
        <v>3</v>
      </c>
      <c r="F241" s="104">
        <f t="shared" si="73"/>
        <v>4</v>
      </c>
      <c r="G241" s="104">
        <f t="shared" si="73"/>
        <v>5</v>
      </c>
      <c r="H241" s="104">
        <f t="shared" si="73"/>
        <v>6</v>
      </c>
      <c r="I241" s="104">
        <f t="shared" si="73"/>
        <v>7</v>
      </c>
      <c r="J241" s="104">
        <f t="shared" si="73"/>
        <v>8</v>
      </c>
      <c r="K241" s="104">
        <f t="shared" si="73"/>
        <v>9</v>
      </c>
      <c r="L241" s="104">
        <f t="shared" si="73"/>
        <v>10</v>
      </c>
      <c r="M241" s="104">
        <f t="shared" si="73"/>
        <v>11</v>
      </c>
      <c r="N241" s="104">
        <f t="shared" si="73"/>
        <v>12</v>
      </c>
      <c r="O241" s="104">
        <f t="shared" si="73"/>
        <v>13</v>
      </c>
      <c r="P241" s="104">
        <f t="shared" si="73"/>
        <v>14</v>
      </c>
      <c r="Q241" s="104">
        <f t="shared" si="73"/>
        <v>15</v>
      </c>
      <c r="R241" s="104">
        <f t="shared" si="73"/>
        <v>16</v>
      </c>
      <c r="S241" s="104">
        <f t="shared" si="73"/>
        <v>17</v>
      </c>
      <c r="T241" s="104">
        <f t="shared" si="73"/>
        <v>18</v>
      </c>
      <c r="U241" s="104">
        <f t="shared" si="73"/>
        <v>19</v>
      </c>
      <c r="V241" s="104">
        <f t="shared" si="73"/>
        <v>20</v>
      </c>
      <c r="W241" s="104">
        <f t="shared" si="73"/>
        <v>21</v>
      </c>
      <c r="X241" s="104">
        <f t="shared" si="73"/>
        <v>22</v>
      </c>
      <c r="Y241" s="104">
        <f t="shared" si="73"/>
        <v>23</v>
      </c>
      <c r="Z241" s="104">
        <f t="shared" si="73"/>
        <v>24</v>
      </c>
      <c r="AA241" s="104">
        <f t="shared" si="73"/>
        <v>25</v>
      </c>
      <c r="AB241" s="104">
        <f t="shared" si="73"/>
        <v>26</v>
      </c>
      <c r="AC241" s="104">
        <f t="shared" si="73"/>
        <v>27</v>
      </c>
      <c r="AD241" s="104">
        <f t="shared" si="73"/>
        <v>28</v>
      </c>
      <c r="AE241" s="104">
        <f t="shared" si="73"/>
        <v>29</v>
      </c>
      <c r="AF241" s="104">
        <f t="shared" si="73"/>
        <v>30</v>
      </c>
      <c r="AG241" s="104">
        <f t="shared" si="73"/>
        <v>31</v>
      </c>
      <c r="AH241" s="104">
        <f t="shared" si="73"/>
        <v>32</v>
      </c>
      <c r="AI241" s="104">
        <f t="shared" si="73"/>
        <v>33</v>
      </c>
      <c r="AJ241" s="104">
        <f t="shared" si="73"/>
        <v>34</v>
      </c>
      <c r="AK241" s="104">
        <f t="shared" si="73"/>
        <v>35</v>
      </c>
      <c r="AL241" s="104">
        <f t="shared" si="73"/>
        <v>36</v>
      </c>
      <c r="AM241" s="104">
        <f t="shared" si="73"/>
        <v>37</v>
      </c>
      <c r="AN241" s="104">
        <f t="shared" si="73"/>
        <v>38</v>
      </c>
      <c r="AO241" s="104">
        <f t="shared" si="73"/>
        <v>39</v>
      </c>
      <c r="AP241" s="104">
        <f t="shared" si="73"/>
        <v>40</v>
      </c>
      <c r="AQ241" s="104">
        <f t="shared" si="73"/>
        <v>41</v>
      </c>
      <c r="AR241" s="104">
        <f t="shared" si="73"/>
        <v>42</v>
      </c>
      <c r="AS241" s="104">
        <f t="shared" si="73"/>
        <v>43</v>
      </c>
      <c r="AT241" s="104">
        <f t="shared" si="73"/>
        <v>44</v>
      </c>
      <c r="AU241" s="104">
        <f t="shared" si="73"/>
        <v>45</v>
      </c>
      <c r="AV241" s="104">
        <f t="shared" si="73"/>
        <v>46</v>
      </c>
      <c r="AW241" s="104">
        <f t="shared" si="73"/>
        <v>47</v>
      </c>
      <c r="AX241" s="104">
        <f t="shared" si="73"/>
        <v>48</v>
      </c>
      <c r="AY241" s="104">
        <f t="shared" si="73"/>
        <v>49</v>
      </c>
      <c r="AZ241" s="104">
        <f t="shared" si="73"/>
        <v>50</v>
      </c>
      <c r="BA241" s="104">
        <f t="shared" si="73"/>
        <v>51</v>
      </c>
      <c r="BB241" s="104">
        <f t="shared" si="73"/>
        <v>52</v>
      </c>
    </row>
    <row r="242" spans="1:54" x14ac:dyDescent="0.25">
      <c r="A242" s="35">
        <v>6</v>
      </c>
      <c r="B242" s="106" t="s">
        <v>250</v>
      </c>
      <c r="C242" s="35">
        <v>0.4</v>
      </c>
      <c r="D242" s="35">
        <v>0.5</v>
      </c>
      <c r="E242" s="35">
        <v>0.3</v>
      </c>
      <c r="F242" s="35">
        <v>0.6</v>
      </c>
      <c r="G242" s="35">
        <v>0.3</v>
      </c>
      <c r="H242" s="35">
        <v>0.4</v>
      </c>
      <c r="I242" s="35">
        <v>0.4</v>
      </c>
      <c r="J242" s="35">
        <v>0.5</v>
      </c>
      <c r="K242" s="35">
        <v>0.3</v>
      </c>
      <c r="L242" s="35">
        <v>0.6</v>
      </c>
      <c r="M242" s="35">
        <v>0.3</v>
      </c>
      <c r="N242" s="35">
        <v>0.4</v>
      </c>
      <c r="O242" s="35">
        <v>0.5</v>
      </c>
      <c r="P242" s="35">
        <v>0.3</v>
      </c>
      <c r="Q242" s="35">
        <v>0.6</v>
      </c>
      <c r="R242" s="35">
        <v>0.3</v>
      </c>
      <c r="S242" s="35">
        <v>0.4</v>
      </c>
      <c r="T242" s="35">
        <v>0.4</v>
      </c>
      <c r="U242" s="35">
        <v>0.5</v>
      </c>
      <c r="V242" s="35">
        <v>0.3</v>
      </c>
      <c r="W242" s="35">
        <v>0.6</v>
      </c>
      <c r="X242" s="35">
        <v>0.3</v>
      </c>
      <c r="Y242" s="35">
        <v>0.4</v>
      </c>
      <c r="Z242" s="35">
        <v>0.5</v>
      </c>
      <c r="AA242" s="35">
        <v>0.3</v>
      </c>
      <c r="AB242" s="35">
        <v>0.6</v>
      </c>
      <c r="AC242" s="35">
        <v>0.3</v>
      </c>
      <c r="AD242" s="35">
        <v>0.4</v>
      </c>
      <c r="AE242" s="35">
        <v>0.4</v>
      </c>
      <c r="AF242" s="35">
        <v>0.5</v>
      </c>
      <c r="AG242" s="35">
        <v>0.3</v>
      </c>
      <c r="AH242" s="35">
        <v>0.6</v>
      </c>
      <c r="AI242" s="35">
        <v>0.3</v>
      </c>
      <c r="AJ242" s="35">
        <v>0.4</v>
      </c>
      <c r="AK242" s="35">
        <v>0.4</v>
      </c>
      <c r="AL242" s="35">
        <v>0.4</v>
      </c>
      <c r="AM242" s="35">
        <v>0.5</v>
      </c>
      <c r="AN242" s="35">
        <v>0.3</v>
      </c>
      <c r="AO242" s="35">
        <v>0.4</v>
      </c>
      <c r="AP242" s="35">
        <v>0.5</v>
      </c>
      <c r="AQ242" s="35">
        <v>0.3</v>
      </c>
      <c r="AR242" s="35">
        <v>0.6</v>
      </c>
      <c r="AS242" s="35">
        <v>0.3</v>
      </c>
      <c r="AT242" s="35">
        <v>0.4</v>
      </c>
      <c r="AU242" s="35">
        <v>0.4</v>
      </c>
      <c r="AV242" s="35">
        <v>0.5</v>
      </c>
      <c r="AW242" s="35">
        <v>0.3</v>
      </c>
      <c r="AX242" s="35">
        <v>0.6</v>
      </c>
      <c r="AY242" s="35">
        <v>0.3</v>
      </c>
      <c r="AZ242" s="35">
        <v>0.4</v>
      </c>
      <c r="BA242" s="35">
        <v>0.4</v>
      </c>
      <c r="BB242" s="35">
        <v>0.2</v>
      </c>
    </row>
    <row r="243" spans="1:54" x14ac:dyDescent="0.25">
      <c r="B243" s="106" t="s">
        <v>251</v>
      </c>
      <c r="C243" s="35">
        <v>0</v>
      </c>
      <c r="D243" s="35">
        <v>0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  <c r="U243" s="35">
        <v>0</v>
      </c>
      <c r="V243" s="35">
        <v>0</v>
      </c>
      <c r="W243" s="35">
        <v>0</v>
      </c>
      <c r="X243" s="35">
        <v>0</v>
      </c>
      <c r="Y243" s="35">
        <v>0</v>
      </c>
      <c r="Z243" s="35">
        <v>0</v>
      </c>
      <c r="AA243" s="35">
        <v>0</v>
      </c>
      <c r="AB243" s="35">
        <v>0</v>
      </c>
      <c r="AC243" s="35">
        <v>0</v>
      </c>
      <c r="AD243" s="35">
        <v>0</v>
      </c>
      <c r="AE243" s="35">
        <v>0</v>
      </c>
      <c r="AF243" s="35">
        <v>0</v>
      </c>
      <c r="AG243" s="35">
        <v>0</v>
      </c>
      <c r="AH243" s="35">
        <v>0</v>
      </c>
      <c r="AI243" s="35">
        <v>0</v>
      </c>
      <c r="AJ243" s="35">
        <v>0</v>
      </c>
      <c r="AK243" s="35">
        <v>0</v>
      </c>
      <c r="AL243" s="35">
        <v>0</v>
      </c>
      <c r="AM243" s="35">
        <v>0</v>
      </c>
      <c r="AN243" s="35">
        <v>0</v>
      </c>
      <c r="AO243" s="35">
        <v>0</v>
      </c>
      <c r="AP243" s="35">
        <v>0</v>
      </c>
      <c r="AQ243" s="35">
        <v>0</v>
      </c>
      <c r="AR243" s="35">
        <v>0</v>
      </c>
      <c r="AS243" s="35">
        <v>0</v>
      </c>
      <c r="AT243" s="35">
        <v>0</v>
      </c>
      <c r="AU243" s="35">
        <v>0</v>
      </c>
      <c r="AV243" s="35">
        <v>0</v>
      </c>
      <c r="AW243" s="35">
        <v>0</v>
      </c>
      <c r="AX243" s="35">
        <v>0</v>
      </c>
      <c r="AY243" s="35">
        <v>0</v>
      </c>
      <c r="AZ243" s="35">
        <v>0</v>
      </c>
      <c r="BA243" s="35">
        <v>0</v>
      </c>
      <c r="BB243" s="35">
        <v>0</v>
      </c>
    </row>
    <row r="244" spans="1:54" x14ac:dyDescent="0.25">
      <c r="B244" s="106" t="s">
        <v>252</v>
      </c>
      <c r="C244" s="35">
        <v>0</v>
      </c>
      <c r="D244" s="35">
        <v>0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  <c r="U244" s="35">
        <v>0</v>
      </c>
      <c r="V244" s="35">
        <v>0</v>
      </c>
      <c r="W244" s="35">
        <v>0</v>
      </c>
      <c r="X244" s="35">
        <v>0</v>
      </c>
      <c r="Y244" s="35">
        <v>0</v>
      </c>
      <c r="Z244" s="35">
        <v>0</v>
      </c>
      <c r="AA244" s="35">
        <v>0</v>
      </c>
      <c r="AB244" s="35">
        <v>0</v>
      </c>
      <c r="AC244" s="35">
        <v>0</v>
      </c>
      <c r="AD244" s="35">
        <v>0</v>
      </c>
      <c r="AE244" s="35">
        <v>0</v>
      </c>
      <c r="AF244" s="35">
        <v>0</v>
      </c>
      <c r="AG244" s="35">
        <v>0</v>
      </c>
      <c r="AH244" s="35">
        <v>0</v>
      </c>
      <c r="AI244" s="35">
        <v>0</v>
      </c>
      <c r="AJ244" s="35">
        <v>0</v>
      </c>
      <c r="AK244" s="35">
        <v>0</v>
      </c>
      <c r="AL244" s="35">
        <v>0</v>
      </c>
      <c r="AM244" s="35">
        <v>0</v>
      </c>
      <c r="AN244" s="35">
        <v>0</v>
      </c>
      <c r="AO244" s="35">
        <v>0</v>
      </c>
      <c r="AP244" s="35">
        <v>0</v>
      </c>
      <c r="AQ244" s="35">
        <v>0</v>
      </c>
      <c r="AR244" s="35">
        <v>0</v>
      </c>
      <c r="AS244" s="35">
        <v>0</v>
      </c>
      <c r="AT244" s="35">
        <v>0</v>
      </c>
      <c r="AU244" s="35">
        <v>0</v>
      </c>
      <c r="AV244" s="35">
        <v>0</v>
      </c>
      <c r="AW244" s="35">
        <v>0</v>
      </c>
      <c r="AX244" s="35">
        <v>0</v>
      </c>
      <c r="AY244" s="35">
        <v>0</v>
      </c>
      <c r="AZ244" s="35">
        <v>0</v>
      </c>
      <c r="BA244" s="35">
        <v>0</v>
      </c>
      <c r="BB244" s="35">
        <v>0</v>
      </c>
    </row>
    <row r="245" spans="1:54" x14ac:dyDescent="0.25">
      <c r="B245" s="106" t="s">
        <v>253</v>
      </c>
      <c r="C245" s="35">
        <v>0</v>
      </c>
      <c r="D245" s="35">
        <v>0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  <c r="U245" s="35">
        <v>0</v>
      </c>
      <c r="V245" s="35">
        <v>0</v>
      </c>
      <c r="W245" s="35">
        <v>0</v>
      </c>
      <c r="X245" s="35">
        <v>0</v>
      </c>
      <c r="Y245" s="35">
        <v>0</v>
      </c>
      <c r="Z245" s="35">
        <v>0</v>
      </c>
      <c r="AA245" s="35">
        <v>0</v>
      </c>
      <c r="AB245" s="35">
        <v>0</v>
      </c>
      <c r="AC245" s="35">
        <v>0</v>
      </c>
      <c r="AD245" s="35">
        <v>0</v>
      </c>
      <c r="AE245" s="35">
        <v>0</v>
      </c>
      <c r="AF245" s="35">
        <v>0</v>
      </c>
      <c r="AG245" s="35">
        <v>0</v>
      </c>
      <c r="AH245" s="35">
        <v>0</v>
      </c>
      <c r="AI245" s="35">
        <v>0</v>
      </c>
      <c r="AJ245" s="35">
        <v>0</v>
      </c>
      <c r="AK245" s="35">
        <v>0</v>
      </c>
      <c r="AL245" s="35">
        <v>0</v>
      </c>
      <c r="AM245" s="35">
        <v>0</v>
      </c>
      <c r="AN245" s="35">
        <v>0</v>
      </c>
      <c r="AO245" s="35">
        <v>0</v>
      </c>
      <c r="AP245" s="35">
        <v>0</v>
      </c>
      <c r="AQ245" s="35">
        <v>0</v>
      </c>
      <c r="AR245" s="35">
        <v>0</v>
      </c>
      <c r="AS245" s="35">
        <v>0</v>
      </c>
      <c r="AT245" s="35">
        <v>0</v>
      </c>
      <c r="AU245" s="35">
        <v>0</v>
      </c>
      <c r="AV245" s="35">
        <v>0</v>
      </c>
      <c r="AW245" s="35">
        <v>0</v>
      </c>
      <c r="AX245" s="35">
        <v>0</v>
      </c>
      <c r="AY245" s="35">
        <v>0</v>
      </c>
      <c r="AZ245" s="35">
        <v>0</v>
      </c>
      <c r="BA245" s="35">
        <v>0</v>
      </c>
      <c r="BB245" s="35">
        <v>0</v>
      </c>
    </row>
    <row r="246" spans="1:54" x14ac:dyDescent="0.25">
      <c r="B246" s="106" t="s">
        <v>254</v>
      </c>
      <c r="C246" s="35">
        <v>0</v>
      </c>
      <c r="D246" s="35">
        <v>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  <c r="U246" s="35">
        <v>0</v>
      </c>
      <c r="V246" s="35">
        <v>0</v>
      </c>
      <c r="W246" s="35">
        <v>0</v>
      </c>
      <c r="X246" s="35">
        <v>0</v>
      </c>
      <c r="Y246" s="35">
        <v>0</v>
      </c>
      <c r="Z246" s="35">
        <v>0</v>
      </c>
      <c r="AA246" s="35">
        <v>0</v>
      </c>
      <c r="AB246" s="35">
        <v>0</v>
      </c>
      <c r="AC246" s="35">
        <v>0</v>
      </c>
      <c r="AD246" s="35">
        <v>0</v>
      </c>
      <c r="AE246" s="35">
        <v>0</v>
      </c>
      <c r="AF246" s="35">
        <v>0</v>
      </c>
      <c r="AG246" s="35">
        <v>0</v>
      </c>
      <c r="AH246" s="35">
        <v>0</v>
      </c>
      <c r="AI246" s="35">
        <v>0</v>
      </c>
      <c r="AJ246" s="35">
        <v>0</v>
      </c>
      <c r="AK246" s="35">
        <v>0</v>
      </c>
      <c r="AL246" s="35">
        <v>0</v>
      </c>
      <c r="AM246" s="35">
        <v>0</v>
      </c>
      <c r="AN246" s="35">
        <v>0</v>
      </c>
      <c r="AO246" s="35">
        <v>0</v>
      </c>
      <c r="AP246" s="35">
        <v>0</v>
      </c>
      <c r="AQ246" s="35">
        <v>0</v>
      </c>
      <c r="AR246" s="35">
        <v>0</v>
      </c>
      <c r="AS246" s="35">
        <v>0</v>
      </c>
      <c r="AT246" s="35">
        <v>0</v>
      </c>
      <c r="AU246" s="35">
        <v>0</v>
      </c>
      <c r="AV246" s="35">
        <v>0</v>
      </c>
      <c r="AW246" s="35">
        <v>0</v>
      </c>
      <c r="AX246" s="35">
        <v>0</v>
      </c>
      <c r="AY246" s="35">
        <v>0</v>
      </c>
      <c r="AZ246" s="35">
        <v>0</v>
      </c>
      <c r="BA246" s="35">
        <v>0</v>
      </c>
      <c r="BB246" s="35">
        <v>0</v>
      </c>
    </row>
    <row r="247" spans="1:54" x14ac:dyDescent="0.25">
      <c r="B247" s="106" t="s">
        <v>255</v>
      </c>
      <c r="C247" s="35">
        <v>0.4</v>
      </c>
      <c r="D247" s="35">
        <v>0.5</v>
      </c>
      <c r="E247" s="35">
        <v>0.3</v>
      </c>
      <c r="F247" s="35">
        <v>0.6</v>
      </c>
      <c r="G247" s="35">
        <v>0.3</v>
      </c>
      <c r="H247" s="35">
        <v>0.4</v>
      </c>
      <c r="I247" s="35">
        <v>0.4</v>
      </c>
      <c r="J247" s="35">
        <v>0.5</v>
      </c>
      <c r="K247" s="35">
        <v>0.3</v>
      </c>
      <c r="L247" s="35">
        <v>0.6</v>
      </c>
      <c r="M247" s="35">
        <v>0.3</v>
      </c>
      <c r="N247" s="35">
        <v>0.4</v>
      </c>
      <c r="O247" s="35">
        <v>0.5</v>
      </c>
      <c r="P247" s="35">
        <v>0.3</v>
      </c>
      <c r="Q247" s="35">
        <v>0.6</v>
      </c>
      <c r="R247" s="35">
        <v>0.3</v>
      </c>
      <c r="S247" s="35">
        <v>0.4</v>
      </c>
      <c r="T247" s="35">
        <v>0.4</v>
      </c>
      <c r="U247" s="35">
        <v>0.5</v>
      </c>
      <c r="V247" s="35">
        <v>0.3</v>
      </c>
      <c r="W247" s="35">
        <v>0.6</v>
      </c>
      <c r="X247" s="35">
        <v>0.3</v>
      </c>
      <c r="Y247" s="35">
        <v>0.4</v>
      </c>
      <c r="Z247" s="35">
        <v>0.5</v>
      </c>
      <c r="AA247" s="35">
        <v>0.3</v>
      </c>
      <c r="AB247" s="35">
        <v>0.6</v>
      </c>
      <c r="AC247" s="35">
        <v>0.3</v>
      </c>
      <c r="AD247" s="35">
        <v>0.4</v>
      </c>
      <c r="AE247" s="35">
        <v>0.4</v>
      </c>
      <c r="AF247" s="35">
        <v>0.5</v>
      </c>
      <c r="AG247" s="35">
        <v>0.3</v>
      </c>
      <c r="AH247" s="35">
        <v>0.6</v>
      </c>
      <c r="AI247" s="35">
        <v>0.3</v>
      </c>
      <c r="AJ247" s="35">
        <v>0.4</v>
      </c>
      <c r="AK247" s="35">
        <v>0.4</v>
      </c>
      <c r="AL247" s="35">
        <v>0.4</v>
      </c>
      <c r="AM247" s="35">
        <v>0.5</v>
      </c>
      <c r="AN247" s="35">
        <v>0.3</v>
      </c>
      <c r="AO247" s="35">
        <v>0.4</v>
      </c>
      <c r="AP247" s="35">
        <v>0.5</v>
      </c>
      <c r="AQ247" s="35">
        <v>0.3</v>
      </c>
      <c r="AR247" s="35">
        <v>0.6</v>
      </c>
      <c r="AS247" s="35">
        <v>0.3</v>
      </c>
      <c r="AT247" s="35">
        <v>0.4</v>
      </c>
      <c r="AU247" s="35">
        <v>0.4</v>
      </c>
      <c r="AV247" s="35">
        <v>0.5</v>
      </c>
      <c r="AW247" s="35">
        <v>0.3</v>
      </c>
      <c r="AX247" s="35">
        <v>0.6</v>
      </c>
      <c r="AY247" s="35">
        <v>0.3</v>
      </c>
      <c r="AZ247" s="35">
        <v>0.4</v>
      </c>
      <c r="BA247" s="35">
        <v>0.4</v>
      </c>
      <c r="BB247" s="35">
        <v>0.2</v>
      </c>
    </row>
    <row r="248" spans="1:54" x14ac:dyDescent="0.25">
      <c r="B248" s="106" t="s">
        <v>249</v>
      </c>
      <c r="C248" s="104">
        <v>1</v>
      </c>
      <c r="D248" s="104">
        <f>C248+1</f>
        <v>2</v>
      </c>
      <c r="E248" s="104">
        <f t="shared" ref="E248:BB248" si="74">D248+1</f>
        <v>3</v>
      </c>
      <c r="F248" s="104">
        <f t="shared" si="74"/>
        <v>4</v>
      </c>
      <c r="G248" s="104">
        <f t="shared" si="74"/>
        <v>5</v>
      </c>
      <c r="H248" s="104">
        <f t="shared" si="74"/>
        <v>6</v>
      </c>
      <c r="I248" s="104">
        <f t="shared" si="74"/>
        <v>7</v>
      </c>
      <c r="J248" s="104">
        <f t="shared" si="74"/>
        <v>8</v>
      </c>
      <c r="K248" s="104">
        <f t="shared" si="74"/>
        <v>9</v>
      </c>
      <c r="L248" s="104">
        <f t="shared" si="74"/>
        <v>10</v>
      </c>
      <c r="M248" s="104">
        <f t="shared" si="74"/>
        <v>11</v>
      </c>
      <c r="N248" s="104">
        <f t="shared" si="74"/>
        <v>12</v>
      </c>
      <c r="O248" s="104">
        <f t="shared" si="74"/>
        <v>13</v>
      </c>
      <c r="P248" s="104">
        <f t="shared" si="74"/>
        <v>14</v>
      </c>
      <c r="Q248" s="104">
        <f t="shared" si="74"/>
        <v>15</v>
      </c>
      <c r="R248" s="104">
        <f t="shared" si="74"/>
        <v>16</v>
      </c>
      <c r="S248" s="104">
        <f t="shared" si="74"/>
        <v>17</v>
      </c>
      <c r="T248" s="104">
        <f t="shared" si="74"/>
        <v>18</v>
      </c>
      <c r="U248" s="104">
        <f t="shared" si="74"/>
        <v>19</v>
      </c>
      <c r="V248" s="104">
        <f t="shared" si="74"/>
        <v>20</v>
      </c>
      <c r="W248" s="104">
        <f t="shared" si="74"/>
        <v>21</v>
      </c>
      <c r="X248" s="104">
        <f t="shared" si="74"/>
        <v>22</v>
      </c>
      <c r="Y248" s="104">
        <f t="shared" si="74"/>
        <v>23</v>
      </c>
      <c r="Z248" s="104">
        <f t="shared" si="74"/>
        <v>24</v>
      </c>
      <c r="AA248" s="104">
        <f t="shared" si="74"/>
        <v>25</v>
      </c>
      <c r="AB248" s="104">
        <f t="shared" si="74"/>
        <v>26</v>
      </c>
      <c r="AC248" s="104">
        <f t="shared" si="74"/>
        <v>27</v>
      </c>
      <c r="AD248" s="104">
        <f t="shared" si="74"/>
        <v>28</v>
      </c>
      <c r="AE248" s="104">
        <f t="shared" si="74"/>
        <v>29</v>
      </c>
      <c r="AF248" s="104">
        <f t="shared" si="74"/>
        <v>30</v>
      </c>
      <c r="AG248" s="104">
        <f t="shared" si="74"/>
        <v>31</v>
      </c>
      <c r="AH248" s="104">
        <f t="shared" si="74"/>
        <v>32</v>
      </c>
      <c r="AI248" s="104">
        <f t="shared" si="74"/>
        <v>33</v>
      </c>
      <c r="AJ248" s="104">
        <f t="shared" si="74"/>
        <v>34</v>
      </c>
      <c r="AK248" s="104">
        <f t="shared" si="74"/>
        <v>35</v>
      </c>
      <c r="AL248" s="104">
        <f t="shared" si="74"/>
        <v>36</v>
      </c>
      <c r="AM248" s="104">
        <f t="shared" si="74"/>
        <v>37</v>
      </c>
      <c r="AN248" s="104">
        <f t="shared" si="74"/>
        <v>38</v>
      </c>
      <c r="AO248" s="104">
        <f t="shared" si="74"/>
        <v>39</v>
      </c>
      <c r="AP248" s="104">
        <f t="shared" si="74"/>
        <v>40</v>
      </c>
      <c r="AQ248" s="104">
        <f t="shared" si="74"/>
        <v>41</v>
      </c>
      <c r="AR248" s="104">
        <f t="shared" si="74"/>
        <v>42</v>
      </c>
      <c r="AS248" s="104">
        <f t="shared" si="74"/>
        <v>43</v>
      </c>
      <c r="AT248" s="104">
        <f t="shared" si="74"/>
        <v>44</v>
      </c>
      <c r="AU248" s="104">
        <f t="shared" si="74"/>
        <v>45</v>
      </c>
      <c r="AV248" s="104">
        <f t="shared" si="74"/>
        <v>46</v>
      </c>
      <c r="AW248" s="104">
        <f t="shared" si="74"/>
        <v>47</v>
      </c>
      <c r="AX248" s="104">
        <f t="shared" si="74"/>
        <v>48</v>
      </c>
      <c r="AY248" s="104">
        <f t="shared" si="74"/>
        <v>49</v>
      </c>
      <c r="AZ248" s="104">
        <f t="shared" si="74"/>
        <v>50</v>
      </c>
      <c r="BA248" s="104">
        <f t="shared" si="74"/>
        <v>51</v>
      </c>
      <c r="BB248" s="104">
        <f t="shared" si="74"/>
        <v>52</v>
      </c>
    </row>
    <row r="249" spans="1:54" x14ac:dyDescent="0.25">
      <c r="B249" s="104" t="str">
        <f>B242</f>
        <v>SDT1</v>
      </c>
      <c r="C249" s="35">
        <v>0</v>
      </c>
      <c r="D249" s="35">
        <v>0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  <c r="U249" s="35">
        <v>0</v>
      </c>
      <c r="V249" s="35">
        <v>0</v>
      </c>
      <c r="W249" s="35">
        <v>0</v>
      </c>
      <c r="X249" s="35">
        <v>0</v>
      </c>
      <c r="Y249" s="35">
        <v>0</v>
      </c>
      <c r="Z249" s="35">
        <v>0</v>
      </c>
      <c r="AA249" s="35">
        <v>0</v>
      </c>
      <c r="AB249" s="35">
        <v>0</v>
      </c>
      <c r="AC249" s="35">
        <v>0</v>
      </c>
      <c r="AD249" s="35">
        <v>0</v>
      </c>
      <c r="AE249" s="35">
        <v>0</v>
      </c>
      <c r="AF249" s="35">
        <v>0</v>
      </c>
      <c r="AG249" s="35">
        <v>0</v>
      </c>
      <c r="AH249" s="35">
        <v>0</v>
      </c>
      <c r="AI249" s="35">
        <v>0</v>
      </c>
      <c r="AJ249" s="35">
        <v>0</v>
      </c>
      <c r="AK249" s="35">
        <v>0</v>
      </c>
      <c r="AL249" s="35">
        <v>0</v>
      </c>
      <c r="AM249" s="35">
        <v>0</v>
      </c>
      <c r="AN249" s="35">
        <v>0</v>
      </c>
      <c r="AO249" s="35">
        <v>0</v>
      </c>
      <c r="AP249" s="35">
        <v>0</v>
      </c>
      <c r="AQ249" s="35">
        <v>0</v>
      </c>
      <c r="AR249" s="35">
        <v>0</v>
      </c>
      <c r="AS249" s="35">
        <v>0</v>
      </c>
      <c r="AT249" s="35">
        <v>0</v>
      </c>
      <c r="AU249" s="35">
        <v>0</v>
      </c>
      <c r="AV249" s="35">
        <v>0</v>
      </c>
      <c r="AW249" s="35">
        <v>0</v>
      </c>
      <c r="AX249" s="35">
        <v>0</v>
      </c>
      <c r="AY249" s="35">
        <v>0</v>
      </c>
      <c r="AZ249" s="35">
        <v>0</v>
      </c>
      <c r="BA249" s="35">
        <v>0</v>
      </c>
      <c r="BB249" s="35">
        <v>0</v>
      </c>
    </row>
    <row r="250" spans="1:54" x14ac:dyDescent="0.25">
      <c r="B250" s="104" t="str">
        <f t="shared" ref="B250:B254" si="75">B243</f>
        <v>SDT2</v>
      </c>
      <c r="C250" s="35">
        <v>0</v>
      </c>
      <c r="D250" s="35">
        <v>0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  <c r="U250" s="35">
        <v>0</v>
      </c>
      <c r="V250" s="35">
        <v>0</v>
      </c>
      <c r="W250" s="35">
        <v>0</v>
      </c>
      <c r="X250" s="35">
        <v>0</v>
      </c>
      <c r="Y250" s="35">
        <v>0</v>
      </c>
      <c r="Z250" s="35">
        <v>0</v>
      </c>
      <c r="AA250" s="35">
        <v>0</v>
      </c>
      <c r="AB250" s="35">
        <v>0</v>
      </c>
      <c r="AC250" s="35">
        <v>0</v>
      </c>
      <c r="AD250" s="35">
        <v>0</v>
      </c>
      <c r="AE250" s="35">
        <v>0</v>
      </c>
      <c r="AF250" s="35">
        <v>0</v>
      </c>
      <c r="AG250" s="35">
        <v>0</v>
      </c>
      <c r="AH250" s="35">
        <v>0</v>
      </c>
      <c r="AI250" s="35">
        <v>0</v>
      </c>
      <c r="AJ250" s="35">
        <v>0</v>
      </c>
      <c r="AK250" s="35">
        <v>0</v>
      </c>
      <c r="AL250" s="35">
        <v>0</v>
      </c>
      <c r="AM250" s="35">
        <v>0</v>
      </c>
      <c r="AN250" s="35">
        <v>0</v>
      </c>
      <c r="AO250" s="35">
        <v>0</v>
      </c>
      <c r="AP250" s="35">
        <v>0</v>
      </c>
      <c r="AQ250" s="35">
        <v>0</v>
      </c>
      <c r="AR250" s="35">
        <v>0</v>
      </c>
      <c r="AS250" s="35">
        <v>0</v>
      </c>
      <c r="AT250" s="35">
        <v>0</v>
      </c>
      <c r="AU250" s="35">
        <v>0</v>
      </c>
      <c r="AV250" s="35">
        <v>0</v>
      </c>
      <c r="AW250" s="35">
        <v>0</v>
      </c>
      <c r="AX250" s="35">
        <v>0</v>
      </c>
      <c r="AY250" s="35">
        <v>0</v>
      </c>
      <c r="AZ250" s="35">
        <v>0</v>
      </c>
      <c r="BA250" s="35">
        <v>0</v>
      </c>
      <c r="BB250" s="35">
        <v>0</v>
      </c>
    </row>
    <row r="251" spans="1:54" x14ac:dyDescent="0.25">
      <c r="B251" s="104" t="str">
        <f t="shared" si="75"/>
        <v>SDT3</v>
      </c>
      <c r="C251" s="35">
        <v>0</v>
      </c>
      <c r="D251" s="35">
        <v>0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  <c r="U251" s="35">
        <v>0</v>
      </c>
      <c r="V251" s="35">
        <v>0</v>
      </c>
      <c r="W251" s="35">
        <v>0</v>
      </c>
      <c r="X251" s="35">
        <v>0</v>
      </c>
      <c r="Y251" s="35">
        <v>0</v>
      </c>
      <c r="Z251" s="35">
        <v>0</v>
      </c>
      <c r="AA251" s="35">
        <v>0</v>
      </c>
      <c r="AB251" s="35">
        <v>0</v>
      </c>
      <c r="AC251" s="35">
        <v>0</v>
      </c>
      <c r="AD251" s="35">
        <v>0</v>
      </c>
      <c r="AE251" s="35">
        <v>0</v>
      </c>
      <c r="AF251" s="35">
        <v>0</v>
      </c>
      <c r="AG251" s="35">
        <v>0</v>
      </c>
      <c r="AH251" s="35">
        <v>0</v>
      </c>
      <c r="AI251" s="35">
        <v>0</v>
      </c>
      <c r="AJ251" s="35">
        <v>0</v>
      </c>
      <c r="AK251" s="35">
        <v>0</v>
      </c>
      <c r="AL251" s="35">
        <v>0</v>
      </c>
      <c r="AM251" s="35">
        <v>0</v>
      </c>
      <c r="AN251" s="35">
        <v>0</v>
      </c>
      <c r="AO251" s="35">
        <v>0</v>
      </c>
      <c r="AP251" s="35">
        <v>0</v>
      </c>
      <c r="AQ251" s="35">
        <v>0</v>
      </c>
      <c r="AR251" s="35">
        <v>0</v>
      </c>
      <c r="AS251" s="35">
        <v>0</v>
      </c>
      <c r="AT251" s="35">
        <v>0</v>
      </c>
      <c r="AU251" s="35">
        <v>0</v>
      </c>
      <c r="AV251" s="35">
        <v>0</v>
      </c>
      <c r="AW251" s="35">
        <v>0</v>
      </c>
      <c r="AX251" s="35">
        <v>0</v>
      </c>
      <c r="AY251" s="35">
        <v>0</v>
      </c>
      <c r="AZ251" s="35">
        <v>0</v>
      </c>
      <c r="BA251" s="35">
        <v>0</v>
      </c>
      <c r="BB251" s="35">
        <v>0</v>
      </c>
    </row>
    <row r="252" spans="1:54" x14ac:dyDescent="0.25">
      <c r="B252" s="104" t="str">
        <f t="shared" si="75"/>
        <v>SDT4</v>
      </c>
      <c r="C252" s="35">
        <v>0.4</v>
      </c>
      <c r="D252" s="35">
        <v>0.5</v>
      </c>
      <c r="E252" s="35">
        <v>0.3</v>
      </c>
      <c r="F252" s="35">
        <v>0.6</v>
      </c>
      <c r="G252" s="35">
        <v>0.3</v>
      </c>
      <c r="H252" s="35">
        <v>0.4</v>
      </c>
      <c r="I252" s="35">
        <v>0.4</v>
      </c>
      <c r="J252" s="35">
        <v>0.5</v>
      </c>
      <c r="K252" s="35">
        <v>0.3</v>
      </c>
      <c r="L252" s="35">
        <v>0.6</v>
      </c>
      <c r="M252" s="35">
        <v>0.3</v>
      </c>
      <c r="N252" s="35">
        <v>0.4</v>
      </c>
      <c r="O252" s="35">
        <v>0.5</v>
      </c>
      <c r="P252" s="35">
        <v>0.3</v>
      </c>
      <c r="Q252" s="35">
        <v>0.6</v>
      </c>
      <c r="R252" s="35">
        <v>0.3</v>
      </c>
      <c r="S252" s="35">
        <v>0.4</v>
      </c>
      <c r="T252" s="35">
        <v>0.4</v>
      </c>
      <c r="U252" s="35">
        <v>0.5</v>
      </c>
      <c r="V252" s="35">
        <v>0.3</v>
      </c>
      <c r="W252" s="35">
        <v>0.6</v>
      </c>
      <c r="X252" s="35">
        <v>0.3</v>
      </c>
      <c r="Y252" s="35">
        <v>0.4</v>
      </c>
      <c r="Z252" s="35">
        <v>0.5</v>
      </c>
      <c r="AA252" s="35">
        <v>0.3</v>
      </c>
      <c r="AB252" s="35">
        <v>0.6</v>
      </c>
      <c r="AC252" s="35">
        <v>0.3</v>
      </c>
      <c r="AD252" s="35">
        <v>0.4</v>
      </c>
      <c r="AE252" s="35">
        <v>0.4</v>
      </c>
      <c r="AF252" s="35">
        <v>0.5</v>
      </c>
      <c r="AG252" s="35">
        <v>0.3</v>
      </c>
      <c r="AH252" s="35">
        <v>0.6</v>
      </c>
      <c r="AI252" s="35">
        <v>0.3</v>
      </c>
      <c r="AJ252" s="35">
        <v>0.4</v>
      </c>
      <c r="AK252" s="35">
        <v>0.4</v>
      </c>
      <c r="AL252" s="35">
        <v>0.4</v>
      </c>
      <c r="AM252" s="35">
        <v>0.5</v>
      </c>
      <c r="AN252" s="35">
        <v>0.3</v>
      </c>
      <c r="AO252" s="35">
        <v>0.4</v>
      </c>
      <c r="AP252" s="35">
        <v>0.5</v>
      </c>
      <c r="AQ252" s="35">
        <v>0.3</v>
      </c>
      <c r="AR252" s="35">
        <v>0.6</v>
      </c>
      <c r="AS252" s="35">
        <v>0.3</v>
      </c>
      <c r="AT252" s="35">
        <v>0.4</v>
      </c>
      <c r="AU252" s="35">
        <v>0.4</v>
      </c>
      <c r="AV252" s="35">
        <v>0.5</v>
      </c>
      <c r="AW252" s="35">
        <v>0.3</v>
      </c>
      <c r="AX252" s="35">
        <v>0.6</v>
      </c>
      <c r="AY252" s="35">
        <v>0.3</v>
      </c>
      <c r="AZ252" s="35">
        <v>0.4</v>
      </c>
      <c r="BA252" s="35">
        <v>0.4</v>
      </c>
      <c r="BB252" s="35">
        <v>0.2</v>
      </c>
    </row>
    <row r="253" spans="1:54" x14ac:dyDescent="0.25">
      <c r="B253" s="104" t="str">
        <f t="shared" si="75"/>
        <v>SDT5</v>
      </c>
      <c r="C253" s="35">
        <v>0.4</v>
      </c>
      <c r="D253" s="35">
        <v>0.5</v>
      </c>
      <c r="E253" s="35">
        <v>0.3</v>
      </c>
      <c r="F253" s="35">
        <v>0.6</v>
      </c>
      <c r="G253" s="35">
        <v>0.3</v>
      </c>
      <c r="H253" s="35">
        <v>0.4</v>
      </c>
      <c r="I253" s="35">
        <v>0.4</v>
      </c>
      <c r="J253" s="35">
        <v>0.5</v>
      </c>
      <c r="K253" s="35">
        <v>0.3</v>
      </c>
      <c r="L253" s="35">
        <v>0.6</v>
      </c>
      <c r="M253" s="35">
        <v>0.3</v>
      </c>
      <c r="N253" s="35">
        <v>0.4</v>
      </c>
      <c r="O253" s="35">
        <v>0.5</v>
      </c>
      <c r="P253" s="35">
        <v>0.3</v>
      </c>
      <c r="Q253" s="35">
        <v>0.6</v>
      </c>
      <c r="R253" s="35">
        <v>0.3</v>
      </c>
      <c r="S253" s="35">
        <v>0.4</v>
      </c>
      <c r="T253" s="35">
        <v>0.4</v>
      </c>
      <c r="U253" s="35">
        <v>0.5</v>
      </c>
      <c r="V253" s="35">
        <v>0.3</v>
      </c>
      <c r="W253" s="35">
        <v>0.6</v>
      </c>
      <c r="X253" s="35">
        <v>0.3</v>
      </c>
      <c r="Y253" s="35">
        <v>0.4</v>
      </c>
      <c r="Z253" s="35">
        <v>0.5</v>
      </c>
      <c r="AA253" s="35">
        <v>0.3</v>
      </c>
      <c r="AB253" s="35">
        <v>0.6</v>
      </c>
      <c r="AC253" s="35">
        <v>0.3</v>
      </c>
      <c r="AD253" s="35">
        <v>0.4</v>
      </c>
      <c r="AE253" s="35">
        <v>0.4</v>
      </c>
      <c r="AF253" s="35">
        <v>0.5</v>
      </c>
      <c r="AG253" s="35">
        <v>0.3</v>
      </c>
      <c r="AH253" s="35">
        <v>0.6</v>
      </c>
      <c r="AI253" s="35">
        <v>0.3</v>
      </c>
      <c r="AJ253" s="35">
        <v>0.4</v>
      </c>
      <c r="AK253" s="35">
        <v>0.4</v>
      </c>
      <c r="AL253" s="35">
        <v>0.4</v>
      </c>
      <c r="AM253" s="35">
        <v>0.5</v>
      </c>
      <c r="AN253" s="35">
        <v>0.3</v>
      </c>
      <c r="AO253" s="35">
        <v>0.4</v>
      </c>
      <c r="AP253" s="35">
        <v>0.5</v>
      </c>
      <c r="AQ253" s="35">
        <v>0.3</v>
      </c>
      <c r="AR253" s="35">
        <v>0.6</v>
      </c>
      <c r="AS253" s="35">
        <v>0.3</v>
      </c>
      <c r="AT253" s="35">
        <v>0.4</v>
      </c>
      <c r="AU253" s="35">
        <v>0.4</v>
      </c>
      <c r="AV253" s="35">
        <v>0.5</v>
      </c>
      <c r="AW253" s="35">
        <v>0.3</v>
      </c>
      <c r="AX253" s="35">
        <v>0.6</v>
      </c>
      <c r="AY253" s="35">
        <v>0.3</v>
      </c>
      <c r="AZ253" s="35">
        <v>0.4</v>
      </c>
      <c r="BA253" s="35">
        <v>0.4</v>
      </c>
      <c r="BB253" s="35">
        <v>0.2</v>
      </c>
    </row>
    <row r="254" spans="1:54" x14ac:dyDescent="0.25">
      <c r="B254" s="104" t="str">
        <f t="shared" si="75"/>
        <v>SDT6</v>
      </c>
      <c r="C254" s="35">
        <v>0</v>
      </c>
      <c r="D254" s="35">
        <v>0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  <c r="U254" s="35">
        <v>0</v>
      </c>
      <c r="V254" s="35">
        <v>0</v>
      </c>
      <c r="W254" s="35">
        <v>0</v>
      </c>
      <c r="X254" s="35">
        <v>0</v>
      </c>
      <c r="Y254" s="35">
        <v>0</v>
      </c>
      <c r="Z254" s="35">
        <v>0</v>
      </c>
      <c r="AA254" s="35">
        <v>0</v>
      </c>
      <c r="AB254" s="35">
        <v>0</v>
      </c>
      <c r="AC254" s="35">
        <v>0</v>
      </c>
      <c r="AD254" s="35">
        <v>0</v>
      </c>
      <c r="AE254" s="35">
        <v>0</v>
      </c>
      <c r="AF254" s="35">
        <v>0</v>
      </c>
      <c r="AG254" s="35">
        <v>0</v>
      </c>
      <c r="AH254" s="35">
        <v>0</v>
      </c>
      <c r="AI254" s="35">
        <v>0</v>
      </c>
      <c r="AJ254" s="35">
        <v>0</v>
      </c>
      <c r="AK254" s="35">
        <v>0</v>
      </c>
      <c r="AL254" s="35">
        <v>0</v>
      </c>
      <c r="AM254" s="35">
        <v>0</v>
      </c>
      <c r="AN254" s="35">
        <v>0</v>
      </c>
      <c r="AO254" s="35">
        <v>0</v>
      </c>
      <c r="AP254" s="35">
        <v>0</v>
      </c>
      <c r="AQ254" s="35">
        <v>0</v>
      </c>
      <c r="AR254" s="35">
        <v>0</v>
      </c>
      <c r="AS254" s="35">
        <v>0</v>
      </c>
      <c r="AT254" s="35">
        <v>0</v>
      </c>
      <c r="AU254" s="35">
        <v>0</v>
      </c>
      <c r="AV254" s="35">
        <v>0</v>
      </c>
      <c r="AW254" s="35">
        <v>0</v>
      </c>
      <c r="AX254" s="35">
        <v>0</v>
      </c>
      <c r="AY254" s="35">
        <v>0</v>
      </c>
      <c r="AZ254" s="35">
        <v>0</v>
      </c>
      <c r="BA254" s="35">
        <v>0</v>
      </c>
      <c r="BB254" s="35">
        <v>0</v>
      </c>
    </row>
    <row r="255" spans="1:54" x14ac:dyDescent="0.25">
      <c r="B255" s="106" t="s">
        <v>256</v>
      </c>
      <c r="C255" s="104">
        <v>1</v>
      </c>
      <c r="D255" s="104">
        <f>C255+1</f>
        <v>2</v>
      </c>
      <c r="E255" s="104">
        <f t="shared" ref="E255:BB255" si="76">D255+1</f>
        <v>3</v>
      </c>
      <c r="F255" s="104">
        <f t="shared" si="76"/>
        <v>4</v>
      </c>
      <c r="G255" s="104">
        <f t="shared" si="76"/>
        <v>5</v>
      </c>
      <c r="H255" s="104">
        <f t="shared" si="76"/>
        <v>6</v>
      </c>
      <c r="I255" s="104">
        <f t="shared" si="76"/>
        <v>7</v>
      </c>
      <c r="J255" s="104">
        <f t="shared" si="76"/>
        <v>8</v>
      </c>
      <c r="K255" s="104">
        <f t="shared" si="76"/>
        <v>9</v>
      </c>
      <c r="L255" s="104">
        <f t="shared" si="76"/>
        <v>10</v>
      </c>
      <c r="M255" s="104">
        <f t="shared" si="76"/>
        <v>11</v>
      </c>
      <c r="N255" s="104">
        <f t="shared" si="76"/>
        <v>12</v>
      </c>
      <c r="O255" s="104">
        <f t="shared" si="76"/>
        <v>13</v>
      </c>
      <c r="P255" s="104">
        <f t="shared" si="76"/>
        <v>14</v>
      </c>
      <c r="Q255" s="104">
        <f t="shared" si="76"/>
        <v>15</v>
      </c>
      <c r="R255" s="104">
        <f t="shared" si="76"/>
        <v>16</v>
      </c>
      <c r="S255" s="104">
        <f t="shared" si="76"/>
        <v>17</v>
      </c>
      <c r="T255" s="104">
        <f t="shared" si="76"/>
        <v>18</v>
      </c>
      <c r="U255" s="104">
        <f t="shared" si="76"/>
        <v>19</v>
      </c>
      <c r="V255" s="104">
        <f t="shared" si="76"/>
        <v>20</v>
      </c>
      <c r="W255" s="104">
        <f t="shared" si="76"/>
        <v>21</v>
      </c>
      <c r="X255" s="104">
        <f t="shared" si="76"/>
        <v>22</v>
      </c>
      <c r="Y255" s="104">
        <f t="shared" si="76"/>
        <v>23</v>
      </c>
      <c r="Z255" s="104">
        <f t="shared" si="76"/>
        <v>24</v>
      </c>
      <c r="AA255" s="104">
        <f t="shared" si="76"/>
        <v>25</v>
      </c>
      <c r="AB255" s="104">
        <f t="shared" si="76"/>
        <v>26</v>
      </c>
      <c r="AC255" s="104">
        <f t="shared" si="76"/>
        <v>27</v>
      </c>
      <c r="AD255" s="104">
        <f t="shared" si="76"/>
        <v>28</v>
      </c>
      <c r="AE255" s="104">
        <f t="shared" si="76"/>
        <v>29</v>
      </c>
      <c r="AF255" s="104">
        <f t="shared" si="76"/>
        <v>30</v>
      </c>
      <c r="AG255" s="104">
        <f t="shared" si="76"/>
        <v>31</v>
      </c>
      <c r="AH255" s="104">
        <f t="shared" si="76"/>
        <v>32</v>
      </c>
      <c r="AI255" s="104">
        <f t="shared" si="76"/>
        <v>33</v>
      </c>
      <c r="AJ255" s="104">
        <f t="shared" si="76"/>
        <v>34</v>
      </c>
      <c r="AK255" s="104">
        <f t="shared" si="76"/>
        <v>35</v>
      </c>
      <c r="AL255" s="104">
        <f t="shared" si="76"/>
        <v>36</v>
      </c>
      <c r="AM255" s="104">
        <f t="shared" si="76"/>
        <v>37</v>
      </c>
      <c r="AN255" s="104">
        <f t="shared" si="76"/>
        <v>38</v>
      </c>
      <c r="AO255" s="104">
        <f t="shared" si="76"/>
        <v>39</v>
      </c>
      <c r="AP255" s="104">
        <f t="shared" si="76"/>
        <v>40</v>
      </c>
      <c r="AQ255" s="104">
        <f t="shared" si="76"/>
        <v>41</v>
      </c>
      <c r="AR255" s="104">
        <f t="shared" si="76"/>
        <v>42</v>
      </c>
      <c r="AS255" s="104">
        <f t="shared" si="76"/>
        <v>43</v>
      </c>
      <c r="AT255" s="104">
        <f t="shared" si="76"/>
        <v>44</v>
      </c>
      <c r="AU255" s="104">
        <f t="shared" si="76"/>
        <v>45</v>
      </c>
      <c r="AV255" s="104">
        <f t="shared" si="76"/>
        <v>46</v>
      </c>
      <c r="AW255" s="104">
        <f t="shared" si="76"/>
        <v>47</v>
      </c>
      <c r="AX255" s="104">
        <f t="shared" si="76"/>
        <v>48</v>
      </c>
      <c r="AY255" s="104">
        <f t="shared" si="76"/>
        <v>49</v>
      </c>
      <c r="AZ255" s="104">
        <f t="shared" si="76"/>
        <v>50</v>
      </c>
      <c r="BA255" s="104">
        <f t="shared" si="76"/>
        <v>51</v>
      </c>
      <c r="BB255" s="104">
        <f t="shared" si="76"/>
        <v>52</v>
      </c>
    </row>
    <row r="256" spans="1:54" x14ac:dyDescent="0.25">
      <c r="B256" s="104" t="str">
        <f>B249</f>
        <v>SDT1</v>
      </c>
      <c r="C256" s="35">
        <v>0</v>
      </c>
      <c r="D256" s="35">
        <v>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  <c r="U256" s="35">
        <v>0</v>
      </c>
      <c r="V256" s="35">
        <v>0</v>
      </c>
      <c r="W256" s="35">
        <v>0</v>
      </c>
      <c r="X256" s="35">
        <v>0</v>
      </c>
      <c r="Y256" s="35">
        <v>0</v>
      </c>
      <c r="Z256" s="35">
        <v>0</v>
      </c>
      <c r="AA256" s="35">
        <v>0</v>
      </c>
      <c r="AB256" s="35">
        <v>0</v>
      </c>
      <c r="AC256" s="35">
        <v>0</v>
      </c>
      <c r="AD256" s="35">
        <v>0</v>
      </c>
      <c r="AE256" s="35">
        <v>0</v>
      </c>
      <c r="AF256" s="35">
        <v>0</v>
      </c>
      <c r="AG256" s="35">
        <v>0</v>
      </c>
      <c r="AH256" s="35">
        <v>0</v>
      </c>
      <c r="AI256" s="35">
        <v>0</v>
      </c>
      <c r="AJ256" s="35">
        <v>0</v>
      </c>
      <c r="AK256" s="35">
        <v>0</v>
      </c>
      <c r="AL256" s="35">
        <v>0</v>
      </c>
      <c r="AM256" s="35">
        <v>0</v>
      </c>
      <c r="AN256" s="35">
        <v>0</v>
      </c>
      <c r="AO256" s="35">
        <v>0</v>
      </c>
      <c r="AP256" s="35">
        <v>0</v>
      </c>
      <c r="AQ256" s="35">
        <v>0</v>
      </c>
      <c r="AR256" s="35">
        <v>0</v>
      </c>
      <c r="AS256" s="35">
        <v>0</v>
      </c>
      <c r="AT256" s="35">
        <v>0</v>
      </c>
      <c r="AU256" s="35">
        <v>0</v>
      </c>
      <c r="AV256" s="35">
        <v>0</v>
      </c>
      <c r="AW256" s="35">
        <v>0</v>
      </c>
      <c r="AX256" s="35">
        <v>0</v>
      </c>
      <c r="AY256" s="35">
        <v>0</v>
      </c>
      <c r="AZ256" s="35">
        <v>0</v>
      </c>
      <c r="BA256" s="35">
        <v>0</v>
      </c>
      <c r="BB256" s="35">
        <v>0</v>
      </c>
    </row>
    <row r="257" spans="2:54" x14ac:dyDescent="0.25">
      <c r="B257" s="104" t="str">
        <f t="shared" ref="B257:B261" si="77">B250</f>
        <v>SDT2</v>
      </c>
      <c r="C257" s="35">
        <v>0</v>
      </c>
      <c r="D257" s="35">
        <v>0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  <c r="U257" s="35">
        <v>0</v>
      </c>
      <c r="V257" s="35">
        <v>0</v>
      </c>
      <c r="W257" s="35">
        <v>0</v>
      </c>
      <c r="X257" s="35">
        <v>0</v>
      </c>
      <c r="Y257" s="35">
        <v>0</v>
      </c>
      <c r="Z257" s="35">
        <v>0</v>
      </c>
      <c r="AA257" s="35">
        <v>0</v>
      </c>
      <c r="AB257" s="35">
        <v>0</v>
      </c>
      <c r="AC257" s="35">
        <v>0</v>
      </c>
      <c r="AD257" s="35">
        <v>0</v>
      </c>
      <c r="AE257" s="35">
        <v>0</v>
      </c>
      <c r="AF257" s="35">
        <v>0</v>
      </c>
      <c r="AG257" s="35">
        <v>0</v>
      </c>
      <c r="AH257" s="35">
        <v>0</v>
      </c>
      <c r="AI257" s="35">
        <v>0</v>
      </c>
      <c r="AJ257" s="35">
        <v>0</v>
      </c>
      <c r="AK257" s="35">
        <v>0</v>
      </c>
      <c r="AL257" s="35">
        <v>0</v>
      </c>
      <c r="AM257" s="35">
        <v>0</v>
      </c>
      <c r="AN257" s="35">
        <v>0</v>
      </c>
      <c r="AO257" s="35">
        <v>0</v>
      </c>
      <c r="AP257" s="35">
        <v>0</v>
      </c>
      <c r="AQ257" s="35">
        <v>0</v>
      </c>
      <c r="AR257" s="35">
        <v>0</v>
      </c>
      <c r="AS257" s="35">
        <v>0</v>
      </c>
      <c r="AT257" s="35">
        <v>0</v>
      </c>
      <c r="AU257" s="35">
        <v>0</v>
      </c>
      <c r="AV257" s="35">
        <v>0</v>
      </c>
      <c r="AW257" s="35">
        <v>0</v>
      </c>
      <c r="AX257" s="35">
        <v>0</v>
      </c>
      <c r="AY257" s="35">
        <v>0</v>
      </c>
      <c r="AZ257" s="35">
        <v>0</v>
      </c>
      <c r="BA257" s="35">
        <v>0</v>
      </c>
      <c r="BB257" s="35">
        <v>0</v>
      </c>
    </row>
    <row r="258" spans="2:54" x14ac:dyDescent="0.25">
      <c r="B258" s="104" t="str">
        <f>B251</f>
        <v>SDT3</v>
      </c>
      <c r="C258" s="35">
        <v>0.4</v>
      </c>
      <c r="D258" s="35">
        <v>0.4</v>
      </c>
      <c r="E258" s="35">
        <v>0.4</v>
      </c>
      <c r="F258" s="35">
        <v>0.4</v>
      </c>
      <c r="G258" s="35">
        <v>0.5</v>
      </c>
      <c r="H258" s="35">
        <v>0.3</v>
      </c>
      <c r="I258" s="35">
        <v>0.6</v>
      </c>
      <c r="J258" s="35">
        <v>0.3</v>
      </c>
      <c r="K258" s="35">
        <v>0.4</v>
      </c>
      <c r="L258" s="35">
        <v>0.4</v>
      </c>
      <c r="M258" s="35">
        <v>0.5</v>
      </c>
      <c r="N258" s="35">
        <v>0.3</v>
      </c>
      <c r="O258" s="35">
        <v>0.6</v>
      </c>
      <c r="P258" s="35">
        <v>0.3</v>
      </c>
      <c r="Q258" s="35">
        <v>0.4</v>
      </c>
      <c r="R258" s="35">
        <v>0.5</v>
      </c>
      <c r="S258" s="35">
        <v>0.3</v>
      </c>
      <c r="T258" s="35">
        <v>0.6</v>
      </c>
      <c r="U258" s="35">
        <v>0.3</v>
      </c>
      <c r="V258" s="35">
        <v>0.4</v>
      </c>
      <c r="W258" s="35">
        <v>0.4</v>
      </c>
      <c r="X258" s="35">
        <v>0.5</v>
      </c>
      <c r="Y258" s="35">
        <v>0.3</v>
      </c>
      <c r="Z258" s="35">
        <v>0.6</v>
      </c>
      <c r="AA258" s="35">
        <v>0.3</v>
      </c>
      <c r="AB258" s="35">
        <v>0.4</v>
      </c>
      <c r="AC258" s="35">
        <v>0.5</v>
      </c>
      <c r="AD258" s="35">
        <v>0.3</v>
      </c>
      <c r="AE258" s="35">
        <v>0.6</v>
      </c>
      <c r="AF258" s="35">
        <v>0.3</v>
      </c>
      <c r="AG258" s="35">
        <v>0.4</v>
      </c>
      <c r="AH258" s="35">
        <v>0.4</v>
      </c>
      <c r="AI258" s="35">
        <v>0.5</v>
      </c>
      <c r="AJ258" s="35">
        <v>0.3</v>
      </c>
      <c r="AK258" s="35">
        <v>0.6</v>
      </c>
      <c r="AL258" s="35">
        <v>0.3</v>
      </c>
      <c r="AM258" s="35">
        <v>0.4</v>
      </c>
      <c r="AN258" s="35">
        <v>0.4</v>
      </c>
      <c r="AO258" s="35">
        <v>0.4</v>
      </c>
      <c r="AP258" s="35">
        <v>0.5</v>
      </c>
      <c r="AQ258" s="35">
        <v>0.3</v>
      </c>
      <c r="AR258" s="35">
        <v>0.4</v>
      </c>
      <c r="AS258" s="35">
        <v>0.5</v>
      </c>
      <c r="AT258" s="35">
        <v>0.3</v>
      </c>
      <c r="AU258" s="35">
        <v>0.6</v>
      </c>
      <c r="AV258" s="35">
        <v>0.3</v>
      </c>
      <c r="AW258" s="35">
        <v>0.4</v>
      </c>
      <c r="AX258" s="35">
        <v>0.4</v>
      </c>
      <c r="AY258" s="35">
        <v>0.4</v>
      </c>
      <c r="AZ258" s="35">
        <v>0.4</v>
      </c>
      <c r="BA258" s="35">
        <v>0.4</v>
      </c>
      <c r="BB258" s="35">
        <v>0.2</v>
      </c>
    </row>
    <row r="259" spans="2:54" x14ac:dyDescent="0.25">
      <c r="B259" s="104" t="str">
        <f t="shared" si="77"/>
        <v>SDT4</v>
      </c>
      <c r="C259" s="35">
        <v>0</v>
      </c>
      <c r="D259" s="35">
        <v>0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  <c r="U259" s="35">
        <v>0</v>
      </c>
      <c r="V259" s="35">
        <v>0</v>
      </c>
      <c r="W259" s="35">
        <v>0</v>
      </c>
      <c r="X259" s="35">
        <v>0</v>
      </c>
      <c r="Y259" s="35">
        <v>0</v>
      </c>
      <c r="Z259" s="35">
        <v>0</v>
      </c>
      <c r="AA259" s="35">
        <v>0</v>
      </c>
      <c r="AB259" s="35">
        <v>0</v>
      </c>
      <c r="AC259" s="35">
        <v>0</v>
      </c>
      <c r="AD259" s="35">
        <v>0</v>
      </c>
      <c r="AE259" s="35">
        <v>0</v>
      </c>
      <c r="AF259" s="35">
        <v>0</v>
      </c>
      <c r="AG259" s="35">
        <v>0</v>
      </c>
      <c r="AH259" s="35">
        <v>0</v>
      </c>
      <c r="AI259" s="35">
        <v>0</v>
      </c>
      <c r="AJ259" s="35">
        <v>0</v>
      </c>
      <c r="AK259" s="35">
        <v>0</v>
      </c>
      <c r="AL259" s="35">
        <v>0</v>
      </c>
      <c r="AM259" s="35">
        <v>0</v>
      </c>
      <c r="AN259" s="35">
        <v>0</v>
      </c>
      <c r="AO259" s="35">
        <v>0</v>
      </c>
      <c r="AP259" s="35">
        <v>0</v>
      </c>
      <c r="AQ259" s="35">
        <v>0</v>
      </c>
      <c r="AR259" s="35">
        <v>0</v>
      </c>
      <c r="AS259" s="35">
        <v>0</v>
      </c>
      <c r="AT259" s="35">
        <v>0</v>
      </c>
      <c r="AU259" s="35">
        <v>0</v>
      </c>
      <c r="AV259" s="35">
        <v>0</v>
      </c>
      <c r="AW259" s="35">
        <v>0</v>
      </c>
      <c r="AX259" s="35">
        <v>0</v>
      </c>
      <c r="AY259" s="35">
        <v>0</v>
      </c>
      <c r="AZ259" s="35">
        <v>0</v>
      </c>
      <c r="BA259" s="35">
        <v>0</v>
      </c>
      <c r="BB259" s="35">
        <v>0</v>
      </c>
    </row>
    <row r="260" spans="2:54" x14ac:dyDescent="0.25">
      <c r="B260" s="104" t="str">
        <f t="shared" si="77"/>
        <v>SDT5</v>
      </c>
      <c r="C260" s="35">
        <v>0</v>
      </c>
      <c r="D260" s="35">
        <v>0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  <c r="U260" s="35">
        <v>0</v>
      </c>
      <c r="V260" s="35">
        <v>0</v>
      </c>
      <c r="W260" s="35">
        <v>0</v>
      </c>
      <c r="X260" s="35">
        <v>0</v>
      </c>
      <c r="Y260" s="35">
        <v>0</v>
      </c>
      <c r="Z260" s="35">
        <v>0</v>
      </c>
      <c r="AA260" s="35">
        <v>0</v>
      </c>
      <c r="AB260" s="35">
        <v>0</v>
      </c>
      <c r="AC260" s="35">
        <v>0</v>
      </c>
      <c r="AD260" s="35">
        <v>0</v>
      </c>
      <c r="AE260" s="35">
        <v>0</v>
      </c>
      <c r="AF260" s="35">
        <v>0</v>
      </c>
      <c r="AG260" s="35">
        <v>0</v>
      </c>
      <c r="AH260" s="35">
        <v>0</v>
      </c>
      <c r="AI260" s="35">
        <v>0</v>
      </c>
      <c r="AJ260" s="35">
        <v>0</v>
      </c>
      <c r="AK260" s="35">
        <v>0</v>
      </c>
      <c r="AL260" s="35">
        <v>0</v>
      </c>
      <c r="AM260" s="35">
        <v>0</v>
      </c>
      <c r="AN260" s="35">
        <v>0</v>
      </c>
      <c r="AO260" s="35">
        <v>0</v>
      </c>
      <c r="AP260" s="35">
        <v>0</v>
      </c>
      <c r="AQ260" s="35">
        <v>0</v>
      </c>
      <c r="AR260" s="35">
        <v>0</v>
      </c>
      <c r="AS260" s="35">
        <v>0</v>
      </c>
      <c r="AT260" s="35">
        <v>0</v>
      </c>
      <c r="AU260" s="35">
        <v>0</v>
      </c>
      <c r="AV260" s="35">
        <v>0</v>
      </c>
      <c r="AW260" s="35">
        <v>0</v>
      </c>
      <c r="AX260" s="35">
        <v>0</v>
      </c>
      <c r="AY260" s="35">
        <v>0</v>
      </c>
      <c r="AZ260" s="35">
        <v>0</v>
      </c>
      <c r="BA260" s="35">
        <v>0</v>
      </c>
      <c r="BB260" s="35">
        <v>0</v>
      </c>
    </row>
    <row r="261" spans="2:54" x14ac:dyDescent="0.25">
      <c r="B261" s="104" t="str">
        <f t="shared" si="77"/>
        <v>SDT6</v>
      </c>
      <c r="C261" s="35">
        <v>0.4</v>
      </c>
      <c r="D261" s="35">
        <v>0.5</v>
      </c>
      <c r="E261" s="35">
        <v>0.3</v>
      </c>
      <c r="F261" s="35">
        <v>0.6</v>
      </c>
      <c r="G261" s="35">
        <v>0.3</v>
      </c>
      <c r="H261" s="35">
        <v>0.4</v>
      </c>
      <c r="I261" s="35">
        <v>0.4</v>
      </c>
      <c r="J261" s="35">
        <v>0.5</v>
      </c>
      <c r="K261" s="35">
        <v>0.3</v>
      </c>
      <c r="L261" s="35">
        <v>0.6</v>
      </c>
      <c r="M261" s="35">
        <v>0.3</v>
      </c>
      <c r="N261" s="35">
        <v>0.4</v>
      </c>
      <c r="O261" s="35">
        <v>0.5</v>
      </c>
      <c r="P261" s="35">
        <v>0.3</v>
      </c>
      <c r="Q261" s="35">
        <v>0.6</v>
      </c>
      <c r="R261" s="35">
        <v>0.3</v>
      </c>
      <c r="S261" s="35">
        <v>0.4</v>
      </c>
      <c r="T261" s="35">
        <v>0.4</v>
      </c>
      <c r="U261" s="35">
        <v>0.5</v>
      </c>
      <c r="V261" s="35">
        <v>0.3</v>
      </c>
      <c r="W261" s="35">
        <v>0.6</v>
      </c>
      <c r="X261" s="35">
        <v>0.3</v>
      </c>
      <c r="Y261" s="35">
        <v>0.4</v>
      </c>
      <c r="Z261" s="35">
        <v>0.5</v>
      </c>
      <c r="AA261" s="35">
        <v>0.3</v>
      </c>
      <c r="AB261" s="35">
        <v>0.6</v>
      </c>
      <c r="AC261" s="35">
        <v>0.3</v>
      </c>
      <c r="AD261" s="35">
        <v>0.4</v>
      </c>
      <c r="AE261" s="35">
        <v>0.4</v>
      </c>
      <c r="AF261" s="35">
        <v>0.5</v>
      </c>
      <c r="AG261" s="35">
        <v>0.3</v>
      </c>
      <c r="AH261" s="35">
        <v>0.6</v>
      </c>
      <c r="AI261" s="35">
        <v>0.3</v>
      </c>
      <c r="AJ261" s="35">
        <v>0.4</v>
      </c>
      <c r="AK261" s="35">
        <v>0.4</v>
      </c>
      <c r="AL261" s="35">
        <v>0.4</v>
      </c>
      <c r="AM261" s="35">
        <v>0.5</v>
      </c>
      <c r="AN261" s="35">
        <v>0.3</v>
      </c>
      <c r="AO261" s="35">
        <v>0.4</v>
      </c>
      <c r="AP261" s="35">
        <v>0.5</v>
      </c>
      <c r="AQ261" s="35">
        <v>0.3</v>
      </c>
      <c r="AR261" s="35">
        <v>0.6</v>
      </c>
      <c r="AS261" s="35">
        <v>0.3</v>
      </c>
      <c r="AT261" s="35">
        <v>0.4</v>
      </c>
      <c r="AU261" s="35">
        <v>0.4</v>
      </c>
      <c r="AV261" s="35">
        <v>0.5</v>
      </c>
      <c r="AW261" s="35">
        <v>0.3</v>
      </c>
      <c r="AX261" s="35">
        <v>0.6</v>
      </c>
      <c r="AY261" s="35">
        <v>0.3</v>
      </c>
      <c r="AZ261" s="35">
        <v>0.4</v>
      </c>
      <c r="BA261" s="35">
        <v>0.4</v>
      </c>
      <c r="BB261" s="35">
        <v>0.2</v>
      </c>
    </row>
    <row r="262" spans="2:54" x14ac:dyDescent="0.25">
      <c r="B262" s="106" t="s">
        <v>257</v>
      </c>
      <c r="C262" s="104">
        <v>1</v>
      </c>
      <c r="D262" s="104">
        <f>C262+1</f>
        <v>2</v>
      </c>
      <c r="E262" s="104">
        <f t="shared" ref="E262:BB262" si="78">D262+1</f>
        <v>3</v>
      </c>
      <c r="F262" s="104">
        <f t="shared" si="78"/>
        <v>4</v>
      </c>
      <c r="G262" s="104">
        <f t="shared" si="78"/>
        <v>5</v>
      </c>
      <c r="H262" s="104">
        <f t="shared" si="78"/>
        <v>6</v>
      </c>
      <c r="I262" s="104">
        <f t="shared" si="78"/>
        <v>7</v>
      </c>
      <c r="J262" s="104">
        <f t="shared" si="78"/>
        <v>8</v>
      </c>
      <c r="K262" s="104">
        <f t="shared" si="78"/>
        <v>9</v>
      </c>
      <c r="L262" s="104">
        <f t="shared" si="78"/>
        <v>10</v>
      </c>
      <c r="M262" s="104">
        <f t="shared" si="78"/>
        <v>11</v>
      </c>
      <c r="N262" s="104">
        <f t="shared" si="78"/>
        <v>12</v>
      </c>
      <c r="O262" s="104">
        <f t="shared" si="78"/>
        <v>13</v>
      </c>
      <c r="P262" s="104">
        <f t="shared" si="78"/>
        <v>14</v>
      </c>
      <c r="Q262" s="104">
        <f t="shared" si="78"/>
        <v>15</v>
      </c>
      <c r="R262" s="104">
        <f t="shared" si="78"/>
        <v>16</v>
      </c>
      <c r="S262" s="104">
        <f t="shared" si="78"/>
        <v>17</v>
      </c>
      <c r="T262" s="104">
        <f t="shared" si="78"/>
        <v>18</v>
      </c>
      <c r="U262" s="104">
        <f t="shared" si="78"/>
        <v>19</v>
      </c>
      <c r="V262" s="104">
        <f t="shared" si="78"/>
        <v>20</v>
      </c>
      <c r="W262" s="104">
        <f t="shared" si="78"/>
        <v>21</v>
      </c>
      <c r="X262" s="104">
        <f t="shared" si="78"/>
        <v>22</v>
      </c>
      <c r="Y262" s="104">
        <f t="shared" si="78"/>
        <v>23</v>
      </c>
      <c r="Z262" s="104">
        <f t="shared" si="78"/>
        <v>24</v>
      </c>
      <c r="AA262" s="104">
        <f t="shared" si="78"/>
        <v>25</v>
      </c>
      <c r="AB262" s="104">
        <f t="shared" si="78"/>
        <v>26</v>
      </c>
      <c r="AC262" s="104">
        <f t="shared" si="78"/>
        <v>27</v>
      </c>
      <c r="AD262" s="104">
        <f t="shared" si="78"/>
        <v>28</v>
      </c>
      <c r="AE262" s="104">
        <f t="shared" si="78"/>
        <v>29</v>
      </c>
      <c r="AF262" s="104">
        <f t="shared" si="78"/>
        <v>30</v>
      </c>
      <c r="AG262" s="104">
        <f t="shared" si="78"/>
        <v>31</v>
      </c>
      <c r="AH262" s="104">
        <f t="shared" si="78"/>
        <v>32</v>
      </c>
      <c r="AI262" s="104">
        <f t="shared" si="78"/>
        <v>33</v>
      </c>
      <c r="AJ262" s="104">
        <f t="shared" si="78"/>
        <v>34</v>
      </c>
      <c r="AK262" s="104">
        <f t="shared" si="78"/>
        <v>35</v>
      </c>
      <c r="AL262" s="104">
        <f t="shared" si="78"/>
        <v>36</v>
      </c>
      <c r="AM262" s="104">
        <f t="shared" si="78"/>
        <v>37</v>
      </c>
      <c r="AN262" s="104">
        <f t="shared" si="78"/>
        <v>38</v>
      </c>
      <c r="AO262" s="104">
        <f t="shared" si="78"/>
        <v>39</v>
      </c>
      <c r="AP262" s="104">
        <f t="shared" si="78"/>
        <v>40</v>
      </c>
      <c r="AQ262" s="104">
        <f t="shared" si="78"/>
        <v>41</v>
      </c>
      <c r="AR262" s="104">
        <f t="shared" si="78"/>
        <v>42</v>
      </c>
      <c r="AS262" s="104">
        <f t="shared" si="78"/>
        <v>43</v>
      </c>
      <c r="AT262" s="104">
        <f t="shared" si="78"/>
        <v>44</v>
      </c>
      <c r="AU262" s="104">
        <f t="shared" si="78"/>
        <v>45</v>
      </c>
      <c r="AV262" s="104">
        <f t="shared" si="78"/>
        <v>46</v>
      </c>
      <c r="AW262" s="104">
        <f t="shared" si="78"/>
        <v>47</v>
      </c>
      <c r="AX262" s="104">
        <f t="shared" si="78"/>
        <v>48</v>
      </c>
      <c r="AY262" s="104">
        <f t="shared" si="78"/>
        <v>49</v>
      </c>
      <c r="AZ262" s="104">
        <f t="shared" si="78"/>
        <v>50</v>
      </c>
      <c r="BA262" s="104">
        <f t="shared" si="78"/>
        <v>51</v>
      </c>
      <c r="BB262" s="104">
        <f t="shared" si="78"/>
        <v>52</v>
      </c>
    </row>
    <row r="263" spans="2:54" x14ac:dyDescent="0.25">
      <c r="B263" s="104" t="str">
        <f>B256</f>
        <v>SDT1</v>
      </c>
      <c r="C263" s="35">
        <v>0.4</v>
      </c>
      <c r="D263" s="35">
        <v>0.5</v>
      </c>
      <c r="E263" s="35">
        <v>0.3</v>
      </c>
      <c r="F263" s="35">
        <v>0.6</v>
      </c>
      <c r="G263" s="35">
        <v>0.3</v>
      </c>
      <c r="H263" s="35">
        <v>0.4</v>
      </c>
      <c r="I263" s="35">
        <v>0.4</v>
      </c>
      <c r="J263" s="35">
        <v>0.5</v>
      </c>
      <c r="K263" s="35">
        <v>0.3</v>
      </c>
      <c r="L263" s="35">
        <v>0.6</v>
      </c>
      <c r="M263" s="35">
        <v>0.3</v>
      </c>
      <c r="N263" s="35">
        <v>0.4</v>
      </c>
      <c r="O263" s="35">
        <v>0.5</v>
      </c>
      <c r="P263" s="35">
        <v>0.3</v>
      </c>
      <c r="Q263" s="35">
        <v>0.6</v>
      </c>
      <c r="R263" s="35">
        <v>0.3</v>
      </c>
      <c r="S263" s="35">
        <v>0.4</v>
      </c>
      <c r="T263" s="35">
        <v>0.4</v>
      </c>
      <c r="U263" s="35">
        <v>0.5</v>
      </c>
      <c r="V263" s="35">
        <v>0.3</v>
      </c>
      <c r="W263" s="35">
        <v>0.6</v>
      </c>
      <c r="X263" s="35">
        <v>0.3</v>
      </c>
      <c r="Y263" s="35">
        <v>0.4</v>
      </c>
      <c r="Z263" s="35">
        <v>0.5</v>
      </c>
      <c r="AA263" s="35">
        <v>0.3</v>
      </c>
      <c r="AB263" s="35">
        <v>0.6</v>
      </c>
      <c r="AC263" s="35">
        <v>0.3</v>
      </c>
      <c r="AD263" s="35">
        <v>0.4</v>
      </c>
      <c r="AE263" s="35">
        <v>0.4</v>
      </c>
      <c r="AF263" s="35">
        <v>0.5</v>
      </c>
      <c r="AG263" s="35">
        <v>0.3</v>
      </c>
      <c r="AH263" s="35">
        <v>0.6</v>
      </c>
      <c r="AI263" s="35">
        <v>0.3</v>
      </c>
      <c r="AJ263" s="35">
        <v>0.4</v>
      </c>
      <c r="AK263" s="35">
        <v>0.4</v>
      </c>
      <c r="AL263" s="35">
        <v>0.4</v>
      </c>
      <c r="AM263" s="35">
        <v>0.5</v>
      </c>
      <c r="AN263" s="35">
        <v>0.3</v>
      </c>
      <c r="AO263" s="35">
        <v>0.4</v>
      </c>
      <c r="AP263" s="35">
        <v>0.5</v>
      </c>
      <c r="AQ263" s="35">
        <v>0.3</v>
      </c>
      <c r="AR263" s="35">
        <v>0.6</v>
      </c>
      <c r="AS263" s="35">
        <v>0.3</v>
      </c>
      <c r="AT263" s="35">
        <v>0.4</v>
      </c>
      <c r="AU263" s="35">
        <v>0.4</v>
      </c>
      <c r="AV263" s="35">
        <v>0.5</v>
      </c>
      <c r="AW263" s="35">
        <v>0.3</v>
      </c>
      <c r="AX263" s="35">
        <v>0.6</v>
      </c>
      <c r="AY263" s="35">
        <v>0.3</v>
      </c>
      <c r="AZ263" s="35">
        <v>0.4</v>
      </c>
      <c r="BA263" s="35">
        <v>0.4</v>
      </c>
      <c r="BB263" s="35">
        <v>0.2</v>
      </c>
    </row>
    <row r="264" spans="2:54" x14ac:dyDescent="0.25">
      <c r="B264" s="104" t="str">
        <f t="shared" ref="B264:B268" si="79">B257</f>
        <v>SDT2</v>
      </c>
      <c r="C264" s="35">
        <v>0</v>
      </c>
      <c r="D264" s="35">
        <v>0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  <c r="U264" s="35">
        <v>0</v>
      </c>
      <c r="V264" s="35">
        <v>0</v>
      </c>
      <c r="W264" s="35">
        <v>0</v>
      </c>
      <c r="X264" s="35">
        <v>0</v>
      </c>
      <c r="Y264" s="35">
        <v>0</v>
      </c>
      <c r="Z264" s="35">
        <v>0</v>
      </c>
      <c r="AA264" s="35">
        <v>0</v>
      </c>
      <c r="AB264" s="35">
        <v>0</v>
      </c>
      <c r="AC264" s="35">
        <v>0</v>
      </c>
      <c r="AD264" s="35">
        <v>0</v>
      </c>
      <c r="AE264" s="35">
        <v>0</v>
      </c>
      <c r="AF264" s="35">
        <v>0</v>
      </c>
      <c r="AG264" s="35">
        <v>0</v>
      </c>
      <c r="AH264" s="35">
        <v>0</v>
      </c>
      <c r="AI264" s="35">
        <v>0</v>
      </c>
      <c r="AJ264" s="35">
        <v>0</v>
      </c>
      <c r="AK264" s="35">
        <v>0</v>
      </c>
      <c r="AL264" s="35">
        <v>0</v>
      </c>
      <c r="AM264" s="35">
        <v>0</v>
      </c>
      <c r="AN264" s="35">
        <v>0</v>
      </c>
      <c r="AO264" s="35">
        <v>0</v>
      </c>
      <c r="AP264" s="35">
        <v>0</v>
      </c>
      <c r="AQ264" s="35">
        <v>0</v>
      </c>
      <c r="AR264" s="35">
        <v>0</v>
      </c>
      <c r="AS264" s="35">
        <v>0</v>
      </c>
      <c r="AT264" s="35">
        <v>0</v>
      </c>
      <c r="AU264" s="35">
        <v>0</v>
      </c>
      <c r="AV264" s="35">
        <v>0</v>
      </c>
      <c r="AW264" s="35">
        <v>0</v>
      </c>
      <c r="AX264" s="35">
        <v>0</v>
      </c>
      <c r="AY264" s="35">
        <v>0</v>
      </c>
      <c r="AZ264" s="35">
        <v>0</v>
      </c>
      <c r="BA264" s="35">
        <v>0</v>
      </c>
      <c r="BB264" s="35">
        <v>0</v>
      </c>
    </row>
    <row r="265" spans="2:54" x14ac:dyDescent="0.25">
      <c r="B265" s="104" t="str">
        <f>B258</f>
        <v>SDT3</v>
      </c>
      <c r="C265" s="35">
        <v>0</v>
      </c>
      <c r="D265" s="35">
        <v>0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  <c r="U265" s="35">
        <v>0</v>
      </c>
      <c r="V265" s="35">
        <v>0</v>
      </c>
      <c r="W265" s="35">
        <v>0</v>
      </c>
      <c r="X265" s="35">
        <v>0</v>
      </c>
      <c r="Y265" s="35">
        <v>0</v>
      </c>
      <c r="Z265" s="35">
        <v>0</v>
      </c>
      <c r="AA265" s="35">
        <v>0</v>
      </c>
      <c r="AB265" s="35">
        <v>0</v>
      </c>
      <c r="AC265" s="35">
        <v>0</v>
      </c>
      <c r="AD265" s="35">
        <v>0</v>
      </c>
      <c r="AE265" s="35">
        <v>0</v>
      </c>
      <c r="AF265" s="35">
        <v>0</v>
      </c>
      <c r="AG265" s="35">
        <v>0</v>
      </c>
      <c r="AH265" s="35">
        <v>0</v>
      </c>
      <c r="AI265" s="35">
        <v>0</v>
      </c>
      <c r="AJ265" s="35">
        <v>0</v>
      </c>
      <c r="AK265" s="35">
        <v>0</v>
      </c>
      <c r="AL265" s="35">
        <v>0</v>
      </c>
      <c r="AM265" s="35">
        <v>0</v>
      </c>
      <c r="AN265" s="35">
        <v>0</v>
      </c>
      <c r="AO265" s="35">
        <v>0</v>
      </c>
      <c r="AP265" s="35">
        <v>0</v>
      </c>
      <c r="AQ265" s="35">
        <v>0</v>
      </c>
      <c r="AR265" s="35">
        <v>0</v>
      </c>
      <c r="AS265" s="35">
        <v>0</v>
      </c>
      <c r="AT265" s="35">
        <v>0</v>
      </c>
      <c r="AU265" s="35">
        <v>0</v>
      </c>
      <c r="AV265" s="35">
        <v>0</v>
      </c>
      <c r="AW265" s="35">
        <v>0</v>
      </c>
      <c r="AX265" s="35">
        <v>0</v>
      </c>
      <c r="AY265" s="35">
        <v>0</v>
      </c>
      <c r="AZ265" s="35">
        <v>0</v>
      </c>
      <c r="BA265" s="35">
        <v>0</v>
      </c>
      <c r="BB265" s="35">
        <v>0</v>
      </c>
    </row>
    <row r="266" spans="2:54" x14ac:dyDescent="0.25">
      <c r="B266" s="104" t="str">
        <f t="shared" si="79"/>
        <v>SDT4</v>
      </c>
      <c r="C266" s="35">
        <v>0.5</v>
      </c>
      <c r="D266" s="35">
        <v>0.3</v>
      </c>
      <c r="E266" s="35">
        <v>0.6</v>
      </c>
      <c r="F266" s="35">
        <v>0.3</v>
      </c>
      <c r="G266" s="35">
        <v>0.4</v>
      </c>
      <c r="H266" s="35">
        <v>0.4</v>
      </c>
      <c r="I266" s="35">
        <v>0.5</v>
      </c>
      <c r="J266" s="35">
        <v>0.3</v>
      </c>
      <c r="K266" s="35">
        <v>0.6</v>
      </c>
      <c r="L266" s="35">
        <v>0.3</v>
      </c>
      <c r="M266" s="35">
        <v>0.4</v>
      </c>
      <c r="N266" s="35">
        <v>0.5</v>
      </c>
      <c r="O266" s="35">
        <v>0.3</v>
      </c>
      <c r="P266" s="35">
        <v>0.6</v>
      </c>
      <c r="Q266" s="35">
        <v>0.3</v>
      </c>
      <c r="R266" s="35">
        <v>0.4</v>
      </c>
      <c r="S266" s="35">
        <v>0.4</v>
      </c>
      <c r="T266" s="35">
        <v>0.5</v>
      </c>
      <c r="U266" s="35">
        <v>0.3</v>
      </c>
      <c r="V266" s="35">
        <v>0.6</v>
      </c>
      <c r="W266" s="35">
        <v>0.3</v>
      </c>
      <c r="X266" s="35">
        <v>0.4</v>
      </c>
      <c r="Y266" s="35">
        <v>0.5</v>
      </c>
      <c r="Z266" s="35">
        <v>0.3</v>
      </c>
      <c r="AA266" s="35">
        <v>0.6</v>
      </c>
      <c r="AB266" s="35">
        <v>0.3</v>
      </c>
      <c r="AC266" s="35">
        <v>0.4</v>
      </c>
      <c r="AD266" s="35">
        <v>0.4</v>
      </c>
      <c r="AE266" s="35">
        <v>0.5</v>
      </c>
      <c r="AF266" s="35">
        <v>0.3</v>
      </c>
      <c r="AG266" s="35">
        <v>0.6</v>
      </c>
      <c r="AH266" s="35">
        <v>0.3</v>
      </c>
      <c r="AI266" s="35">
        <v>0.4</v>
      </c>
      <c r="AJ266" s="35">
        <v>0.4</v>
      </c>
      <c r="AK266" s="35">
        <v>0.4</v>
      </c>
      <c r="AL266" s="35">
        <v>0.5</v>
      </c>
      <c r="AM266" s="35">
        <v>0.3</v>
      </c>
      <c r="AN266" s="35">
        <v>0.4</v>
      </c>
      <c r="AO266" s="35">
        <v>0.5</v>
      </c>
      <c r="AP266" s="35">
        <v>0.3</v>
      </c>
      <c r="AQ266" s="35">
        <v>0.6</v>
      </c>
      <c r="AR266" s="35">
        <v>0.3</v>
      </c>
      <c r="AS266" s="35">
        <v>0.4</v>
      </c>
      <c r="AT266" s="35">
        <v>0.4</v>
      </c>
      <c r="AU266" s="35">
        <v>0.4</v>
      </c>
      <c r="AV266" s="35">
        <v>0.4</v>
      </c>
      <c r="AW266" s="35">
        <v>0.4</v>
      </c>
      <c r="AX266" s="35">
        <v>0.6</v>
      </c>
      <c r="AY266" s="35">
        <v>0.4</v>
      </c>
      <c r="AZ266" s="35">
        <v>0.4</v>
      </c>
      <c r="BA266" s="35">
        <v>0.4</v>
      </c>
      <c r="BB266" s="35">
        <v>0.2</v>
      </c>
    </row>
    <row r="267" spans="2:54" x14ac:dyDescent="0.25">
      <c r="B267" s="104" t="str">
        <f t="shared" si="79"/>
        <v>SDT5</v>
      </c>
      <c r="C267" s="35">
        <v>0</v>
      </c>
      <c r="D267" s="35">
        <v>0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  <c r="U267" s="35">
        <v>0</v>
      </c>
      <c r="V267" s="35">
        <v>0</v>
      </c>
      <c r="W267" s="35">
        <v>0</v>
      </c>
      <c r="X267" s="35">
        <v>0</v>
      </c>
      <c r="Y267" s="35">
        <v>0</v>
      </c>
      <c r="Z267" s="35">
        <v>0</v>
      </c>
      <c r="AA267" s="35">
        <v>0</v>
      </c>
      <c r="AB267" s="35">
        <v>0</v>
      </c>
      <c r="AC267" s="35">
        <v>0</v>
      </c>
      <c r="AD267" s="35">
        <v>0</v>
      </c>
      <c r="AE267" s="35">
        <v>0</v>
      </c>
      <c r="AF267" s="35">
        <v>0</v>
      </c>
      <c r="AG267" s="35">
        <v>0</v>
      </c>
      <c r="AH267" s="35">
        <v>0</v>
      </c>
      <c r="AI267" s="35">
        <v>0</v>
      </c>
      <c r="AJ267" s="35">
        <v>0</v>
      </c>
      <c r="AK267" s="35">
        <v>0</v>
      </c>
      <c r="AL267" s="35">
        <v>0</v>
      </c>
      <c r="AM267" s="35">
        <v>0</v>
      </c>
      <c r="AN267" s="35">
        <v>0</v>
      </c>
      <c r="AO267" s="35">
        <v>0</v>
      </c>
      <c r="AP267" s="35">
        <v>0</v>
      </c>
      <c r="AQ267" s="35">
        <v>0</v>
      </c>
      <c r="AR267" s="35">
        <v>0</v>
      </c>
      <c r="AS267" s="35">
        <v>0</v>
      </c>
      <c r="AT267" s="35">
        <v>0</v>
      </c>
      <c r="AU267" s="35">
        <v>0</v>
      </c>
      <c r="AV267" s="35">
        <v>0</v>
      </c>
      <c r="AW267" s="35">
        <v>0</v>
      </c>
      <c r="AX267" s="35">
        <v>0</v>
      </c>
      <c r="AY267" s="35">
        <v>0</v>
      </c>
      <c r="AZ267" s="35">
        <v>0</v>
      </c>
      <c r="BA267" s="35">
        <v>0</v>
      </c>
      <c r="BB267" s="35">
        <v>0</v>
      </c>
    </row>
    <row r="268" spans="2:54" x14ac:dyDescent="0.25">
      <c r="B268" s="104" t="str">
        <f t="shared" si="79"/>
        <v>SDT6</v>
      </c>
      <c r="C268" s="35">
        <v>0</v>
      </c>
      <c r="D268" s="35">
        <v>0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  <c r="U268" s="35">
        <v>0</v>
      </c>
      <c r="V268" s="35">
        <v>0</v>
      </c>
      <c r="W268" s="35">
        <v>0</v>
      </c>
      <c r="X268" s="35">
        <v>0</v>
      </c>
      <c r="Y268" s="35">
        <v>0</v>
      </c>
      <c r="Z268" s="35">
        <v>0</v>
      </c>
      <c r="AA268" s="35">
        <v>0</v>
      </c>
      <c r="AB268" s="35">
        <v>0</v>
      </c>
      <c r="AC268" s="35">
        <v>0</v>
      </c>
      <c r="AD268" s="35">
        <v>0</v>
      </c>
      <c r="AE268" s="35">
        <v>0</v>
      </c>
      <c r="AF268" s="35">
        <v>0</v>
      </c>
      <c r="AG268" s="35">
        <v>0</v>
      </c>
      <c r="AH268" s="35">
        <v>0</v>
      </c>
      <c r="AI268" s="35">
        <v>0</v>
      </c>
      <c r="AJ268" s="35">
        <v>0</v>
      </c>
      <c r="AK268" s="35">
        <v>0</v>
      </c>
      <c r="AL268" s="35">
        <v>0</v>
      </c>
      <c r="AM268" s="35">
        <v>0</v>
      </c>
      <c r="AN268" s="35">
        <v>0</v>
      </c>
      <c r="AO268" s="35">
        <v>0</v>
      </c>
      <c r="AP268" s="35">
        <v>0</v>
      </c>
      <c r="AQ268" s="35">
        <v>0</v>
      </c>
      <c r="AR268" s="35">
        <v>0</v>
      </c>
      <c r="AS268" s="35">
        <v>0</v>
      </c>
      <c r="AT268" s="35">
        <v>0</v>
      </c>
      <c r="AU268" s="35">
        <v>0</v>
      </c>
      <c r="AV268" s="35">
        <v>0</v>
      </c>
      <c r="AW268" s="35">
        <v>0</v>
      </c>
      <c r="AX268" s="35">
        <v>0</v>
      </c>
      <c r="AY268" s="35">
        <v>0</v>
      </c>
      <c r="AZ268" s="35">
        <v>0</v>
      </c>
      <c r="BA268" s="35">
        <v>0</v>
      </c>
      <c r="BB268" s="35">
        <v>0</v>
      </c>
    </row>
    <row r="269" spans="2:54" x14ac:dyDescent="0.25">
      <c r="B269" s="106" t="s">
        <v>258</v>
      </c>
      <c r="C269" s="104">
        <v>1</v>
      </c>
      <c r="D269" s="104">
        <f>C269+1</f>
        <v>2</v>
      </c>
      <c r="E269" s="104">
        <f t="shared" ref="E269:BB269" si="80">D269+1</f>
        <v>3</v>
      </c>
      <c r="F269" s="104">
        <f t="shared" si="80"/>
        <v>4</v>
      </c>
      <c r="G269" s="104">
        <f t="shared" si="80"/>
        <v>5</v>
      </c>
      <c r="H269" s="104">
        <f t="shared" si="80"/>
        <v>6</v>
      </c>
      <c r="I269" s="104">
        <f t="shared" si="80"/>
        <v>7</v>
      </c>
      <c r="J269" s="104">
        <f t="shared" si="80"/>
        <v>8</v>
      </c>
      <c r="K269" s="104">
        <f t="shared" si="80"/>
        <v>9</v>
      </c>
      <c r="L269" s="104">
        <f t="shared" si="80"/>
        <v>10</v>
      </c>
      <c r="M269" s="104">
        <f t="shared" si="80"/>
        <v>11</v>
      </c>
      <c r="N269" s="104">
        <f t="shared" si="80"/>
        <v>12</v>
      </c>
      <c r="O269" s="104">
        <f t="shared" si="80"/>
        <v>13</v>
      </c>
      <c r="P269" s="104">
        <f t="shared" si="80"/>
        <v>14</v>
      </c>
      <c r="Q269" s="104">
        <f t="shared" si="80"/>
        <v>15</v>
      </c>
      <c r="R269" s="104">
        <f t="shared" si="80"/>
        <v>16</v>
      </c>
      <c r="S269" s="104">
        <f t="shared" si="80"/>
        <v>17</v>
      </c>
      <c r="T269" s="104">
        <f t="shared" si="80"/>
        <v>18</v>
      </c>
      <c r="U269" s="104">
        <f t="shared" si="80"/>
        <v>19</v>
      </c>
      <c r="V269" s="104">
        <f t="shared" si="80"/>
        <v>20</v>
      </c>
      <c r="W269" s="104">
        <f t="shared" si="80"/>
        <v>21</v>
      </c>
      <c r="X269" s="104">
        <f t="shared" si="80"/>
        <v>22</v>
      </c>
      <c r="Y269" s="104">
        <f t="shared" si="80"/>
        <v>23</v>
      </c>
      <c r="Z269" s="104">
        <f t="shared" si="80"/>
        <v>24</v>
      </c>
      <c r="AA269" s="104">
        <f t="shared" si="80"/>
        <v>25</v>
      </c>
      <c r="AB269" s="104">
        <f t="shared" si="80"/>
        <v>26</v>
      </c>
      <c r="AC269" s="104">
        <f t="shared" si="80"/>
        <v>27</v>
      </c>
      <c r="AD269" s="104">
        <f t="shared" si="80"/>
        <v>28</v>
      </c>
      <c r="AE269" s="104">
        <f t="shared" si="80"/>
        <v>29</v>
      </c>
      <c r="AF269" s="104">
        <f t="shared" si="80"/>
        <v>30</v>
      </c>
      <c r="AG269" s="104">
        <f t="shared" si="80"/>
        <v>31</v>
      </c>
      <c r="AH269" s="104">
        <f t="shared" si="80"/>
        <v>32</v>
      </c>
      <c r="AI269" s="104">
        <f t="shared" si="80"/>
        <v>33</v>
      </c>
      <c r="AJ269" s="104">
        <f t="shared" si="80"/>
        <v>34</v>
      </c>
      <c r="AK269" s="104">
        <f t="shared" si="80"/>
        <v>35</v>
      </c>
      <c r="AL269" s="104">
        <f t="shared" si="80"/>
        <v>36</v>
      </c>
      <c r="AM269" s="104">
        <f t="shared" si="80"/>
        <v>37</v>
      </c>
      <c r="AN269" s="104">
        <f t="shared" si="80"/>
        <v>38</v>
      </c>
      <c r="AO269" s="104">
        <f t="shared" si="80"/>
        <v>39</v>
      </c>
      <c r="AP269" s="104">
        <f t="shared" si="80"/>
        <v>40</v>
      </c>
      <c r="AQ269" s="104">
        <f t="shared" si="80"/>
        <v>41</v>
      </c>
      <c r="AR269" s="104">
        <f t="shared" si="80"/>
        <v>42</v>
      </c>
      <c r="AS269" s="104">
        <f t="shared" si="80"/>
        <v>43</v>
      </c>
      <c r="AT269" s="104">
        <f t="shared" si="80"/>
        <v>44</v>
      </c>
      <c r="AU269" s="104">
        <f t="shared" si="80"/>
        <v>45</v>
      </c>
      <c r="AV269" s="104">
        <f t="shared" si="80"/>
        <v>46</v>
      </c>
      <c r="AW269" s="104">
        <f t="shared" si="80"/>
        <v>47</v>
      </c>
      <c r="AX269" s="104">
        <f t="shared" si="80"/>
        <v>48</v>
      </c>
      <c r="AY269" s="104">
        <f t="shared" si="80"/>
        <v>49</v>
      </c>
      <c r="AZ269" s="104">
        <f t="shared" si="80"/>
        <v>50</v>
      </c>
      <c r="BA269" s="104">
        <f t="shared" si="80"/>
        <v>51</v>
      </c>
      <c r="BB269" s="104">
        <f t="shared" si="80"/>
        <v>52</v>
      </c>
    </row>
    <row r="270" spans="2:54" x14ac:dyDescent="0.25">
      <c r="B270" s="104" t="str">
        <f>B263</f>
        <v>SDT1</v>
      </c>
      <c r="C270" s="35">
        <v>0</v>
      </c>
      <c r="D270" s="35">
        <v>0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  <c r="U270" s="35">
        <v>0</v>
      </c>
      <c r="V270" s="35">
        <v>0</v>
      </c>
      <c r="W270" s="35">
        <v>0</v>
      </c>
      <c r="X270" s="35">
        <v>0</v>
      </c>
      <c r="Y270" s="35">
        <v>0</v>
      </c>
      <c r="Z270" s="35">
        <v>0</v>
      </c>
      <c r="AA270" s="35">
        <v>0</v>
      </c>
      <c r="AB270" s="35">
        <v>0</v>
      </c>
      <c r="AC270" s="35">
        <v>0</v>
      </c>
      <c r="AD270" s="35">
        <v>0</v>
      </c>
      <c r="AE270" s="35">
        <v>0</v>
      </c>
      <c r="AF270" s="35">
        <v>0</v>
      </c>
      <c r="AG270" s="35">
        <v>0</v>
      </c>
      <c r="AH270" s="35">
        <v>0</v>
      </c>
      <c r="AI270" s="35">
        <v>0</v>
      </c>
      <c r="AJ270" s="35">
        <v>0</v>
      </c>
      <c r="AK270" s="35">
        <v>0</v>
      </c>
      <c r="AL270" s="35">
        <v>0</v>
      </c>
      <c r="AM270" s="35">
        <v>0</v>
      </c>
      <c r="AN270" s="35">
        <v>0</v>
      </c>
      <c r="AO270" s="35">
        <v>0</v>
      </c>
      <c r="AP270" s="35">
        <v>0</v>
      </c>
      <c r="AQ270" s="35">
        <v>0</v>
      </c>
      <c r="AR270" s="35">
        <v>0</v>
      </c>
      <c r="AS270" s="35">
        <v>0</v>
      </c>
      <c r="AT270" s="35">
        <v>0</v>
      </c>
      <c r="AU270" s="35">
        <v>0</v>
      </c>
      <c r="AV270" s="35">
        <v>0</v>
      </c>
      <c r="AW270" s="35">
        <v>0</v>
      </c>
      <c r="AX270" s="35">
        <v>0</v>
      </c>
      <c r="AY270" s="35">
        <v>0</v>
      </c>
      <c r="AZ270" s="35">
        <v>0</v>
      </c>
      <c r="BA270" s="35">
        <v>0</v>
      </c>
      <c r="BB270" s="35">
        <v>0</v>
      </c>
    </row>
    <row r="271" spans="2:54" x14ac:dyDescent="0.25">
      <c r="B271" s="104" t="str">
        <f t="shared" ref="B271:B275" si="81">B264</f>
        <v>SDT2</v>
      </c>
      <c r="C271" s="35">
        <v>0</v>
      </c>
      <c r="D271" s="35">
        <v>0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  <c r="U271" s="35">
        <v>0</v>
      </c>
      <c r="V271" s="35">
        <v>0</v>
      </c>
      <c r="W271" s="35">
        <v>0</v>
      </c>
      <c r="X271" s="35">
        <v>0</v>
      </c>
      <c r="Y271" s="35">
        <v>0</v>
      </c>
      <c r="Z271" s="35">
        <v>0</v>
      </c>
      <c r="AA271" s="35">
        <v>0</v>
      </c>
      <c r="AB271" s="35">
        <v>0</v>
      </c>
      <c r="AC271" s="35">
        <v>0</v>
      </c>
      <c r="AD271" s="35">
        <v>0</v>
      </c>
      <c r="AE271" s="35">
        <v>0</v>
      </c>
      <c r="AF271" s="35">
        <v>0</v>
      </c>
      <c r="AG271" s="35">
        <v>0</v>
      </c>
      <c r="AH271" s="35">
        <v>0</v>
      </c>
      <c r="AI271" s="35">
        <v>0</v>
      </c>
      <c r="AJ271" s="35">
        <v>0</v>
      </c>
      <c r="AK271" s="35">
        <v>0</v>
      </c>
      <c r="AL271" s="35">
        <v>0</v>
      </c>
      <c r="AM271" s="35">
        <v>0</v>
      </c>
      <c r="AN271" s="35">
        <v>0</v>
      </c>
      <c r="AO271" s="35">
        <v>0</v>
      </c>
      <c r="AP271" s="35">
        <v>0</v>
      </c>
      <c r="AQ271" s="35">
        <v>0</v>
      </c>
      <c r="AR271" s="35">
        <v>0</v>
      </c>
      <c r="AS271" s="35">
        <v>0</v>
      </c>
      <c r="AT271" s="35">
        <v>0</v>
      </c>
      <c r="AU271" s="35">
        <v>0</v>
      </c>
      <c r="AV271" s="35">
        <v>0</v>
      </c>
      <c r="AW271" s="35">
        <v>0</v>
      </c>
      <c r="AX271" s="35">
        <v>0</v>
      </c>
      <c r="AY271" s="35">
        <v>0</v>
      </c>
      <c r="AZ271" s="35">
        <v>0</v>
      </c>
      <c r="BA271" s="35">
        <v>0</v>
      </c>
      <c r="BB271" s="35">
        <v>0</v>
      </c>
    </row>
    <row r="272" spans="2:54" x14ac:dyDescent="0.25">
      <c r="B272" s="104" t="str">
        <f>B265</f>
        <v>SDT3</v>
      </c>
      <c r="C272" s="35">
        <v>0</v>
      </c>
      <c r="D272" s="35">
        <v>0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  <c r="U272" s="35">
        <v>0</v>
      </c>
      <c r="V272" s="35">
        <v>0</v>
      </c>
      <c r="W272" s="35">
        <v>0</v>
      </c>
      <c r="X272" s="35">
        <v>0</v>
      </c>
      <c r="Y272" s="35">
        <v>0</v>
      </c>
      <c r="Z272" s="35">
        <v>0</v>
      </c>
      <c r="AA272" s="35">
        <v>0</v>
      </c>
      <c r="AB272" s="35">
        <v>0</v>
      </c>
      <c r="AC272" s="35">
        <v>0</v>
      </c>
      <c r="AD272" s="35">
        <v>0</v>
      </c>
      <c r="AE272" s="35">
        <v>0</v>
      </c>
      <c r="AF272" s="35">
        <v>0</v>
      </c>
      <c r="AG272" s="35">
        <v>0</v>
      </c>
      <c r="AH272" s="35">
        <v>0</v>
      </c>
      <c r="AI272" s="35">
        <v>0</v>
      </c>
      <c r="AJ272" s="35">
        <v>0</v>
      </c>
      <c r="AK272" s="35">
        <v>0</v>
      </c>
      <c r="AL272" s="35">
        <v>0</v>
      </c>
      <c r="AM272" s="35">
        <v>0</v>
      </c>
      <c r="AN272" s="35">
        <v>0</v>
      </c>
      <c r="AO272" s="35">
        <v>0</v>
      </c>
      <c r="AP272" s="35">
        <v>0</v>
      </c>
      <c r="AQ272" s="35">
        <v>0</v>
      </c>
      <c r="AR272" s="35">
        <v>0</v>
      </c>
      <c r="AS272" s="35">
        <v>0</v>
      </c>
      <c r="AT272" s="35">
        <v>0</v>
      </c>
      <c r="AU272" s="35">
        <v>0</v>
      </c>
      <c r="AV272" s="35">
        <v>0</v>
      </c>
      <c r="AW272" s="35">
        <v>0</v>
      </c>
      <c r="AX272" s="35">
        <v>0</v>
      </c>
      <c r="AY272" s="35">
        <v>0</v>
      </c>
      <c r="AZ272" s="35">
        <v>0</v>
      </c>
      <c r="BA272" s="35">
        <v>0</v>
      </c>
      <c r="BB272" s="35">
        <v>0</v>
      </c>
    </row>
    <row r="273" spans="2:54" x14ac:dyDescent="0.25">
      <c r="B273" s="104" t="str">
        <f t="shared" si="81"/>
        <v>SDT4</v>
      </c>
      <c r="C273" s="35">
        <v>0</v>
      </c>
      <c r="D273" s="35">
        <v>0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  <c r="U273" s="35">
        <v>0</v>
      </c>
      <c r="V273" s="35">
        <v>0</v>
      </c>
      <c r="W273" s="35">
        <v>0</v>
      </c>
      <c r="X273" s="35">
        <v>0</v>
      </c>
      <c r="Y273" s="35">
        <v>0</v>
      </c>
      <c r="Z273" s="35">
        <v>0</v>
      </c>
      <c r="AA273" s="35">
        <v>0</v>
      </c>
      <c r="AB273" s="35">
        <v>0</v>
      </c>
      <c r="AC273" s="35">
        <v>0</v>
      </c>
      <c r="AD273" s="35">
        <v>0</v>
      </c>
      <c r="AE273" s="35">
        <v>0</v>
      </c>
      <c r="AF273" s="35">
        <v>0</v>
      </c>
      <c r="AG273" s="35">
        <v>0</v>
      </c>
      <c r="AH273" s="35">
        <v>0</v>
      </c>
      <c r="AI273" s="35">
        <v>0</v>
      </c>
      <c r="AJ273" s="35">
        <v>0</v>
      </c>
      <c r="AK273" s="35">
        <v>0</v>
      </c>
      <c r="AL273" s="35">
        <v>0</v>
      </c>
      <c r="AM273" s="35">
        <v>0</v>
      </c>
      <c r="AN273" s="35">
        <v>0</v>
      </c>
      <c r="AO273" s="35">
        <v>0</v>
      </c>
      <c r="AP273" s="35">
        <v>0</v>
      </c>
      <c r="AQ273" s="35">
        <v>0</v>
      </c>
      <c r="AR273" s="35">
        <v>0</v>
      </c>
      <c r="AS273" s="35">
        <v>0</v>
      </c>
      <c r="AT273" s="35">
        <v>0</v>
      </c>
      <c r="AU273" s="35">
        <v>0</v>
      </c>
      <c r="AV273" s="35">
        <v>0</v>
      </c>
      <c r="AW273" s="35">
        <v>0</v>
      </c>
      <c r="AX273" s="35">
        <v>0</v>
      </c>
      <c r="AY273" s="35">
        <v>0</v>
      </c>
      <c r="AZ273" s="35">
        <v>0</v>
      </c>
      <c r="BA273" s="35">
        <v>0</v>
      </c>
      <c r="BB273" s="35">
        <v>0</v>
      </c>
    </row>
    <row r="274" spans="2:54" x14ac:dyDescent="0.25">
      <c r="B274" s="104" t="str">
        <f t="shared" si="81"/>
        <v>SDT5</v>
      </c>
      <c r="C274" s="35">
        <v>0.8</v>
      </c>
      <c r="D274" s="35">
        <v>0.6</v>
      </c>
      <c r="E274" s="35">
        <v>0.3</v>
      </c>
      <c r="F274" s="35">
        <v>0.9</v>
      </c>
      <c r="G274" s="35">
        <v>0.2</v>
      </c>
      <c r="H274" s="35">
        <v>0.1</v>
      </c>
      <c r="I274" s="35">
        <v>0.3</v>
      </c>
      <c r="J274" s="35">
        <v>0.1</v>
      </c>
      <c r="K274" s="35">
        <v>0.2</v>
      </c>
      <c r="L274" s="35">
        <v>0.6</v>
      </c>
      <c r="M274" s="35">
        <v>0.8</v>
      </c>
      <c r="N274" s="35">
        <v>0.6</v>
      </c>
      <c r="O274" s="35">
        <v>0.3</v>
      </c>
      <c r="P274" s="35">
        <v>0.9</v>
      </c>
      <c r="Q274" s="35">
        <v>0.2</v>
      </c>
      <c r="R274" s="35">
        <v>0.1</v>
      </c>
      <c r="S274" s="35">
        <v>0.3</v>
      </c>
      <c r="T274" s="35">
        <v>0.1</v>
      </c>
      <c r="U274" s="35">
        <v>0.2</v>
      </c>
      <c r="V274" s="35">
        <v>0.6</v>
      </c>
      <c r="W274" s="35">
        <v>0.2</v>
      </c>
      <c r="X274" s="35">
        <v>0.6</v>
      </c>
      <c r="Y274" s="35">
        <v>0.8</v>
      </c>
      <c r="Z274" s="35">
        <v>0.6</v>
      </c>
      <c r="AA274" s="35">
        <v>0.3</v>
      </c>
      <c r="AB274" s="35">
        <v>0.9</v>
      </c>
      <c r="AC274" s="35">
        <v>0.2</v>
      </c>
      <c r="AD274" s="35">
        <v>0.1</v>
      </c>
      <c r="AE274" s="35">
        <v>0.3</v>
      </c>
      <c r="AF274" s="35">
        <v>0.1</v>
      </c>
      <c r="AG274" s="35">
        <v>0.2</v>
      </c>
      <c r="AH274" s="35">
        <v>0.6</v>
      </c>
      <c r="AI274" s="35">
        <v>0.1</v>
      </c>
      <c r="AJ274" s="35">
        <v>0.5</v>
      </c>
      <c r="AK274" s="35">
        <v>0.3</v>
      </c>
      <c r="AL274" s="35">
        <v>0.6</v>
      </c>
      <c r="AM274" s="35">
        <v>0.3</v>
      </c>
      <c r="AN274" s="35">
        <v>0.4</v>
      </c>
      <c r="AO274" s="35">
        <v>0.4</v>
      </c>
      <c r="AP274" s="35">
        <v>0.4</v>
      </c>
      <c r="AQ274" s="35">
        <v>0.5</v>
      </c>
      <c r="AR274" s="35">
        <v>0.3</v>
      </c>
      <c r="AS274" s="35">
        <v>0.4</v>
      </c>
      <c r="AT274" s="35">
        <v>0.5</v>
      </c>
      <c r="AU274" s="35">
        <v>0.3</v>
      </c>
      <c r="AV274" s="35">
        <v>0.6</v>
      </c>
      <c r="AW274" s="35">
        <v>0.3</v>
      </c>
      <c r="AX274" s="35">
        <v>0.4</v>
      </c>
      <c r="AY274" s="35">
        <v>0.4</v>
      </c>
      <c r="AZ274" s="35">
        <v>0.4</v>
      </c>
      <c r="BA274" s="35">
        <v>0.4</v>
      </c>
      <c r="BB274" s="35">
        <v>0.4</v>
      </c>
    </row>
    <row r="275" spans="2:54" x14ac:dyDescent="0.25">
      <c r="B275" s="104" t="str">
        <f t="shared" si="81"/>
        <v>SDT6</v>
      </c>
      <c r="C275" s="35">
        <v>0.4</v>
      </c>
      <c r="D275" s="35">
        <v>0.5</v>
      </c>
      <c r="E275" s="35">
        <v>0.3</v>
      </c>
      <c r="F275" s="35">
        <v>0.6</v>
      </c>
      <c r="G275" s="35">
        <v>0.3</v>
      </c>
      <c r="H275" s="35">
        <v>0.4</v>
      </c>
      <c r="I275" s="35">
        <v>0.4</v>
      </c>
      <c r="J275" s="35">
        <v>0.5</v>
      </c>
      <c r="K275" s="35">
        <v>0.3</v>
      </c>
      <c r="L275" s="35">
        <v>0.6</v>
      </c>
      <c r="M275" s="35">
        <v>0.3</v>
      </c>
      <c r="N275" s="35">
        <v>0.4</v>
      </c>
      <c r="O275" s="35">
        <v>0.5</v>
      </c>
      <c r="P275" s="35">
        <v>0.3</v>
      </c>
      <c r="Q275" s="35">
        <v>0.6</v>
      </c>
      <c r="R275" s="35">
        <v>0.3</v>
      </c>
      <c r="S275" s="35">
        <v>0.4</v>
      </c>
      <c r="T275" s="35">
        <v>0.4</v>
      </c>
      <c r="U275" s="35">
        <v>0.5</v>
      </c>
      <c r="V275" s="35">
        <v>0.3</v>
      </c>
      <c r="W275" s="35">
        <v>0.6</v>
      </c>
      <c r="X275" s="35">
        <v>0.3</v>
      </c>
      <c r="Y275" s="35">
        <v>0.4</v>
      </c>
      <c r="Z275" s="35">
        <v>0.5</v>
      </c>
      <c r="AA275" s="35">
        <v>0.3</v>
      </c>
      <c r="AB275" s="35">
        <v>0.6</v>
      </c>
      <c r="AC275" s="35">
        <v>0.3</v>
      </c>
      <c r="AD275" s="35">
        <v>0.4</v>
      </c>
      <c r="AE275" s="35">
        <v>0.4</v>
      </c>
      <c r="AF275" s="35">
        <v>0.5</v>
      </c>
      <c r="AG275" s="35">
        <v>0.3</v>
      </c>
      <c r="AH275" s="35">
        <v>0.6</v>
      </c>
      <c r="AI275" s="35">
        <v>0.3</v>
      </c>
      <c r="AJ275" s="35">
        <v>0.4</v>
      </c>
      <c r="AK275" s="35">
        <v>0.4</v>
      </c>
      <c r="AL275" s="35">
        <v>0.4</v>
      </c>
      <c r="AM275" s="35">
        <v>0.5</v>
      </c>
      <c r="AN275" s="35">
        <v>0.3</v>
      </c>
      <c r="AO275" s="35">
        <v>0.4</v>
      </c>
      <c r="AP275" s="35">
        <v>0.5</v>
      </c>
      <c r="AQ275" s="35">
        <v>0.3</v>
      </c>
      <c r="AR275" s="35">
        <v>0.6</v>
      </c>
      <c r="AS275" s="35">
        <v>0.3</v>
      </c>
      <c r="AT275" s="35">
        <v>0.4</v>
      </c>
      <c r="AU275" s="35">
        <v>0.4</v>
      </c>
      <c r="AV275" s="35">
        <v>0.5</v>
      </c>
      <c r="AW275" s="35">
        <v>0.3</v>
      </c>
      <c r="AX275" s="35">
        <v>0.6</v>
      </c>
      <c r="AY275" s="35">
        <v>0.3</v>
      </c>
      <c r="AZ275" s="35">
        <v>0.4</v>
      </c>
      <c r="BA275" s="35">
        <v>0.4</v>
      </c>
      <c r="BB275" s="35">
        <v>0.2</v>
      </c>
    </row>
    <row r="276" spans="2:54" x14ac:dyDescent="0.25">
      <c r="B276" s="106" t="s">
        <v>259</v>
      </c>
      <c r="C276" s="104">
        <v>1</v>
      </c>
      <c r="D276" s="104">
        <f>C276+1</f>
        <v>2</v>
      </c>
      <c r="E276" s="104">
        <f t="shared" ref="E276:BB276" si="82">D276+1</f>
        <v>3</v>
      </c>
      <c r="F276" s="104">
        <f t="shared" si="82"/>
        <v>4</v>
      </c>
      <c r="G276" s="104">
        <f t="shared" si="82"/>
        <v>5</v>
      </c>
      <c r="H276" s="104">
        <f t="shared" si="82"/>
        <v>6</v>
      </c>
      <c r="I276" s="104">
        <f t="shared" si="82"/>
        <v>7</v>
      </c>
      <c r="J276" s="104">
        <f t="shared" si="82"/>
        <v>8</v>
      </c>
      <c r="K276" s="104">
        <f t="shared" si="82"/>
        <v>9</v>
      </c>
      <c r="L276" s="104">
        <f t="shared" si="82"/>
        <v>10</v>
      </c>
      <c r="M276" s="104">
        <f t="shared" si="82"/>
        <v>11</v>
      </c>
      <c r="N276" s="104">
        <f t="shared" si="82"/>
        <v>12</v>
      </c>
      <c r="O276" s="104">
        <f t="shared" si="82"/>
        <v>13</v>
      </c>
      <c r="P276" s="104">
        <f t="shared" si="82"/>
        <v>14</v>
      </c>
      <c r="Q276" s="104">
        <f t="shared" si="82"/>
        <v>15</v>
      </c>
      <c r="R276" s="104">
        <f t="shared" si="82"/>
        <v>16</v>
      </c>
      <c r="S276" s="104">
        <f t="shared" si="82"/>
        <v>17</v>
      </c>
      <c r="T276" s="104">
        <f t="shared" si="82"/>
        <v>18</v>
      </c>
      <c r="U276" s="104">
        <f t="shared" si="82"/>
        <v>19</v>
      </c>
      <c r="V276" s="104">
        <f t="shared" si="82"/>
        <v>20</v>
      </c>
      <c r="W276" s="104">
        <f t="shared" si="82"/>
        <v>21</v>
      </c>
      <c r="X276" s="104">
        <f t="shared" si="82"/>
        <v>22</v>
      </c>
      <c r="Y276" s="104">
        <f t="shared" si="82"/>
        <v>23</v>
      </c>
      <c r="Z276" s="104">
        <f t="shared" si="82"/>
        <v>24</v>
      </c>
      <c r="AA276" s="104">
        <f t="shared" si="82"/>
        <v>25</v>
      </c>
      <c r="AB276" s="104">
        <f t="shared" si="82"/>
        <v>26</v>
      </c>
      <c r="AC276" s="104">
        <f t="shared" si="82"/>
        <v>27</v>
      </c>
      <c r="AD276" s="104">
        <f t="shared" si="82"/>
        <v>28</v>
      </c>
      <c r="AE276" s="104">
        <f t="shared" si="82"/>
        <v>29</v>
      </c>
      <c r="AF276" s="104">
        <f t="shared" si="82"/>
        <v>30</v>
      </c>
      <c r="AG276" s="104">
        <f t="shared" si="82"/>
        <v>31</v>
      </c>
      <c r="AH276" s="104">
        <f t="shared" si="82"/>
        <v>32</v>
      </c>
      <c r="AI276" s="104">
        <f t="shared" si="82"/>
        <v>33</v>
      </c>
      <c r="AJ276" s="104">
        <f t="shared" si="82"/>
        <v>34</v>
      </c>
      <c r="AK276" s="104">
        <f t="shared" si="82"/>
        <v>35</v>
      </c>
      <c r="AL276" s="104">
        <f t="shared" si="82"/>
        <v>36</v>
      </c>
      <c r="AM276" s="104">
        <f t="shared" si="82"/>
        <v>37</v>
      </c>
      <c r="AN276" s="104">
        <f t="shared" si="82"/>
        <v>38</v>
      </c>
      <c r="AO276" s="104">
        <f t="shared" si="82"/>
        <v>39</v>
      </c>
      <c r="AP276" s="104">
        <f t="shared" si="82"/>
        <v>40</v>
      </c>
      <c r="AQ276" s="104">
        <f t="shared" si="82"/>
        <v>41</v>
      </c>
      <c r="AR276" s="104">
        <f t="shared" si="82"/>
        <v>42</v>
      </c>
      <c r="AS276" s="104">
        <f t="shared" si="82"/>
        <v>43</v>
      </c>
      <c r="AT276" s="104">
        <f t="shared" si="82"/>
        <v>44</v>
      </c>
      <c r="AU276" s="104">
        <f t="shared" si="82"/>
        <v>45</v>
      </c>
      <c r="AV276" s="104">
        <f t="shared" si="82"/>
        <v>46</v>
      </c>
      <c r="AW276" s="104">
        <f t="shared" si="82"/>
        <v>47</v>
      </c>
      <c r="AX276" s="104">
        <f t="shared" si="82"/>
        <v>48</v>
      </c>
      <c r="AY276" s="104">
        <f t="shared" si="82"/>
        <v>49</v>
      </c>
      <c r="AZ276" s="104">
        <f t="shared" si="82"/>
        <v>50</v>
      </c>
      <c r="BA276" s="104">
        <f t="shared" si="82"/>
        <v>51</v>
      </c>
      <c r="BB276" s="104">
        <f t="shared" si="82"/>
        <v>52</v>
      </c>
    </row>
    <row r="277" spans="2:54" x14ac:dyDescent="0.25">
      <c r="B277" s="104" t="str">
        <f>B270</f>
        <v>SDT1</v>
      </c>
      <c r="C277" s="35">
        <v>0</v>
      </c>
      <c r="D277" s="35">
        <v>0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  <c r="U277" s="35">
        <v>0</v>
      </c>
      <c r="V277" s="35">
        <v>0</v>
      </c>
      <c r="W277" s="35">
        <v>0</v>
      </c>
      <c r="X277" s="35">
        <v>0</v>
      </c>
      <c r="Y277" s="35">
        <v>0</v>
      </c>
      <c r="Z277" s="35">
        <v>0</v>
      </c>
      <c r="AA277" s="35">
        <v>0</v>
      </c>
      <c r="AB277" s="35">
        <v>0</v>
      </c>
      <c r="AC277" s="35">
        <v>0</v>
      </c>
      <c r="AD277" s="35">
        <v>0</v>
      </c>
      <c r="AE277" s="35">
        <v>0</v>
      </c>
      <c r="AF277" s="35">
        <v>0</v>
      </c>
      <c r="AG277" s="35">
        <v>0</v>
      </c>
      <c r="AH277" s="35">
        <v>0</v>
      </c>
      <c r="AI277" s="35">
        <v>0</v>
      </c>
      <c r="AJ277" s="35">
        <v>0</v>
      </c>
      <c r="AK277" s="35">
        <v>0</v>
      </c>
      <c r="AL277" s="35">
        <v>0</v>
      </c>
      <c r="AM277" s="35">
        <v>0</v>
      </c>
      <c r="AN277" s="35">
        <v>0</v>
      </c>
      <c r="AO277" s="35">
        <v>0</v>
      </c>
      <c r="AP277" s="35">
        <v>0</v>
      </c>
      <c r="AQ277" s="35">
        <v>0</v>
      </c>
      <c r="AR277" s="35">
        <v>0</v>
      </c>
      <c r="AS277" s="35">
        <v>0</v>
      </c>
      <c r="AT277" s="35">
        <v>0</v>
      </c>
      <c r="AU277" s="35">
        <v>0</v>
      </c>
      <c r="AV277" s="35">
        <v>0</v>
      </c>
      <c r="AW277" s="35">
        <v>0</v>
      </c>
      <c r="AX277" s="35">
        <v>0</v>
      </c>
      <c r="AY277" s="35">
        <v>0</v>
      </c>
      <c r="AZ277" s="35">
        <v>0</v>
      </c>
      <c r="BA277" s="35">
        <v>0</v>
      </c>
      <c r="BB277" s="35">
        <v>0</v>
      </c>
    </row>
    <row r="278" spans="2:54" x14ac:dyDescent="0.25">
      <c r="B278" s="104" t="str">
        <f t="shared" ref="B278:B282" si="83">B271</f>
        <v>SDT2</v>
      </c>
      <c r="C278" s="35">
        <v>0.4</v>
      </c>
      <c r="D278" s="35">
        <v>0.5</v>
      </c>
      <c r="E278" s="35">
        <v>0.3</v>
      </c>
      <c r="F278" s="35">
        <v>0.6</v>
      </c>
      <c r="G278" s="35">
        <v>0.3</v>
      </c>
      <c r="H278" s="35">
        <v>0.4</v>
      </c>
      <c r="I278" s="35">
        <v>0.4</v>
      </c>
      <c r="J278" s="35">
        <v>0.5</v>
      </c>
      <c r="K278" s="35">
        <v>0.3</v>
      </c>
      <c r="L278" s="35">
        <v>0.6</v>
      </c>
      <c r="M278" s="35">
        <v>0.3</v>
      </c>
      <c r="N278" s="35">
        <v>0.4</v>
      </c>
      <c r="O278" s="35">
        <v>0.5</v>
      </c>
      <c r="P278" s="35">
        <v>0.3</v>
      </c>
      <c r="Q278" s="35">
        <v>0.6</v>
      </c>
      <c r="R278" s="35">
        <v>0.3</v>
      </c>
      <c r="S278" s="35">
        <v>0.4</v>
      </c>
      <c r="T278" s="35">
        <v>0.4</v>
      </c>
      <c r="U278" s="35">
        <v>0.5</v>
      </c>
      <c r="V278" s="35">
        <v>0.3</v>
      </c>
      <c r="W278" s="35">
        <v>0.6</v>
      </c>
      <c r="X278" s="35">
        <v>0.3</v>
      </c>
      <c r="Y278" s="35">
        <v>0.4</v>
      </c>
      <c r="Z278" s="35">
        <v>0.5</v>
      </c>
      <c r="AA278" s="35">
        <v>0.3</v>
      </c>
      <c r="AB278" s="35">
        <v>0.6</v>
      </c>
      <c r="AC278" s="35">
        <v>0.3</v>
      </c>
      <c r="AD278" s="35">
        <v>0.4</v>
      </c>
      <c r="AE278" s="35">
        <v>0.4</v>
      </c>
      <c r="AF278" s="35">
        <v>0.5</v>
      </c>
      <c r="AG278" s="35">
        <v>0.3</v>
      </c>
      <c r="AH278" s="35">
        <v>0.6</v>
      </c>
      <c r="AI278" s="35">
        <v>0.3</v>
      </c>
      <c r="AJ278" s="35">
        <v>0.4</v>
      </c>
      <c r="AK278" s="35">
        <v>0.4</v>
      </c>
      <c r="AL278" s="35">
        <v>0.4</v>
      </c>
      <c r="AM278" s="35">
        <v>0.5</v>
      </c>
      <c r="AN278" s="35">
        <v>0.3</v>
      </c>
      <c r="AO278" s="35">
        <v>0.4</v>
      </c>
      <c r="AP278" s="35">
        <v>0.5</v>
      </c>
      <c r="AQ278" s="35">
        <v>0.3</v>
      </c>
      <c r="AR278" s="35">
        <v>0.6</v>
      </c>
      <c r="AS278" s="35">
        <v>0.3</v>
      </c>
      <c r="AT278" s="35">
        <v>0.4</v>
      </c>
      <c r="AU278" s="35">
        <v>0.4</v>
      </c>
      <c r="AV278" s="35">
        <v>0.5</v>
      </c>
      <c r="AW278" s="35">
        <v>0.3</v>
      </c>
      <c r="AX278" s="35">
        <v>0.6</v>
      </c>
      <c r="AY278" s="35">
        <v>0.3</v>
      </c>
      <c r="AZ278" s="35">
        <v>0.4</v>
      </c>
      <c r="BA278" s="35">
        <v>0.4</v>
      </c>
      <c r="BB278" s="35">
        <v>0.2</v>
      </c>
    </row>
    <row r="279" spans="2:54" x14ac:dyDescent="0.25">
      <c r="B279" s="104" t="str">
        <f>B272</f>
        <v>SDT3</v>
      </c>
      <c r="C279" s="35">
        <v>0</v>
      </c>
      <c r="D279" s="35">
        <v>0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  <c r="U279" s="35">
        <v>0</v>
      </c>
      <c r="V279" s="35">
        <v>0</v>
      </c>
      <c r="W279" s="35">
        <v>0</v>
      </c>
      <c r="X279" s="35">
        <v>0</v>
      </c>
      <c r="Y279" s="35">
        <v>0</v>
      </c>
      <c r="Z279" s="35">
        <v>0</v>
      </c>
      <c r="AA279" s="35">
        <v>0</v>
      </c>
      <c r="AB279" s="35">
        <v>0</v>
      </c>
      <c r="AC279" s="35">
        <v>0</v>
      </c>
      <c r="AD279" s="35">
        <v>0</v>
      </c>
      <c r="AE279" s="35">
        <v>0</v>
      </c>
      <c r="AF279" s="35">
        <v>0</v>
      </c>
      <c r="AG279" s="35">
        <v>0</v>
      </c>
      <c r="AH279" s="35">
        <v>0</v>
      </c>
      <c r="AI279" s="35">
        <v>0</v>
      </c>
      <c r="AJ279" s="35">
        <v>0</v>
      </c>
      <c r="AK279" s="35">
        <v>0</v>
      </c>
      <c r="AL279" s="35">
        <v>0</v>
      </c>
      <c r="AM279" s="35">
        <v>0</v>
      </c>
      <c r="AN279" s="35">
        <v>0</v>
      </c>
      <c r="AO279" s="35">
        <v>0</v>
      </c>
      <c r="AP279" s="35">
        <v>0</v>
      </c>
      <c r="AQ279" s="35">
        <v>0</v>
      </c>
      <c r="AR279" s="35">
        <v>0</v>
      </c>
      <c r="AS279" s="35">
        <v>0</v>
      </c>
      <c r="AT279" s="35">
        <v>0</v>
      </c>
      <c r="AU279" s="35">
        <v>0</v>
      </c>
      <c r="AV279" s="35">
        <v>0</v>
      </c>
      <c r="AW279" s="35">
        <v>0</v>
      </c>
      <c r="AX279" s="35">
        <v>0</v>
      </c>
      <c r="AY279" s="35">
        <v>0</v>
      </c>
      <c r="AZ279" s="35">
        <v>0</v>
      </c>
      <c r="BA279" s="35">
        <v>0</v>
      </c>
      <c r="BB279" s="35">
        <v>0</v>
      </c>
    </row>
    <row r="280" spans="2:54" x14ac:dyDescent="0.25">
      <c r="B280" s="104" t="str">
        <f t="shared" si="83"/>
        <v>SDT4</v>
      </c>
      <c r="C280" s="35">
        <v>0.4</v>
      </c>
      <c r="D280" s="35">
        <v>0.5</v>
      </c>
      <c r="E280" s="35">
        <v>0.3</v>
      </c>
      <c r="F280" s="35">
        <v>0.6</v>
      </c>
      <c r="G280" s="35">
        <v>0.3</v>
      </c>
      <c r="H280" s="35">
        <v>0.4</v>
      </c>
      <c r="I280" s="35">
        <v>0.4</v>
      </c>
      <c r="J280" s="35">
        <v>0.5</v>
      </c>
      <c r="K280" s="35">
        <v>0.3</v>
      </c>
      <c r="L280" s="35">
        <v>0.6</v>
      </c>
      <c r="M280" s="35">
        <v>0.3</v>
      </c>
      <c r="N280" s="35">
        <v>0.4</v>
      </c>
      <c r="O280" s="35">
        <v>0.5</v>
      </c>
      <c r="P280" s="35">
        <v>0.3</v>
      </c>
      <c r="Q280" s="35">
        <v>0.6</v>
      </c>
      <c r="R280" s="35">
        <v>0.3</v>
      </c>
      <c r="S280" s="35">
        <v>0.4</v>
      </c>
      <c r="T280" s="35">
        <v>0.4</v>
      </c>
      <c r="U280" s="35">
        <v>0.5</v>
      </c>
      <c r="V280" s="35">
        <v>0.3</v>
      </c>
      <c r="W280" s="35">
        <v>0.6</v>
      </c>
      <c r="X280" s="35">
        <v>0.3</v>
      </c>
      <c r="Y280" s="35">
        <v>0.4</v>
      </c>
      <c r="Z280" s="35">
        <v>0.5</v>
      </c>
      <c r="AA280" s="35">
        <v>0.3</v>
      </c>
      <c r="AB280" s="35">
        <v>0.6</v>
      </c>
      <c r="AC280" s="35">
        <v>0.3</v>
      </c>
      <c r="AD280" s="35">
        <v>0.4</v>
      </c>
      <c r="AE280" s="35">
        <v>0.4</v>
      </c>
      <c r="AF280" s="35">
        <v>0.5</v>
      </c>
      <c r="AG280" s="35">
        <v>0.3</v>
      </c>
      <c r="AH280" s="35">
        <v>0.6</v>
      </c>
      <c r="AI280" s="35">
        <v>0.3</v>
      </c>
      <c r="AJ280" s="35">
        <v>0.4</v>
      </c>
      <c r="AK280" s="35">
        <v>0.4</v>
      </c>
      <c r="AL280" s="35">
        <v>0.4</v>
      </c>
      <c r="AM280" s="35">
        <v>0.5</v>
      </c>
      <c r="AN280" s="35">
        <v>0.3</v>
      </c>
      <c r="AO280" s="35">
        <v>0.4</v>
      </c>
      <c r="AP280" s="35">
        <v>0.5</v>
      </c>
      <c r="AQ280" s="35">
        <v>0.3</v>
      </c>
      <c r="AR280" s="35">
        <v>0.6</v>
      </c>
      <c r="AS280" s="35">
        <v>0.3</v>
      </c>
      <c r="AT280" s="35">
        <v>0.4</v>
      </c>
      <c r="AU280" s="35">
        <v>0.4</v>
      </c>
      <c r="AV280" s="35">
        <v>0.5</v>
      </c>
      <c r="AW280" s="35">
        <v>0.3</v>
      </c>
      <c r="AX280" s="35">
        <v>0.6</v>
      </c>
      <c r="AY280" s="35">
        <v>0.3</v>
      </c>
      <c r="AZ280" s="35">
        <v>0.4</v>
      </c>
      <c r="BA280" s="35">
        <v>0.4</v>
      </c>
      <c r="BB280" s="35">
        <v>0.2</v>
      </c>
    </row>
    <row r="281" spans="2:54" x14ac:dyDescent="0.25">
      <c r="B281" s="104" t="str">
        <f t="shared" si="83"/>
        <v>SDT5</v>
      </c>
      <c r="C281" s="35">
        <v>0</v>
      </c>
      <c r="D281" s="35">
        <v>0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  <c r="U281" s="35">
        <v>0</v>
      </c>
      <c r="V281" s="35">
        <v>0</v>
      </c>
      <c r="W281" s="35">
        <v>0</v>
      </c>
      <c r="X281" s="35">
        <v>0</v>
      </c>
      <c r="Y281" s="35">
        <v>0</v>
      </c>
      <c r="Z281" s="35">
        <v>0</v>
      </c>
      <c r="AA281" s="35">
        <v>0</v>
      </c>
      <c r="AB281" s="35">
        <v>0</v>
      </c>
      <c r="AC281" s="35">
        <v>0</v>
      </c>
      <c r="AD281" s="35">
        <v>0</v>
      </c>
      <c r="AE281" s="35">
        <v>0</v>
      </c>
      <c r="AF281" s="35">
        <v>0</v>
      </c>
      <c r="AG281" s="35">
        <v>0</v>
      </c>
      <c r="AH281" s="35">
        <v>0</v>
      </c>
      <c r="AI281" s="35">
        <v>0</v>
      </c>
      <c r="AJ281" s="35">
        <v>0</v>
      </c>
      <c r="AK281" s="35">
        <v>0</v>
      </c>
      <c r="AL281" s="35">
        <v>0</v>
      </c>
      <c r="AM281" s="35">
        <v>0</v>
      </c>
      <c r="AN281" s="35">
        <v>0</v>
      </c>
      <c r="AO281" s="35">
        <v>0</v>
      </c>
      <c r="AP281" s="35">
        <v>0</v>
      </c>
      <c r="AQ281" s="35">
        <v>0</v>
      </c>
      <c r="AR281" s="35">
        <v>0</v>
      </c>
      <c r="AS281" s="35">
        <v>0</v>
      </c>
      <c r="AT281" s="35">
        <v>0</v>
      </c>
      <c r="AU281" s="35">
        <v>0</v>
      </c>
      <c r="AV281" s="35">
        <v>0</v>
      </c>
      <c r="AW281" s="35">
        <v>0</v>
      </c>
      <c r="AX281" s="35">
        <v>0</v>
      </c>
      <c r="AY281" s="35">
        <v>0</v>
      </c>
      <c r="AZ281" s="35">
        <v>0</v>
      </c>
      <c r="BA281" s="35">
        <v>0</v>
      </c>
      <c r="BB281" s="35">
        <v>0</v>
      </c>
    </row>
    <row r="282" spans="2:54" x14ac:dyDescent="0.25">
      <c r="B282" s="104" t="str">
        <f t="shared" si="83"/>
        <v>SDT6</v>
      </c>
      <c r="C282" s="35">
        <v>0</v>
      </c>
      <c r="D282" s="35">
        <v>0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  <c r="U282" s="35">
        <v>0</v>
      </c>
      <c r="V282" s="35">
        <v>0</v>
      </c>
      <c r="W282" s="35">
        <v>0</v>
      </c>
      <c r="X282" s="35">
        <v>0</v>
      </c>
      <c r="Y282" s="35">
        <v>0</v>
      </c>
      <c r="Z282" s="35">
        <v>0</v>
      </c>
      <c r="AA282" s="35">
        <v>0</v>
      </c>
      <c r="AB282" s="35">
        <v>0</v>
      </c>
      <c r="AC282" s="35">
        <v>0</v>
      </c>
      <c r="AD282" s="35">
        <v>0</v>
      </c>
      <c r="AE282" s="35">
        <v>0</v>
      </c>
      <c r="AF282" s="35">
        <v>0</v>
      </c>
      <c r="AG282" s="35">
        <v>0</v>
      </c>
      <c r="AH282" s="35">
        <v>0</v>
      </c>
      <c r="AI282" s="35">
        <v>0</v>
      </c>
      <c r="AJ282" s="35">
        <v>0</v>
      </c>
      <c r="AK282" s="35">
        <v>0</v>
      </c>
      <c r="AL282" s="35">
        <v>0</v>
      </c>
      <c r="AM282" s="35">
        <v>0</v>
      </c>
      <c r="AN282" s="35">
        <v>0</v>
      </c>
      <c r="AO282" s="35">
        <v>0</v>
      </c>
      <c r="AP282" s="35">
        <v>0</v>
      </c>
      <c r="AQ282" s="35">
        <v>0</v>
      </c>
      <c r="AR282" s="35">
        <v>0</v>
      </c>
      <c r="AS282" s="35">
        <v>0</v>
      </c>
      <c r="AT282" s="35">
        <v>0</v>
      </c>
      <c r="AU282" s="35">
        <v>0</v>
      </c>
      <c r="AV282" s="35">
        <v>0</v>
      </c>
      <c r="AW282" s="35">
        <v>0</v>
      </c>
      <c r="AX282" s="35">
        <v>0</v>
      </c>
      <c r="AY282" s="35">
        <v>0</v>
      </c>
      <c r="AZ282" s="35">
        <v>0</v>
      </c>
      <c r="BA282" s="35">
        <v>0</v>
      </c>
      <c r="BB282" s="35">
        <v>0</v>
      </c>
    </row>
    <row r="283" spans="2:54" x14ac:dyDescent="0.25">
      <c r="B283" s="106" t="s">
        <v>260</v>
      </c>
      <c r="C283" s="104">
        <v>1</v>
      </c>
      <c r="D283" s="104">
        <f>C283+1</f>
        <v>2</v>
      </c>
      <c r="E283" s="104">
        <f t="shared" ref="E283:BB283" si="84">D283+1</f>
        <v>3</v>
      </c>
      <c r="F283" s="104">
        <f t="shared" si="84"/>
        <v>4</v>
      </c>
      <c r="G283" s="104">
        <f t="shared" si="84"/>
        <v>5</v>
      </c>
      <c r="H283" s="104">
        <f t="shared" si="84"/>
        <v>6</v>
      </c>
      <c r="I283" s="104">
        <f t="shared" si="84"/>
        <v>7</v>
      </c>
      <c r="J283" s="104">
        <f t="shared" si="84"/>
        <v>8</v>
      </c>
      <c r="K283" s="104">
        <f t="shared" si="84"/>
        <v>9</v>
      </c>
      <c r="L283" s="104">
        <f t="shared" si="84"/>
        <v>10</v>
      </c>
      <c r="M283" s="104">
        <f t="shared" si="84"/>
        <v>11</v>
      </c>
      <c r="N283" s="104">
        <f t="shared" si="84"/>
        <v>12</v>
      </c>
      <c r="O283" s="104">
        <f t="shared" si="84"/>
        <v>13</v>
      </c>
      <c r="P283" s="104">
        <f t="shared" si="84"/>
        <v>14</v>
      </c>
      <c r="Q283" s="104">
        <f t="shared" si="84"/>
        <v>15</v>
      </c>
      <c r="R283" s="104">
        <f t="shared" si="84"/>
        <v>16</v>
      </c>
      <c r="S283" s="104">
        <f t="shared" si="84"/>
        <v>17</v>
      </c>
      <c r="T283" s="104">
        <f t="shared" si="84"/>
        <v>18</v>
      </c>
      <c r="U283" s="104">
        <f t="shared" si="84"/>
        <v>19</v>
      </c>
      <c r="V283" s="104">
        <f t="shared" si="84"/>
        <v>20</v>
      </c>
      <c r="W283" s="104">
        <f t="shared" si="84"/>
        <v>21</v>
      </c>
      <c r="X283" s="104">
        <f t="shared" si="84"/>
        <v>22</v>
      </c>
      <c r="Y283" s="104">
        <f t="shared" si="84"/>
        <v>23</v>
      </c>
      <c r="Z283" s="104">
        <f t="shared" si="84"/>
        <v>24</v>
      </c>
      <c r="AA283" s="104">
        <f t="shared" si="84"/>
        <v>25</v>
      </c>
      <c r="AB283" s="104">
        <f t="shared" si="84"/>
        <v>26</v>
      </c>
      <c r="AC283" s="104">
        <f t="shared" si="84"/>
        <v>27</v>
      </c>
      <c r="AD283" s="104">
        <f t="shared" si="84"/>
        <v>28</v>
      </c>
      <c r="AE283" s="104">
        <f t="shared" si="84"/>
        <v>29</v>
      </c>
      <c r="AF283" s="104">
        <f t="shared" si="84"/>
        <v>30</v>
      </c>
      <c r="AG283" s="104">
        <f t="shared" si="84"/>
        <v>31</v>
      </c>
      <c r="AH283" s="104">
        <f t="shared" si="84"/>
        <v>32</v>
      </c>
      <c r="AI283" s="104">
        <f t="shared" si="84"/>
        <v>33</v>
      </c>
      <c r="AJ283" s="104">
        <f t="shared" si="84"/>
        <v>34</v>
      </c>
      <c r="AK283" s="104">
        <f t="shared" si="84"/>
        <v>35</v>
      </c>
      <c r="AL283" s="104">
        <f t="shared" si="84"/>
        <v>36</v>
      </c>
      <c r="AM283" s="104">
        <f t="shared" si="84"/>
        <v>37</v>
      </c>
      <c r="AN283" s="104">
        <f t="shared" si="84"/>
        <v>38</v>
      </c>
      <c r="AO283" s="104">
        <f t="shared" si="84"/>
        <v>39</v>
      </c>
      <c r="AP283" s="104">
        <f t="shared" si="84"/>
        <v>40</v>
      </c>
      <c r="AQ283" s="104">
        <f t="shared" si="84"/>
        <v>41</v>
      </c>
      <c r="AR283" s="104">
        <f t="shared" si="84"/>
        <v>42</v>
      </c>
      <c r="AS283" s="104">
        <f t="shared" si="84"/>
        <v>43</v>
      </c>
      <c r="AT283" s="104">
        <f t="shared" si="84"/>
        <v>44</v>
      </c>
      <c r="AU283" s="104">
        <f t="shared" si="84"/>
        <v>45</v>
      </c>
      <c r="AV283" s="104">
        <f t="shared" si="84"/>
        <v>46</v>
      </c>
      <c r="AW283" s="104">
        <f t="shared" si="84"/>
        <v>47</v>
      </c>
      <c r="AX283" s="104">
        <f t="shared" si="84"/>
        <v>48</v>
      </c>
      <c r="AY283" s="104">
        <f t="shared" si="84"/>
        <v>49</v>
      </c>
      <c r="AZ283" s="104">
        <f t="shared" si="84"/>
        <v>50</v>
      </c>
      <c r="BA283" s="104">
        <f t="shared" si="84"/>
        <v>51</v>
      </c>
      <c r="BB283" s="104">
        <f t="shared" si="84"/>
        <v>52</v>
      </c>
    </row>
    <row r="284" spans="2:54" x14ac:dyDescent="0.25">
      <c r="B284" s="104" t="str">
        <f>B277</f>
        <v>SDT1</v>
      </c>
      <c r="C284" s="35">
        <v>0.4</v>
      </c>
      <c r="D284" s="35">
        <v>0.5</v>
      </c>
      <c r="E284" s="35">
        <v>0.3</v>
      </c>
      <c r="F284" s="35">
        <v>0.6</v>
      </c>
      <c r="G284" s="35">
        <v>0.3</v>
      </c>
      <c r="H284" s="35">
        <v>0.4</v>
      </c>
      <c r="I284" s="35">
        <v>0.4</v>
      </c>
      <c r="J284" s="35">
        <v>0.5</v>
      </c>
      <c r="K284" s="35">
        <v>0.3</v>
      </c>
      <c r="L284" s="35">
        <v>0.6</v>
      </c>
      <c r="M284" s="35">
        <v>0.3</v>
      </c>
      <c r="N284" s="35">
        <v>0.4</v>
      </c>
      <c r="O284" s="35">
        <v>0.5</v>
      </c>
      <c r="P284" s="35">
        <v>0.3</v>
      </c>
      <c r="Q284" s="35">
        <v>0.6</v>
      </c>
      <c r="R284" s="35">
        <v>0.3</v>
      </c>
      <c r="S284" s="35">
        <v>0.4</v>
      </c>
      <c r="T284" s="35">
        <v>0.4</v>
      </c>
      <c r="U284" s="35">
        <v>0.5</v>
      </c>
      <c r="V284" s="35">
        <v>0.3</v>
      </c>
      <c r="W284" s="35">
        <v>0.6</v>
      </c>
      <c r="X284" s="35">
        <v>0.3</v>
      </c>
      <c r="Y284" s="35">
        <v>0.4</v>
      </c>
      <c r="Z284" s="35">
        <v>0.5</v>
      </c>
      <c r="AA284" s="35">
        <v>0.3</v>
      </c>
      <c r="AB284" s="35">
        <v>0.6</v>
      </c>
      <c r="AC284" s="35">
        <v>0.3</v>
      </c>
      <c r="AD284" s="35">
        <v>0.4</v>
      </c>
      <c r="AE284" s="35">
        <v>0.4</v>
      </c>
      <c r="AF284" s="35">
        <v>0.5</v>
      </c>
      <c r="AG284" s="35">
        <v>0.3</v>
      </c>
      <c r="AH284" s="35">
        <v>0.6</v>
      </c>
      <c r="AI284" s="35">
        <v>0.3</v>
      </c>
      <c r="AJ284" s="35">
        <v>0.4</v>
      </c>
      <c r="AK284" s="35">
        <v>0.4</v>
      </c>
      <c r="AL284" s="35">
        <v>0.4</v>
      </c>
      <c r="AM284" s="35">
        <v>0.5</v>
      </c>
      <c r="AN284" s="35">
        <v>0.3</v>
      </c>
      <c r="AO284" s="35">
        <v>0.4</v>
      </c>
      <c r="AP284" s="35">
        <v>0.5</v>
      </c>
      <c r="AQ284" s="35">
        <v>0.3</v>
      </c>
      <c r="AR284" s="35">
        <v>0.6</v>
      </c>
      <c r="AS284" s="35">
        <v>0.3</v>
      </c>
      <c r="AT284" s="35">
        <v>0.4</v>
      </c>
      <c r="AU284" s="35">
        <v>0.4</v>
      </c>
      <c r="AV284" s="35">
        <v>0.4</v>
      </c>
      <c r="AW284" s="35">
        <v>0.9</v>
      </c>
      <c r="AX284" s="35">
        <v>0.4</v>
      </c>
      <c r="AY284" s="35">
        <v>0.4</v>
      </c>
      <c r="AZ284" s="35">
        <v>0.4</v>
      </c>
      <c r="BA284" s="35">
        <v>0.4</v>
      </c>
      <c r="BB284" s="35">
        <v>0.2</v>
      </c>
    </row>
    <row r="285" spans="2:54" x14ac:dyDescent="0.25">
      <c r="B285" s="104" t="str">
        <f t="shared" ref="B285:B289" si="85">B278</f>
        <v>SDT2</v>
      </c>
      <c r="C285" s="35">
        <v>0</v>
      </c>
      <c r="D285" s="35">
        <v>0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  <c r="U285" s="35">
        <v>0</v>
      </c>
      <c r="V285" s="35">
        <v>0</v>
      </c>
      <c r="W285" s="35">
        <v>0</v>
      </c>
      <c r="X285" s="35">
        <v>0</v>
      </c>
      <c r="Y285" s="35">
        <v>0</v>
      </c>
      <c r="Z285" s="35">
        <v>0</v>
      </c>
      <c r="AA285" s="35">
        <v>0</v>
      </c>
      <c r="AB285" s="35">
        <v>0</v>
      </c>
      <c r="AC285" s="35">
        <v>0</v>
      </c>
      <c r="AD285" s="35">
        <v>0</v>
      </c>
      <c r="AE285" s="35">
        <v>0</v>
      </c>
      <c r="AF285" s="35">
        <v>0</v>
      </c>
      <c r="AG285" s="35">
        <v>0</v>
      </c>
      <c r="AH285" s="35">
        <v>0</v>
      </c>
      <c r="AI285" s="35">
        <v>0</v>
      </c>
      <c r="AJ285" s="35">
        <v>0</v>
      </c>
      <c r="AK285" s="35">
        <v>0</v>
      </c>
      <c r="AL285" s="35">
        <v>0</v>
      </c>
      <c r="AM285" s="35">
        <v>0</v>
      </c>
      <c r="AN285" s="35">
        <v>0</v>
      </c>
      <c r="AO285" s="35">
        <v>0</v>
      </c>
      <c r="AP285" s="35">
        <v>0</v>
      </c>
      <c r="AQ285" s="35">
        <v>0</v>
      </c>
      <c r="AR285" s="35">
        <v>0</v>
      </c>
      <c r="AS285" s="35">
        <v>0</v>
      </c>
      <c r="AT285" s="35">
        <v>0</v>
      </c>
      <c r="AU285" s="35">
        <v>0</v>
      </c>
      <c r="AV285" s="35">
        <v>0</v>
      </c>
      <c r="AW285" s="35">
        <v>0</v>
      </c>
      <c r="AX285" s="35">
        <v>0</v>
      </c>
      <c r="AY285" s="35">
        <v>0</v>
      </c>
      <c r="AZ285" s="35">
        <v>0</v>
      </c>
      <c r="BA285" s="35">
        <v>0</v>
      </c>
      <c r="BB285" s="35">
        <v>0</v>
      </c>
    </row>
    <row r="286" spans="2:54" x14ac:dyDescent="0.25">
      <c r="B286" s="104" t="str">
        <f>B279</f>
        <v>SDT3</v>
      </c>
      <c r="C286" s="35">
        <v>0.4</v>
      </c>
      <c r="D286" s="35">
        <v>0.5</v>
      </c>
      <c r="E286" s="35">
        <v>0.3</v>
      </c>
      <c r="F286" s="35">
        <v>0.6</v>
      </c>
      <c r="G286" s="35">
        <v>0.3</v>
      </c>
      <c r="H286" s="35">
        <v>0.4</v>
      </c>
      <c r="I286" s="35">
        <v>0.4</v>
      </c>
      <c r="J286" s="35">
        <v>0.5</v>
      </c>
      <c r="K286" s="35">
        <v>0.3</v>
      </c>
      <c r="L286" s="35">
        <v>0.6</v>
      </c>
      <c r="M286" s="35">
        <v>0.3</v>
      </c>
      <c r="N286" s="35">
        <v>0.4</v>
      </c>
      <c r="O286" s="35">
        <v>0.5</v>
      </c>
      <c r="P286" s="35">
        <v>0.3</v>
      </c>
      <c r="Q286" s="35">
        <v>0.6</v>
      </c>
      <c r="R286" s="35">
        <v>0.3</v>
      </c>
      <c r="S286" s="35">
        <v>0.4</v>
      </c>
      <c r="T286" s="35">
        <v>0.4</v>
      </c>
      <c r="U286" s="35">
        <v>0.5</v>
      </c>
      <c r="V286" s="35">
        <v>0.3</v>
      </c>
      <c r="W286" s="35">
        <v>0.6</v>
      </c>
      <c r="X286" s="35">
        <v>0.3</v>
      </c>
      <c r="Y286" s="35">
        <v>0.4</v>
      </c>
      <c r="Z286" s="35">
        <v>0.5</v>
      </c>
      <c r="AA286" s="35">
        <v>0.3</v>
      </c>
      <c r="AB286" s="35">
        <v>0.6</v>
      </c>
      <c r="AC286" s="35">
        <v>0.3</v>
      </c>
      <c r="AD286" s="35">
        <v>0.4</v>
      </c>
      <c r="AE286" s="35">
        <v>0.4</v>
      </c>
      <c r="AF286" s="35">
        <v>0.5</v>
      </c>
      <c r="AG286" s="35">
        <v>0.3</v>
      </c>
      <c r="AH286" s="35">
        <v>0.6</v>
      </c>
      <c r="AI286" s="35">
        <v>0.3</v>
      </c>
      <c r="AJ286" s="35">
        <v>0.4</v>
      </c>
      <c r="AK286" s="35">
        <v>0.4</v>
      </c>
      <c r="AL286" s="35">
        <v>0.4</v>
      </c>
      <c r="AM286" s="35">
        <v>0.5</v>
      </c>
      <c r="AN286" s="35">
        <v>0.3</v>
      </c>
      <c r="AO286" s="35">
        <v>0.4</v>
      </c>
      <c r="AP286" s="35">
        <v>0.5</v>
      </c>
      <c r="AQ286" s="35">
        <v>0.3</v>
      </c>
      <c r="AR286" s="35">
        <v>0.6</v>
      </c>
      <c r="AS286" s="35">
        <v>0.3</v>
      </c>
      <c r="AT286" s="35">
        <v>0.4</v>
      </c>
      <c r="AU286" s="35">
        <v>0.4</v>
      </c>
      <c r="AV286" s="35">
        <v>0.5</v>
      </c>
      <c r="AW286" s="35">
        <v>0.3</v>
      </c>
      <c r="AX286" s="35">
        <v>0.6</v>
      </c>
      <c r="AY286" s="35">
        <v>0.3</v>
      </c>
      <c r="AZ286" s="35">
        <v>0.4</v>
      </c>
      <c r="BA286" s="35">
        <v>0.4</v>
      </c>
      <c r="BB286" s="35">
        <v>0.2</v>
      </c>
    </row>
    <row r="287" spans="2:54" x14ac:dyDescent="0.25">
      <c r="B287" s="104" t="str">
        <f t="shared" si="85"/>
        <v>SDT4</v>
      </c>
      <c r="C287" s="35">
        <v>0</v>
      </c>
      <c r="D287" s="35">
        <v>0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  <c r="U287" s="35">
        <v>0</v>
      </c>
      <c r="V287" s="35">
        <v>0</v>
      </c>
      <c r="W287" s="35">
        <v>0</v>
      </c>
      <c r="X287" s="35">
        <v>0</v>
      </c>
      <c r="Y287" s="35">
        <v>0</v>
      </c>
      <c r="Z287" s="35">
        <v>0</v>
      </c>
      <c r="AA287" s="35">
        <v>0</v>
      </c>
      <c r="AB287" s="35">
        <v>0</v>
      </c>
      <c r="AC287" s="35">
        <v>0</v>
      </c>
      <c r="AD287" s="35">
        <v>0</v>
      </c>
      <c r="AE287" s="35">
        <v>0</v>
      </c>
      <c r="AF287" s="35">
        <v>0</v>
      </c>
      <c r="AG287" s="35">
        <v>0</v>
      </c>
      <c r="AH287" s="35">
        <v>0</v>
      </c>
      <c r="AI287" s="35">
        <v>0</v>
      </c>
      <c r="AJ287" s="35">
        <v>0</v>
      </c>
      <c r="AK287" s="35">
        <v>0</v>
      </c>
      <c r="AL287" s="35">
        <v>0</v>
      </c>
      <c r="AM287" s="35">
        <v>0</v>
      </c>
      <c r="AN287" s="35">
        <v>0</v>
      </c>
      <c r="AO287" s="35">
        <v>0</v>
      </c>
      <c r="AP287" s="35">
        <v>0</v>
      </c>
      <c r="AQ287" s="35">
        <v>0</v>
      </c>
      <c r="AR287" s="35">
        <v>0</v>
      </c>
      <c r="AS287" s="35">
        <v>0</v>
      </c>
      <c r="AT287" s="35">
        <v>0</v>
      </c>
      <c r="AU287" s="35">
        <v>0</v>
      </c>
      <c r="AV287" s="35">
        <v>0</v>
      </c>
      <c r="AW287" s="35">
        <v>0</v>
      </c>
      <c r="AX287" s="35">
        <v>0</v>
      </c>
      <c r="AY287" s="35">
        <v>0</v>
      </c>
      <c r="AZ287" s="35">
        <v>0</v>
      </c>
      <c r="BA287" s="35">
        <v>0</v>
      </c>
      <c r="BB287" s="35">
        <v>0</v>
      </c>
    </row>
    <row r="288" spans="2:54" x14ac:dyDescent="0.25">
      <c r="B288" s="104" t="str">
        <f t="shared" si="85"/>
        <v>SDT5</v>
      </c>
      <c r="C288" s="35">
        <v>0.4</v>
      </c>
      <c r="D288" s="35">
        <v>0.5</v>
      </c>
      <c r="E288" s="35">
        <v>0.3</v>
      </c>
      <c r="F288" s="35">
        <v>0.6</v>
      </c>
      <c r="G288" s="35">
        <v>0.3</v>
      </c>
      <c r="H288" s="35">
        <v>0.4</v>
      </c>
      <c r="I288" s="35">
        <v>0.4</v>
      </c>
      <c r="J288" s="35">
        <v>0.5</v>
      </c>
      <c r="K288" s="35">
        <v>0.3</v>
      </c>
      <c r="L288" s="35">
        <v>0.6</v>
      </c>
      <c r="M288" s="35">
        <v>0.3</v>
      </c>
      <c r="N288" s="35">
        <v>0.4</v>
      </c>
      <c r="O288" s="35">
        <v>0.5</v>
      </c>
      <c r="P288" s="35">
        <v>0.3</v>
      </c>
      <c r="Q288" s="35">
        <v>0.6</v>
      </c>
      <c r="R288" s="35">
        <v>0.3</v>
      </c>
      <c r="S288" s="35">
        <v>0.4</v>
      </c>
      <c r="T288" s="35">
        <v>0.4</v>
      </c>
      <c r="U288" s="35">
        <v>0.5</v>
      </c>
      <c r="V288" s="35">
        <v>0.3</v>
      </c>
      <c r="W288" s="35">
        <v>0.6</v>
      </c>
      <c r="X288" s="35">
        <v>0.3</v>
      </c>
      <c r="Y288" s="35">
        <v>0.4</v>
      </c>
      <c r="Z288" s="35">
        <v>0.5</v>
      </c>
      <c r="AA288" s="35">
        <v>0.3</v>
      </c>
      <c r="AB288" s="35">
        <v>0.6</v>
      </c>
      <c r="AC288" s="35">
        <v>0.3</v>
      </c>
      <c r="AD288" s="35">
        <v>0.4</v>
      </c>
      <c r="AE288" s="35">
        <v>0.4</v>
      </c>
      <c r="AF288" s="35">
        <v>0.5</v>
      </c>
      <c r="AG288" s="35">
        <v>0.3</v>
      </c>
      <c r="AH288" s="35">
        <v>0.6</v>
      </c>
      <c r="AI288" s="35">
        <v>0.3</v>
      </c>
      <c r="AJ288" s="35">
        <v>0.4</v>
      </c>
      <c r="AK288" s="35">
        <v>0.4</v>
      </c>
      <c r="AL288" s="35">
        <v>0.4</v>
      </c>
      <c r="AM288" s="35">
        <v>0.5</v>
      </c>
      <c r="AN288" s="35">
        <v>0.3</v>
      </c>
      <c r="AO288" s="35">
        <v>0.4</v>
      </c>
      <c r="AP288" s="35">
        <v>0.5</v>
      </c>
      <c r="AQ288" s="35">
        <v>0.3</v>
      </c>
      <c r="AR288" s="35">
        <v>0.6</v>
      </c>
      <c r="AS288" s="35">
        <v>0.3</v>
      </c>
      <c r="AT288" s="35">
        <v>0.4</v>
      </c>
      <c r="AU288" s="35">
        <v>0.4</v>
      </c>
      <c r="AV288" s="35">
        <v>0.5</v>
      </c>
      <c r="AW288" s="35">
        <v>0.3</v>
      </c>
      <c r="AX288" s="35">
        <v>0.6</v>
      </c>
      <c r="AY288" s="35">
        <v>0.3</v>
      </c>
      <c r="AZ288" s="35">
        <v>0.4</v>
      </c>
      <c r="BA288" s="35">
        <v>0.4</v>
      </c>
      <c r="BB288" s="35">
        <v>0.2</v>
      </c>
    </row>
    <row r="289" spans="2:54" x14ac:dyDescent="0.25">
      <c r="B289" s="104" t="str">
        <f t="shared" si="85"/>
        <v>SDT6</v>
      </c>
      <c r="C289" s="35">
        <v>0</v>
      </c>
      <c r="D289" s="35">
        <v>0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  <c r="U289" s="35">
        <v>0</v>
      </c>
      <c r="V289" s="35">
        <v>0</v>
      </c>
      <c r="W289" s="35">
        <v>0</v>
      </c>
      <c r="X289" s="35">
        <v>0</v>
      </c>
      <c r="Y289" s="35">
        <v>0</v>
      </c>
      <c r="Z289" s="35">
        <v>0</v>
      </c>
      <c r="AA289" s="35">
        <v>0</v>
      </c>
      <c r="AB289" s="35">
        <v>0</v>
      </c>
      <c r="AC289" s="35">
        <v>0</v>
      </c>
      <c r="AD289" s="35">
        <v>0</v>
      </c>
      <c r="AE289" s="35">
        <v>0</v>
      </c>
      <c r="AF289" s="35">
        <v>0</v>
      </c>
      <c r="AG289" s="35">
        <v>0</v>
      </c>
      <c r="AH289" s="35">
        <v>0</v>
      </c>
      <c r="AI289" s="35">
        <v>0</v>
      </c>
      <c r="AJ289" s="35">
        <v>0</v>
      </c>
      <c r="AK289" s="35">
        <v>0</v>
      </c>
      <c r="AL289" s="35">
        <v>0</v>
      </c>
      <c r="AM289" s="35">
        <v>0</v>
      </c>
      <c r="AN289" s="35">
        <v>0</v>
      </c>
      <c r="AO289" s="35">
        <v>0</v>
      </c>
      <c r="AP289" s="35">
        <v>0</v>
      </c>
      <c r="AQ289" s="35">
        <v>0</v>
      </c>
      <c r="AR289" s="35">
        <v>0</v>
      </c>
      <c r="AS289" s="35">
        <v>0</v>
      </c>
      <c r="AT289" s="35">
        <v>0</v>
      </c>
      <c r="AU289" s="35">
        <v>0</v>
      </c>
      <c r="AV289" s="35">
        <v>0</v>
      </c>
      <c r="AW289" s="35">
        <v>0</v>
      </c>
      <c r="AX289" s="35">
        <v>0</v>
      </c>
      <c r="AY289" s="35">
        <v>0</v>
      </c>
      <c r="AZ289" s="35">
        <v>0</v>
      </c>
      <c r="BA289" s="35">
        <v>0</v>
      </c>
      <c r="BB289" s="35">
        <v>0</v>
      </c>
    </row>
    <row r="290" spans="2:54" x14ac:dyDescent="0.25">
      <c r="B290" s="106" t="s">
        <v>261</v>
      </c>
      <c r="C290" s="104">
        <v>1</v>
      </c>
      <c r="D290" s="104">
        <f>C290+1</f>
        <v>2</v>
      </c>
      <c r="E290" s="104">
        <f t="shared" ref="E290:BB290" si="86">D290+1</f>
        <v>3</v>
      </c>
      <c r="F290" s="104">
        <f t="shared" si="86"/>
        <v>4</v>
      </c>
      <c r="G290" s="104">
        <f t="shared" si="86"/>
        <v>5</v>
      </c>
      <c r="H290" s="104">
        <f t="shared" si="86"/>
        <v>6</v>
      </c>
      <c r="I290" s="104">
        <f t="shared" si="86"/>
        <v>7</v>
      </c>
      <c r="J290" s="104">
        <f t="shared" si="86"/>
        <v>8</v>
      </c>
      <c r="K290" s="104">
        <f t="shared" si="86"/>
        <v>9</v>
      </c>
      <c r="L290" s="104">
        <f t="shared" si="86"/>
        <v>10</v>
      </c>
      <c r="M290" s="104">
        <f t="shared" si="86"/>
        <v>11</v>
      </c>
      <c r="N290" s="104">
        <f t="shared" si="86"/>
        <v>12</v>
      </c>
      <c r="O290" s="104">
        <f t="shared" si="86"/>
        <v>13</v>
      </c>
      <c r="P290" s="104">
        <f t="shared" si="86"/>
        <v>14</v>
      </c>
      <c r="Q290" s="104">
        <f t="shared" si="86"/>
        <v>15</v>
      </c>
      <c r="R290" s="104">
        <f t="shared" si="86"/>
        <v>16</v>
      </c>
      <c r="S290" s="104">
        <f t="shared" si="86"/>
        <v>17</v>
      </c>
      <c r="T290" s="104">
        <f t="shared" si="86"/>
        <v>18</v>
      </c>
      <c r="U290" s="104">
        <f t="shared" si="86"/>
        <v>19</v>
      </c>
      <c r="V290" s="104">
        <f t="shared" si="86"/>
        <v>20</v>
      </c>
      <c r="W290" s="104">
        <f t="shared" si="86"/>
        <v>21</v>
      </c>
      <c r="X290" s="104">
        <f t="shared" si="86"/>
        <v>22</v>
      </c>
      <c r="Y290" s="104">
        <f t="shared" si="86"/>
        <v>23</v>
      </c>
      <c r="Z290" s="104">
        <f t="shared" si="86"/>
        <v>24</v>
      </c>
      <c r="AA290" s="104">
        <f t="shared" si="86"/>
        <v>25</v>
      </c>
      <c r="AB290" s="104">
        <f t="shared" si="86"/>
        <v>26</v>
      </c>
      <c r="AC290" s="104">
        <f t="shared" si="86"/>
        <v>27</v>
      </c>
      <c r="AD290" s="104">
        <f t="shared" si="86"/>
        <v>28</v>
      </c>
      <c r="AE290" s="104">
        <f t="shared" si="86"/>
        <v>29</v>
      </c>
      <c r="AF290" s="104">
        <f t="shared" si="86"/>
        <v>30</v>
      </c>
      <c r="AG290" s="104">
        <f t="shared" si="86"/>
        <v>31</v>
      </c>
      <c r="AH290" s="104">
        <f t="shared" si="86"/>
        <v>32</v>
      </c>
      <c r="AI290" s="104">
        <f t="shared" si="86"/>
        <v>33</v>
      </c>
      <c r="AJ290" s="104">
        <f t="shared" si="86"/>
        <v>34</v>
      </c>
      <c r="AK290" s="104">
        <f t="shared" si="86"/>
        <v>35</v>
      </c>
      <c r="AL290" s="104">
        <f t="shared" si="86"/>
        <v>36</v>
      </c>
      <c r="AM290" s="104">
        <f t="shared" si="86"/>
        <v>37</v>
      </c>
      <c r="AN290" s="104">
        <f t="shared" si="86"/>
        <v>38</v>
      </c>
      <c r="AO290" s="104">
        <f t="shared" si="86"/>
        <v>39</v>
      </c>
      <c r="AP290" s="104">
        <f t="shared" si="86"/>
        <v>40</v>
      </c>
      <c r="AQ290" s="104">
        <f t="shared" si="86"/>
        <v>41</v>
      </c>
      <c r="AR290" s="104">
        <f t="shared" si="86"/>
        <v>42</v>
      </c>
      <c r="AS290" s="104">
        <f t="shared" si="86"/>
        <v>43</v>
      </c>
      <c r="AT290" s="104">
        <f t="shared" si="86"/>
        <v>44</v>
      </c>
      <c r="AU290" s="104">
        <f t="shared" si="86"/>
        <v>45</v>
      </c>
      <c r="AV290" s="104">
        <f t="shared" si="86"/>
        <v>46</v>
      </c>
      <c r="AW290" s="104">
        <f t="shared" si="86"/>
        <v>47</v>
      </c>
      <c r="AX290" s="104">
        <f t="shared" si="86"/>
        <v>48</v>
      </c>
      <c r="AY290" s="104">
        <f t="shared" si="86"/>
        <v>49</v>
      </c>
      <c r="AZ290" s="104">
        <f t="shared" si="86"/>
        <v>50</v>
      </c>
      <c r="BA290" s="104">
        <f t="shared" si="86"/>
        <v>51</v>
      </c>
      <c r="BB290" s="104">
        <f t="shared" si="86"/>
        <v>52</v>
      </c>
    </row>
    <row r="291" spans="2:54" x14ac:dyDescent="0.25">
      <c r="B291" s="104" t="str">
        <f>B284</f>
        <v>SDT1</v>
      </c>
      <c r="C291" s="35">
        <v>0</v>
      </c>
      <c r="D291" s="35">
        <v>0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  <c r="U291" s="35">
        <v>0</v>
      </c>
      <c r="V291" s="35">
        <v>0</v>
      </c>
      <c r="W291" s="35">
        <v>0</v>
      </c>
      <c r="X291" s="35">
        <v>0</v>
      </c>
      <c r="Y291" s="35">
        <v>0</v>
      </c>
      <c r="Z291" s="35">
        <v>0</v>
      </c>
      <c r="AA291" s="35">
        <v>0</v>
      </c>
      <c r="AB291" s="35">
        <v>0</v>
      </c>
      <c r="AC291" s="35">
        <v>0</v>
      </c>
      <c r="AD291" s="35">
        <v>0</v>
      </c>
      <c r="AE291" s="35">
        <v>0</v>
      </c>
      <c r="AF291" s="35">
        <v>0</v>
      </c>
      <c r="AG291" s="35">
        <v>0</v>
      </c>
      <c r="AH291" s="35">
        <v>0</v>
      </c>
      <c r="AI291" s="35">
        <v>0</v>
      </c>
      <c r="AJ291" s="35">
        <v>0</v>
      </c>
      <c r="AK291" s="35">
        <v>0</v>
      </c>
      <c r="AL291" s="35">
        <v>0</v>
      </c>
      <c r="AM291" s="35">
        <v>0</v>
      </c>
      <c r="AN291" s="35">
        <v>0</v>
      </c>
      <c r="AO291" s="35">
        <v>0</v>
      </c>
      <c r="AP291" s="35">
        <v>0</v>
      </c>
      <c r="AQ291" s="35">
        <v>0</v>
      </c>
      <c r="AR291" s="35">
        <v>0</v>
      </c>
      <c r="AS291" s="35">
        <v>0</v>
      </c>
      <c r="AT291" s="35">
        <v>0</v>
      </c>
      <c r="AU291" s="35">
        <v>0</v>
      </c>
      <c r="AV291" s="35">
        <v>0</v>
      </c>
      <c r="AW291" s="35">
        <v>0</v>
      </c>
      <c r="AX291" s="35">
        <v>0</v>
      </c>
      <c r="AY291" s="35">
        <v>0</v>
      </c>
      <c r="AZ291" s="35">
        <v>0</v>
      </c>
      <c r="BA291" s="35">
        <v>0</v>
      </c>
      <c r="BB291" s="35">
        <v>0</v>
      </c>
    </row>
    <row r="292" spans="2:54" x14ac:dyDescent="0.25">
      <c r="B292" s="104" t="str">
        <f t="shared" ref="B292:B296" si="87">B285</f>
        <v>SDT2</v>
      </c>
      <c r="C292" s="35">
        <v>0.4</v>
      </c>
      <c r="D292" s="35">
        <v>0.4</v>
      </c>
      <c r="E292" s="35">
        <v>0.4</v>
      </c>
      <c r="F292" s="35">
        <v>0.4</v>
      </c>
      <c r="G292" s="35">
        <v>0.4</v>
      </c>
      <c r="H292" s="35">
        <v>0.4</v>
      </c>
      <c r="I292" s="35">
        <v>0.4</v>
      </c>
      <c r="J292" s="35">
        <v>0.5</v>
      </c>
      <c r="K292" s="35">
        <v>0.3</v>
      </c>
      <c r="L292" s="35">
        <v>0.6</v>
      </c>
      <c r="M292" s="35">
        <v>0.3</v>
      </c>
      <c r="N292" s="35">
        <v>0.4</v>
      </c>
      <c r="O292" s="35">
        <v>0.4</v>
      </c>
      <c r="P292" s="35">
        <v>0.5</v>
      </c>
      <c r="Q292" s="35">
        <v>0.3</v>
      </c>
      <c r="R292" s="35">
        <v>0.6</v>
      </c>
      <c r="S292" s="35">
        <v>0.3</v>
      </c>
      <c r="T292" s="35">
        <v>0.4</v>
      </c>
      <c r="U292" s="35">
        <v>0.5</v>
      </c>
      <c r="V292" s="35">
        <v>0.3</v>
      </c>
      <c r="W292" s="35">
        <v>0.6</v>
      </c>
      <c r="X292" s="35">
        <v>0.3</v>
      </c>
      <c r="Y292" s="35">
        <v>0.4</v>
      </c>
      <c r="Z292" s="35">
        <v>0.4</v>
      </c>
      <c r="AA292" s="35">
        <v>0.5</v>
      </c>
      <c r="AB292" s="35">
        <v>0.3</v>
      </c>
      <c r="AC292" s="35">
        <v>0.6</v>
      </c>
      <c r="AD292" s="35">
        <v>0.3</v>
      </c>
      <c r="AE292" s="35">
        <v>0.4</v>
      </c>
      <c r="AF292" s="35">
        <v>0.5</v>
      </c>
      <c r="AG292" s="35">
        <v>0.3</v>
      </c>
      <c r="AH292" s="35">
        <v>0.6</v>
      </c>
      <c r="AI292" s="35">
        <v>0.3</v>
      </c>
      <c r="AJ292" s="35">
        <v>0.4</v>
      </c>
      <c r="AK292" s="35">
        <v>0.4</v>
      </c>
      <c r="AL292" s="35">
        <v>0.5</v>
      </c>
      <c r="AM292" s="35">
        <v>0.3</v>
      </c>
      <c r="AN292" s="35">
        <v>0.6</v>
      </c>
      <c r="AO292" s="35">
        <v>0.3</v>
      </c>
      <c r="AP292" s="35">
        <v>0.4</v>
      </c>
      <c r="AQ292" s="35">
        <v>0.4</v>
      </c>
      <c r="AR292" s="35">
        <v>0.4</v>
      </c>
      <c r="AS292" s="35">
        <v>0.5</v>
      </c>
      <c r="AT292" s="35">
        <v>0.3</v>
      </c>
      <c r="AU292" s="35">
        <v>0.4</v>
      </c>
      <c r="AV292" s="35">
        <v>0.5</v>
      </c>
      <c r="AW292" s="35">
        <v>0.3</v>
      </c>
      <c r="AX292" s="35">
        <v>0.6</v>
      </c>
      <c r="AY292" s="35">
        <v>0.3</v>
      </c>
      <c r="AZ292" s="35">
        <v>0.4</v>
      </c>
      <c r="BA292" s="35">
        <v>0.4</v>
      </c>
      <c r="BB292" s="35">
        <v>0.2</v>
      </c>
    </row>
    <row r="293" spans="2:54" x14ac:dyDescent="0.25">
      <c r="B293" s="104" t="str">
        <f>B286</f>
        <v>SDT3</v>
      </c>
      <c r="C293" s="35">
        <v>0</v>
      </c>
      <c r="D293" s="35">
        <v>0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  <c r="U293" s="35">
        <v>0</v>
      </c>
      <c r="V293" s="35">
        <v>0</v>
      </c>
      <c r="W293" s="35">
        <v>0</v>
      </c>
      <c r="X293" s="35">
        <v>0</v>
      </c>
      <c r="Y293" s="35">
        <v>0</v>
      </c>
      <c r="Z293" s="35">
        <v>0</v>
      </c>
      <c r="AA293" s="35">
        <v>0</v>
      </c>
      <c r="AB293" s="35">
        <v>0</v>
      </c>
      <c r="AC293" s="35">
        <v>0</v>
      </c>
      <c r="AD293" s="35">
        <v>0</v>
      </c>
      <c r="AE293" s="35">
        <v>0</v>
      </c>
      <c r="AF293" s="35">
        <v>0</v>
      </c>
      <c r="AG293" s="35">
        <v>0</v>
      </c>
      <c r="AH293" s="35">
        <v>0</v>
      </c>
      <c r="AI293" s="35">
        <v>0</v>
      </c>
      <c r="AJ293" s="35">
        <v>0</v>
      </c>
      <c r="AK293" s="35">
        <v>0</v>
      </c>
      <c r="AL293" s="35">
        <v>0</v>
      </c>
      <c r="AM293" s="35">
        <v>0</v>
      </c>
      <c r="AN293" s="35">
        <v>0</v>
      </c>
      <c r="AO293" s="35">
        <v>0</v>
      </c>
      <c r="AP293" s="35">
        <v>0</v>
      </c>
      <c r="AQ293" s="35">
        <v>0</v>
      </c>
      <c r="AR293" s="35">
        <v>0</v>
      </c>
      <c r="AS293" s="35">
        <v>0</v>
      </c>
      <c r="AT293" s="35">
        <v>0</v>
      </c>
      <c r="AU293" s="35">
        <v>0</v>
      </c>
      <c r="AV293" s="35">
        <v>0</v>
      </c>
      <c r="AW293" s="35">
        <v>0</v>
      </c>
      <c r="AX293" s="35">
        <v>0</v>
      </c>
      <c r="AY293" s="35">
        <v>0</v>
      </c>
      <c r="AZ293" s="35">
        <v>0</v>
      </c>
      <c r="BA293" s="35">
        <v>0</v>
      </c>
      <c r="BB293" s="35">
        <v>0</v>
      </c>
    </row>
    <row r="294" spans="2:54" x14ac:dyDescent="0.25">
      <c r="B294" s="104" t="str">
        <f t="shared" si="87"/>
        <v>SDT4</v>
      </c>
      <c r="C294" s="35">
        <v>0</v>
      </c>
      <c r="D294" s="35">
        <v>0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  <c r="U294" s="35">
        <v>0</v>
      </c>
      <c r="V294" s="35">
        <v>0</v>
      </c>
      <c r="W294" s="35">
        <v>0</v>
      </c>
      <c r="X294" s="35">
        <v>0</v>
      </c>
      <c r="Y294" s="35">
        <v>0</v>
      </c>
      <c r="Z294" s="35">
        <v>0</v>
      </c>
      <c r="AA294" s="35">
        <v>0</v>
      </c>
      <c r="AB294" s="35">
        <v>0</v>
      </c>
      <c r="AC294" s="35">
        <v>0</v>
      </c>
      <c r="AD294" s="35">
        <v>0</v>
      </c>
      <c r="AE294" s="35">
        <v>0</v>
      </c>
      <c r="AF294" s="35">
        <v>0</v>
      </c>
      <c r="AG294" s="35">
        <v>0</v>
      </c>
      <c r="AH294" s="35">
        <v>0</v>
      </c>
      <c r="AI294" s="35">
        <v>0</v>
      </c>
      <c r="AJ294" s="35">
        <v>0</v>
      </c>
      <c r="AK294" s="35">
        <v>0</v>
      </c>
      <c r="AL294" s="35">
        <v>0</v>
      </c>
      <c r="AM294" s="35">
        <v>0</v>
      </c>
      <c r="AN294" s="35">
        <v>0</v>
      </c>
      <c r="AO294" s="35">
        <v>0</v>
      </c>
      <c r="AP294" s="35">
        <v>0</v>
      </c>
      <c r="AQ294" s="35">
        <v>0</v>
      </c>
      <c r="AR294" s="35">
        <v>0</v>
      </c>
      <c r="AS294" s="35">
        <v>0</v>
      </c>
      <c r="AT294" s="35">
        <v>0</v>
      </c>
      <c r="AU294" s="35">
        <v>0</v>
      </c>
      <c r="AV294" s="35">
        <v>0</v>
      </c>
      <c r="AW294" s="35">
        <v>0</v>
      </c>
      <c r="AX294" s="35">
        <v>0</v>
      </c>
      <c r="AY294" s="35">
        <v>0</v>
      </c>
      <c r="AZ294" s="35">
        <v>0</v>
      </c>
      <c r="BA294" s="35">
        <v>0</v>
      </c>
      <c r="BB294" s="35">
        <v>0</v>
      </c>
    </row>
    <row r="295" spans="2:54" x14ac:dyDescent="0.25">
      <c r="B295" s="104" t="str">
        <f t="shared" si="87"/>
        <v>SDT5</v>
      </c>
      <c r="C295" s="35">
        <v>0</v>
      </c>
      <c r="D295" s="35">
        <v>0</v>
      </c>
      <c r="E295" s="35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  <c r="U295" s="35">
        <v>0</v>
      </c>
      <c r="V295" s="35">
        <v>0</v>
      </c>
      <c r="W295" s="35">
        <v>0</v>
      </c>
      <c r="X295" s="35">
        <v>0</v>
      </c>
      <c r="Y295" s="35">
        <v>0</v>
      </c>
      <c r="Z295" s="35">
        <v>0</v>
      </c>
      <c r="AA295" s="35">
        <v>0</v>
      </c>
      <c r="AB295" s="35">
        <v>0</v>
      </c>
      <c r="AC295" s="35">
        <v>0</v>
      </c>
      <c r="AD295" s="35">
        <v>0</v>
      </c>
      <c r="AE295" s="35">
        <v>0</v>
      </c>
      <c r="AF295" s="35">
        <v>0</v>
      </c>
      <c r="AG295" s="35">
        <v>0</v>
      </c>
      <c r="AH295" s="35">
        <v>0</v>
      </c>
      <c r="AI295" s="35">
        <v>0</v>
      </c>
      <c r="AJ295" s="35">
        <v>0</v>
      </c>
      <c r="AK295" s="35">
        <v>0</v>
      </c>
      <c r="AL295" s="35">
        <v>0</v>
      </c>
      <c r="AM295" s="35">
        <v>0</v>
      </c>
      <c r="AN295" s="35">
        <v>0</v>
      </c>
      <c r="AO295" s="35">
        <v>0</v>
      </c>
      <c r="AP295" s="35">
        <v>0</v>
      </c>
      <c r="AQ295" s="35">
        <v>0</v>
      </c>
      <c r="AR295" s="35">
        <v>0</v>
      </c>
      <c r="AS295" s="35">
        <v>0</v>
      </c>
      <c r="AT295" s="35">
        <v>0</v>
      </c>
      <c r="AU295" s="35">
        <v>0</v>
      </c>
      <c r="AV295" s="35">
        <v>0</v>
      </c>
      <c r="AW295" s="35">
        <v>0</v>
      </c>
      <c r="AX295" s="35">
        <v>0</v>
      </c>
      <c r="AY295" s="35">
        <v>0</v>
      </c>
      <c r="AZ295" s="35">
        <v>0</v>
      </c>
      <c r="BA295" s="35">
        <v>0</v>
      </c>
      <c r="BB295" s="35">
        <v>0</v>
      </c>
    </row>
    <row r="296" spans="2:54" x14ac:dyDescent="0.25">
      <c r="B296" s="104" t="str">
        <f t="shared" si="87"/>
        <v>SDT6</v>
      </c>
      <c r="C296" s="35">
        <v>0.4</v>
      </c>
      <c r="D296" s="35">
        <v>0.5</v>
      </c>
      <c r="E296" s="35">
        <v>0.3</v>
      </c>
      <c r="F296" s="35">
        <v>0.6</v>
      </c>
      <c r="G296" s="35">
        <v>0.3</v>
      </c>
      <c r="H296" s="35">
        <v>0.4</v>
      </c>
      <c r="I296" s="35">
        <v>0.4</v>
      </c>
      <c r="J296" s="35">
        <v>0.5</v>
      </c>
      <c r="K296" s="35">
        <v>0.3</v>
      </c>
      <c r="L296" s="35">
        <v>0.6</v>
      </c>
      <c r="M296" s="35">
        <v>0.3</v>
      </c>
      <c r="N296" s="35">
        <v>0.4</v>
      </c>
      <c r="O296" s="35">
        <v>0.5</v>
      </c>
      <c r="P296" s="35">
        <v>0.3</v>
      </c>
      <c r="Q296" s="35">
        <v>0.6</v>
      </c>
      <c r="R296" s="35">
        <v>0.3</v>
      </c>
      <c r="S296" s="35">
        <v>0.4</v>
      </c>
      <c r="T296" s="35">
        <v>0.4</v>
      </c>
      <c r="U296" s="35">
        <v>0.5</v>
      </c>
      <c r="V296" s="35">
        <v>0.3</v>
      </c>
      <c r="W296" s="35">
        <v>0.6</v>
      </c>
      <c r="X296" s="35">
        <v>0.3</v>
      </c>
      <c r="Y296" s="35">
        <v>0.4</v>
      </c>
      <c r="Z296" s="35">
        <v>0.5</v>
      </c>
      <c r="AA296" s="35">
        <v>0.3</v>
      </c>
      <c r="AB296" s="35">
        <v>0.6</v>
      </c>
      <c r="AC296" s="35">
        <v>0.3</v>
      </c>
      <c r="AD296" s="35">
        <v>0.4</v>
      </c>
      <c r="AE296" s="35">
        <v>0.4</v>
      </c>
      <c r="AF296" s="35">
        <v>0.5</v>
      </c>
      <c r="AG296" s="35">
        <v>0.3</v>
      </c>
      <c r="AH296" s="35">
        <v>0.6</v>
      </c>
      <c r="AI296" s="35">
        <v>0.3</v>
      </c>
      <c r="AJ296" s="35">
        <v>0.4</v>
      </c>
      <c r="AK296" s="35">
        <v>0.4</v>
      </c>
      <c r="AL296" s="35">
        <v>0.4</v>
      </c>
      <c r="AM296" s="35">
        <v>0.5</v>
      </c>
      <c r="AN296" s="35">
        <v>0.3</v>
      </c>
      <c r="AO296" s="35">
        <v>0.4</v>
      </c>
      <c r="AP296" s="35">
        <v>0.5</v>
      </c>
      <c r="AQ296" s="35">
        <v>0.3</v>
      </c>
      <c r="AR296" s="35">
        <v>0.6</v>
      </c>
      <c r="AS296" s="35">
        <v>0.3</v>
      </c>
      <c r="AT296" s="35">
        <v>0.4</v>
      </c>
      <c r="AU296" s="35">
        <v>0.4</v>
      </c>
      <c r="AV296" s="35">
        <v>0.5</v>
      </c>
      <c r="AW296" s="35">
        <v>0.3</v>
      </c>
      <c r="AX296" s="35">
        <v>0.6</v>
      </c>
      <c r="AY296" s="35">
        <v>0.3</v>
      </c>
      <c r="AZ296" s="35">
        <v>0.4</v>
      </c>
      <c r="BA296" s="35">
        <v>0.4</v>
      </c>
      <c r="BB296" s="35">
        <v>0.2</v>
      </c>
    </row>
    <row r="298" spans="2:54" x14ac:dyDescent="0.25">
      <c r="B298" s="143"/>
    </row>
    <row r="299" spans="2:54" s="112" customFormat="1" ht="108" x14ac:dyDescent="0.25">
      <c r="B299" s="118" t="str">
        <f t="shared" ref="B299:C319" si="88">B2</f>
        <v>Product Name</v>
      </c>
      <c r="C299" s="118" t="str">
        <f t="shared" si="88"/>
        <v>Standard CT (Seconds)</v>
      </c>
      <c r="D299" s="118" t="s">
        <v>265</v>
      </c>
      <c r="E299" s="121" t="s">
        <v>264</v>
      </c>
      <c r="F299" s="121" t="s">
        <v>266</v>
      </c>
      <c r="G299" s="118" t="s">
        <v>220</v>
      </c>
      <c r="H299" s="118" t="s">
        <v>267</v>
      </c>
      <c r="I299" s="118" t="s">
        <v>268</v>
      </c>
      <c r="J299" s="118" t="s">
        <v>281</v>
      </c>
      <c r="K299" s="118" t="s">
        <v>282</v>
      </c>
      <c r="L299" s="118" t="s">
        <v>283</v>
      </c>
      <c r="M299" s="118" t="s">
        <v>285</v>
      </c>
      <c r="N299" s="118" t="s">
        <v>15</v>
      </c>
      <c r="O299" s="167" t="s">
        <v>423</v>
      </c>
      <c r="P299" s="167" t="s">
        <v>499</v>
      </c>
      <c r="Q299" s="167" t="s">
        <v>500</v>
      </c>
      <c r="R299" s="167" t="s">
        <v>501</v>
      </c>
      <c r="S299" s="167" t="s">
        <v>502</v>
      </c>
      <c r="T299" s="167" t="s">
        <v>503</v>
      </c>
      <c r="U299" s="167" t="s">
        <v>504</v>
      </c>
      <c r="V299" s="167" t="s">
        <v>505</v>
      </c>
      <c r="W299" s="167" t="s">
        <v>506</v>
      </c>
      <c r="X299" s="167" t="s">
        <v>421</v>
      </c>
      <c r="Y299" s="167" t="s">
        <v>418</v>
      </c>
      <c r="Z299" s="112" t="s">
        <v>427</v>
      </c>
      <c r="AA299" s="112" t="s">
        <v>428</v>
      </c>
      <c r="AB299" s="112" t="s">
        <v>429</v>
      </c>
      <c r="AC299" s="112" t="s">
        <v>430</v>
      </c>
      <c r="AD299" s="112" t="s">
        <v>431</v>
      </c>
      <c r="AE299" s="112" t="s">
        <v>432</v>
      </c>
      <c r="AF299" s="112" t="s">
        <v>433</v>
      </c>
      <c r="AG299" s="112" t="s">
        <v>434</v>
      </c>
      <c r="AH299" s="112" t="s">
        <v>435</v>
      </c>
      <c r="AI299" s="112" t="s">
        <v>440</v>
      </c>
      <c r="AJ299" s="112" t="s">
        <v>441</v>
      </c>
      <c r="AK299" s="112" t="s">
        <v>442</v>
      </c>
      <c r="AL299" s="112" t="s">
        <v>443</v>
      </c>
      <c r="AM299" s="112" t="s">
        <v>444</v>
      </c>
      <c r="AN299" s="112" t="s">
        <v>445</v>
      </c>
      <c r="AO299" s="112" t="s">
        <v>446</v>
      </c>
      <c r="AP299" s="112" t="s">
        <v>447</v>
      </c>
      <c r="AQ299" s="112" t="s">
        <v>448</v>
      </c>
      <c r="AR299" s="112" t="s">
        <v>449</v>
      </c>
      <c r="AS299" s="112" t="s">
        <v>451</v>
      </c>
      <c r="AT299" s="112" t="s">
        <v>452</v>
      </c>
      <c r="AU299" s="112" t="s">
        <v>453</v>
      </c>
      <c r="AV299" s="112" t="s">
        <v>454</v>
      </c>
      <c r="AW299" s="112" t="s">
        <v>455</v>
      </c>
    </row>
    <row r="300" spans="2:54" x14ac:dyDescent="0.25">
      <c r="B300" s="61" t="str">
        <f t="shared" si="88"/>
        <v>Product A</v>
      </c>
      <c r="C300" s="97">
        <f t="shared" si="88"/>
        <v>9</v>
      </c>
      <c r="D300" s="43">
        <f>SUM(BD25:BD33)</f>
        <v>20.5</v>
      </c>
      <c r="E300" s="35">
        <v>0.24</v>
      </c>
      <c r="F300" s="35">
        <v>0.26</v>
      </c>
      <c r="G300" s="35">
        <v>26</v>
      </c>
      <c r="H300" s="35">
        <v>7</v>
      </c>
      <c r="I300" s="35">
        <v>8.5</v>
      </c>
      <c r="J300" s="116">
        <v>0.99970000000000003</v>
      </c>
      <c r="K300" s="117">
        <f>1-J300</f>
        <v>2.9999999999996696E-4</v>
      </c>
      <c r="L300" s="43">
        <f>BE25*BD3</f>
        <v>75</v>
      </c>
      <c r="M300" s="43">
        <f t="shared" ref="M300:M307" si="89">(1-J300)*BD3</f>
        <v>44.99999999999504</v>
      </c>
      <c r="N300" s="35">
        <v>1</v>
      </c>
      <c r="O300" s="35">
        <f>AF300/$BD3*10000</f>
        <v>2125</v>
      </c>
      <c r="P300" s="35">
        <f t="shared" ref="P300:Q300" si="90">AG300/$BD3*10000</f>
        <v>637.5</v>
      </c>
      <c r="Q300" s="35">
        <f t="shared" si="90"/>
        <v>2125</v>
      </c>
      <c r="R300" s="35">
        <f>AS300/$BD3*10000</f>
        <v>10000</v>
      </c>
      <c r="S300" s="35">
        <f>AT300/$BD3*10000</f>
        <v>10000</v>
      </c>
      <c r="T300" s="35">
        <f>AU300/BD3*10000</f>
        <v>80000</v>
      </c>
      <c r="U300" s="35">
        <f>AV300/BD3*10000</f>
        <v>120000</v>
      </c>
      <c r="V300" s="35">
        <f>AW300/BD3*10000</f>
        <v>10000</v>
      </c>
      <c r="W300" s="35">
        <v>10</v>
      </c>
      <c r="X300" s="35">
        <v>2</v>
      </c>
      <c r="Y300" s="35">
        <v>8</v>
      </c>
      <c r="Z300" s="130">
        <f>I300*1/2</f>
        <v>4.25</v>
      </c>
      <c r="AA300" s="130">
        <f>I300*3/8</f>
        <v>3.1875</v>
      </c>
      <c r="AB300" s="130">
        <f>I300*1/8</f>
        <v>1.0625</v>
      </c>
      <c r="AC300" s="130">
        <f>Z300*$BD3</f>
        <v>637500</v>
      </c>
      <c r="AD300" s="130">
        <f t="shared" ref="AD300:AE300" si="91">AA300*$BD3</f>
        <v>478125</v>
      </c>
      <c r="AE300" s="130">
        <f t="shared" si="91"/>
        <v>159375</v>
      </c>
      <c r="AF300">
        <f>AC300/H$323</f>
        <v>31875</v>
      </c>
      <c r="AG300">
        <f>AD300/H$324</f>
        <v>9562.5</v>
      </c>
      <c r="AH300">
        <f>AE300/H$325</f>
        <v>31875</v>
      </c>
      <c r="AI300" s="130">
        <f>$H300*1/4</f>
        <v>1.75</v>
      </c>
      <c r="AJ300" s="130">
        <f>$H300*1/4</f>
        <v>1.75</v>
      </c>
      <c r="AK300" s="130">
        <f>$H300*1/8</f>
        <v>0.875</v>
      </c>
      <c r="AL300" s="130">
        <f>$H300*1/8</f>
        <v>0.875</v>
      </c>
      <c r="AM300" s="130">
        <f>$H300*1/4</f>
        <v>1.75</v>
      </c>
      <c r="AN300" s="130">
        <f>AI300*$BD3</f>
        <v>262500</v>
      </c>
      <c r="AO300" s="130">
        <f t="shared" ref="AO300:AR307" si="92">AJ300*$BD3</f>
        <v>262500</v>
      </c>
      <c r="AP300" s="130">
        <f t="shared" si="92"/>
        <v>131250</v>
      </c>
      <c r="AQ300" s="130">
        <f t="shared" si="92"/>
        <v>131250</v>
      </c>
      <c r="AR300" s="130">
        <f t="shared" si="92"/>
        <v>262500</v>
      </c>
      <c r="AS300">
        <f>AN300/AI300</f>
        <v>150000</v>
      </c>
      <c r="AT300">
        <f>AO300/AJ300</f>
        <v>150000</v>
      </c>
      <c r="AU300">
        <f>AP300/AK300*8</f>
        <v>1200000</v>
      </c>
      <c r="AV300">
        <f>AQ300/AL300*12</f>
        <v>1800000</v>
      </c>
      <c r="AW300">
        <f>AR300/AM300</f>
        <v>150000</v>
      </c>
    </row>
    <row r="301" spans="2:54" x14ac:dyDescent="0.25">
      <c r="B301" s="61" t="str">
        <f t="shared" si="88"/>
        <v>Product B</v>
      </c>
      <c r="C301" s="97">
        <f t="shared" si="88"/>
        <v>9.8000000000000007</v>
      </c>
      <c r="D301" s="43">
        <f>SUM(BD35:BD43)</f>
        <v>23</v>
      </c>
      <c r="E301" s="35">
        <v>0.23</v>
      </c>
      <c r="F301" s="35">
        <v>0.23</v>
      </c>
      <c r="G301" s="35">
        <v>25</v>
      </c>
      <c r="H301" s="35">
        <v>8</v>
      </c>
      <c r="I301" s="35">
        <v>8.9</v>
      </c>
      <c r="J301" s="116">
        <v>0.99970999999999999</v>
      </c>
      <c r="K301" s="117">
        <f t="shared" ref="K301:K319" si="93">1-J301</f>
        <v>2.9000000000001247E-4</v>
      </c>
      <c r="L301" s="43">
        <f>BE35*BD4</f>
        <v>116</v>
      </c>
      <c r="M301" s="43">
        <f t="shared" si="89"/>
        <v>67.2800000000029</v>
      </c>
      <c r="N301" s="35">
        <v>2</v>
      </c>
      <c r="O301" s="35">
        <f t="shared" ref="O301:O307" si="94">AF301/$BD4*10000</f>
        <v>2225</v>
      </c>
      <c r="P301" s="35">
        <f t="shared" ref="P301:Q301" si="95">AG301/$BD4*10000</f>
        <v>667.5</v>
      </c>
      <c r="Q301" s="35">
        <f t="shared" si="95"/>
        <v>2225</v>
      </c>
      <c r="R301" s="35">
        <f t="shared" ref="R301:R307" si="96">AS301/$BD4*10000</f>
        <v>10000</v>
      </c>
      <c r="S301" s="35">
        <f t="shared" ref="S301:S307" si="97">AT301/$BD4*10000</f>
        <v>10000</v>
      </c>
      <c r="T301" s="35">
        <f t="shared" ref="T301:T307" si="98">AU301/BD4*10000</f>
        <v>80000</v>
      </c>
      <c r="U301" s="35">
        <f t="shared" ref="U301:U307" si="99">AV301/BD4*10000</f>
        <v>120000</v>
      </c>
      <c r="V301" s="35">
        <f t="shared" ref="V301:V307" si="100">AW301/BD4*10000</f>
        <v>10000</v>
      </c>
      <c r="W301" s="35">
        <v>10</v>
      </c>
      <c r="X301" s="35">
        <v>2</v>
      </c>
      <c r="Y301" s="35">
        <v>8</v>
      </c>
      <c r="Z301" s="130">
        <f t="shared" ref="Z301:Z307" si="101">I301*1/2</f>
        <v>4.45</v>
      </c>
      <c r="AA301" s="130">
        <f t="shared" ref="AA301:AA307" si="102">I301*3/8</f>
        <v>3.3375000000000004</v>
      </c>
      <c r="AB301" s="130">
        <f t="shared" ref="AB301:AB307" si="103">I301*1/8</f>
        <v>1.1125</v>
      </c>
      <c r="AC301" s="130">
        <f t="shared" ref="AC301:AE301" si="104">Z301*$BD4</f>
        <v>1032400</v>
      </c>
      <c r="AD301" s="130">
        <f t="shared" si="104"/>
        <v>774300.00000000012</v>
      </c>
      <c r="AE301" s="130">
        <f t="shared" si="104"/>
        <v>258100</v>
      </c>
      <c r="AF301">
        <f t="shared" ref="AF301:AF307" si="105">AC301/H$323</f>
        <v>51620</v>
      </c>
      <c r="AG301">
        <f t="shared" ref="AG301:AG307" si="106">AD301/H$324</f>
        <v>15486.000000000002</v>
      </c>
      <c r="AH301">
        <f t="shared" ref="AH301:AH307" si="107">AE301/H$325</f>
        <v>51620</v>
      </c>
      <c r="AI301" s="130">
        <f t="shared" ref="AI301:AJ307" si="108">$H301*1/4</f>
        <v>2</v>
      </c>
      <c r="AJ301" s="130">
        <f t="shared" si="108"/>
        <v>2</v>
      </c>
      <c r="AK301" s="130">
        <f t="shared" ref="AK301:AL307" si="109">$H301*1/8</f>
        <v>1</v>
      </c>
      <c r="AL301" s="130">
        <f t="shared" si="109"/>
        <v>1</v>
      </c>
      <c r="AM301" s="130">
        <f t="shared" ref="AM301:AM307" si="110">$H301*1/4</f>
        <v>2</v>
      </c>
      <c r="AN301" s="130">
        <f t="shared" ref="AN301:AN307" si="111">AI301*$BD4</f>
        <v>464000</v>
      </c>
      <c r="AO301" s="130">
        <f t="shared" si="92"/>
        <v>464000</v>
      </c>
      <c r="AP301" s="130">
        <f t="shared" si="92"/>
        <v>232000</v>
      </c>
      <c r="AQ301" s="130">
        <f t="shared" si="92"/>
        <v>232000</v>
      </c>
      <c r="AR301" s="130">
        <f t="shared" si="92"/>
        <v>464000</v>
      </c>
      <c r="AS301">
        <f t="shared" ref="AS301:AT307" si="112">AN301/AI301</f>
        <v>232000</v>
      </c>
      <c r="AT301">
        <f t="shared" si="112"/>
        <v>232000</v>
      </c>
      <c r="AU301">
        <f t="shared" ref="AU301:AU307" si="113">AP301/AK301*8</f>
        <v>1856000</v>
      </c>
      <c r="AV301">
        <f t="shared" ref="AV301:AV307" si="114">AQ301/AL301*12</f>
        <v>2784000</v>
      </c>
      <c r="AW301">
        <f t="shared" ref="AW301:AW307" si="115">AR301/AM301</f>
        <v>232000</v>
      </c>
    </row>
    <row r="302" spans="2:54" x14ac:dyDescent="0.25">
      <c r="B302" s="61" t="str">
        <f t="shared" si="88"/>
        <v>Product C</v>
      </c>
      <c r="C302" s="97">
        <f t="shared" si="88"/>
        <v>9.6</v>
      </c>
      <c r="D302" s="43">
        <f>SUM(BD45:BD53)</f>
        <v>20</v>
      </c>
      <c r="E302" s="35">
        <v>0.22</v>
      </c>
      <c r="F302" s="35">
        <v>0.25</v>
      </c>
      <c r="G302" s="35">
        <v>24</v>
      </c>
      <c r="H302" s="35">
        <v>6</v>
      </c>
      <c r="I302" s="35">
        <v>9</v>
      </c>
      <c r="J302" s="116">
        <v>0.99975000000000003</v>
      </c>
      <c r="K302" s="117">
        <f t="shared" si="93"/>
        <v>2.4999999999997247E-4</v>
      </c>
      <c r="L302" s="43">
        <f>BE45*BD5</f>
        <v>105.3</v>
      </c>
      <c r="M302" s="43">
        <f t="shared" si="89"/>
        <v>87.749999999990337</v>
      </c>
      <c r="N302" s="35">
        <v>2</v>
      </c>
      <c r="O302" s="35">
        <f t="shared" si="94"/>
        <v>2250</v>
      </c>
      <c r="P302" s="35">
        <f t="shared" ref="P302:Q302" si="116">AG302/$BD5*10000</f>
        <v>675</v>
      </c>
      <c r="Q302" s="35">
        <f t="shared" si="116"/>
        <v>2250</v>
      </c>
      <c r="R302" s="35">
        <f t="shared" si="96"/>
        <v>10000</v>
      </c>
      <c r="S302" s="35">
        <f t="shared" si="97"/>
        <v>10000</v>
      </c>
      <c r="T302" s="35">
        <f t="shared" si="98"/>
        <v>80000</v>
      </c>
      <c r="U302" s="35">
        <f t="shared" si="99"/>
        <v>120000</v>
      </c>
      <c r="V302" s="35">
        <f t="shared" si="100"/>
        <v>10000</v>
      </c>
      <c r="W302" s="35">
        <v>10</v>
      </c>
      <c r="X302" s="35">
        <v>2</v>
      </c>
      <c r="Y302" s="35">
        <v>8</v>
      </c>
      <c r="Z302" s="130">
        <f t="shared" si="101"/>
        <v>4.5</v>
      </c>
      <c r="AA302" s="130">
        <f t="shared" si="102"/>
        <v>3.375</v>
      </c>
      <c r="AB302" s="130">
        <f t="shared" si="103"/>
        <v>1.125</v>
      </c>
      <c r="AC302" s="130">
        <f t="shared" ref="AC302:AE302" si="117">Z302*$BD5</f>
        <v>1579500</v>
      </c>
      <c r="AD302" s="130">
        <f t="shared" si="117"/>
        <v>1184625</v>
      </c>
      <c r="AE302" s="130">
        <f t="shared" si="117"/>
        <v>394875</v>
      </c>
      <c r="AF302">
        <f t="shared" si="105"/>
        <v>78975</v>
      </c>
      <c r="AG302">
        <f t="shared" si="106"/>
        <v>23692.5</v>
      </c>
      <c r="AH302">
        <f t="shared" si="107"/>
        <v>78975</v>
      </c>
      <c r="AI302" s="130">
        <f t="shared" si="108"/>
        <v>1.5</v>
      </c>
      <c r="AJ302" s="130">
        <f t="shared" si="108"/>
        <v>1.5</v>
      </c>
      <c r="AK302" s="130">
        <f t="shared" si="109"/>
        <v>0.75</v>
      </c>
      <c r="AL302" s="130">
        <f t="shared" si="109"/>
        <v>0.75</v>
      </c>
      <c r="AM302" s="130">
        <f t="shared" si="110"/>
        <v>1.5</v>
      </c>
      <c r="AN302" s="130">
        <f t="shared" si="111"/>
        <v>526500</v>
      </c>
      <c r="AO302" s="130">
        <f t="shared" si="92"/>
        <v>526500</v>
      </c>
      <c r="AP302" s="130">
        <f t="shared" si="92"/>
        <v>263250</v>
      </c>
      <c r="AQ302" s="130">
        <f t="shared" si="92"/>
        <v>263250</v>
      </c>
      <c r="AR302" s="130">
        <f t="shared" si="92"/>
        <v>526500</v>
      </c>
      <c r="AS302">
        <f t="shared" si="112"/>
        <v>351000</v>
      </c>
      <c r="AT302">
        <f t="shared" si="112"/>
        <v>351000</v>
      </c>
      <c r="AU302">
        <f t="shared" si="113"/>
        <v>2808000</v>
      </c>
      <c r="AV302">
        <f t="shared" si="114"/>
        <v>4212000</v>
      </c>
      <c r="AW302">
        <f t="shared" si="115"/>
        <v>351000</v>
      </c>
    </row>
    <row r="303" spans="2:54" x14ac:dyDescent="0.25">
      <c r="B303" s="61" t="str">
        <f t="shared" si="88"/>
        <v>Product D</v>
      </c>
      <c r="C303" s="97">
        <f t="shared" si="88"/>
        <v>11</v>
      </c>
      <c r="D303" s="43">
        <f>SUM(BD55:BD63)</f>
        <v>18.8</v>
      </c>
      <c r="E303" s="35">
        <v>0.21</v>
      </c>
      <c r="F303" s="35">
        <v>0.22</v>
      </c>
      <c r="G303" s="35">
        <v>21</v>
      </c>
      <c r="H303" s="35">
        <v>8.5</v>
      </c>
      <c r="I303" s="35">
        <v>8</v>
      </c>
      <c r="J303" s="116">
        <v>0.99978999999999996</v>
      </c>
      <c r="K303" s="117">
        <f t="shared" si="93"/>
        <v>2.1000000000004349E-4</v>
      </c>
      <c r="L303" s="43">
        <f>BE55*BD6</f>
        <v>248</v>
      </c>
      <c r="M303" s="43">
        <f t="shared" si="89"/>
        <v>104.16000000002157</v>
      </c>
      <c r="N303" s="35">
        <v>1</v>
      </c>
      <c r="O303" s="35">
        <f t="shared" si="94"/>
        <v>2000</v>
      </c>
      <c r="P303" s="35">
        <f t="shared" ref="P303:Q303" si="118">AG303/$BD6*10000</f>
        <v>600</v>
      </c>
      <c r="Q303" s="35">
        <f t="shared" si="118"/>
        <v>2000</v>
      </c>
      <c r="R303" s="35">
        <f t="shared" si="96"/>
        <v>10000</v>
      </c>
      <c r="S303" s="35">
        <f t="shared" si="97"/>
        <v>10000</v>
      </c>
      <c r="T303" s="35">
        <f t="shared" si="98"/>
        <v>80000</v>
      </c>
      <c r="U303" s="35">
        <f t="shared" si="99"/>
        <v>120000</v>
      </c>
      <c r="V303" s="35">
        <f t="shared" si="100"/>
        <v>10000</v>
      </c>
      <c r="W303" s="35">
        <v>10</v>
      </c>
      <c r="X303" s="35">
        <v>2</v>
      </c>
      <c r="Y303" s="35">
        <v>8</v>
      </c>
      <c r="Z303" s="130">
        <f t="shared" si="101"/>
        <v>4</v>
      </c>
      <c r="AA303" s="130">
        <f t="shared" si="102"/>
        <v>3</v>
      </c>
      <c r="AB303" s="130">
        <f t="shared" si="103"/>
        <v>1</v>
      </c>
      <c r="AC303" s="130">
        <f t="shared" ref="AC303:AE303" si="119">Z303*$BD6</f>
        <v>1984000</v>
      </c>
      <c r="AD303" s="130">
        <f t="shared" si="119"/>
        <v>1488000</v>
      </c>
      <c r="AE303" s="130">
        <f t="shared" si="119"/>
        <v>496000</v>
      </c>
      <c r="AF303">
        <f t="shared" si="105"/>
        <v>99200</v>
      </c>
      <c r="AG303">
        <f t="shared" si="106"/>
        <v>29760</v>
      </c>
      <c r="AH303">
        <f t="shared" si="107"/>
        <v>99200</v>
      </c>
      <c r="AI303" s="130">
        <f t="shared" si="108"/>
        <v>2.125</v>
      </c>
      <c r="AJ303" s="130">
        <f t="shared" si="108"/>
        <v>2.125</v>
      </c>
      <c r="AK303" s="130">
        <f t="shared" si="109"/>
        <v>1.0625</v>
      </c>
      <c r="AL303" s="130">
        <f t="shared" si="109"/>
        <v>1.0625</v>
      </c>
      <c r="AM303" s="130">
        <f t="shared" si="110"/>
        <v>2.125</v>
      </c>
      <c r="AN303" s="130">
        <f t="shared" si="111"/>
        <v>1054000</v>
      </c>
      <c r="AO303" s="130">
        <f t="shared" si="92"/>
        <v>1054000</v>
      </c>
      <c r="AP303" s="130">
        <f t="shared" si="92"/>
        <v>527000</v>
      </c>
      <c r="AQ303" s="130">
        <f t="shared" si="92"/>
        <v>527000</v>
      </c>
      <c r="AR303" s="130">
        <f t="shared" si="92"/>
        <v>1054000</v>
      </c>
      <c r="AS303">
        <f t="shared" si="112"/>
        <v>496000</v>
      </c>
      <c r="AT303">
        <f t="shared" si="112"/>
        <v>496000</v>
      </c>
      <c r="AU303">
        <f t="shared" si="113"/>
        <v>3968000</v>
      </c>
      <c r="AV303">
        <f t="shared" si="114"/>
        <v>5952000</v>
      </c>
      <c r="AW303">
        <f t="shared" si="115"/>
        <v>496000</v>
      </c>
    </row>
    <row r="304" spans="2:54" x14ac:dyDescent="0.25">
      <c r="B304" s="61" t="str">
        <f t="shared" si="88"/>
        <v>Product E</v>
      </c>
      <c r="C304" s="97">
        <f t="shared" si="88"/>
        <v>10.8</v>
      </c>
      <c r="D304" s="43">
        <f>SUM(BD65:BD73)</f>
        <v>19.3</v>
      </c>
      <c r="E304" s="35">
        <v>0.23</v>
      </c>
      <c r="F304" s="35">
        <v>0.24</v>
      </c>
      <c r="G304" s="35">
        <v>23</v>
      </c>
      <c r="H304" s="35">
        <v>8</v>
      </c>
      <c r="I304" s="35">
        <v>7.8</v>
      </c>
      <c r="J304" s="116">
        <v>0.99975999999999998</v>
      </c>
      <c r="K304" s="117">
        <f t="shared" si="93"/>
        <v>2.4000000000001798E-4</v>
      </c>
      <c r="L304" s="43">
        <f>BE65*BD7</f>
        <v>176</v>
      </c>
      <c r="M304" s="43">
        <f t="shared" si="89"/>
        <v>105.60000000000791</v>
      </c>
      <c r="N304" s="35">
        <v>2</v>
      </c>
      <c r="O304" s="35">
        <f t="shared" si="94"/>
        <v>1950</v>
      </c>
      <c r="P304" s="35">
        <f t="shared" ref="P304:Q304" si="120">AG304/$BD7*10000</f>
        <v>585</v>
      </c>
      <c r="Q304" s="35">
        <f t="shared" si="120"/>
        <v>1950</v>
      </c>
      <c r="R304" s="35">
        <f t="shared" si="96"/>
        <v>10000</v>
      </c>
      <c r="S304" s="35">
        <f t="shared" si="97"/>
        <v>10000</v>
      </c>
      <c r="T304" s="35">
        <f t="shared" si="98"/>
        <v>80000</v>
      </c>
      <c r="U304" s="35">
        <f t="shared" si="99"/>
        <v>120000</v>
      </c>
      <c r="V304" s="35">
        <f t="shared" si="100"/>
        <v>10000</v>
      </c>
      <c r="W304" s="35">
        <v>10</v>
      </c>
      <c r="X304" s="35">
        <v>2</v>
      </c>
      <c r="Y304" s="35">
        <v>8</v>
      </c>
      <c r="Z304" s="130">
        <f t="shared" si="101"/>
        <v>3.9</v>
      </c>
      <c r="AA304" s="130">
        <f t="shared" si="102"/>
        <v>2.9249999999999998</v>
      </c>
      <c r="AB304" s="130">
        <f t="shared" si="103"/>
        <v>0.97499999999999998</v>
      </c>
      <c r="AC304" s="130">
        <f t="shared" ref="AC304:AE304" si="121">Z304*$BD7</f>
        <v>1716000</v>
      </c>
      <c r="AD304" s="130">
        <f t="shared" si="121"/>
        <v>1287000</v>
      </c>
      <c r="AE304" s="130">
        <f t="shared" si="121"/>
        <v>429000</v>
      </c>
      <c r="AF304">
        <f t="shared" si="105"/>
        <v>85800</v>
      </c>
      <c r="AG304">
        <f t="shared" si="106"/>
        <v>25740</v>
      </c>
      <c r="AH304">
        <f t="shared" si="107"/>
        <v>85800</v>
      </c>
      <c r="AI304" s="130">
        <f t="shared" si="108"/>
        <v>2</v>
      </c>
      <c r="AJ304" s="130">
        <f t="shared" si="108"/>
        <v>2</v>
      </c>
      <c r="AK304" s="130">
        <f t="shared" si="109"/>
        <v>1</v>
      </c>
      <c r="AL304" s="130">
        <f t="shared" si="109"/>
        <v>1</v>
      </c>
      <c r="AM304" s="130">
        <f t="shared" si="110"/>
        <v>2</v>
      </c>
      <c r="AN304" s="130">
        <f t="shared" si="111"/>
        <v>880000</v>
      </c>
      <c r="AO304" s="130">
        <f t="shared" si="92"/>
        <v>880000</v>
      </c>
      <c r="AP304" s="130">
        <f t="shared" si="92"/>
        <v>440000</v>
      </c>
      <c r="AQ304" s="130">
        <f t="shared" si="92"/>
        <v>440000</v>
      </c>
      <c r="AR304" s="130">
        <f t="shared" si="92"/>
        <v>880000</v>
      </c>
      <c r="AS304">
        <f t="shared" si="112"/>
        <v>440000</v>
      </c>
      <c r="AT304">
        <f t="shared" si="112"/>
        <v>440000</v>
      </c>
      <c r="AU304">
        <f t="shared" si="113"/>
        <v>3520000</v>
      </c>
      <c r="AV304">
        <f t="shared" si="114"/>
        <v>5280000</v>
      </c>
      <c r="AW304">
        <f t="shared" si="115"/>
        <v>440000</v>
      </c>
    </row>
    <row r="305" spans="2:49" x14ac:dyDescent="0.25">
      <c r="B305" s="61" t="str">
        <f t="shared" si="88"/>
        <v>Product F</v>
      </c>
      <c r="C305" s="97">
        <f t="shared" si="88"/>
        <v>10.5</v>
      </c>
      <c r="D305" s="43">
        <f>SUM(BD75:BD83)</f>
        <v>19.8</v>
      </c>
      <c r="E305" s="35">
        <v>0.24</v>
      </c>
      <c r="F305" s="35">
        <v>0.25</v>
      </c>
      <c r="G305" s="35">
        <v>22</v>
      </c>
      <c r="H305" s="35">
        <v>9</v>
      </c>
      <c r="I305" s="35">
        <v>7.9</v>
      </c>
      <c r="J305" s="116">
        <v>0.99973000000000001</v>
      </c>
      <c r="K305" s="117">
        <f t="shared" si="93"/>
        <v>2.6999999999999247E-4</v>
      </c>
      <c r="L305" s="43">
        <f>BE75*BD8</f>
        <v>138.80000000000001</v>
      </c>
      <c r="M305" s="43">
        <f t="shared" si="89"/>
        <v>93.689999999997383</v>
      </c>
      <c r="N305" s="35">
        <v>1</v>
      </c>
      <c r="O305" s="35">
        <f t="shared" si="94"/>
        <v>1975</v>
      </c>
      <c r="P305" s="35">
        <f t="shared" ref="P305:Q305" si="122">AG305/$BD8*10000</f>
        <v>592.50000000000011</v>
      </c>
      <c r="Q305" s="35">
        <f t="shared" si="122"/>
        <v>1975</v>
      </c>
      <c r="R305" s="35">
        <f t="shared" si="96"/>
        <v>10000</v>
      </c>
      <c r="S305" s="35">
        <f t="shared" si="97"/>
        <v>10000</v>
      </c>
      <c r="T305" s="35">
        <f t="shared" si="98"/>
        <v>80000</v>
      </c>
      <c r="U305" s="35">
        <f t="shared" si="99"/>
        <v>120000</v>
      </c>
      <c r="V305" s="35">
        <f t="shared" si="100"/>
        <v>10000</v>
      </c>
      <c r="W305" s="35">
        <v>10</v>
      </c>
      <c r="X305" s="35">
        <v>2</v>
      </c>
      <c r="Y305" s="35">
        <v>8</v>
      </c>
      <c r="Z305" s="130">
        <f t="shared" si="101"/>
        <v>3.95</v>
      </c>
      <c r="AA305" s="130">
        <f t="shared" si="102"/>
        <v>2.9625000000000004</v>
      </c>
      <c r="AB305" s="130">
        <f t="shared" si="103"/>
        <v>0.98750000000000004</v>
      </c>
      <c r="AC305" s="130">
        <f t="shared" ref="AC305:AE305" si="123">Z305*$BD8</f>
        <v>1370650</v>
      </c>
      <c r="AD305" s="130">
        <f t="shared" si="123"/>
        <v>1027987.5000000001</v>
      </c>
      <c r="AE305" s="130">
        <f t="shared" si="123"/>
        <v>342662.5</v>
      </c>
      <c r="AF305">
        <f t="shared" si="105"/>
        <v>68532.5</v>
      </c>
      <c r="AG305">
        <f t="shared" si="106"/>
        <v>20559.750000000004</v>
      </c>
      <c r="AH305">
        <f t="shared" si="107"/>
        <v>68532.5</v>
      </c>
      <c r="AI305" s="130">
        <f t="shared" si="108"/>
        <v>2.25</v>
      </c>
      <c r="AJ305" s="130">
        <f t="shared" si="108"/>
        <v>2.25</v>
      </c>
      <c r="AK305" s="130">
        <f t="shared" si="109"/>
        <v>1.125</v>
      </c>
      <c r="AL305" s="130">
        <f t="shared" si="109"/>
        <v>1.125</v>
      </c>
      <c r="AM305" s="130">
        <f t="shared" si="110"/>
        <v>2.25</v>
      </c>
      <c r="AN305" s="130">
        <f t="shared" si="111"/>
        <v>780750</v>
      </c>
      <c r="AO305" s="130">
        <f t="shared" si="92"/>
        <v>780750</v>
      </c>
      <c r="AP305" s="130">
        <f t="shared" si="92"/>
        <v>390375</v>
      </c>
      <c r="AQ305" s="130">
        <f t="shared" si="92"/>
        <v>390375</v>
      </c>
      <c r="AR305" s="130">
        <f t="shared" si="92"/>
        <v>780750</v>
      </c>
      <c r="AS305">
        <f t="shared" si="112"/>
        <v>347000</v>
      </c>
      <c r="AT305">
        <f t="shared" si="112"/>
        <v>347000</v>
      </c>
      <c r="AU305">
        <f t="shared" si="113"/>
        <v>2776000</v>
      </c>
      <c r="AV305">
        <f t="shared" si="114"/>
        <v>4164000</v>
      </c>
      <c r="AW305">
        <f t="shared" si="115"/>
        <v>347000</v>
      </c>
    </row>
    <row r="306" spans="2:49" x14ac:dyDescent="0.25">
      <c r="B306" s="61" t="str">
        <f t="shared" si="88"/>
        <v>Product G</v>
      </c>
      <c r="C306" s="97">
        <f t="shared" si="88"/>
        <v>9</v>
      </c>
      <c r="D306" s="43">
        <f>SUM(BD85:BD93)</f>
        <v>18.399999999999999</v>
      </c>
      <c r="E306" s="35">
        <v>0.22</v>
      </c>
      <c r="F306" s="35">
        <v>0.25</v>
      </c>
      <c r="G306" s="35">
        <v>24</v>
      </c>
      <c r="H306" s="35">
        <v>6.9</v>
      </c>
      <c r="I306" s="35">
        <v>8</v>
      </c>
      <c r="J306" s="116">
        <v>0.99978</v>
      </c>
      <c r="K306" s="117">
        <f t="shared" si="93"/>
        <v>2.1999999999999797E-4</v>
      </c>
      <c r="L306" s="43">
        <f>BE85*BD9</f>
        <v>91.2</v>
      </c>
      <c r="M306" s="43">
        <f t="shared" si="89"/>
        <v>50.159999999999542</v>
      </c>
      <c r="N306" s="35">
        <v>2</v>
      </c>
      <c r="O306" s="35">
        <f t="shared" si="94"/>
        <v>2000</v>
      </c>
      <c r="P306" s="35">
        <f t="shared" ref="P306:Q306" si="124">AG306/$BD9*10000</f>
        <v>600</v>
      </c>
      <c r="Q306" s="35">
        <f t="shared" si="124"/>
        <v>2000</v>
      </c>
      <c r="R306" s="35">
        <f t="shared" si="96"/>
        <v>10000</v>
      </c>
      <c r="S306" s="35">
        <f t="shared" si="97"/>
        <v>10000</v>
      </c>
      <c r="T306" s="35">
        <f t="shared" si="98"/>
        <v>80000</v>
      </c>
      <c r="U306" s="35">
        <f t="shared" si="99"/>
        <v>120000</v>
      </c>
      <c r="V306" s="35">
        <f t="shared" si="100"/>
        <v>10000</v>
      </c>
      <c r="W306" s="35">
        <v>10</v>
      </c>
      <c r="X306" s="35">
        <v>2</v>
      </c>
      <c r="Y306" s="35">
        <v>8</v>
      </c>
      <c r="Z306" s="130">
        <f t="shared" si="101"/>
        <v>4</v>
      </c>
      <c r="AA306" s="130">
        <f t="shared" si="102"/>
        <v>3</v>
      </c>
      <c r="AB306" s="130">
        <f t="shared" si="103"/>
        <v>1</v>
      </c>
      <c r="AC306" s="130">
        <f t="shared" ref="AC306:AE306" si="125">Z306*$BD9</f>
        <v>912000</v>
      </c>
      <c r="AD306" s="130">
        <f t="shared" si="125"/>
        <v>684000</v>
      </c>
      <c r="AE306" s="130">
        <f t="shared" si="125"/>
        <v>228000</v>
      </c>
      <c r="AF306">
        <f t="shared" si="105"/>
        <v>45600</v>
      </c>
      <c r="AG306">
        <f t="shared" si="106"/>
        <v>13680</v>
      </c>
      <c r="AH306">
        <f t="shared" si="107"/>
        <v>45600</v>
      </c>
      <c r="AI306" s="130">
        <f t="shared" si="108"/>
        <v>1.7250000000000001</v>
      </c>
      <c r="AJ306" s="130">
        <f t="shared" si="108"/>
        <v>1.7250000000000001</v>
      </c>
      <c r="AK306" s="130">
        <f t="shared" si="109"/>
        <v>0.86250000000000004</v>
      </c>
      <c r="AL306" s="130">
        <f t="shared" si="109"/>
        <v>0.86250000000000004</v>
      </c>
      <c r="AM306" s="130">
        <f t="shared" si="110"/>
        <v>1.7250000000000001</v>
      </c>
      <c r="AN306" s="130">
        <f t="shared" si="111"/>
        <v>393300</v>
      </c>
      <c r="AO306" s="130">
        <f t="shared" si="92"/>
        <v>393300</v>
      </c>
      <c r="AP306" s="130">
        <f t="shared" si="92"/>
        <v>196650</v>
      </c>
      <c r="AQ306" s="130">
        <f t="shared" si="92"/>
        <v>196650</v>
      </c>
      <c r="AR306" s="130">
        <f t="shared" si="92"/>
        <v>393300</v>
      </c>
      <c r="AS306">
        <f t="shared" si="112"/>
        <v>228000</v>
      </c>
      <c r="AT306">
        <f t="shared" si="112"/>
        <v>228000</v>
      </c>
      <c r="AU306">
        <f t="shared" si="113"/>
        <v>1824000</v>
      </c>
      <c r="AV306">
        <f t="shared" si="114"/>
        <v>2736000</v>
      </c>
      <c r="AW306">
        <f t="shared" si="115"/>
        <v>228000</v>
      </c>
    </row>
    <row r="307" spans="2:49" x14ac:dyDescent="0.25">
      <c r="B307" s="61" t="str">
        <f t="shared" si="88"/>
        <v>Product H</v>
      </c>
      <c r="C307" s="97">
        <f t="shared" si="88"/>
        <v>9.1999999999999993</v>
      </c>
      <c r="D307" s="43">
        <f>SUM(BD95:BD103)</f>
        <v>15.7</v>
      </c>
      <c r="E307" s="35">
        <v>0.25</v>
      </c>
      <c r="F307" s="35">
        <v>0.22</v>
      </c>
      <c r="G307" s="35">
        <v>26</v>
      </c>
      <c r="H307" s="35">
        <v>7.8</v>
      </c>
      <c r="I307" s="35">
        <v>7.5</v>
      </c>
      <c r="J307" s="116">
        <v>0.99975999999999998</v>
      </c>
      <c r="K307" s="117">
        <f t="shared" si="93"/>
        <v>2.4000000000001798E-4</v>
      </c>
      <c r="L307" s="43">
        <f>BE95*BD10</f>
        <v>27.599999999999998</v>
      </c>
      <c r="M307" s="43">
        <f t="shared" si="89"/>
        <v>22.080000000001654</v>
      </c>
      <c r="N307" s="35">
        <v>1</v>
      </c>
      <c r="O307" s="35">
        <f t="shared" si="94"/>
        <v>1875</v>
      </c>
      <c r="P307" s="35">
        <f t="shared" ref="P307:Q307" si="126">AG307/$BD10*10000</f>
        <v>562.5</v>
      </c>
      <c r="Q307" s="35">
        <f t="shared" si="126"/>
        <v>1875</v>
      </c>
      <c r="R307" s="35">
        <f t="shared" si="96"/>
        <v>10000</v>
      </c>
      <c r="S307" s="35">
        <f t="shared" si="97"/>
        <v>10000</v>
      </c>
      <c r="T307" s="35">
        <f t="shared" si="98"/>
        <v>80000</v>
      </c>
      <c r="U307" s="35">
        <f t="shared" si="99"/>
        <v>120000</v>
      </c>
      <c r="V307" s="35">
        <f t="shared" si="100"/>
        <v>10000</v>
      </c>
      <c r="W307" s="35">
        <v>10</v>
      </c>
      <c r="X307" s="35">
        <v>2</v>
      </c>
      <c r="Y307" s="35">
        <v>8</v>
      </c>
      <c r="Z307" s="130">
        <f t="shared" si="101"/>
        <v>3.75</v>
      </c>
      <c r="AA307" s="130">
        <f t="shared" si="102"/>
        <v>2.8125</v>
      </c>
      <c r="AB307" s="130">
        <f t="shared" si="103"/>
        <v>0.9375</v>
      </c>
      <c r="AC307" s="130">
        <f t="shared" ref="AC307:AE307" si="127">Z307*$BD10</f>
        <v>345000</v>
      </c>
      <c r="AD307" s="130">
        <f t="shared" si="127"/>
        <v>258750</v>
      </c>
      <c r="AE307" s="130">
        <f t="shared" si="127"/>
        <v>86250</v>
      </c>
      <c r="AF307">
        <f t="shared" si="105"/>
        <v>17250</v>
      </c>
      <c r="AG307">
        <f t="shared" si="106"/>
        <v>5175</v>
      </c>
      <c r="AH307">
        <f t="shared" si="107"/>
        <v>17250</v>
      </c>
      <c r="AI307" s="130">
        <f t="shared" si="108"/>
        <v>1.95</v>
      </c>
      <c r="AJ307" s="130">
        <f t="shared" si="108"/>
        <v>1.95</v>
      </c>
      <c r="AK307" s="130">
        <f t="shared" si="109"/>
        <v>0.97499999999999998</v>
      </c>
      <c r="AL307" s="130">
        <f t="shared" si="109"/>
        <v>0.97499999999999998</v>
      </c>
      <c r="AM307" s="130">
        <f t="shared" si="110"/>
        <v>1.95</v>
      </c>
      <c r="AN307" s="130">
        <f t="shared" si="111"/>
        <v>179400</v>
      </c>
      <c r="AO307" s="130">
        <f t="shared" si="92"/>
        <v>179400</v>
      </c>
      <c r="AP307" s="130">
        <f t="shared" si="92"/>
        <v>89700</v>
      </c>
      <c r="AQ307" s="130">
        <f t="shared" si="92"/>
        <v>89700</v>
      </c>
      <c r="AR307" s="130">
        <f t="shared" si="92"/>
        <v>179400</v>
      </c>
      <c r="AS307">
        <f t="shared" si="112"/>
        <v>92000</v>
      </c>
      <c r="AT307">
        <f t="shared" si="112"/>
        <v>92000</v>
      </c>
      <c r="AU307">
        <f t="shared" si="113"/>
        <v>736000</v>
      </c>
      <c r="AV307">
        <f t="shared" si="114"/>
        <v>1104000</v>
      </c>
      <c r="AW307">
        <f t="shared" si="115"/>
        <v>92000</v>
      </c>
    </row>
    <row r="308" spans="2:49" x14ac:dyDescent="0.25">
      <c r="B308" s="61">
        <f t="shared" si="88"/>
        <v>0</v>
      </c>
      <c r="C308" s="97">
        <f t="shared" si="88"/>
        <v>0</v>
      </c>
      <c r="D308" s="43"/>
      <c r="E308" s="35"/>
      <c r="F308" s="35"/>
      <c r="G308" s="35"/>
      <c r="H308" s="35"/>
      <c r="I308" s="35"/>
      <c r="J308" s="116">
        <v>0</v>
      </c>
      <c r="K308" s="117">
        <f t="shared" si="93"/>
        <v>1</v>
      </c>
      <c r="L308" s="43"/>
      <c r="M308" s="43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 spans="2:49" x14ac:dyDescent="0.25">
      <c r="B309" s="61">
        <f t="shared" si="88"/>
        <v>0</v>
      </c>
      <c r="C309" s="97">
        <f t="shared" si="88"/>
        <v>0</v>
      </c>
      <c r="D309" s="43"/>
      <c r="E309" s="35"/>
      <c r="F309" s="35"/>
      <c r="G309" s="35"/>
      <c r="H309" s="35"/>
      <c r="I309" s="35"/>
      <c r="J309" s="116">
        <v>0</v>
      </c>
      <c r="K309" s="117">
        <f t="shared" si="93"/>
        <v>1</v>
      </c>
      <c r="L309" s="43"/>
      <c r="M309" s="43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 spans="2:49" x14ac:dyDescent="0.25">
      <c r="B310" s="61">
        <f t="shared" si="88"/>
        <v>0</v>
      </c>
      <c r="C310" s="97">
        <f t="shared" si="88"/>
        <v>0</v>
      </c>
      <c r="D310" s="43"/>
      <c r="E310" s="35"/>
      <c r="F310" s="35"/>
      <c r="G310" s="35"/>
      <c r="H310" s="35"/>
      <c r="I310" s="35"/>
      <c r="J310" s="116">
        <v>0</v>
      </c>
      <c r="K310" s="117">
        <f t="shared" si="93"/>
        <v>1</v>
      </c>
      <c r="L310" s="43"/>
      <c r="M310" s="43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 spans="2:49" x14ac:dyDescent="0.25">
      <c r="B311" s="61">
        <f t="shared" si="88"/>
        <v>0</v>
      </c>
      <c r="C311" s="97">
        <f t="shared" si="88"/>
        <v>0</v>
      </c>
      <c r="D311" s="43"/>
      <c r="E311" s="35"/>
      <c r="F311" s="35"/>
      <c r="G311" s="35"/>
      <c r="H311" s="35"/>
      <c r="I311" s="35"/>
      <c r="J311" s="116">
        <v>0</v>
      </c>
      <c r="K311" s="117">
        <f t="shared" si="93"/>
        <v>1</v>
      </c>
      <c r="L311" s="43"/>
      <c r="M311" s="43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 spans="2:49" x14ac:dyDescent="0.25">
      <c r="B312" s="61">
        <f t="shared" si="88"/>
        <v>0</v>
      </c>
      <c r="C312" s="97">
        <f t="shared" si="88"/>
        <v>0</v>
      </c>
      <c r="D312" s="43"/>
      <c r="E312" s="35"/>
      <c r="F312" s="35"/>
      <c r="G312" s="35"/>
      <c r="H312" s="35"/>
      <c r="I312" s="35"/>
      <c r="J312" s="116">
        <v>0</v>
      </c>
      <c r="K312" s="117">
        <f t="shared" si="93"/>
        <v>1</v>
      </c>
      <c r="L312" s="43"/>
      <c r="M312" s="43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 spans="2:49" x14ac:dyDescent="0.25">
      <c r="B313" s="61">
        <f t="shared" si="88"/>
        <v>0</v>
      </c>
      <c r="C313" s="97">
        <f t="shared" si="88"/>
        <v>0</v>
      </c>
      <c r="D313" s="43"/>
      <c r="E313" s="35"/>
      <c r="F313" s="35"/>
      <c r="G313" s="35"/>
      <c r="H313" s="35"/>
      <c r="I313" s="35"/>
      <c r="J313" s="116">
        <v>0</v>
      </c>
      <c r="K313" s="117">
        <f t="shared" si="93"/>
        <v>1</v>
      </c>
      <c r="L313" s="43"/>
      <c r="M313" s="43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 spans="2:49" x14ac:dyDescent="0.25">
      <c r="B314" s="61">
        <f t="shared" si="88"/>
        <v>0</v>
      </c>
      <c r="C314" s="97">
        <f t="shared" si="88"/>
        <v>0</v>
      </c>
      <c r="D314" s="43"/>
      <c r="E314" s="35"/>
      <c r="F314" s="35"/>
      <c r="G314" s="35"/>
      <c r="H314" s="35"/>
      <c r="I314" s="35"/>
      <c r="J314" s="116">
        <v>0</v>
      </c>
      <c r="K314" s="117">
        <f t="shared" si="93"/>
        <v>1</v>
      </c>
      <c r="L314" s="43"/>
      <c r="M314" s="43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 spans="2:49" x14ac:dyDescent="0.25">
      <c r="B315" s="61">
        <f t="shared" si="88"/>
        <v>0</v>
      </c>
      <c r="C315" s="97">
        <f t="shared" si="88"/>
        <v>0</v>
      </c>
      <c r="D315" s="43"/>
      <c r="E315" s="35"/>
      <c r="F315" s="35"/>
      <c r="G315" s="35"/>
      <c r="H315" s="35"/>
      <c r="I315" s="35"/>
      <c r="J315" s="116">
        <v>0</v>
      </c>
      <c r="K315" s="117">
        <f t="shared" si="93"/>
        <v>1</v>
      </c>
      <c r="L315" s="43"/>
      <c r="M315" s="43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 spans="2:49" x14ac:dyDescent="0.25">
      <c r="B316" s="61">
        <f t="shared" si="88"/>
        <v>0</v>
      </c>
      <c r="C316" s="97">
        <f t="shared" si="88"/>
        <v>0</v>
      </c>
      <c r="D316" s="43"/>
      <c r="E316" s="35"/>
      <c r="F316" s="35"/>
      <c r="G316" s="35"/>
      <c r="H316" s="35"/>
      <c r="I316" s="35"/>
      <c r="J316" s="116">
        <v>0</v>
      </c>
      <c r="K316" s="117">
        <f t="shared" si="93"/>
        <v>1</v>
      </c>
      <c r="L316" s="43"/>
      <c r="M316" s="43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 spans="2:49" x14ac:dyDescent="0.25">
      <c r="B317" s="61">
        <f t="shared" si="88"/>
        <v>0</v>
      </c>
      <c r="C317" s="97">
        <f t="shared" si="88"/>
        <v>0</v>
      </c>
      <c r="D317" s="43"/>
      <c r="E317" s="35"/>
      <c r="F317" s="35"/>
      <c r="G317" s="35"/>
      <c r="H317" s="35"/>
      <c r="I317" s="35"/>
      <c r="J317" s="116">
        <v>0</v>
      </c>
      <c r="K317" s="117">
        <f t="shared" si="93"/>
        <v>1</v>
      </c>
      <c r="L317" s="43"/>
      <c r="M317" s="43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 spans="2:49" x14ac:dyDescent="0.25">
      <c r="B318" s="61">
        <f t="shared" si="88"/>
        <v>0</v>
      </c>
      <c r="C318" s="97">
        <f t="shared" si="88"/>
        <v>0</v>
      </c>
      <c r="D318" s="43"/>
      <c r="E318" s="35"/>
      <c r="F318" s="35"/>
      <c r="G318" s="35"/>
      <c r="H318" s="35"/>
      <c r="I318" s="35"/>
      <c r="J318" s="116">
        <v>0</v>
      </c>
      <c r="K318" s="117">
        <f t="shared" si="93"/>
        <v>1</v>
      </c>
      <c r="L318" s="43"/>
      <c r="M318" s="43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 spans="2:49" x14ac:dyDescent="0.25">
      <c r="B319" s="61">
        <f t="shared" si="88"/>
        <v>0</v>
      </c>
      <c r="C319" s="97">
        <f t="shared" si="88"/>
        <v>0</v>
      </c>
      <c r="D319" s="43"/>
      <c r="E319" s="35"/>
      <c r="F319" s="35"/>
      <c r="G319" s="35"/>
      <c r="H319" s="35"/>
      <c r="I319" s="35"/>
      <c r="J319" s="116">
        <v>0</v>
      </c>
      <c r="K319" s="117">
        <f t="shared" si="93"/>
        <v>1</v>
      </c>
      <c r="L319" s="43"/>
      <c r="M319" s="43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1" spans="1:62" s="1" customFormat="1" x14ac:dyDescent="0.25">
      <c r="A321" s="175" t="s">
        <v>420</v>
      </c>
      <c r="B321" s="175"/>
      <c r="C321" s="175" t="s">
        <v>417</v>
      </c>
      <c r="D321" s="175"/>
      <c r="E321" s="175" t="s">
        <v>419</v>
      </c>
      <c r="F321" s="175"/>
      <c r="G321" s="175"/>
      <c r="H321" s="176" t="s">
        <v>480</v>
      </c>
      <c r="I321" s="176"/>
      <c r="J321" s="175" t="s">
        <v>439</v>
      </c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  <c r="AA321" s="175"/>
      <c r="AB321" s="175"/>
      <c r="AC321" s="175"/>
      <c r="AD321" s="175"/>
      <c r="AE321" s="175"/>
      <c r="AF321" s="175"/>
      <c r="AG321" s="175"/>
      <c r="AH321" s="175"/>
      <c r="AI321" s="175"/>
      <c r="AJ321" s="175"/>
      <c r="AK321" s="175"/>
      <c r="AL321" s="175"/>
      <c r="AM321" s="175"/>
      <c r="AN321" s="175"/>
      <c r="AO321" s="175"/>
      <c r="AP321" s="175"/>
      <c r="AQ321" s="175"/>
      <c r="AR321" s="175"/>
      <c r="AS321" s="175"/>
      <c r="AT321" s="175"/>
      <c r="AU321" s="175"/>
      <c r="AV321" s="175"/>
      <c r="AW321" s="175"/>
      <c r="AX321" s="175"/>
      <c r="AY321" s="175"/>
      <c r="AZ321" s="175"/>
      <c r="BA321" s="175"/>
      <c r="BB321" s="175"/>
      <c r="BC321" s="175"/>
      <c r="BD321" s="175"/>
      <c r="BE321" s="175"/>
      <c r="BF321" s="175"/>
      <c r="BG321" s="175"/>
      <c r="BH321" s="175"/>
      <c r="BI321" s="175"/>
    </row>
    <row r="322" spans="1:62" s="1" customFormat="1" x14ac:dyDescent="0.25">
      <c r="A322" s="175"/>
      <c r="B322" s="175"/>
      <c r="C322" s="175"/>
      <c r="D322" s="175"/>
      <c r="E322" s="175"/>
      <c r="F322" s="175"/>
      <c r="G322" s="175"/>
      <c r="H322" s="176"/>
      <c r="I322" s="176"/>
      <c r="J322" s="61">
        <v>1</v>
      </c>
      <c r="K322" s="61">
        <f>J322+1</f>
        <v>2</v>
      </c>
      <c r="L322" s="61">
        <f t="shared" ref="L322:BH322" si="128">K322+1</f>
        <v>3</v>
      </c>
      <c r="M322" s="61">
        <f t="shared" si="128"/>
        <v>4</v>
      </c>
      <c r="N322" s="61">
        <f t="shared" si="128"/>
        <v>5</v>
      </c>
      <c r="O322" s="61">
        <f t="shared" si="128"/>
        <v>6</v>
      </c>
      <c r="P322" s="61">
        <f t="shared" si="128"/>
        <v>7</v>
      </c>
      <c r="Q322" s="61">
        <f t="shared" si="128"/>
        <v>8</v>
      </c>
      <c r="R322" s="61">
        <f t="shared" si="128"/>
        <v>9</v>
      </c>
      <c r="S322" s="61">
        <f t="shared" si="128"/>
        <v>10</v>
      </c>
      <c r="T322" s="61">
        <f t="shared" si="128"/>
        <v>11</v>
      </c>
      <c r="U322" s="61">
        <f t="shared" si="128"/>
        <v>12</v>
      </c>
      <c r="V322" s="61">
        <f t="shared" si="128"/>
        <v>13</v>
      </c>
      <c r="W322" s="61">
        <f t="shared" si="128"/>
        <v>14</v>
      </c>
      <c r="X322" s="61">
        <f t="shared" si="128"/>
        <v>15</v>
      </c>
      <c r="Y322" s="61">
        <f t="shared" si="128"/>
        <v>16</v>
      </c>
      <c r="Z322" s="61">
        <f t="shared" si="128"/>
        <v>17</v>
      </c>
      <c r="AA322" s="61">
        <f t="shared" si="128"/>
        <v>18</v>
      </c>
      <c r="AB322" s="61">
        <f t="shared" si="128"/>
        <v>19</v>
      </c>
      <c r="AC322" s="61">
        <f t="shared" si="128"/>
        <v>20</v>
      </c>
      <c r="AD322" s="61">
        <f t="shared" si="128"/>
        <v>21</v>
      </c>
      <c r="AE322" s="61">
        <f t="shared" si="128"/>
        <v>22</v>
      </c>
      <c r="AF322" s="61">
        <f t="shared" si="128"/>
        <v>23</v>
      </c>
      <c r="AG322" s="61">
        <f t="shared" si="128"/>
        <v>24</v>
      </c>
      <c r="AH322" s="61">
        <f t="shared" si="128"/>
        <v>25</v>
      </c>
      <c r="AI322" s="61">
        <f t="shared" si="128"/>
        <v>26</v>
      </c>
      <c r="AJ322" s="61">
        <f t="shared" si="128"/>
        <v>27</v>
      </c>
      <c r="AK322" s="61">
        <f t="shared" si="128"/>
        <v>28</v>
      </c>
      <c r="AL322" s="61">
        <f t="shared" si="128"/>
        <v>29</v>
      </c>
      <c r="AM322" s="61">
        <f t="shared" si="128"/>
        <v>30</v>
      </c>
      <c r="AN322" s="61">
        <f t="shared" si="128"/>
        <v>31</v>
      </c>
      <c r="AO322" s="61">
        <f t="shared" si="128"/>
        <v>32</v>
      </c>
      <c r="AP322" s="61">
        <f t="shared" si="128"/>
        <v>33</v>
      </c>
      <c r="AQ322" s="61">
        <f t="shared" si="128"/>
        <v>34</v>
      </c>
      <c r="AR322" s="61">
        <f t="shared" si="128"/>
        <v>35</v>
      </c>
      <c r="AS322" s="61">
        <f t="shared" si="128"/>
        <v>36</v>
      </c>
      <c r="AT322" s="61">
        <f t="shared" si="128"/>
        <v>37</v>
      </c>
      <c r="AU322" s="61">
        <f t="shared" si="128"/>
        <v>38</v>
      </c>
      <c r="AV322" s="61">
        <f t="shared" si="128"/>
        <v>39</v>
      </c>
      <c r="AW322" s="61">
        <f t="shared" si="128"/>
        <v>40</v>
      </c>
      <c r="AX322" s="61">
        <f t="shared" si="128"/>
        <v>41</v>
      </c>
      <c r="AY322" s="61">
        <f t="shared" si="128"/>
        <v>42</v>
      </c>
      <c r="AZ322" s="61">
        <f t="shared" si="128"/>
        <v>43</v>
      </c>
      <c r="BA322" s="61">
        <f t="shared" si="128"/>
        <v>44</v>
      </c>
      <c r="BB322" s="61">
        <f t="shared" si="128"/>
        <v>45</v>
      </c>
      <c r="BC322" s="61">
        <f t="shared" si="128"/>
        <v>46</v>
      </c>
      <c r="BD322" s="61">
        <f t="shared" si="128"/>
        <v>47</v>
      </c>
      <c r="BE322" s="61">
        <f t="shared" si="128"/>
        <v>48</v>
      </c>
      <c r="BF322" s="61">
        <f t="shared" si="128"/>
        <v>49</v>
      </c>
      <c r="BG322" s="61">
        <f t="shared" si="128"/>
        <v>50</v>
      </c>
      <c r="BH322" s="61">
        <f t="shared" si="128"/>
        <v>51</v>
      </c>
      <c r="BI322" s="61">
        <f>BH322+1</f>
        <v>52</v>
      </c>
    </row>
    <row r="323" spans="1:62" x14ac:dyDescent="0.25">
      <c r="A323" s="172" t="s">
        <v>77</v>
      </c>
      <c r="B323" s="173"/>
      <c r="C323" s="172" t="s">
        <v>422</v>
      </c>
      <c r="D323" s="173"/>
      <c r="E323" s="172"/>
      <c r="F323" s="174"/>
      <c r="G323" s="173"/>
      <c r="H323" s="170">
        <v>20</v>
      </c>
      <c r="I323" s="171"/>
      <c r="J323" s="35">
        <f>C492*1.15</f>
        <v>10945.125</v>
      </c>
      <c r="K323" s="35">
        <f t="shared" ref="K323:BI323" si="129">D492*1.15</f>
        <v>11413.75</v>
      </c>
      <c r="L323" s="35">
        <f t="shared" si="129"/>
        <v>11965.749999999998</v>
      </c>
      <c r="M323" s="35">
        <f t="shared" si="129"/>
        <v>9007.375</v>
      </c>
      <c r="N323" s="35">
        <f t="shared" si="129"/>
        <v>10025.125</v>
      </c>
      <c r="O323" s="35">
        <f t="shared" si="129"/>
        <v>10275.25</v>
      </c>
      <c r="P323" s="35">
        <f t="shared" si="129"/>
        <v>10513.875</v>
      </c>
      <c r="Q323" s="35">
        <f t="shared" si="129"/>
        <v>10971</v>
      </c>
      <c r="R323" s="35">
        <f t="shared" si="129"/>
        <v>12307.874999999998</v>
      </c>
      <c r="S323" s="35">
        <f t="shared" si="129"/>
        <v>9378.25</v>
      </c>
      <c r="T323" s="35">
        <f t="shared" si="129"/>
        <v>9616.875</v>
      </c>
      <c r="U323" s="35">
        <f t="shared" si="129"/>
        <v>9743.375</v>
      </c>
      <c r="V323" s="35">
        <f t="shared" si="129"/>
        <v>10945.125</v>
      </c>
      <c r="W323" s="35">
        <f t="shared" si="129"/>
        <v>11456.875</v>
      </c>
      <c r="X323" s="35">
        <f t="shared" si="129"/>
        <v>11807.624999999998</v>
      </c>
      <c r="Y323" s="35">
        <f t="shared" si="129"/>
        <v>8823.375</v>
      </c>
      <c r="Z323" s="35">
        <f t="shared" si="129"/>
        <v>10025.125</v>
      </c>
      <c r="AA323" s="35">
        <f t="shared" si="129"/>
        <v>10263.75</v>
      </c>
      <c r="AB323" s="35">
        <f t="shared" si="129"/>
        <v>10513.875</v>
      </c>
      <c r="AC323" s="35">
        <f t="shared" si="129"/>
        <v>10936.5</v>
      </c>
      <c r="AD323" s="35">
        <f t="shared" si="129"/>
        <v>12238.874999999998</v>
      </c>
      <c r="AE323" s="35">
        <f t="shared" si="129"/>
        <v>9378.25</v>
      </c>
      <c r="AF323" s="35">
        <f t="shared" si="129"/>
        <v>9605.375</v>
      </c>
      <c r="AG323" s="35">
        <f t="shared" si="129"/>
        <v>9743.375</v>
      </c>
      <c r="AH323" s="35">
        <f t="shared" si="129"/>
        <v>10945.125</v>
      </c>
      <c r="AI323" s="35">
        <f t="shared" si="129"/>
        <v>11370.625</v>
      </c>
      <c r="AJ323" s="35">
        <f t="shared" si="129"/>
        <v>11980.124999999998</v>
      </c>
      <c r="AK323" s="35">
        <f t="shared" si="129"/>
        <v>8840.625</v>
      </c>
      <c r="AL323" s="35">
        <f t="shared" si="129"/>
        <v>10025.125</v>
      </c>
      <c r="AM323" s="35">
        <f t="shared" si="129"/>
        <v>10275.25</v>
      </c>
      <c r="AN323" s="35">
        <f t="shared" si="129"/>
        <v>10513.875</v>
      </c>
      <c r="AO323" s="35">
        <f t="shared" si="129"/>
        <v>10936.5</v>
      </c>
      <c r="AP323" s="35">
        <f t="shared" si="129"/>
        <v>12238.874999999998</v>
      </c>
      <c r="AQ323" s="35">
        <f t="shared" si="129"/>
        <v>9378.25</v>
      </c>
      <c r="AR323" s="35">
        <f t="shared" si="129"/>
        <v>9605.375</v>
      </c>
      <c r="AS323" s="35">
        <f t="shared" si="129"/>
        <v>9743.375</v>
      </c>
      <c r="AT323" s="35">
        <f t="shared" si="129"/>
        <v>10945.125</v>
      </c>
      <c r="AU323" s="35">
        <f t="shared" si="129"/>
        <v>11456.875</v>
      </c>
      <c r="AV323" s="35">
        <f t="shared" si="129"/>
        <v>11807.624999999998</v>
      </c>
      <c r="AW323" s="35">
        <f t="shared" si="129"/>
        <v>8840.625</v>
      </c>
      <c r="AX323" s="35">
        <f t="shared" si="129"/>
        <v>10025.125</v>
      </c>
      <c r="AY323" s="35">
        <f t="shared" si="129"/>
        <v>10275.25</v>
      </c>
      <c r="AZ323" s="35">
        <f t="shared" si="129"/>
        <v>11735.75</v>
      </c>
      <c r="BA323" s="35">
        <f t="shared" si="129"/>
        <v>11482.75</v>
      </c>
      <c r="BB323" s="35">
        <f t="shared" si="129"/>
        <v>12080.749999999998</v>
      </c>
      <c r="BC323" s="35">
        <f t="shared" si="129"/>
        <v>11945.624999999998</v>
      </c>
      <c r="BD323" s="35">
        <f t="shared" si="129"/>
        <v>10513.875</v>
      </c>
      <c r="BE323" s="35">
        <f t="shared" si="129"/>
        <v>10971</v>
      </c>
      <c r="BF323" s="35">
        <f t="shared" si="129"/>
        <v>12307.874999999998</v>
      </c>
      <c r="BG323" s="35">
        <f t="shared" si="129"/>
        <v>9188.5</v>
      </c>
      <c r="BH323" s="35">
        <f t="shared" si="129"/>
        <v>9605.375</v>
      </c>
      <c r="BI323" s="35">
        <f t="shared" si="129"/>
        <v>9743.375</v>
      </c>
      <c r="BJ323" s="169"/>
    </row>
    <row r="324" spans="1:62" x14ac:dyDescent="0.25">
      <c r="A324" s="172" t="s">
        <v>78</v>
      </c>
      <c r="B324" s="173"/>
      <c r="C324" s="172" t="s">
        <v>424</v>
      </c>
      <c r="D324" s="173"/>
      <c r="E324" s="172"/>
      <c r="F324" s="174"/>
      <c r="G324" s="173"/>
      <c r="H324" s="170">
        <v>50</v>
      </c>
      <c r="I324" s="171"/>
      <c r="J324" s="35">
        <f>C502*1.15</f>
        <v>3283.5374999999999</v>
      </c>
      <c r="K324" s="35">
        <f t="shared" ref="K324:BI324" si="130">D502*1.15</f>
        <v>3424.1249999999995</v>
      </c>
      <c r="L324" s="35">
        <f t="shared" si="130"/>
        <v>3589.7249999999999</v>
      </c>
      <c r="M324" s="35">
        <f t="shared" si="130"/>
        <v>2702.2124999999996</v>
      </c>
      <c r="N324" s="35">
        <f t="shared" si="130"/>
        <v>3007.5374999999999</v>
      </c>
      <c r="O324" s="35">
        <f t="shared" si="130"/>
        <v>3082.5749999999998</v>
      </c>
      <c r="P324" s="35">
        <f t="shared" si="130"/>
        <v>3154.1624999999999</v>
      </c>
      <c r="Q324" s="35">
        <f t="shared" si="130"/>
        <v>3291.2999999999997</v>
      </c>
      <c r="R324" s="35">
        <f t="shared" si="130"/>
        <v>3692.3624999999997</v>
      </c>
      <c r="S324" s="35">
        <f t="shared" si="130"/>
        <v>2813.4749999999999</v>
      </c>
      <c r="T324" s="35">
        <f t="shared" si="130"/>
        <v>2885.0625</v>
      </c>
      <c r="U324" s="35">
        <f t="shared" si="130"/>
        <v>2923.0124999999998</v>
      </c>
      <c r="V324" s="35">
        <f t="shared" si="130"/>
        <v>3283.5374999999999</v>
      </c>
      <c r="W324" s="35">
        <f t="shared" si="130"/>
        <v>3437.0624999999995</v>
      </c>
      <c r="X324" s="35">
        <f t="shared" si="130"/>
        <v>3542.2874999999999</v>
      </c>
      <c r="Y324" s="35">
        <f t="shared" si="130"/>
        <v>2647.0124999999998</v>
      </c>
      <c r="Z324" s="35">
        <f t="shared" si="130"/>
        <v>3007.5374999999999</v>
      </c>
      <c r="AA324" s="35">
        <f t="shared" si="130"/>
        <v>3079.1249999999995</v>
      </c>
      <c r="AB324" s="35">
        <f t="shared" si="130"/>
        <v>3154.1624999999999</v>
      </c>
      <c r="AC324" s="35">
        <f t="shared" si="130"/>
        <v>3280.95</v>
      </c>
      <c r="AD324" s="35">
        <f t="shared" si="130"/>
        <v>3671.6624999999999</v>
      </c>
      <c r="AE324" s="35">
        <f t="shared" si="130"/>
        <v>2813.4749999999999</v>
      </c>
      <c r="AF324" s="35">
        <f t="shared" si="130"/>
        <v>2881.6124999999997</v>
      </c>
      <c r="AG324" s="35">
        <f t="shared" si="130"/>
        <v>2923.0124999999998</v>
      </c>
      <c r="AH324" s="35">
        <f t="shared" si="130"/>
        <v>3283.5374999999999</v>
      </c>
      <c r="AI324" s="35">
        <f t="shared" si="130"/>
        <v>3411.1874999999995</v>
      </c>
      <c r="AJ324" s="35">
        <f t="shared" si="130"/>
        <v>3594.0374999999999</v>
      </c>
      <c r="AK324" s="35">
        <f t="shared" si="130"/>
        <v>2652.1875</v>
      </c>
      <c r="AL324" s="35">
        <f t="shared" si="130"/>
        <v>3007.5374999999999</v>
      </c>
      <c r="AM324" s="35">
        <f t="shared" si="130"/>
        <v>3082.5749999999998</v>
      </c>
      <c r="AN324" s="35">
        <f t="shared" si="130"/>
        <v>3154.1624999999999</v>
      </c>
      <c r="AO324" s="35">
        <f t="shared" si="130"/>
        <v>3280.95</v>
      </c>
      <c r="AP324" s="35">
        <f t="shared" si="130"/>
        <v>3671.6624999999999</v>
      </c>
      <c r="AQ324" s="35">
        <f t="shared" si="130"/>
        <v>2813.4749999999999</v>
      </c>
      <c r="AR324" s="35">
        <f t="shared" si="130"/>
        <v>2881.6124999999997</v>
      </c>
      <c r="AS324" s="35">
        <f t="shared" si="130"/>
        <v>2923.0124999999998</v>
      </c>
      <c r="AT324" s="35">
        <f t="shared" si="130"/>
        <v>3283.5374999999999</v>
      </c>
      <c r="AU324" s="35">
        <f t="shared" si="130"/>
        <v>3437.0624999999995</v>
      </c>
      <c r="AV324" s="35">
        <f t="shared" si="130"/>
        <v>3542.2874999999999</v>
      </c>
      <c r="AW324" s="35">
        <f t="shared" si="130"/>
        <v>2652.1875</v>
      </c>
      <c r="AX324" s="35">
        <f t="shared" si="130"/>
        <v>3007.5374999999999</v>
      </c>
      <c r="AY324" s="35">
        <f t="shared" si="130"/>
        <v>3082.5749999999998</v>
      </c>
      <c r="AZ324" s="35">
        <f t="shared" si="130"/>
        <v>3520.7249999999999</v>
      </c>
      <c r="BA324" s="35">
        <f t="shared" si="130"/>
        <v>3444.8249999999998</v>
      </c>
      <c r="BB324" s="35">
        <f t="shared" si="130"/>
        <v>3624.2249999999999</v>
      </c>
      <c r="BC324" s="35">
        <f t="shared" si="130"/>
        <v>3583.6874999999995</v>
      </c>
      <c r="BD324" s="35">
        <f t="shared" si="130"/>
        <v>3154.1624999999999</v>
      </c>
      <c r="BE324" s="35">
        <f t="shared" si="130"/>
        <v>3291.2999999999997</v>
      </c>
      <c r="BF324" s="35">
        <f t="shared" si="130"/>
        <v>3692.3624999999997</v>
      </c>
      <c r="BG324" s="35">
        <f t="shared" si="130"/>
        <v>2756.5499999999997</v>
      </c>
      <c r="BH324" s="35">
        <f t="shared" si="130"/>
        <v>2881.6124999999997</v>
      </c>
      <c r="BI324" s="35">
        <f t="shared" si="130"/>
        <v>2923.0124999999998</v>
      </c>
    </row>
    <row r="325" spans="1:62" x14ac:dyDescent="0.25">
      <c r="A325" s="172" t="s">
        <v>79</v>
      </c>
      <c r="B325" s="173"/>
      <c r="C325" s="172" t="s">
        <v>425</v>
      </c>
      <c r="D325" s="173"/>
      <c r="E325" s="172"/>
      <c r="F325" s="174"/>
      <c r="G325" s="173"/>
      <c r="H325" s="170">
        <v>5</v>
      </c>
      <c r="I325" s="171"/>
      <c r="J325" s="35">
        <f>C512*1.15</f>
        <v>10945.125</v>
      </c>
      <c r="K325" s="35">
        <f t="shared" ref="K325:BI325" si="131">D512*1.15</f>
        <v>11413.75</v>
      </c>
      <c r="L325" s="35">
        <f t="shared" si="131"/>
        <v>11965.749999999998</v>
      </c>
      <c r="M325" s="35">
        <f t="shared" si="131"/>
        <v>9007.375</v>
      </c>
      <c r="N325" s="35">
        <f t="shared" si="131"/>
        <v>10025.125</v>
      </c>
      <c r="O325" s="35">
        <f t="shared" si="131"/>
        <v>10275.25</v>
      </c>
      <c r="P325" s="35">
        <f t="shared" si="131"/>
        <v>10513.875</v>
      </c>
      <c r="Q325" s="35">
        <f t="shared" si="131"/>
        <v>10971</v>
      </c>
      <c r="R325" s="35">
        <f t="shared" si="131"/>
        <v>12307.874999999998</v>
      </c>
      <c r="S325" s="35">
        <f t="shared" si="131"/>
        <v>9378.25</v>
      </c>
      <c r="T325" s="35">
        <f t="shared" si="131"/>
        <v>9616.875</v>
      </c>
      <c r="U325" s="35">
        <f t="shared" si="131"/>
        <v>9743.375</v>
      </c>
      <c r="V325" s="35">
        <f t="shared" si="131"/>
        <v>10945.125</v>
      </c>
      <c r="W325" s="35">
        <f t="shared" si="131"/>
        <v>11456.875</v>
      </c>
      <c r="X325" s="35">
        <f t="shared" si="131"/>
        <v>11807.624999999998</v>
      </c>
      <c r="Y325" s="35">
        <f t="shared" si="131"/>
        <v>8823.375</v>
      </c>
      <c r="Z325" s="35">
        <f t="shared" si="131"/>
        <v>10025.125</v>
      </c>
      <c r="AA325" s="35">
        <f t="shared" si="131"/>
        <v>10263.75</v>
      </c>
      <c r="AB325" s="35">
        <f t="shared" si="131"/>
        <v>10513.875</v>
      </c>
      <c r="AC325" s="35">
        <f t="shared" si="131"/>
        <v>10936.5</v>
      </c>
      <c r="AD325" s="35">
        <f t="shared" si="131"/>
        <v>12238.874999999998</v>
      </c>
      <c r="AE325" s="35">
        <f t="shared" si="131"/>
        <v>9378.25</v>
      </c>
      <c r="AF325" s="35">
        <f t="shared" si="131"/>
        <v>9605.375</v>
      </c>
      <c r="AG325" s="35">
        <f t="shared" si="131"/>
        <v>9743.375</v>
      </c>
      <c r="AH325" s="35">
        <f t="shared" si="131"/>
        <v>10945.125</v>
      </c>
      <c r="AI325" s="35">
        <f t="shared" si="131"/>
        <v>11370.625</v>
      </c>
      <c r="AJ325" s="35">
        <f t="shared" si="131"/>
        <v>11980.124999999998</v>
      </c>
      <c r="AK325" s="35">
        <f t="shared" si="131"/>
        <v>8840.625</v>
      </c>
      <c r="AL325" s="35">
        <f t="shared" si="131"/>
        <v>10025.125</v>
      </c>
      <c r="AM325" s="35">
        <f t="shared" si="131"/>
        <v>10275.25</v>
      </c>
      <c r="AN325" s="35">
        <f t="shared" si="131"/>
        <v>10513.875</v>
      </c>
      <c r="AO325" s="35">
        <f t="shared" si="131"/>
        <v>10936.5</v>
      </c>
      <c r="AP325" s="35">
        <f t="shared" si="131"/>
        <v>12238.874999999998</v>
      </c>
      <c r="AQ325" s="35">
        <f t="shared" si="131"/>
        <v>9378.25</v>
      </c>
      <c r="AR325" s="35">
        <f t="shared" si="131"/>
        <v>9605.375</v>
      </c>
      <c r="AS325" s="35">
        <f t="shared" si="131"/>
        <v>9743.375</v>
      </c>
      <c r="AT325" s="35">
        <f t="shared" si="131"/>
        <v>10945.125</v>
      </c>
      <c r="AU325" s="35">
        <f t="shared" si="131"/>
        <v>11456.875</v>
      </c>
      <c r="AV325" s="35">
        <f t="shared" si="131"/>
        <v>11807.624999999998</v>
      </c>
      <c r="AW325" s="35">
        <f t="shared" si="131"/>
        <v>8840.625</v>
      </c>
      <c r="AX325" s="35">
        <f t="shared" si="131"/>
        <v>10025.125</v>
      </c>
      <c r="AY325" s="35">
        <f t="shared" si="131"/>
        <v>10275.25</v>
      </c>
      <c r="AZ325" s="35">
        <f t="shared" si="131"/>
        <v>11735.75</v>
      </c>
      <c r="BA325" s="35">
        <f t="shared" si="131"/>
        <v>11482.75</v>
      </c>
      <c r="BB325" s="35">
        <f t="shared" si="131"/>
        <v>12080.749999999998</v>
      </c>
      <c r="BC325" s="35">
        <f t="shared" si="131"/>
        <v>11945.624999999998</v>
      </c>
      <c r="BD325" s="35">
        <f t="shared" si="131"/>
        <v>10513.875</v>
      </c>
      <c r="BE325" s="35">
        <f t="shared" si="131"/>
        <v>10971</v>
      </c>
      <c r="BF325" s="35">
        <f t="shared" si="131"/>
        <v>12307.874999999998</v>
      </c>
      <c r="BG325" s="35">
        <f t="shared" si="131"/>
        <v>9188.5</v>
      </c>
      <c r="BH325" s="35">
        <f t="shared" si="131"/>
        <v>9605.375</v>
      </c>
      <c r="BI325" s="35">
        <f t="shared" si="131"/>
        <v>9743.375</v>
      </c>
    </row>
    <row r="326" spans="1:62" x14ac:dyDescent="0.25">
      <c r="A326" s="172" t="s">
        <v>456</v>
      </c>
      <c r="B326" s="173"/>
      <c r="C326" s="172" t="s">
        <v>426</v>
      </c>
      <c r="D326" s="173"/>
      <c r="E326" s="172"/>
      <c r="F326" s="174"/>
      <c r="G326" s="173"/>
      <c r="H326" s="170">
        <f>AI300</f>
        <v>1.75</v>
      </c>
      <c r="I326" s="171"/>
      <c r="J326" s="168">
        <f>D3*$H326*1.05</f>
        <v>16537.5</v>
      </c>
      <c r="K326" s="168">
        <f t="shared" ref="K326:BI326" si="132">E3*$H326*1.05</f>
        <v>0</v>
      </c>
      <c r="L326" s="168">
        <f t="shared" si="132"/>
        <v>9187.5</v>
      </c>
      <c r="M326" s="168">
        <f t="shared" si="132"/>
        <v>0</v>
      </c>
      <c r="N326" s="168">
        <f t="shared" si="132"/>
        <v>16537.5</v>
      </c>
      <c r="O326" s="168">
        <f t="shared" si="132"/>
        <v>0</v>
      </c>
      <c r="P326" s="168">
        <f t="shared" si="132"/>
        <v>0</v>
      </c>
      <c r="Q326" s="168">
        <f t="shared" si="132"/>
        <v>0</v>
      </c>
      <c r="R326" s="168">
        <f t="shared" si="132"/>
        <v>16537.5</v>
      </c>
      <c r="S326" s="168">
        <f t="shared" si="132"/>
        <v>0</v>
      </c>
      <c r="T326" s="168">
        <f t="shared" si="132"/>
        <v>0</v>
      </c>
      <c r="U326" s="168">
        <f t="shared" si="132"/>
        <v>0</v>
      </c>
      <c r="V326" s="168">
        <f t="shared" si="132"/>
        <v>16537.5</v>
      </c>
      <c r="W326" s="168">
        <f t="shared" si="132"/>
        <v>5512.5</v>
      </c>
      <c r="X326" s="168">
        <f t="shared" si="132"/>
        <v>0</v>
      </c>
      <c r="Y326" s="168">
        <f t="shared" si="132"/>
        <v>0</v>
      </c>
      <c r="Z326" s="168">
        <f t="shared" si="132"/>
        <v>16537.5</v>
      </c>
      <c r="AA326" s="168">
        <f t="shared" si="132"/>
        <v>0</v>
      </c>
      <c r="AB326" s="168">
        <f t="shared" si="132"/>
        <v>0</v>
      </c>
      <c r="AC326" s="168">
        <f t="shared" si="132"/>
        <v>5512.5</v>
      </c>
      <c r="AD326" s="168">
        <f t="shared" si="132"/>
        <v>16537.5</v>
      </c>
      <c r="AE326" s="168">
        <f t="shared" si="132"/>
        <v>0</v>
      </c>
      <c r="AF326" s="168">
        <f t="shared" si="132"/>
        <v>0</v>
      </c>
      <c r="AG326" s="168">
        <f t="shared" si="132"/>
        <v>0</v>
      </c>
      <c r="AH326" s="168">
        <f t="shared" si="132"/>
        <v>16537.5</v>
      </c>
      <c r="AI326" s="168">
        <f t="shared" si="132"/>
        <v>0</v>
      </c>
      <c r="AJ326" s="168">
        <f t="shared" si="132"/>
        <v>11025</v>
      </c>
      <c r="AK326" s="168">
        <f t="shared" si="132"/>
        <v>0</v>
      </c>
      <c r="AL326" s="168">
        <f t="shared" si="132"/>
        <v>16537.5</v>
      </c>
      <c r="AM326" s="168">
        <f t="shared" si="132"/>
        <v>0</v>
      </c>
      <c r="AN326" s="168">
        <f t="shared" si="132"/>
        <v>0</v>
      </c>
      <c r="AO326" s="168">
        <f t="shared" si="132"/>
        <v>5512.5</v>
      </c>
      <c r="AP326" s="168">
        <f t="shared" si="132"/>
        <v>16537.5</v>
      </c>
      <c r="AQ326" s="168">
        <f t="shared" si="132"/>
        <v>0</v>
      </c>
      <c r="AR326" s="168">
        <f t="shared" si="132"/>
        <v>0</v>
      </c>
      <c r="AS326" s="168">
        <f t="shared" si="132"/>
        <v>0</v>
      </c>
      <c r="AT326" s="168">
        <f t="shared" si="132"/>
        <v>16537.5</v>
      </c>
      <c r="AU326" s="168">
        <f t="shared" si="132"/>
        <v>5512.5</v>
      </c>
      <c r="AV326" s="168">
        <f t="shared" si="132"/>
        <v>0</v>
      </c>
      <c r="AW326" s="168">
        <f t="shared" si="132"/>
        <v>0</v>
      </c>
      <c r="AX326" s="168">
        <f t="shared" si="132"/>
        <v>16537.5</v>
      </c>
      <c r="AY326" s="168">
        <f t="shared" si="132"/>
        <v>0</v>
      </c>
      <c r="AZ326" s="168">
        <f t="shared" si="132"/>
        <v>9187.5</v>
      </c>
      <c r="BA326" s="168">
        <f t="shared" si="132"/>
        <v>0</v>
      </c>
      <c r="BB326" s="168">
        <f t="shared" si="132"/>
        <v>16537.5</v>
      </c>
      <c r="BC326" s="168">
        <f t="shared" si="132"/>
        <v>9187.5</v>
      </c>
      <c r="BD326" s="168">
        <f t="shared" si="132"/>
        <v>0</v>
      </c>
      <c r="BE326" s="168">
        <f t="shared" si="132"/>
        <v>0</v>
      </c>
      <c r="BF326" s="168">
        <f t="shared" si="132"/>
        <v>16537.5</v>
      </c>
      <c r="BG326" s="168">
        <f t="shared" si="132"/>
        <v>0</v>
      </c>
      <c r="BH326" s="168">
        <f t="shared" si="132"/>
        <v>0</v>
      </c>
      <c r="BI326" s="168">
        <f t="shared" si="132"/>
        <v>0</v>
      </c>
    </row>
    <row r="327" spans="1:62" x14ac:dyDescent="0.25">
      <c r="A327" s="172" t="s">
        <v>457</v>
      </c>
      <c r="B327" s="173"/>
      <c r="C327" s="172" t="s">
        <v>426</v>
      </c>
      <c r="D327" s="173"/>
      <c r="E327" s="172"/>
      <c r="F327" s="174"/>
      <c r="G327" s="173"/>
      <c r="H327" s="170">
        <f t="shared" ref="H327:H333" si="133">AI301</f>
        <v>2</v>
      </c>
      <c r="I327" s="171"/>
      <c r="J327" s="168">
        <f t="shared" ref="J327:J333" si="134">D4*$H327*1.05</f>
        <v>16800</v>
      </c>
      <c r="K327" s="168">
        <f t="shared" ref="K327:BI327" si="135">E4*$H327*1.05</f>
        <v>18900</v>
      </c>
      <c r="L327" s="168">
        <f t="shared" si="135"/>
        <v>0</v>
      </c>
      <c r="M327" s="168">
        <f t="shared" si="135"/>
        <v>12600</v>
      </c>
      <c r="N327" s="168">
        <f t="shared" si="135"/>
        <v>16800</v>
      </c>
      <c r="O327" s="168">
        <f t="shared" si="135"/>
        <v>18900</v>
      </c>
      <c r="P327" s="168">
        <f t="shared" si="135"/>
        <v>0</v>
      </c>
      <c r="Q327" s="168">
        <f t="shared" si="135"/>
        <v>6300</v>
      </c>
      <c r="R327" s="168">
        <f t="shared" si="135"/>
        <v>16800</v>
      </c>
      <c r="S327" s="168">
        <f t="shared" si="135"/>
        <v>18900</v>
      </c>
      <c r="T327" s="168">
        <f t="shared" si="135"/>
        <v>0</v>
      </c>
      <c r="U327" s="168">
        <f t="shared" si="135"/>
        <v>0</v>
      </c>
      <c r="V327" s="168">
        <f t="shared" si="135"/>
        <v>16800</v>
      </c>
      <c r="W327" s="168">
        <f t="shared" si="135"/>
        <v>18900</v>
      </c>
      <c r="X327" s="168">
        <f t="shared" si="135"/>
        <v>0</v>
      </c>
      <c r="Y327" s="168">
        <f t="shared" si="135"/>
        <v>0</v>
      </c>
      <c r="Z327" s="168">
        <f t="shared" si="135"/>
        <v>16800</v>
      </c>
      <c r="AA327" s="168">
        <f t="shared" si="135"/>
        <v>18900</v>
      </c>
      <c r="AB327" s="168">
        <f t="shared" si="135"/>
        <v>0</v>
      </c>
      <c r="AC327" s="168">
        <f t="shared" si="135"/>
        <v>0</v>
      </c>
      <c r="AD327" s="168">
        <f t="shared" si="135"/>
        <v>16800</v>
      </c>
      <c r="AE327" s="168">
        <f t="shared" si="135"/>
        <v>18900</v>
      </c>
      <c r="AF327" s="168">
        <f t="shared" si="135"/>
        <v>0</v>
      </c>
      <c r="AG327" s="168">
        <f t="shared" si="135"/>
        <v>0</v>
      </c>
      <c r="AH327" s="168">
        <f t="shared" si="135"/>
        <v>16800</v>
      </c>
      <c r="AI327" s="168">
        <f t="shared" si="135"/>
        <v>18900</v>
      </c>
      <c r="AJ327" s="168">
        <f t="shared" si="135"/>
        <v>0</v>
      </c>
      <c r="AK327" s="168">
        <f t="shared" si="135"/>
        <v>0</v>
      </c>
      <c r="AL327" s="168">
        <f t="shared" si="135"/>
        <v>16800</v>
      </c>
      <c r="AM327" s="168">
        <f t="shared" si="135"/>
        <v>18900</v>
      </c>
      <c r="AN327" s="168">
        <f t="shared" si="135"/>
        <v>0</v>
      </c>
      <c r="AO327" s="168">
        <f t="shared" si="135"/>
        <v>0</v>
      </c>
      <c r="AP327" s="168">
        <f t="shared" si="135"/>
        <v>16800</v>
      </c>
      <c r="AQ327" s="168">
        <f t="shared" si="135"/>
        <v>18900</v>
      </c>
      <c r="AR327" s="168">
        <f t="shared" si="135"/>
        <v>0</v>
      </c>
      <c r="AS327" s="168">
        <f t="shared" si="135"/>
        <v>0</v>
      </c>
      <c r="AT327" s="168">
        <f t="shared" si="135"/>
        <v>16800</v>
      </c>
      <c r="AU327" s="168">
        <f t="shared" si="135"/>
        <v>18900</v>
      </c>
      <c r="AV327" s="168">
        <f t="shared" si="135"/>
        <v>0</v>
      </c>
      <c r="AW327" s="168">
        <f t="shared" si="135"/>
        <v>0</v>
      </c>
      <c r="AX327" s="168">
        <f t="shared" si="135"/>
        <v>16800</v>
      </c>
      <c r="AY327" s="168">
        <f t="shared" si="135"/>
        <v>18900</v>
      </c>
      <c r="AZ327" s="168">
        <f t="shared" si="135"/>
        <v>0</v>
      </c>
      <c r="BA327" s="168">
        <f t="shared" si="135"/>
        <v>10500</v>
      </c>
      <c r="BB327" s="168">
        <f t="shared" si="135"/>
        <v>16800</v>
      </c>
      <c r="BC327" s="168">
        <f t="shared" si="135"/>
        <v>18900</v>
      </c>
      <c r="BD327" s="168">
        <f t="shared" si="135"/>
        <v>0</v>
      </c>
      <c r="BE327" s="168">
        <f t="shared" si="135"/>
        <v>6300</v>
      </c>
      <c r="BF327" s="168">
        <f t="shared" si="135"/>
        <v>16800</v>
      </c>
      <c r="BG327" s="168">
        <f t="shared" si="135"/>
        <v>6300</v>
      </c>
      <c r="BH327" s="168">
        <f t="shared" si="135"/>
        <v>0</v>
      </c>
      <c r="BI327" s="168">
        <f t="shared" si="135"/>
        <v>0</v>
      </c>
    </row>
    <row r="328" spans="1:62" x14ac:dyDescent="0.25">
      <c r="A328" s="172" t="s">
        <v>458</v>
      </c>
      <c r="B328" s="173"/>
      <c r="C328" s="172" t="s">
        <v>426</v>
      </c>
      <c r="D328" s="173"/>
      <c r="E328" s="172"/>
      <c r="F328" s="174"/>
      <c r="G328" s="173"/>
      <c r="H328" s="170">
        <f t="shared" si="133"/>
        <v>1.5</v>
      </c>
      <c r="I328" s="171"/>
      <c r="J328" s="168">
        <f t="shared" si="134"/>
        <v>15750</v>
      </c>
      <c r="K328" s="168">
        <f t="shared" ref="K328:BI328" si="136">E5*$H328*1.05</f>
        <v>12600</v>
      </c>
      <c r="L328" s="168">
        <f t="shared" si="136"/>
        <v>14175</v>
      </c>
      <c r="M328" s="168">
        <f t="shared" si="136"/>
        <v>0</v>
      </c>
      <c r="N328" s="168">
        <f t="shared" si="136"/>
        <v>15750</v>
      </c>
      <c r="O328" s="168">
        <f t="shared" si="136"/>
        <v>12600</v>
      </c>
      <c r="P328" s="168">
        <f t="shared" si="136"/>
        <v>14175</v>
      </c>
      <c r="Q328" s="168">
        <f t="shared" si="136"/>
        <v>0</v>
      </c>
      <c r="R328" s="168">
        <f t="shared" si="136"/>
        <v>15750</v>
      </c>
      <c r="S328" s="168">
        <f t="shared" si="136"/>
        <v>12600</v>
      </c>
      <c r="T328" s="168">
        <f t="shared" si="136"/>
        <v>14175</v>
      </c>
      <c r="U328" s="168">
        <f t="shared" si="136"/>
        <v>0</v>
      </c>
      <c r="V328" s="168">
        <f t="shared" si="136"/>
        <v>15750</v>
      </c>
      <c r="W328" s="168">
        <f t="shared" si="136"/>
        <v>12600</v>
      </c>
      <c r="X328" s="168">
        <f t="shared" si="136"/>
        <v>14175</v>
      </c>
      <c r="Y328" s="168">
        <f t="shared" si="136"/>
        <v>0</v>
      </c>
      <c r="Z328" s="168">
        <f t="shared" si="136"/>
        <v>15750</v>
      </c>
      <c r="AA328" s="168">
        <f t="shared" si="136"/>
        <v>12600</v>
      </c>
      <c r="AB328" s="168">
        <f t="shared" si="136"/>
        <v>14175</v>
      </c>
      <c r="AC328" s="168">
        <f t="shared" si="136"/>
        <v>0</v>
      </c>
      <c r="AD328" s="168">
        <f t="shared" si="136"/>
        <v>15750</v>
      </c>
      <c r="AE328" s="168">
        <f t="shared" si="136"/>
        <v>12600</v>
      </c>
      <c r="AF328" s="168">
        <f t="shared" si="136"/>
        <v>14175</v>
      </c>
      <c r="AG328" s="168">
        <f t="shared" si="136"/>
        <v>0</v>
      </c>
      <c r="AH328" s="168">
        <f t="shared" si="136"/>
        <v>15750</v>
      </c>
      <c r="AI328" s="168">
        <f t="shared" si="136"/>
        <v>12600</v>
      </c>
      <c r="AJ328" s="168">
        <f t="shared" si="136"/>
        <v>14175</v>
      </c>
      <c r="AK328" s="168">
        <f t="shared" si="136"/>
        <v>0</v>
      </c>
      <c r="AL328" s="168">
        <f t="shared" si="136"/>
        <v>15750</v>
      </c>
      <c r="AM328" s="168">
        <f t="shared" si="136"/>
        <v>12600</v>
      </c>
      <c r="AN328" s="168">
        <f t="shared" si="136"/>
        <v>14175</v>
      </c>
      <c r="AO328" s="168">
        <f t="shared" si="136"/>
        <v>0</v>
      </c>
      <c r="AP328" s="168">
        <f t="shared" si="136"/>
        <v>15750</v>
      </c>
      <c r="AQ328" s="168">
        <f t="shared" si="136"/>
        <v>12600</v>
      </c>
      <c r="AR328" s="168">
        <f t="shared" si="136"/>
        <v>14175</v>
      </c>
      <c r="AS328" s="168">
        <f t="shared" si="136"/>
        <v>0</v>
      </c>
      <c r="AT328" s="168">
        <f t="shared" si="136"/>
        <v>15750</v>
      </c>
      <c r="AU328" s="168">
        <f t="shared" si="136"/>
        <v>12600</v>
      </c>
      <c r="AV328" s="168">
        <f t="shared" si="136"/>
        <v>14175</v>
      </c>
      <c r="AW328" s="168">
        <f t="shared" si="136"/>
        <v>0</v>
      </c>
      <c r="AX328" s="168">
        <f t="shared" si="136"/>
        <v>15750</v>
      </c>
      <c r="AY328" s="168">
        <f t="shared" si="136"/>
        <v>12600</v>
      </c>
      <c r="AZ328" s="168">
        <f t="shared" si="136"/>
        <v>14175</v>
      </c>
      <c r="BA328" s="168">
        <f t="shared" si="136"/>
        <v>0</v>
      </c>
      <c r="BB328" s="168">
        <f t="shared" si="136"/>
        <v>15750</v>
      </c>
      <c r="BC328" s="168">
        <f t="shared" si="136"/>
        <v>12600</v>
      </c>
      <c r="BD328" s="168">
        <f t="shared" si="136"/>
        <v>14175</v>
      </c>
      <c r="BE328" s="168">
        <f t="shared" si="136"/>
        <v>0</v>
      </c>
      <c r="BF328" s="168">
        <f t="shared" si="136"/>
        <v>15750</v>
      </c>
      <c r="BG328" s="168">
        <f t="shared" si="136"/>
        <v>12600</v>
      </c>
      <c r="BH328" s="168">
        <f t="shared" si="136"/>
        <v>14175</v>
      </c>
      <c r="BI328" s="168">
        <f t="shared" si="136"/>
        <v>0</v>
      </c>
    </row>
    <row r="329" spans="1:62" x14ac:dyDescent="0.25">
      <c r="A329" s="172" t="s">
        <v>459</v>
      </c>
      <c r="B329" s="173"/>
      <c r="C329" s="172" t="s">
        <v>426</v>
      </c>
      <c r="D329" s="173"/>
      <c r="E329" s="172"/>
      <c r="F329" s="174"/>
      <c r="G329" s="173"/>
      <c r="H329" s="170">
        <f t="shared" si="133"/>
        <v>2.125</v>
      </c>
      <c r="I329" s="171"/>
      <c r="J329" s="168">
        <f t="shared" si="134"/>
        <v>29006.25</v>
      </c>
      <c r="K329" s="168">
        <f t="shared" ref="K329:BI329" si="137">E6*$H329*1.05</f>
        <v>22312.5</v>
      </c>
      <c r="L329" s="168">
        <f t="shared" si="137"/>
        <v>17850</v>
      </c>
      <c r="M329" s="168">
        <f t="shared" si="137"/>
        <v>20081.25</v>
      </c>
      <c r="N329" s="168">
        <f t="shared" si="137"/>
        <v>20081.25</v>
      </c>
      <c r="O329" s="168">
        <f t="shared" si="137"/>
        <v>22312.5</v>
      </c>
      <c r="P329" s="168">
        <f t="shared" si="137"/>
        <v>17850</v>
      </c>
      <c r="Q329" s="168">
        <f t="shared" si="137"/>
        <v>20081.25</v>
      </c>
      <c r="R329" s="168">
        <f t="shared" si="137"/>
        <v>29006.25</v>
      </c>
      <c r="S329" s="168">
        <f t="shared" si="137"/>
        <v>22312.5</v>
      </c>
      <c r="T329" s="168">
        <f t="shared" si="137"/>
        <v>17850</v>
      </c>
      <c r="U329" s="168">
        <f t="shared" si="137"/>
        <v>20081.25</v>
      </c>
      <c r="V329" s="168">
        <f t="shared" si="137"/>
        <v>29006.25</v>
      </c>
      <c r="W329" s="168">
        <f t="shared" si="137"/>
        <v>22312.5</v>
      </c>
      <c r="X329" s="168">
        <f t="shared" si="137"/>
        <v>17850</v>
      </c>
      <c r="Y329" s="168">
        <f t="shared" si="137"/>
        <v>20081.25</v>
      </c>
      <c r="Z329" s="168">
        <f t="shared" si="137"/>
        <v>20081.25</v>
      </c>
      <c r="AA329" s="168">
        <f t="shared" si="137"/>
        <v>17850</v>
      </c>
      <c r="AB329" s="168">
        <f t="shared" si="137"/>
        <v>17850</v>
      </c>
      <c r="AC329" s="168">
        <f t="shared" si="137"/>
        <v>20081.25</v>
      </c>
      <c r="AD329" s="168">
        <f t="shared" si="137"/>
        <v>29006.25</v>
      </c>
      <c r="AE329" s="168">
        <f t="shared" si="137"/>
        <v>22312.5</v>
      </c>
      <c r="AF329" s="168">
        <f t="shared" si="137"/>
        <v>17850</v>
      </c>
      <c r="AG329" s="168">
        <f t="shared" si="137"/>
        <v>15618.75</v>
      </c>
      <c r="AH329" s="168">
        <f t="shared" si="137"/>
        <v>29006.25</v>
      </c>
      <c r="AI329" s="168">
        <f t="shared" si="137"/>
        <v>22312.5</v>
      </c>
      <c r="AJ329" s="168">
        <f t="shared" si="137"/>
        <v>17850</v>
      </c>
      <c r="AK329" s="168">
        <f t="shared" si="137"/>
        <v>20081.25</v>
      </c>
      <c r="AL329" s="168">
        <f t="shared" si="137"/>
        <v>20081.25</v>
      </c>
      <c r="AM329" s="168">
        <f t="shared" si="137"/>
        <v>22312.5</v>
      </c>
      <c r="AN329" s="168">
        <f t="shared" si="137"/>
        <v>17850</v>
      </c>
      <c r="AO329" s="168">
        <f t="shared" si="137"/>
        <v>20081.25</v>
      </c>
      <c r="AP329" s="168">
        <f t="shared" si="137"/>
        <v>29006.25</v>
      </c>
      <c r="AQ329" s="168">
        <f t="shared" si="137"/>
        <v>22312.5</v>
      </c>
      <c r="AR329" s="168">
        <f t="shared" si="137"/>
        <v>17850</v>
      </c>
      <c r="AS329" s="168">
        <f t="shared" si="137"/>
        <v>15618.75</v>
      </c>
      <c r="AT329" s="168">
        <f t="shared" si="137"/>
        <v>29006.25</v>
      </c>
      <c r="AU329" s="168">
        <f t="shared" si="137"/>
        <v>22312.5</v>
      </c>
      <c r="AV329" s="168">
        <f t="shared" si="137"/>
        <v>17850</v>
      </c>
      <c r="AW329" s="168">
        <f t="shared" si="137"/>
        <v>20081.25</v>
      </c>
      <c r="AX329" s="168">
        <f t="shared" si="137"/>
        <v>20081.25</v>
      </c>
      <c r="AY329" s="168">
        <f t="shared" si="137"/>
        <v>22312.5</v>
      </c>
      <c r="AZ329" s="168">
        <f t="shared" si="137"/>
        <v>17850</v>
      </c>
      <c r="BA329" s="168">
        <f t="shared" si="137"/>
        <v>20081.25</v>
      </c>
      <c r="BB329" s="168">
        <f t="shared" si="137"/>
        <v>29006.25</v>
      </c>
      <c r="BC329" s="168">
        <f t="shared" si="137"/>
        <v>22312.5</v>
      </c>
      <c r="BD329" s="168">
        <f t="shared" si="137"/>
        <v>17850</v>
      </c>
      <c r="BE329" s="168">
        <f t="shared" si="137"/>
        <v>20081.25</v>
      </c>
      <c r="BF329" s="168">
        <f t="shared" si="137"/>
        <v>29006.25</v>
      </c>
      <c r="BG329" s="168">
        <f t="shared" si="137"/>
        <v>22312.5</v>
      </c>
      <c r="BH329" s="168">
        <f t="shared" si="137"/>
        <v>17850</v>
      </c>
      <c r="BI329" s="168">
        <f t="shared" si="137"/>
        <v>15618.75</v>
      </c>
    </row>
    <row r="330" spans="1:62" x14ac:dyDescent="0.25">
      <c r="A330" s="172" t="s">
        <v>460</v>
      </c>
      <c r="B330" s="173"/>
      <c r="C330" s="172" t="s">
        <v>426</v>
      </c>
      <c r="D330" s="173"/>
      <c r="E330" s="172"/>
      <c r="F330" s="174"/>
      <c r="G330" s="173"/>
      <c r="H330" s="170">
        <f t="shared" si="133"/>
        <v>2</v>
      </c>
      <c r="I330" s="171"/>
      <c r="J330" s="168">
        <f t="shared" si="134"/>
        <v>10500</v>
      </c>
      <c r="K330" s="168">
        <f t="shared" ref="K330:BI330" si="138">E7*$H330*1.05</f>
        <v>27300</v>
      </c>
      <c r="L330" s="168">
        <f t="shared" si="138"/>
        <v>21000</v>
      </c>
      <c r="M330" s="168">
        <f t="shared" si="138"/>
        <v>16800</v>
      </c>
      <c r="N330" s="168">
        <f t="shared" si="138"/>
        <v>10500</v>
      </c>
      <c r="O330" s="168">
        <f t="shared" si="138"/>
        <v>23100</v>
      </c>
      <c r="P330" s="168">
        <f t="shared" si="138"/>
        <v>21000</v>
      </c>
      <c r="Q330" s="168">
        <f t="shared" si="138"/>
        <v>16800</v>
      </c>
      <c r="R330" s="168">
        <f t="shared" si="138"/>
        <v>10500</v>
      </c>
      <c r="S330" s="168">
        <f t="shared" si="138"/>
        <v>14700</v>
      </c>
      <c r="T330" s="168">
        <f t="shared" si="138"/>
        <v>12600</v>
      </c>
      <c r="U330" s="168">
        <f t="shared" si="138"/>
        <v>16800</v>
      </c>
      <c r="V330" s="168">
        <f t="shared" si="138"/>
        <v>10500</v>
      </c>
      <c r="W330" s="168">
        <f t="shared" si="138"/>
        <v>27300</v>
      </c>
      <c r="X330" s="168">
        <f t="shared" si="138"/>
        <v>21000</v>
      </c>
      <c r="Y330" s="168">
        <f t="shared" si="138"/>
        <v>16800</v>
      </c>
      <c r="Z330" s="168">
        <f t="shared" si="138"/>
        <v>10500</v>
      </c>
      <c r="AA330" s="168">
        <f t="shared" si="138"/>
        <v>27300</v>
      </c>
      <c r="AB330" s="168">
        <f t="shared" si="138"/>
        <v>21000</v>
      </c>
      <c r="AC330" s="168">
        <f t="shared" si="138"/>
        <v>16800</v>
      </c>
      <c r="AD330" s="168">
        <f t="shared" si="138"/>
        <v>10500</v>
      </c>
      <c r="AE330" s="168">
        <f t="shared" si="138"/>
        <v>14700</v>
      </c>
      <c r="AF330" s="168">
        <f t="shared" si="138"/>
        <v>21000</v>
      </c>
      <c r="AG330" s="168">
        <f t="shared" si="138"/>
        <v>16800</v>
      </c>
      <c r="AH330" s="168">
        <f t="shared" si="138"/>
        <v>10500</v>
      </c>
      <c r="AI330" s="168">
        <f t="shared" si="138"/>
        <v>27300</v>
      </c>
      <c r="AJ330" s="168">
        <f t="shared" si="138"/>
        <v>21000</v>
      </c>
      <c r="AK330" s="168">
        <f t="shared" si="138"/>
        <v>16800</v>
      </c>
      <c r="AL330" s="168">
        <f t="shared" si="138"/>
        <v>10500</v>
      </c>
      <c r="AM330" s="168">
        <f t="shared" si="138"/>
        <v>23100</v>
      </c>
      <c r="AN330" s="168">
        <f t="shared" si="138"/>
        <v>21000</v>
      </c>
      <c r="AO330" s="168">
        <f t="shared" si="138"/>
        <v>16800</v>
      </c>
      <c r="AP330" s="168">
        <f t="shared" si="138"/>
        <v>10500</v>
      </c>
      <c r="AQ330" s="168">
        <f t="shared" si="138"/>
        <v>14700</v>
      </c>
      <c r="AR330" s="168">
        <f t="shared" si="138"/>
        <v>21000</v>
      </c>
      <c r="AS330" s="168">
        <f t="shared" si="138"/>
        <v>16800</v>
      </c>
      <c r="AT330" s="168">
        <f t="shared" si="138"/>
        <v>10500</v>
      </c>
      <c r="AU330" s="168">
        <f t="shared" si="138"/>
        <v>27300</v>
      </c>
      <c r="AV330" s="168">
        <f t="shared" si="138"/>
        <v>21000</v>
      </c>
      <c r="AW330" s="168">
        <f t="shared" si="138"/>
        <v>16800</v>
      </c>
      <c r="AX330" s="168">
        <f t="shared" si="138"/>
        <v>10500</v>
      </c>
      <c r="AY330" s="168">
        <f t="shared" si="138"/>
        <v>23100</v>
      </c>
      <c r="AZ330" s="168">
        <f t="shared" si="138"/>
        <v>21000</v>
      </c>
      <c r="BA330" s="168">
        <f t="shared" si="138"/>
        <v>16800</v>
      </c>
      <c r="BB330" s="168">
        <f t="shared" si="138"/>
        <v>10500</v>
      </c>
      <c r="BC330" s="168">
        <f t="shared" si="138"/>
        <v>27300</v>
      </c>
      <c r="BD330" s="168">
        <f t="shared" si="138"/>
        <v>21000</v>
      </c>
      <c r="BE330" s="168">
        <f t="shared" si="138"/>
        <v>16800</v>
      </c>
      <c r="BF330" s="168">
        <f t="shared" si="138"/>
        <v>10500</v>
      </c>
      <c r="BG330" s="168">
        <f t="shared" si="138"/>
        <v>27300</v>
      </c>
      <c r="BH330" s="168">
        <f t="shared" si="138"/>
        <v>21000</v>
      </c>
      <c r="BI330" s="168">
        <f t="shared" si="138"/>
        <v>16800</v>
      </c>
    </row>
    <row r="331" spans="1:62" x14ac:dyDescent="0.25">
      <c r="A331" s="172" t="s">
        <v>461</v>
      </c>
      <c r="B331" s="173"/>
      <c r="C331" s="172" t="s">
        <v>426</v>
      </c>
      <c r="D331" s="173"/>
      <c r="E331" s="172"/>
      <c r="F331" s="174"/>
      <c r="G331" s="173"/>
      <c r="H331" s="170">
        <f t="shared" si="133"/>
        <v>2.25</v>
      </c>
      <c r="I331" s="171"/>
      <c r="J331" s="168">
        <f t="shared" si="134"/>
        <v>0</v>
      </c>
      <c r="K331" s="168">
        <f t="shared" ref="K331:BI331" si="139">E8*$H331*1.05</f>
        <v>11812.5</v>
      </c>
      <c r="L331" s="168">
        <f t="shared" si="139"/>
        <v>30712.5</v>
      </c>
      <c r="M331" s="168">
        <f t="shared" si="139"/>
        <v>0</v>
      </c>
      <c r="N331" s="168">
        <f t="shared" si="139"/>
        <v>0</v>
      </c>
      <c r="O331" s="168">
        <f t="shared" si="139"/>
        <v>11812.5</v>
      </c>
      <c r="P331" s="168">
        <f t="shared" si="139"/>
        <v>30712.5</v>
      </c>
      <c r="Q331" s="168">
        <f t="shared" si="139"/>
        <v>23625</v>
      </c>
      <c r="R331" s="168">
        <f t="shared" si="139"/>
        <v>14175</v>
      </c>
      <c r="S331" s="168">
        <f t="shared" si="139"/>
        <v>11812.5</v>
      </c>
      <c r="T331" s="168">
        <f t="shared" si="139"/>
        <v>30712.5</v>
      </c>
      <c r="U331" s="168">
        <f t="shared" si="139"/>
        <v>23625</v>
      </c>
      <c r="V331" s="168">
        <f t="shared" si="139"/>
        <v>0</v>
      </c>
      <c r="W331" s="168">
        <f t="shared" si="139"/>
        <v>11812.5</v>
      </c>
      <c r="X331" s="168">
        <f t="shared" si="139"/>
        <v>30712.5</v>
      </c>
      <c r="Y331" s="168">
        <f t="shared" si="139"/>
        <v>23625</v>
      </c>
      <c r="Z331" s="168">
        <f t="shared" si="139"/>
        <v>0</v>
      </c>
      <c r="AA331" s="168">
        <f t="shared" si="139"/>
        <v>11812.5</v>
      </c>
      <c r="AB331" s="168">
        <f t="shared" si="139"/>
        <v>30712.5</v>
      </c>
      <c r="AC331" s="168">
        <f t="shared" si="139"/>
        <v>23625</v>
      </c>
      <c r="AD331" s="168">
        <f t="shared" si="139"/>
        <v>0</v>
      </c>
      <c r="AE331" s="168">
        <f t="shared" si="139"/>
        <v>11812.5</v>
      </c>
      <c r="AF331" s="168">
        <f t="shared" si="139"/>
        <v>21262.5</v>
      </c>
      <c r="AG331" s="168">
        <f t="shared" si="139"/>
        <v>23625</v>
      </c>
      <c r="AH331" s="168">
        <f t="shared" si="139"/>
        <v>0</v>
      </c>
      <c r="AI331" s="168">
        <f t="shared" si="139"/>
        <v>11812.5</v>
      </c>
      <c r="AJ331" s="168">
        <f t="shared" si="139"/>
        <v>30712.5</v>
      </c>
      <c r="AK331" s="168">
        <f t="shared" si="139"/>
        <v>9450</v>
      </c>
      <c r="AL331" s="168">
        <f t="shared" si="139"/>
        <v>0</v>
      </c>
      <c r="AM331" s="168">
        <f t="shared" si="139"/>
        <v>11812.5</v>
      </c>
      <c r="AN331" s="168">
        <f t="shared" si="139"/>
        <v>30712.5</v>
      </c>
      <c r="AO331" s="168">
        <f t="shared" si="139"/>
        <v>23625</v>
      </c>
      <c r="AP331" s="168">
        <f t="shared" si="139"/>
        <v>0</v>
      </c>
      <c r="AQ331" s="168">
        <f t="shared" si="139"/>
        <v>11812.5</v>
      </c>
      <c r="AR331" s="168">
        <f t="shared" si="139"/>
        <v>21262.5</v>
      </c>
      <c r="AS331" s="168">
        <f t="shared" si="139"/>
        <v>23625</v>
      </c>
      <c r="AT331" s="168">
        <f t="shared" si="139"/>
        <v>0</v>
      </c>
      <c r="AU331" s="168">
        <f t="shared" si="139"/>
        <v>11812.5</v>
      </c>
      <c r="AV331" s="168">
        <f t="shared" si="139"/>
        <v>30712.5</v>
      </c>
      <c r="AW331" s="168">
        <f t="shared" si="139"/>
        <v>9450</v>
      </c>
      <c r="AX331" s="168">
        <f t="shared" si="139"/>
        <v>0</v>
      </c>
      <c r="AY331" s="168">
        <f t="shared" si="139"/>
        <v>11812.5</v>
      </c>
      <c r="AZ331" s="168">
        <f t="shared" si="139"/>
        <v>30712.5</v>
      </c>
      <c r="BA331" s="168">
        <f t="shared" si="139"/>
        <v>23625</v>
      </c>
      <c r="BB331" s="168">
        <f t="shared" si="139"/>
        <v>11812.5</v>
      </c>
      <c r="BC331" s="168">
        <f t="shared" si="139"/>
        <v>11812.5</v>
      </c>
      <c r="BD331" s="168">
        <f t="shared" si="139"/>
        <v>30712.5</v>
      </c>
      <c r="BE331" s="168">
        <f t="shared" si="139"/>
        <v>23625</v>
      </c>
      <c r="BF331" s="168">
        <f t="shared" si="139"/>
        <v>14175</v>
      </c>
      <c r="BG331" s="168">
        <f t="shared" si="139"/>
        <v>11812.5</v>
      </c>
      <c r="BH331" s="168">
        <f t="shared" si="139"/>
        <v>21262.5</v>
      </c>
      <c r="BI331" s="168">
        <f t="shared" si="139"/>
        <v>23625</v>
      </c>
    </row>
    <row r="332" spans="1:62" x14ac:dyDescent="0.25">
      <c r="A332" s="172" t="s">
        <v>462</v>
      </c>
      <c r="B332" s="173"/>
      <c r="C332" s="172" t="s">
        <v>426</v>
      </c>
      <c r="D332" s="173"/>
      <c r="E332" s="172"/>
      <c r="F332" s="174"/>
      <c r="G332" s="173"/>
      <c r="H332" s="170">
        <f t="shared" si="133"/>
        <v>1.7250000000000001</v>
      </c>
      <c r="I332" s="171"/>
      <c r="J332" s="168">
        <f t="shared" si="134"/>
        <v>0</v>
      </c>
      <c r="K332" s="168">
        <f t="shared" ref="K332:BI332" si="140">E9*$H332*1.05</f>
        <v>5433.75</v>
      </c>
      <c r="L332" s="168">
        <f t="shared" si="140"/>
        <v>10867.5</v>
      </c>
      <c r="M332" s="168">
        <f t="shared" si="140"/>
        <v>19923.75</v>
      </c>
      <c r="N332" s="168">
        <f t="shared" si="140"/>
        <v>0</v>
      </c>
      <c r="O332" s="168">
        <f t="shared" si="140"/>
        <v>0</v>
      </c>
      <c r="P332" s="168">
        <f t="shared" si="140"/>
        <v>9056.25</v>
      </c>
      <c r="Q332" s="168">
        <f t="shared" si="140"/>
        <v>23546.25</v>
      </c>
      <c r="R332" s="168">
        <f t="shared" si="140"/>
        <v>0</v>
      </c>
      <c r="S332" s="168">
        <f t="shared" si="140"/>
        <v>0</v>
      </c>
      <c r="T332" s="168">
        <f t="shared" si="140"/>
        <v>9056.25</v>
      </c>
      <c r="U332" s="168">
        <f t="shared" si="140"/>
        <v>19923.75</v>
      </c>
      <c r="V332" s="168">
        <f t="shared" si="140"/>
        <v>0</v>
      </c>
      <c r="W332" s="168">
        <f t="shared" si="140"/>
        <v>0</v>
      </c>
      <c r="X332" s="168">
        <f t="shared" si="140"/>
        <v>9056.25</v>
      </c>
      <c r="Y332" s="168">
        <f t="shared" si="140"/>
        <v>12678.75</v>
      </c>
      <c r="Z332" s="168">
        <f t="shared" si="140"/>
        <v>0</v>
      </c>
      <c r="AA332" s="168">
        <f t="shared" si="140"/>
        <v>0</v>
      </c>
      <c r="AB332" s="168">
        <f t="shared" si="140"/>
        <v>9056.25</v>
      </c>
      <c r="AC332" s="168">
        <f t="shared" si="140"/>
        <v>23546.25</v>
      </c>
      <c r="AD332" s="168">
        <f t="shared" si="140"/>
        <v>0</v>
      </c>
      <c r="AE332" s="168">
        <f t="shared" si="140"/>
        <v>0</v>
      </c>
      <c r="AF332" s="168">
        <f t="shared" si="140"/>
        <v>9056.25</v>
      </c>
      <c r="AG332" s="168">
        <f t="shared" si="140"/>
        <v>23546.25</v>
      </c>
      <c r="AH332" s="168">
        <f t="shared" si="140"/>
        <v>0</v>
      </c>
      <c r="AI332" s="168">
        <f t="shared" si="140"/>
        <v>0</v>
      </c>
      <c r="AJ332" s="168">
        <f t="shared" si="140"/>
        <v>9056.25</v>
      </c>
      <c r="AK332" s="168">
        <f t="shared" si="140"/>
        <v>23546.25</v>
      </c>
      <c r="AL332" s="168">
        <f t="shared" si="140"/>
        <v>0</v>
      </c>
      <c r="AM332" s="168">
        <f t="shared" si="140"/>
        <v>0</v>
      </c>
      <c r="AN332" s="168">
        <f t="shared" si="140"/>
        <v>9056.25</v>
      </c>
      <c r="AO332" s="168">
        <f t="shared" si="140"/>
        <v>23546.25</v>
      </c>
      <c r="AP332" s="168">
        <f t="shared" si="140"/>
        <v>0</v>
      </c>
      <c r="AQ332" s="168">
        <f t="shared" si="140"/>
        <v>0</v>
      </c>
      <c r="AR332" s="168">
        <f t="shared" si="140"/>
        <v>9056.25</v>
      </c>
      <c r="AS332" s="168">
        <f t="shared" si="140"/>
        <v>23546.25</v>
      </c>
      <c r="AT332" s="168">
        <f t="shared" si="140"/>
        <v>0</v>
      </c>
      <c r="AU332" s="168">
        <f t="shared" si="140"/>
        <v>0</v>
      </c>
      <c r="AV332" s="168">
        <f t="shared" si="140"/>
        <v>9056.25</v>
      </c>
      <c r="AW332" s="168">
        <f t="shared" si="140"/>
        <v>23546.25</v>
      </c>
      <c r="AX332" s="168">
        <f t="shared" si="140"/>
        <v>0</v>
      </c>
      <c r="AY332" s="168">
        <f t="shared" si="140"/>
        <v>0</v>
      </c>
      <c r="AZ332" s="168">
        <f t="shared" si="140"/>
        <v>9056.25</v>
      </c>
      <c r="BA332" s="168">
        <f t="shared" si="140"/>
        <v>23546.25</v>
      </c>
      <c r="BB332" s="168">
        <f t="shared" si="140"/>
        <v>0</v>
      </c>
      <c r="BC332" s="168">
        <f t="shared" si="140"/>
        <v>0</v>
      </c>
      <c r="BD332" s="168">
        <f t="shared" si="140"/>
        <v>9056.25</v>
      </c>
      <c r="BE332" s="168">
        <f t="shared" si="140"/>
        <v>23546.25</v>
      </c>
      <c r="BF332" s="168">
        <f t="shared" si="140"/>
        <v>0</v>
      </c>
      <c r="BG332" s="168">
        <f t="shared" si="140"/>
        <v>0</v>
      </c>
      <c r="BH332" s="168">
        <f t="shared" si="140"/>
        <v>9056.25</v>
      </c>
      <c r="BI332" s="168">
        <f t="shared" si="140"/>
        <v>23546.25</v>
      </c>
    </row>
    <row r="333" spans="1:62" x14ac:dyDescent="0.25">
      <c r="A333" s="172" t="s">
        <v>463</v>
      </c>
      <c r="B333" s="173"/>
      <c r="C333" s="172" t="s">
        <v>426</v>
      </c>
      <c r="D333" s="173"/>
      <c r="E333" s="172"/>
      <c r="F333" s="174"/>
      <c r="G333" s="173"/>
      <c r="H333" s="170">
        <f t="shared" si="133"/>
        <v>1.95</v>
      </c>
      <c r="I333" s="171"/>
      <c r="J333" s="168">
        <f t="shared" si="134"/>
        <v>0</v>
      </c>
      <c r="K333" s="168">
        <f t="shared" ref="K333:BI333" si="141">E10*$H333*1.05</f>
        <v>0</v>
      </c>
      <c r="L333" s="168">
        <f t="shared" si="141"/>
        <v>0</v>
      </c>
      <c r="M333" s="168">
        <f t="shared" si="141"/>
        <v>10237.5</v>
      </c>
      <c r="N333" s="168">
        <f t="shared" si="141"/>
        <v>0</v>
      </c>
      <c r="O333" s="168">
        <f t="shared" si="141"/>
        <v>0</v>
      </c>
      <c r="P333" s="168">
        <f t="shared" si="141"/>
        <v>0</v>
      </c>
      <c r="Q333" s="168">
        <f t="shared" si="141"/>
        <v>10237.5</v>
      </c>
      <c r="R333" s="168">
        <f t="shared" si="141"/>
        <v>0</v>
      </c>
      <c r="S333" s="168">
        <f t="shared" si="141"/>
        <v>0</v>
      </c>
      <c r="T333" s="168">
        <f t="shared" si="141"/>
        <v>0</v>
      </c>
      <c r="U333" s="168">
        <f t="shared" si="141"/>
        <v>10237.5</v>
      </c>
      <c r="V333" s="168">
        <f t="shared" si="141"/>
        <v>0</v>
      </c>
      <c r="W333" s="168">
        <f t="shared" si="141"/>
        <v>0</v>
      </c>
      <c r="X333" s="168">
        <f t="shared" si="141"/>
        <v>12285</v>
      </c>
      <c r="Y333" s="168">
        <f t="shared" si="141"/>
        <v>10237.5</v>
      </c>
      <c r="Z333" s="168">
        <f t="shared" si="141"/>
        <v>0</v>
      </c>
      <c r="AA333" s="168">
        <f t="shared" si="141"/>
        <v>0</v>
      </c>
      <c r="AB333" s="168">
        <f t="shared" si="141"/>
        <v>0</v>
      </c>
      <c r="AC333" s="168">
        <f t="shared" si="141"/>
        <v>10237.5</v>
      </c>
      <c r="AD333" s="168">
        <f t="shared" si="141"/>
        <v>12285</v>
      </c>
      <c r="AE333" s="168">
        <f t="shared" si="141"/>
        <v>0</v>
      </c>
      <c r="AF333" s="168">
        <f t="shared" si="141"/>
        <v>0</v>
      </c>
      <c r="AG333" s="168">
        <f t="shared" si="141"/>
        <v>10237.5</v>
      </c>
      <c r="AH333" s="168">
        <f t="shared" si="141"/>
        <v>0</v>
      </c>
      <c r="AI333" s="168">
        <f t="shared" si="141"/>
        <v>6142.5</v>
      </c>
      <c r="AJ333" s="168">
        <f t="shared" si="141"/>
        <v>0</v>
      </c>
      <c r="AK333" s="168">
        <f t="shared" si="141"/>
        <v>10237.5</v>
      </c>
      <c r="AL333" s="168">
        <f t="shared" si="141"/>
        <v>0</v>
      </c>
      <c r="AM333" s="168">
        <f t="shared" si="141"/>
        <v>0</v>
      </c>
      <c r="AN333" s="168">
        <f t="shared" si="141"/>
        <v>0</v>
      </c>
      <c r="AO333" s="168">
        <f t="shared" si="141"/>
        <v>10237.5</v>
      </c>
      <c r="AP333" s="168">
        <f t="shared" si="141"/>
        <v>12285</v>
      </c>
      <c r="AQ333" s="168">
        <f t="shared" si="141"/>
        <v>0</v>
      </c>
      <c r="AR333" s="168">
        <f t="shared" si="141"/>
        <v>0</v>
      </c>
      <c r="AS333" s="168">
        <f t="shared" si="141"/>
        <v>10237.5</v>
      </c>
      <c r="AT333" s="168">
        <f t="shared" si="141"/>
        <v>0</v>
      </c>
      <c r="AU333" s="168">
        <f t="shared" si="141"/>
        <v>0</v>
      </c>
      <c r="AV333" s="168">
        <f t="shared" si="141"/>
        <v>12285</v>
      </c>
      <c r="AW333" s="168">
        <f t="shared" si="141"/>
        <v>10237.5</v>
      </c>
      <c r="AX333" s="168">
        <f t="shared" si="141"/>
        <v>0</v>
      </c>
      <c r="AY333" s="168">
        <f t="shared" si="141"/>
        <v>0</v>
      </c>
      <c r="AZ333" s="168">
        <f t="shared" si="141"/>
        <v>0</v>
      </c>
      <c r="BA333" s="168">
        <f t="shared" si="141"/>
        <v>10237.5</v>
      </c>
      <c r="BB333" s="168">
        <f t="shared" si="141"/>
        <v>0</v>
      </c>
      <c r="BC333" s="168">
        <f t="shared" si="141"/>
        <v>0</v>
      </c>
      <c r="BD333" s="168">
        <f t="shared" si="141"/>
        <v>0</v>
      </c>
      <c r="BE333" s="168">
        <f t="shared" si="141"/>
        <v>10237.5</v>
      </c>
      <c r="BF333" s="168">
        <f t="shared" si="141"/>
        <v>0</v>
      </c>
      <c r="BG333" s="168">
        <f t="shared" si="141"/>
        <v>0</v>
      </c>
      <c r="BH333" s="168">
        <f t="shared" si="141"/>
        <v>0</v>
      </c>
      <c r="BI333" s="168">
        <f t="shared" si="141"/>
        <v>10237.5</v>
      </c>
    </row>
    <row r="334" spans="1:62" x14ac:dyDescent="0.25">
      <c r="A334" s="172" t="s">
        <v>464</v>
      </c>
      <c r="B334" s="173"/>
      <c r="C334" s="172" t="s">
        <v>426</v>
      </c>
      <c r="D334" s="173"/>
      <c r="E334" s="172"/>
      <c r="F334" s="174"/>
      <c r="G334" s="173"/>
      <c r="H334" s="170">
        <f>AJ300</f>
        <v>1.75</v>
      </c>
      <c r="I334" s="171"/>
      <c r="J334" s="168">
        <f>$H334*D3*1.07</f>
        <v>16852.5</v>
      </c>
      <c r="K334" s="168">
        <f t="shared" ref="K334:BI334" si="142">$H334*E3*1.07</f>
        <v>0</v>
      </c>
      <c r="L334" s="168">
        <f t="shared" si="142"/>
        <v>9362.5</v>
      </c>
      <c r="M334" s="168">
        <f t="shared" si="142"/>
        <v>0</v>
      </c>
      <c r="N334" s="168">
        <f t="shared" si="142"/>
        <v>16852.5</v>
      </c>
      <c r="O334" s="168">
        <f t="shared" si="142"/>
        <v>0</v>
      </c>
      <c r="P334" s="168">
        <f t="shared" si="142"/>
        <v>0</v>
      </c>
      <c r="Q334" s="168">
        <f t="shared" si="142"/>
        <v>0</v>
      </c>
      <c r="R334" s="168">
        <f t="shared" si="142"/>
        <v>16852.5</v>
      </c>
      <c r="S334" s="168">
        <f t="shared" si="142"/>
        <v>0</v>
      </c>
      <c r="T334" s="168">
        <f t="shared" si="142"/>
        <v>0</v>
      </c>
      <c r="U334" s="168">
        <f t="shared" si="142"/>
        <v>0</v>
      </c>
      <c r="V334" s="168">
        <f t="shared" si="142"/>
        <v>16852.5</v>
      </c>
      <c r="W334" s="168">
        <f t="shared" si="142"/>
        <v>5617.5</v>
      </c>
      <c r="X334" s="168">
        <f t="shared" si="142"/>
        <v>0</v>
      </c>
      <c r="Y334" s="168">
        <f t="shared" si="142"/>
        <v>0</v>
      </c>
      <c r="Z334" s="168">
        <f t="shared" si="142"/>
        <v>16852.5</v>
      </c>
      <c r="AA334" s="168">
        <f t="shared" si="142"/>
        <v>0</v>
      </c>
      <c r="AB334" s="168">
        <f t="shared" si="142"/>
        <v>0</v>
      </c>
      <c r="AC334" s="168">
        <f t="shared" si="142"/>
        <v>5617.5</v>
      </c>
      <c r="AD334" s="168">
        <f t="shared" si="142"/>
        <v>16852.5</v>
      </c>
      <c r="AE334" s="168">
        <f t="shared" si="142"/>
        <v>0</v>
      </c>
      <c r="AF334" s="168">
        <f t="shared" si="142"/>
        <v>0</v>
      </c>
      <c r="AG334" s="168">
        <f t="shared" si="142"/>
        <v>0</v>
      </c>
      <c r="AH334" s="168">
        <f t="shared" si="142"/>
        <v>16852.5</v>
      </c>
      <c r="AI334" s="168">
        <f t="shared" si="142"/>
        <v>0</v>
      </c>
      <c r="AJ334" s="168">
        <f t="shared" si="142"/>
        <v>11235</v>
      </c>
      <c r="AK334" s="168">
        <f t="shared" si="142"/>
        <v>0</v>
      </c>
      <c r="AL334" s="168">
        <f t="shared" si="142"/>
        <v>16852.5</v>
      </c>
      <c r="AM334" s="168">
        <f t="shared" si="142"/>
        <v>0</v>
      </c>
      <c r="AN334" s="168">
        <f t="shared" si="142"/>
        <v>0</v>
      </c>
      <c r="AO334" s="168">
        <f t="shared" si="142"/>
        <v>5617.5</v>
      </c>
      <c r="AP334" s="168">
        <f t="shared" si="142"/>
        <v>16852.5</v>
      </c>
      <c r="AQ334" s="168">
        <f t="shared" si="142"/>
        <v>0</v>
      </c>
      <c r="AR334" s="168">
        <f t="shared" si="142"/>
        <v>0</v>
      </c>
      <c r="AS334" s="168">
        <f t="shared" si="142"/>
        <v>0</v>
      </c>
      <c r="AT334" s="168">
        <f t="shared" si="142"/>
        <v>16852.5</v>
      </c>
      <c r="AU334" s="168">
        <f t="shared" si="142"/>
        <v>5617.5</v>
      </c>
      <c r="AV334" s="168">
        <f t="shared" si="142"/>
        <v>0</v>
      </c>
      <c r="AW334" s="168">
        <f t="shared" si="142"/>
        <v>0</v>
      </c>
      <c r="AX334" s="168">
        <f t="shared" si="142"/>
        <v>16852.5</v>
      </c>
      <c r="AY334" s="168">
        <f t="shared" si="142"/>
        <v>0</v>
      </c>
      <c r="AZ334" s="168">
        <f t="shared" si="142"/>
        <v>9362.5</v>
      </c>
      <c r="BA334" s="168">
        <f t="shared" si="142"/>
        <v>0</v>
      </c>
      <c r="BB334" s="168">
        <f t="shared" si="142"/>
        <v>16852.5</v>
      </c>
      <c r="BC334" s="168">
        <f t="shared" si="142"/>
        <v>9362.5</v>
      </c>
      <c r="BD334" s="168">
        <f t="shared" si="142"/>
        <v>0</v>
      </c>
      <c r="BE334" s="168">
        <f t="shared" si="142"/>
        <v>0</v>
      </c>
      <c r="BF334" s="168">
        <f t="shared" si="142"/>
        <v>16852.5</v>
      </c>
      <c r="BG334" s="168">
        <f t="shared" si="142"/>
        <v>0</v>
      </c>
      <c r="BH334" s="168">
        <f t="shared" si="142"/>
        <v>0</v>
      </c>
      <c r="BI334" s="168">
        <f t="shared" si="142"/>
        <v>0</v>
      </c>
    </row>
    <row r="335" spans="1:62" x14ac:dyDescent="0.25">
      <c r="A335" s="172" t="s">
        <v>465</v>
      </c>
      <c r="B335" s="173"/>
      <c r="C335" s="172" t="s">
        <v>426</v>
      </c>
      <c r="D335" s="173"/>
      <c r="E335" s="164"/>
      <c r="F335" s="166"/>
      <c r="G335" s="165"/>
      <c r="H335" s="170">
        <f t="shared" ref="H335:H341" si="143">AJ301</f>
        <v>2</v>
      </c>
      <c r="I335" s="171"/>
      <c r="J335" s="168">
        <f t="shared" ref="J335:J341" si="144">$H335*D4*1.07</f>
        <v>17120</v>
      </c>
      <c r="K335" s="168">
        <f t="shared" ref="K335:BI335" si="145">$H335*E4*1.07</f>
        <v>19260</v>
      </c>
      <c r="L335" s="168">
        <f t="shared" si="145"/>
        <v>0</v>
      </c>
      <c r="M335" s="168">
        <f t="shared" si="145"/>
        <v>12840</v>
      </c>
      <c r="N335" s="168">
        <f t="shared" si="145"/>
        <v>17120</v>
      </c>
      <c r="O335" s="168">
        <f t="shared" si="145"/>
        <v>19260</v>
      </c>
      <c r="P335" s="168">
        <f t="shared" si="145"/>
        <v>0</v>
      </c>
      <c r="Q335" s="168">
        <f t="shared" si="145"/>
        <v>6420</v>
      </c>
      <c r="R335" s="168">
        <f t="shared" si="145"/>
        <v>17120</v>
      </c>
      <c r="S335" s="168">
        <f t="shared" si="145"/>
        <v>19260</v>
      </c>
      <c r="T335" s="168">
        <f t="shared" si="145"/>
        <v>0</v>
      </c>
      <c r="U335" s="168">
        <f t="shared" si="145"/>
        <v>0</v>
      </c>
      <c r="V335" s="168">
        <f t="shared" si="145"/>
        <v>17120</v>
      </c>
      <c r="W335" s="168">
        <f t="shared" si="145"/>
        <v>19260</v>
      </c>
      <c r="X335" s="168">
        <f t="shared" si="145"/>
        <v>0</v>
      </c>
      <c r="Y335" s="168">
        <f t="shared" si="145"/>
        <v>0</v>
      </c>
      <c r="Z335" s="168">
        <f t="shared" si="145"/>
        <v>17120</v>
      </c>
      <c r="AA335" s="168">
        <f t="shared" si="145"/>
        <v>19260</v>
      </c>
      <c r="AB335" s="168">
        <f t="shared" si="145"/>
        <v>0</v>
      </c>
      <c r="AC335" s="168">
        <f t="shared" si="145"/>
        <v>0</v>
      </c>
      <c r="AD335" s="168">
        <f t="shared" si="145"/>
        <v>17120</v>
      </c>
      <c r="AE335" s="168">
        <f t="shared" si="145"/>
        <v>19260</v>
      </c>
      <c r="AF335" s="168">
        <f t="shared" si="145"/>
        <v>0</v>
      </c>
      <c r="AG335" s="168">
        <f t="shared" si="145"/>
        <v>0</v>
      </c>
      <c r="AH335" s="168">
        <f t="shared" si="145"/>
        <v>17120</v>
      </c>
      <c r="AI335" s="168">
        <f t="shared" si="145"/>
        <v>19260</v>
      </c>
      <c r="AJ335" s="168">
        <f t="shared" si="145"/>
        <v>0</v>
      </c>
      <c r="AK335" s="168">
        <f t="shared" si="145"/>
        <v>0</v>
      </c>
      <c r="AL335" s="168">
        <f t="shared" si="145"/>
        <v>17120</v>
      </c>
      <c r="AM335" s="168">
        <f t="shared" si="145"/>
        <v>19260</v>
      </c>
      <c r="AN335" s="168">
        <f t="shared" si="145"/>
        <v>0</v>
      </c>
      <c r="AO335" s="168">
        <f t="shared" si="145"/>
        <v>0</v>
      </c>
      <c r="AP335" s="168">
        <f t="shared" si="145"/>
        <v>17120</v>
      </c>
      <c r="AQ335" s="168">
        <f t="shared" si="145"/>
        <v>19260</v>
      </c>
      <c r="AR335" s="168">
        <f t="shared" si="145"/>
        <v>0</v>
      </c>
      <c r="AS335" s="168">
        <f t="shared" si="145"/>
        <v>0</v>
      </c>
      <c r="AT335" s="168">
        <f t="shared" si="145"/>
        <v>17120</v>
      </c>
      <c r="AU335" s="168">
        <f t="shared" si="145"/>
        <v>19260</v>
      </c>
      <c r="AV335" s="168">
        <f t="shared" si="145"/>
        <v>0</v>
      </c>
      <c r="AW335" s="168">
        <f t="shared" si="145"/>
        <v>0</v>
      </c>
      <c r="AX335" s="168">
        <f t="shared" si="145"/>
        <v>17120</v>
      </c>
      <c r="AY335" s="168">
        <f t="shared" si="145"/>
        <v>19260</v>
      </c>
      <c r="AZ335" s="168">
        <f t="shared" si="145"/>
        <v>0</v>
      </c>
      <c r="BA335" s="168">
        <f t="shared" si="145"/>
        <v>10700</v>
      </c>
      <c r="BB335" s="168">
        <f t="shared" si="145"/>
        <v>17120</v>
      </c>
      <c r="BC335" s="168">
        <f t="shared" si="145"/>
        <v>19260</v>
      </c>
      <c r="BD335" s="168">
        <f t="shared" si="145"/>
        <v>0</v>
      </c>
      <c r="BE335" s="168">
        <f t="shared" si="145"/>
        <v>6420</v>
      </c>
      <c r="BF335" s="168">
        <f t="shared" si="145"/>
        <v>17120</v>
      </c>
      <c r="BG335" s="168">
        <f t="shared" si="145"/>
        <v>6420</v>
      </c>
      <c r="BH335" s="168">
        <f t="shared" si="145"/>
        <v>0</v>
      </c>
      <c r="BI335" s="168">
        <f t="shared" si="145"/>
        <v>0</v>
      </c>
    </row>
    <row r="336" spans="1:62" x14ac:dyDescent="0.25">
      <c r="A336" s="172" t="s">
        <v>466</v>
      </c>
      <c r="B336" s="173"/>
      <c r="C336" s="172" t="s">
        <v>426</v>
      </c>
      <c r="D336" s="173"/>
      <c r="E336" s="164"/>
      <c r="F336" s="166"/>
      <c r="G336" s="165"/>
      <c r="H336" s="170">
        <f t="shared" si="143"/>
        <v>1.5</v>
      </c>
      <c r="I336" s="171"/>
      <c r="J336" s="168">
        <f t="shared" si="144"/>
        <v>16050.000000000002</v>
      </c>
      <c r="K336" s="168">
        <f t="shared" ref="K336:BI336" si="146">$H336*E5*1.07</f>
        <v>12840</v>
      </c>
      <c r="L336" s="168">
        <f t="shared" si="146"/>
        <v>14445</v>
      </c>
      <c r="M336" s="168">
        <f t="shared" si="146"/>
        <v>0</v>
      </c>
      <c r="N336" s="168">
        <f t="shared" si="146"/>
        <v>16050.000000000002</v>
      </c>
      <c r="O336" s="168">
        <f t="shared" si="146"/>
        <v>12840</v>
      </c>
      <c r="P336" s="168">
        <f t="shared" si="146"/>
        <v>14445</v>
      </c>
      <c r="Q336" s="168">
        <f t="shared" si="146"/>
        <v>0</v>
      </c>
      <c r="R336" s="168">
        <f t="shared" si="146"/>
        <v>16050.000000000002</v>
      </c>
      <c r="S336" s="168">
        <f t="shared" si="146"/>
        <v>12840</v>
      </c>
      <c r="T336" s="168">
        <f t="shared" si="146"/>
        <v>14445</v>
      </c>
      <c r="U336" s="168">
        <f t="shared" si="146"/>
        <v>0</v>
      </c>
      <c r="V336" s="168">
        <f t="shared" si="146"/>
        <v>16050.000000000002</v>
      </c>
      <c r="W336" s="168">
        <f t="shared" si="146"/>
        <v>12840</v>
      </c>
      <c r="X336" s="168">
        <f t="shared" si="146"/>
        <v>14445</v>
      </c>
      <c r="Y336" s="168">
        <f t="shared" si="146"/>
        <v>0</v>
      </c>
      <c r="Z336" s="168">
        <f t="shared" si="146"/>
        <v>16050.000000000002</v>
      </c>
      <c r="AA336" s="168">
        <f t="shared" si="146"/>
        <v>12840</v>
      </c>
      <c r="AB336" s="168">
        <f t="shared" si="146"/>
        <v>14445</v>
      </c>
      <c r="AC336" s="168">
        <f t="shared" si="146"/>
        <v>0</v>
      </c>
      <c r="AD336" s="168">
        <f t="shared" si="146"/>
        <v>16050.000000000002</v>
      </c>
      <c r="AE336" s="168">
        <f t="shared" si="146"/>
        <v>12840</v>
      </c>
      <c r="AF336" s="168">
        <f t="shared" si="146"/>
        <v>14445</v>
      </c>
      <c r="AG336" s="168">
        <f t="shared" si="146"/>
        <v>0</v>
      </c>
      <c r="AH336" s="168">
        <f t="shared" si="146"/>
        <v>16050.000000000002</v>
      </c>
      <c r="AI336" s="168">
        <f t="shared" si="146"/>
        <v>12840</v>
      </c>
      <c r="AJ336" s="168">
        <f t="shared" si="146"/>
        <v>14445</v>
      </c>
      <c r="AK336" s="168">
        <f t="shared" si="146"/>
        <v>0</v>
      </c>
      <c r="AL336" s="168">
        <f t="shared" si="146"/>
        <v>16050.000000000002</v>
      </c>
      <c r="AM336" s="168">
        <f t="shared" si="146"/>
        <v>12840</v>
      </c>
      <c r="AN336" s="168">
        <f t="shared" si="146"/>
        <v>14445</v>
      </c>
      <c r="AO336" s="168">
        <f t="shared" si="146"/>
        <v>0</v>
      </c>
      <c r="AP336" s="168">
        <f t="shared" si="146"/>
        <v>16050.000000000002</v>
      </c>
      <c r="AQ336" s="168">
        <f t="shared" si="146"/>
        <v>12840</v>
      </c>
      <c r="AR336" s="168">
        <f t="shared" si="146"/>
        <v>14445</v>
      </c>
      <c r="AS336" s="168">
        <f t="shared" si="146"/>
        <v>0</v>
      </c>
      <c r="AT336" s="168">
        <f t="shared" si="146"/>
        <v>16050.000000000002</v>
      </c>
      <c r="AU336" s="168">
        <f t="shared" si="146"/>
        <v>12840</v>
      </c>
      <c r="AV336" s="168">
        <f t="shared" si="146"/>
        <v>14445</v>
      </c>
      <c r="AW336" s="168">
        <f t="shared" si="146"/>
        <v>0</v>
      </c>
      <c r="AX336" s="168">
        <f t="shared" si="146"/>
        <v>16050.000000000002</v>
      </c>
      <c r="AY336" s="168">
        <f t="shared" si="146"/>
        <v>12840</v>
      </c>
      <c r="AZ336" s="168">
        <f t="shared" si="146"/>
        <v>14445</v>
      </c>
      <c r="BA336" s="168">
        <f t="shared" si="146"/>
        <v>0</v>
      </c>
      <c r="BB336" s="168">
        <f t="shared" si="146"/>
        <v>16050.000000000002</v>
      </c>
      <c r="BC336" s="168">
        <f t="shared" si="146"/>
        <v>12840</v>
      </c>
      <c r="BD336" s="168">
        <f t="shared" si="146"/>
        <v>14445</v>
      </c>
      <c r="BE336" s="168">
        <f t="shared" si="146"/>
        <v>0</v>
      </c>
      <c r="BF336" s="168">
        <f t="shared" si="146"/>
        <v>16050.000000000002</v>
      </c>
      <c r="BG336" s="168">
        <f t="shared" si="146"/>
        <v>12840</v>
      </c>
      <c r="BH336" s="168">
        <f t="shared" si="146"/>
        <v>14445</v>
      </c>
      <c r="BI336" s="168">
        <f t="shared" si="146"/>
        <v>0</v>
      </c>
    </row>
    <row r="337" spans="1:61" x14ac:dyDescent="0.25">
      <c r="A337" s="172" t="s">
        <v>467</v>
      </c>
      <c r="B337" s="173"/>
      <c r="C337" s="172" t="s">
        <v>426</v>
      </c>
      <c r="D337" s="173"/>
      <c r="E337" s="164"/>
      <c r="F337" s="166"/>
      <c r="G337" s="165"/>
      <c r="H337" s="170">
        <f t="shared" si="143"/>
        <v>2.125</v>
      </c>
      <c r="I337" s="171"/>
      <c r="J337" s="168">
        <f t="shared" si="144"/>
        <v>29558.75</v>
      </c>
      <c r="K337" s="168">
        <f t="shared" ref="K337:BI337" si="147">$H337*E6*1.07</f>
        <v>22737.5</v>
      </c>
      <c r="L337" s="168">
        <f t="shared" si="147"/>
        <v>18190</v>
      </c>
      <c r="M337" s="168">
        <f t="shared" si="147"/>
        <v>20463.75</v>
      </c>
      <c r="N337" s="168">
        <f t="shared" si="147"/>
        <v>20463.75</v>
      </c>
      <c r="O337" s="168">
        <f t="shared" si="147"/>
        <v>22737.5</v>
      </c>
      <c r="P337" s="168">
        <f t="shared" si="147"/>
        <v>18190</v>
      </c>
      <c r="Q337" s="168">
        <f t="shared" si="147"/>
        <v>20463.75</v>
      </c>
      <c r="R337" s="168">
        <f t="shared" si="147"/>
        <v>29558.75</v>
      </c>
      <c r="S337" s="168">
        <f t="shared" si="147"/>
        <v>22737.5</v>
      </c>
      <c r="T337" s="168">
        <f t="shared" si="147"/>
        <v>18190</v>
      </c>
      <c r="U337" s="168">
        <f t="shared" si="147"/>
        <v>20463.75</v>
      </c>
      <c r="V337" s="168">
        <f t="shared" si="147"/>
        <v>29558.75</v>
      </c>
      <c r="W337" s="168">
        <f t="shared" si="147"/>
        <v>22737.5</v>
      </c>
      <c r="X337" s="168">
        <f t="shared" si="147"/>
        <v>18190</v>
      </c>
      <c r="Y337" s="168">
        <f t="shared" si="147"/>
        <v>20463.75</v>
      </c>
      <c r="Z337" s="168">
        <f t="shared" si="147"/>
        <v>20463.75</v>
      </c>
      <c r="AA337" s="168">
        <f t="shared" si="147"/>
        <v>18190</v>
      </c>
      <c r="AB337" s="168">
        <f t="shared" si="147"/>
        <v>18190</v>
      </c>
      <c r="AC337" s="168">
        <f t="shared" si="147"/>
        <v>20463.75</v>
      </c>
      <c r="AD337" s="168">
        <f t="shared" si="147"/>
        <v>29558.75</v>
      </c>
      <c r="AE337" s="168">
        <f t="shared" si="147"/>
        <v>22737.5</v>
      </c>
      <c r="AF337" s="168">
        <f t="shared" si="147"/>
        <v>18190</v>
      </c>
      <c r="AG337" s="168">
        <f t="shared" si="147"/>
        <v>15916.250000000002</v>
      </c>
      <c r="AH337" s="168">
        <f t="shared" si="147"/>
        <v>29558.75</v>
      </c>
      <c r="AI337" s="168">
        <f t="shared" si="147"/>
        <v>22737.5</v>
      </c>
      <c r="AJ337" s="168">
        <f t="shared" si="147"/>
        <v>18190</v>
      </c>
      <c r="AK337" s="168">
        <f t="shared" si="147"/>
        <v>20463.75</v>
      </c>
      <c r="AL337" s="168">
        <f t="shared" si="147"/>
        <v>20463.75</v>
      </c>
      <c r="AM337" s="168">
        <f t="shared" si="147"/>
        <v>22737.5</v>
      </c>
      <c r="AN337" s="168">
        <f t="shared" si="147"/>
        <v>18190</v>
      </c>
      <c r="AO337" s="168">
        <f t="shared" si="147"/>
        <v>20463.75</v>
      </c>
      <c r="AP337" s="168">
        <f t="shared" si="147"/>
        <v>29558.75</v>
      </c>
      <c r="AQ337" s="168">
        <f t="shared" si="147"/>
        <v>22737.5</v>
      </c>
      <c r="AR337" s="168">
        <f t="shared" si="147"/>
        <v>18190</v>
      </c>
      <c r="AS337" s="168">
        <f t="shared" si="147"/>
        <v>15916.250000000002</v>
      </c>
      <c r="AT337" s="168">
        <f t="shared" si="147"/>
        <v>29558.75</v>
      </c>
      <c r="AU337" s="168">
        <f t="shared" si="147"/>
        <v>22737.5</v>
      </c>
      <c r="AV337" s="168">
        <f t="shared" si="147"/>
        <v>18190</v>
      </c>
      <c r="AW337" s="168">
        <f t="shared" si="147"/>
        <v>20463.75</v>
      </c>
      <c r="AX337" s="168">
        <f t="shared" si="147"/>
        <v>20463.75</v>
      </c>
      <c r="AY337" s="168">
        <f t="shared" si="147"/>
        <v>22737.5</v>
      </c>
      <c r="AZ337" s="168">
        <f t="shared" si="147"/>
        <v>18190</v>
      </c>
      <c r="BA337" s="168">
        <f t="shared" si="147"/>
        <v>20463.75</v>
      </c>
      <c r="BB337" s="168">
        <f t="shared" si="147"/>
        <v>29558.75</v>
      </c>
      <c r="BC337" s="168">
        <f t="shared" si="147"/>
        <v>22737.5</v>
      </c>
      <c r="BD337" s="168">
        <f t="shared" si="147"/>
        <v>18190</v>
      </c>
      <c r="BE337" s="168">
        <f t="shared" si="147"/>
        <v>20463.75</v>
      </c>
      <c r="BF337" s="168">
        <f t="shared" si="147"/>
        <v>29558.75</v>
      </c>
      <c r="BG337" s="168">
        <f t="shared" si="147"/>
        <v>22737.5</v>
      </c>
      <c r="BH337" s="168">
        <f t="shared" si="147"/>
        <v>18190</v>
      </c>
      <c r="BI337" s="168">
        <f t="shared" si="147"/>
        <v>15916.250000000002</v>
      </c>
    </row>
    <row r="338" spans="1:61" x14ac:dyDescent="0.25">
      <c r="A338" s="172" t="s">
        <v>468</v>
      </c>
      <c r="B338" s="173"/>
      <c r="C338" s="172" t="s">
        <v>426</v>
      </c>
      <c r="D338" s="173"/>
      <c r="E338" s="164"/>
      <c r="F338" s="166"/>
      <c r="G338" s="165"/>
      <c r="H338" s="170">
        <f t="shared" si="143"/>
        <v>2</v>
      </c>
      <c r="I338" s="171"/>
      <c r="J338" s="168">
        <f t="shared" si="144"/>
        <v>10700</v>
      </c>
      <c r="K338" s="168">
        <f t="shared" ref="K338:BI338" si="148">$H338*E7*1.07</f>
        <v>27820</v>
      </c>
      <c r="L338" s="168">
        <f t="shared" si="148"/>
        <v>21400</v>
      </c>
      <c r="M338" s="168">
        <f t="shared" si="148"/>
        <v>17120</v>
      </c>
      <c r="N338" s="168">
        <f t="shared" si="148"/>
        <v>10700</v>
      </c>
      <c r="O338" s="168">
        <f t="shared" si="148"/>
        <v>23540</v>
      </c>
      <c r="P338" s="168">
        <f t="shared" si="148"/>
        <v>21400</v>
      </c>
      <c r="Q338" s="168">
        <f t="shared" si="148"/>
        <v>17120</v>
      </c>
      <c r="R338" s="168">
        <f t="shared" si="148"/>
        <v>10700</v>
      </c>
      <c r="S338" s="168">
        <f t="shared" si="148"/>
        <v>14980</v>
      </c>
      <c r="T338" s="168">
        <f t="shared" si="148"/>
        <v>12840</v>
      </c>
      <c r="U338" s="168">
        <f t="shared" si="148"/>
        <v>17120</v>
      </c>
      <c r="V338" s="168">
        <f t="shared" si="148"/>
        <v>10700</v>
      </c>
      <c r="W338" s="168">
        <f t="shared" si="148"/>
        <v>27820</v>
      </c>
      <c r="X338" s="168">
        <f t="shared" si="148"/>
        <v>21400</v>
      </c>
      <c r="Y338" s="168">
        <f t="shared" si="148"/>
        <v>17120</v>
      </c>
      <c r="Z338" s="168">
        <f t="shared" si="148"/>
        <v>10700</v>
      </c>
      <c r="AA338" s="168">
        <f t="shared" si="148"/>
        <v>27820</v>
      </c>
      <c r="AB338" s="168">
        <f t="shared" si="148"/>
        <v>21400</v>
      </c>
      <c r="AC338" s="168">
        <f t="shared" si="148"/>
        <v>17120</v>
      </c>
      <c r="AD338" s="168">
        <f t="shared" si="148"/>
        <v>10700</v>
      </c>
      <c r="AE338" s="168">
        <f t="shared" si="148"/>
        <v>14980</v>
      </c>
      <c r="AF338" s="168">
        <f t="shared" si="148"/>
        <v>21400</v>
      </c>
      <c r="AG338" s="168">
        <f t="shared" si="148"/>
        <v>17120</v>
      </c>
      <c r="AH338" s="168">
        <f t="shared" si="148"/>
        <v>10700</v>
      </c>
      <c r="AI338" s="168">
        <f t="shared" si="148"/>
        <v>27820</v>
      </c>
      <c r="AJ338" s="168">
        <f t="shared" si="148"/>
        <v>21400</v>
      </c>
      <c r="AK338" s="168">
        <f t="shared" si="148"/>
        <v>17120</v>
      </c>
      <c r="AL338" s="168">
        <f t="shared" si="148"/>
        <v>10700</v>
      </c>
      <c r="AM338" s="168">
        <f t="shared" si="148"/>
        <v>23540</v>
      </c>
      <c r="AN338" s="168">
        <f t="shared" si="148"/>
        <v>21400</v>
      </c>
      <c r="AO338" s="168">
        <f t="shared" si="148"/>
        <v>17120</v>
      </c>
      <c r="AP338" s="168">
        <f t="shared" si="148"/>
        <v>10700</v>
      </c>
      <c r="AQ338" s="168">
        <f t="shared" si="148"/>
        <v>14980</v>
      </c>
      <c r="AR338" s="168">
        <f t="shared" si="148"/>
        <v>21400</v>
      </c>
      <c r="AS338" s="168">
        <f t="shared" si="148"/>
        <v>17120</v>
      </c>
      <c r="AT338" s="168">
        <f t="shared" si="148"/>
        <v>10700</v>
      </c>
      <c r="AU338" s="168">
        <f t="shared" si="148"/>
        <v>27820</v>
      </c>
      <c r="AV338" s="168">
        <f t="shared" si="148"/>
        <v>21400</v>
      </c>
      <c r="AW338" s="168">
        <f t="shared" si="148"/>
        <v>17120</v>
      </c>
      <c r="AX338" s="168">
        <f t="shared" si="148"/>
        <v>10700</v>
      </c>
      <c r="AY338" s="168">
        <f t="shared" si="148"/>
        <v>23540</v>
      </c>
      <c r="AZ338" s="168">
        <f t="shared" si="148"/>
        <v>21400</v>
      </c>
      <c r="BA338" s="168">
        <f t="shared" si="148"/>
        <v>17120</v>
      </c>
      <c r="BB338" s="168">
        <f t="shared" si="148"/>
        <v>10700</v>
      </c>
      <c r="BC338" s="168">
        <f t="shared" si="148"/>
        <v>27820</v>
      </c>
      <c r="BD338" s="168">
        <f t="shared" si="148"/>
        <v>21400</v>
      </c>
      <c r="BE338" s="168">
        <f t="shared" si="148"/>
        <v>17120</v>
      </c>
      <c r="BF338" s="168">
        <f t="shared" si="148"/>
        <v>10700</v>
      </c>
      <c r="BG338" s="168">
        <f t="shared" si="148"/>
        <v>27820</v>
      </c>
      <c r="BH338" s="168">
        <f t="shared" si="148"/>
        <v>21400</v>
      </c>
      <c r="BI338" s="168">
        <f t="shared" si="148"/>
        <v>17120</v>
      </c>
    </row>
    <row r="339" spans="1:61" x14ac:dyDescent="0.25">
      <c r="A339" s="172" t="s">
        <v>469</v>
      </c>
      <c r="B339" s="173"/>
      <c r="C339" s="172" t="s">
        <v>426</v>
      </c>
      <c r="D339" s="173"/>
      <c r="E339" s="164"/>
      <c r="F339" s="166"/>
      <c r="G339" s="165"/>
      <c r="H339" s="170">
        <f t="shared" si="143"/>
        <v>2.25</v>
      </c>
      <c r="I339" s="171"/>
      <c r="J339" s="168">
        <f t="shared" si="144"/>
        <v>0</v>
      </c>
      <c r="K339" s="168">
        <f t="shared" ref="K339:BI339" si="149">$H339*E8*1.07</f>
        <v>12037.5</v>
      </c>
      <c r="L339" s="168">
        <f t="shared" si="149"/>
        <v>31297.5</v>
      </c>
      <c r="M339" s="168">
        <f t="shared" si="149"/>
        <v>0</v>
      </c>
      <c r="N339" s="168">
        <f t="shared" si="149"/>
        <v>0</v>
      </c>
      <c r="O339" s="168">
        <f t="shared" si="149"/>
        <v>12037.5</v>
      </c>
      <c r="P339" s="168">
        <f t="shared" si="149"/>
        <v>31297.5</v>
      </c>
      <c r="Q339" s="168">
        <f t="shared" si="149"/>
        <v>24075</v>
      </c>
      <c r="R339" s="168">
        <f t="shared" si="149"/>
        <v>14445</v>
      </c>
      <c r="S339" s="168">
        <f t="shared" si="149"/>
        <v>12037.5</v>
      </c>
      <c r="T339" s="168">
        <f t="shared" si="149"/>
        <v>31297.5</v>
      </c>
      <c r="U339" s="168">
        <f t="shared" si="149"/>
        <v>24075</v>
      </c>
      <c r="V339" s="168">
        <f t="shared" si="149"/>
        <v>0</v>
      </c>
      <c r="W339" s="168">
        <f t="shared" si="149"/>
        <v>12037.5</v>
      </c>
      <c r="X339" s="168">
        <f t="shared" si="149"/>
        <v>31297.5</v>
      </c>
      <c r="Y339" s="168">
        <f t="shared" si="149"/>
        <v>24075</v>
      </c>
      <c r="Z339" s="168">
        <f t="shared" si="149"/>
        <v>0</v>
      </c>
      <c r="AA339" s="168">
        <f t="shared" si="149"/>
        <v>12037.5</v>
      </c>
      <c r="AB339" s="168">
        <f t="shared" si="149"/>
        <v>31297.5</v>
      </c>
      <c r="AC339" s="168">
        <f t="shared" si="149"/>
        <v>24075</v>
      </c>
      <c r="AD339" s="168">
        <f t="shared" si="149"/>
        <v>0</v>
      </c>
      <c r="AE339" s="168">
        <f t="shared" si="149"/>
        <v>12037.5</v>
      </c>
      <c r="AF339" s="168">
        <f t="shared" si="149"/>
        <v>21667.5</v>
      </c>
      <c r="AG339" s="168">
        <f t="shared" si="149"/>
        <v>24075</v>
      </c>
      <c r="AH339" s="168">
        <f t="shared" si="149"/>
        <v>0</v>
      </c>
      <c r="AI339" s="168">
        <f t="shared" si="149"/>
        <v>12037.5</v>
      </c>
      <c r="AJ339" s="168">
        <f t="shared" si="149"/>
        <v>31297.5</v>
      </c>
      <c r="AK339" s="168">
        <f t="shared" si="149"/>
        <v>9630</v>
      </c>
      <c r="AL339" s="168">
        <f t="shared" si="149"/>
        <v>0</v>
      </c>
      <c r="AM339" s="168">
        <f t="shared" si="149"/>
        <v>12037.5</v>
      </c>
      <c r="AN339" s="168">
        <f t="shared" si="149"/>
        <v>31297.5</v>
      </c>
      <c r="AO339" s="168">
        <f t="shared" si="149"/>
        <v>24075</v>
      </c>
      <c r="AP339" s="168">
        <f t="shared" si="149"/>
        <v>0</v>
      </c>
      <c r="AQ339" s="168">
        <f t="shared" si="149"/>
        <v>12037.5</v>
      </c>
      <c r="AR339" s="168">
        <f t="shared" si="149"/>
        <v>21667.5</v>
      </c>
      <c r="AS339" s="168">
        <f t="shared" si="149"/>
        <v>24075</v>
      </c>
      <c r="AT339" s="168">
        <f t="shared" si="149"/>
        <v>0</v>
      </c>
      <c r="AU339" s="168">
        <f t="shared" si="149"/>
        <v>12037.5</v>
      </c>
      <c r="AV339" s="168">
        <f t="shared" si="149"/>
        <v>31297.5</v>
      </c>
      <c r="AW339" s="168">
        <f t="shared" si="149"/>
        <v>9630</v>
      </c>
      <c r="AX339" s="168">
        <f t="shared" si="149"/>
        <v>0</v>
      </c>
      <c r="AY339" s="168">
        <f t="shared" si="149"/>
        <v>12037.5</v>
      </c>
      <c r="AZ339" s="168">
        <f t="shared" si="149"/>
        <v>31297.5</v>
      </c>
      <c r="BA339" s="168">
        <f t="shared" si="149"/>
        <v>24075</v>
      </c>
      <c r="BB339" s="168">
        <f t="shared" si="149"/>
        <v>12037.5</v>
      </c>
      <c r="BC339" s="168">
        <f t="shared" si="149"/>
        <v>12037.5</v>
      </c>
      <c r="BD339" s="168">
        <f t="shared" si="149"/>
        <v>31297.5</v>
      </c>
      <c r="BE339" s="168">
        <f t="shared" si="149"/>
        <v>24075</v>
      </c>
      <c r="BF339" s="168">
        <f t="shared" si="149"/>
        <v>14445</v>
      </c>
      <c r="BG339" s="168">
        <f t="shared" si="149"/>
        <v>12037.5</v>
      </c>
      <c r="BH339" s="168">
        <f t="shared" si="149"/>
        <v>21667.5</v>
      </c>
      <c r="BI339" s="168">
        <f t="shared" si="149"/>
        <v>24075</v>
      </c>
    </row>
    <row r="340" spans="1:61" x14ac:dyDescent="0.25">
      <c r="A340" s="172" t="s">
        <v>470</v>
      </c>
      <c r="B340" s="173"/>
      <c r="C340" s="172" t="s">
        <v>426</v>
      </c>
      <c r="D340" s="173"/>
      <c r="E340" s="164"/>
      <c r="F340" s="166"/>
      <c r="G340" s="165"/>
      <c r="H340" s="170">
        <f t="shared" si="143"/>
        <v>1.7250000000000001</v>
      </c>
      <c r="I340" s="171"/>
      <c r="J340" s="168">
        <f t="shared" si="144"/>
        <v>0</v>
      </c>
      <c r="K340" s="168">
        <f t="shared" ref="K340:BI340" si="150">$H340*E9*1.07</f>
        <v>5537.25</v>
      </c>
      <c r="L340" s="168">
        <f t="shared" si="150"/>
        <v>11074.5</v>
      </c>
      <c r="M340" s="168">
        <f t="shared" si="150"/>
        <v>20303.25</v>
      </c>
      <c r="N340" s="168">
        <f t="shared" si="150"/>
        <v>0</v>
      </c>
      <c r="O340" s="168">
        <f t="shared" si="150"/>
        <v>0</v>
      </c>
      <c r="P340" s="168">
        <f t="shared" si="150"/>
        <v>9228.75</v>
      </c>
      <c r="Q340" s="168">
        <f t="shared" si="150"/>
        <v>23994.75</v>
      </c>
      <c r="R340" s="168">
        <f t="shared" si="150"/>
        <v>0</v>
      </c>
      <c r="S340" s="168">
        <f t="shared" si="150"/>
        <v>0</v>
      </c>
      <c r="T340" s="168">
        <f t="shared" si="150"/>
        <v>9228.75</v>
      </c>
      <c r="U340" s="168">
        <f t="shared" si="150"/>
        <v>20303.25</v>
      </c>
      <c r="V340" s="168">
        <f t="shared" si="150"/>
        <v>0</v>
      </c>
      <c r="W340" s="168">
        <f t="shared" si="150"/>
        <v>0</v>
      </c>
      <c r="X340" s="168">
        <f t="shared" si="150"/>
        <v>9228.75</v>
      </c>
      <c r="Y340" s="168">
        <f t="shared" si="150"/>
        <v>12920.25</v>
      </c>
      <c r="Z340" s="168">
        <f t="shared" si="150"/>
        <v>0</v>
      </c>
      <c r="AA340" s="168">
        <f t="shared" si="150"/>
        <v>0</v>
      </c>
      <c r="AB340" s="168">
        <f t="shared" si="150"/>
        <v>9228.75</v>
      </c>
      <c r="AC340" s="168">
        <f t="shared" si="150"/>
        <v>23994.75</v>
      </c>
      <c r="AD340" s="168">
        <f t="shared" si="150"/>
        <v>0</v>
      </c>
      <c r="AE340" s="168">
        <f t="shared" si="150"/>
        <v>0</v>
      </c>
      <c r="AF340" s="168">
        <f t="shared" si="150"/>
        <v>9228.75</v>
      </c>
      <c r="AG340" s="168">
        <f t="shared" si="150"/>
        <v>23994.75</v>
      </c>
      <c r="AH340" s="168">
        <f t="shared" si="150"/>
        <v>0</v>
      </c>
      <c r="AI340" s="168">
        <f t="shared" si="150"/>
        <v>0</v>
      </c>
      <c r="AJ340" s="168">
        <f t="shared" si="150"/>
        <v>9228.75</v>
      </c>
      <c r="AK340" s="168">
        <f t="shared" si="150"/>
        <v>23994.75</v>
      </c>
      <c r="AL340" s="168">
        <f t="shared" si="150"/>
        <v>0</v>
      </c>
      <c r="AM340" s="168">
        <f t="shared" si="150"/>
        <v>0</v>
      </c>
      <c r="AN340" s="168">
        <f t="shared" si="150"/>
        <v>9228.75</v>
      </c>
      <c r="AO340" s="168">
        <f t="shared" si="150"/>
        <v>23994.75</v>
      </c>
      <c r="AP340" s="168">
        <f t="shared" si="150"/>
        <v>0</v>
      </c>
      <c r="AQ340" s="168">
        <f t="shared" si="150"/>
        <v>0</v>
      </c>
      <c r="AR340" s="168">
        <f t="shared" si="150"/>
        <v>9228.75</v>
      </c>
      <c r="AS340" s="168">
        <f t="shared" si="150"/>
        <v>23994.75</v>
      </c>
      <c r="AT340" s="168">
        <f t="shared" si="150"/>
        <v>0</v>
      </c>
      <c r="AU340" s="168">
        <f t="shared" si="150"/>
        <v>0</v>
      </c>
      <c r="AV340" s="168">
        <f t="shared" si="150"/>
        <v>9228.75</v>
      </c>
      <c r="AW340" s="168">
        <f t="shared" si="150"/>
        <v>23994.75</v>
      </c>
      <c r="AX340" s="168">
        <f t="shared" si="150"/>
        <v>0</v>
      </c>
      <c r="AY340" s="168">
        <f t="shared" si="150"/>
        <v>0</v>
      </c>
      <c r="AZ340" s="168">
        <f t="shared" si="150"/>
        <v>9228.75</v>
      </c>
      <c r="BA340" s="168">
        <f t="shared" si="150"/>
        <v>23994.75</v>
      </c>
      <c r="BB340" s="168">
        <f t="shared" si="150"/>
        <v>0</v>
      </c>
      <c r="BC340" s="168">
        <f t="shared" si="150"/>
        <v>0</v>
      </c>
      <c r="BD340" s="168">
        <f t="shared" si="150"/>
        <v>9228.75</v>
      </c>
      <c r="BE340" s="168">
        <f t="shared" si="150"/>
        <v>23994.75</v>
      </c>
      <c r="BF340" s="168">
        <f t="shared" si="150"/>
        <v>0</v>
      </c>
      <c r="BG340" s="168">
        <f t="shared" si="150"/>
        <v>0</v>
      </c>
      <c r="BH340" s="168">
        <f t="shared" si="150"/>
        <v>9228.75</v>
      </c>
      <c r="BI340" s="168">
        <f t="shared" si="150"/>
        <v>23994.75</v>
      </c>
    </row>
    <row r="341" spans="1:61" x14ac:dyDescent="0.25">
      <c r="A341" s="172" t="s">
        <v>471</v>
      </c>
      <c r="B341" s="173"/>
      <c r="C341" s="172" t="s">
        <v>426</v>
      </c>
      <c r="D341" s="173"/>
      <c r="E341" s="164"/>
      <c r="F341" s="166"/>
      <c r="G341" s="165"/>
      <c r="H341" s="170">
        <f t="shared" si="143"/>
        <v>1.95</v>
      </c>
      <c r="I341" s="171"/>
      <c r="J341" s="168">
        <f t="shared" si="144"/>
        <v>0</v>
      </c>
      <c r="K341" s="168">
        <f t="shared" ref="K341:BI341" si="151">$H341*E10*1.07</f>
        <v>0</v>
      </c>
      <c r="L341" s="168">
        <f t="shared" si="151"/>
        <v>0</v>
      </c>
      <c r="M341" s="168">
        <f t="shared" si="151"/>
        <v>10432.5</v>
      </c>
      <c r="N341" s="168">
        <f t="shared" si="151"/>
        <v>0</v>
      </c>
      <c r="O341" s="168">
        <f t="shared" si="151"/>
        <v>0</v>
      </c>
      <c r="P341" s="168">
        <f t="shared" si="151"/>
        <v>0</v>
      </c>
      <c r="Q341" s="168">
        <f t="shared" si="151"/>
        <v>10432.5</v>
      </c>
      <c r="R341" s="168">
        <f t="shared" si="151"/>
        <v>0</v>
      </c>
      <c r="S341" s="168">
        <f t="shared" si="151"/>
        <v>0</v>
      </c>
      <c r="T341" s="168">
        <f t="shared" si="151"/>
        <v>0</v>
      </c>
      <c r="U341" s="168">
        <f t="shared" si="151"/>
        <v>10432.5</v>
      </c>
      <c r="V341" s="168">
        <f t="shared" si="151"/>
        <v>0</v>
      </c>
      <c r="W341" s="168">
        <f t="shared" si="151"/>
        <v>0</v>
      </c>
      <c r="X341" s="168">
        <f t="shared" si="151"/>
        <v>12519</v>
      </c>
      <c r="Y341" s="168">
        <f t="shared" si="151"/>
        <v>10432.5</v>
      </c>
      <c r="Z341" s="168">
        <f t="shared" si="151"/>
        <v>0</v>
      </c>
      <c r="AA341" s="168">
        <f t="shared" si="151"/>
        <v>0</v>
      </c>
      <c r="AB341" s="168">
        <f t="shared" si="151"/>
        <v>0</v>
      </c>
      <c r="AC341" s="168">
        <f t="shared" si="151"/>
        <v>10432.5</v>
      </c>
      <c r="AD341" s="168">
        <f t="shared" si="151"/>
        <v>12519</v>
      </c>
      <c r="AE341" s="168">
        <f t="shared" si="151"/>
        <v>0</v>
      </c>
      <c r="AF341" s="168">
        <f t="shared" si="151"/>
        <v>0</v>
      </c>
      <c r="AG341" s="168">
        <f t="shared" si="151"/>
        <v>10432.5</v>
      </c>
      <c r="AH341" s="168">
        <f t="shared" si="151"/>
        <v>0</v>
      </c>
      <c r="AI341" s="168">
        <f t="shared" si="151"/>
        <v>6259.5</v>
      </c>
      <c r="AJ341" s="168">
        <f t="shared" si="151"/>
        <v>0</v>
      </c>
      <c r="AK341" s="168">
        <f t="shared" si="151"/>
        <v>10432.5</v>
      </c>
      <c r="AL341" s="168">
        <f t="shared" si="151"/>
        <v>0</v>
      </c>
      <c r="AM341" s="168">
        <f t="shared" si="151"/>
        <v>0</v>
      </c>
      <c r="AN341" s="168">
        <f t="shared" si="151"/>
        <v>0</v>
      </c>
      <c r="AO341" s="168">
        <f t="shared" si="151"/>
        <v>10432.5</v>
      </c>
      <c r="AP341" s="168">
        <f t="shared" si="151"/>
        <v>12519</v>
      </c>
      <c r="AQ341" s="168">
        <f t="shared" si="151"/>
        <v>0</v>
      </c>
      <c r="AR341" s="168">
        <f t="shared" si="151"/>
        <v>0</v>
      </c>
      <c r="AS341" s="168">
        <f t="shared" si="151"/>
        <v>10432.5</v>
      </c>
      <c r="AT341" s="168">
        <f t="shared" si="151"/>
        <v>0</v>
      </c>
      <c r="AU341" s="168">
        <f t="shared" si="151"/>
        <v>0</v>
      </c>
      <c r="AV341" s="168">
        <f t="shared" si="151"/>
        <v>12519</v>
      </c>
      <c r="AW341" s="168">
        <f t="shared" si="151"/>
        <v>10432.5</v>
      </c>
      <c r="AX341" s="168">
        <f t="shared" si="151"/>
        <v>0</v>
      </c>
      <c r="AY341" s="168">
        <f t="shared" si="151"/>
        <v>0</v>
      </c>
      <c r="AZ341" s="168">
        <f t="shared" si="151"/>
        <v>0</v>
      </c>
      <c r="BA341" s="168">
        <f t="shared" si="151"/>
        <v>10432.5</v>
      </c>
      <c r="BB341" s="168">
        <f t="shared" si="151"/>
        <v>0</v>
      </c>
      <c r="BC341" s="168">
        <f t="shared" si="151"/>
        <v>0</v>
      </c>
      <c r="BD341" s="168">
        <f t="shared" si="151"/>
        <v>0</v>
      </c>
      <c r="BE341" s="168">
        <f t="shared" si="151"/>
        <v>10432.5</v>
      </c>
      <c r="BF341" s="168">
        <f t="shared" si="151"/>
        <v>0</v>
      </c>
      <c r="BG341" s="168">
        <f t="shared" si="151"/>
        <v>0</v>
      </c>
      <c r="BH341" s="168">
        <f t="shared" si="151"/>
        <v>0</v>
      </c>
      <c r="BI341" s="168">
        <f t="shared" si="151"/>
        <v>10432.5</v>
      </c>
    </row>
    <row r="342" spans="1:61" x14ac:dyDescent="0.25">
      <c r="A342" s="172" t="s">
        <v>472</v>
      </c>
      <c r="B342" s="173"/>
      <c r="C342" s="172" t="s">
        <v>497</v>
      </c>
      <c r="D342" s="173"/>
      <c r="E342" s="172"/>
      <c r="F342" s="174"/>
      <c r="G342" s="173"/>
      <c r="H342" s="170">
        <f>AK300</f>
        <v>0.875</v>
      </c>
      <c r="I342" s="171"/>
      <c r="J342" s="168">
        <f>$H342*D3*1.11</f>
        <v>8741.25</v>
      </c>
      <c r="K342" s="168">
        <f t="shared" ref="K342:BI342" si="152">$H342*E3*1.11</f>
        <v>0</v>
      </c>
      <c r="L342" s="168">
        <f t="shared" si="152"/>
        <v>4856.25</v>
      </c>
      <c r="M342" s="168">
        <f t="shared" si="152"/>
        <v>0</v>
      </c>
      <c r="N342" s="168">
        <f t="shared" si="152"/>
        <v>8741.25</v>
      </c>
      <c r="O342" s="168">
        <f t="shared" si="152"/>
        <v>0</v>
      </c>
      <c r="P342" s="168">
        <f t="shared" si="152"/>
        <v>0</v>
      </c>
      <c r="Q342" s="168">
        <f t="shared" si="152"/>
        <v>0</v>
      </c>
      <c r="R342" s="168">
        <f t="shared" si="152"/>
        <v>8741.25</v>
      </c>
      <c r="S342" s="168">
        <f t="shared" si="152"/>
        <v>0</v>
      </c>
      <c r="T342" s="168">
        <f t="shared" si="152"/>
        <v>0</v>
      </c>
      <c r="U342" s="168">
        <f t="shared" si="152"/>
        <v>0</v>
      </c>
      <c r="V342" s="168">
        <f t="shared" si="152"/>
        <v>8741.25</v>
      </c>
      <c r="W342" s="168">
        <f t="shared" si="152"/>
        <v>2913.7500000000005</v>
      </c>
      <c r="X342" s="168">
        <f t="shared" si="152"/>
        <v>0</v>
      </c>
      <c r="Y342" s="168">
        <f t="shared" si="152"/>
        <v>0</v>
      </c>
      <c r="Z342" s="168">
        <f t="shared" si="152"/>
        <v>8741.25</v>
      </c>
      <c r="AA342" s="168">
        <f t="shared" si="152"/>
        <v>0</v>
      </c>
      <c r="AB342" s="168">
        <f t="shared" si="152"/>
        <v>0</v>
      </c>
      <c r="AC342" s="168">
        <f t="shared" si="152"/>
        <v>2913.7500000000005</v>
      </c>
      <c r="AD342" s="168">
        <f t="shared" si="152"/>
        <v>8741.25</v>
      </c>
      <c r="AE342" s="168">
        <f t="shared" si="152"/>
        <v>0</v>
      </c>
      <c r="AF342" s="168">
        <f t="shared" si="152"/>
        <v>0</v>
      </c>
      <c r="AG342" s="168">
        <f t="shared" si="152"/>
        <v>0</v>
      </c>
      <c r="AH342" s="168">
        <f t="shared" si="152"/>
        <v>8741.25</v>
      </c>
      <c r="AI342" s="168">
        <f t="shared" si="152"/>
        <v>0</v>
      </c>
      <c r="AJ342" s="168">
        <f t="shared" si="152"/>
        <v>5827.5000000000009</v>
      </c>
      <c r="AK342" s="168">
        <f t="shared" si="152"/>
        <v>0</v>
      </c>
      <c r="AL342" s="168">
        <f t="shared" si="152"/>
        <v>8741.25</v>
      </c>
      <c r="AM342" s="168">
        <f t="shared" si="152"/>
        <v>0</v>
      </c>
      <c r="AN342" s="168">
        <f t="shared" si="152"/>
        <v>0</v>
      </c>
      <c r="AO342" s="168">
        <f t="shared" si="152"/>
        <v>2913.7500000000005</v>
      </c>
      <c r="AP342" s="168">
        <f t="shared" si="152"/>
        <v>8741.25</v>
      </c>
      <c r="AQ342" s="168">
        <f t="shared" si="152"/>
        <v>0</v>
      </c>
      <c r="AR342" s="168">
        <f t="shared" si="152"/>
        <v>0</v>
      </c>
      <c r="AS342" s="168">
        <f t="shared" si="152"/>
        <v>0</v>
      </c>
      <c r="AT342" s="168">
        <f t="shared" si="152"/>
        <v>8741.25</v>
      </c>
      <c r="AU342" s="168">
        <f t="shared" si="152"/>
        <v>2913.7500000000005</v>
      </c>
      <c r="AV342" s="168">
        <f t="shared" si="152"/>
        <v>0</v>
      </c>
      <c r="AW342" s="168">
        <f t="shared" si="152"/>
        <v>0</v>
      </c>
      <c r="AX342" s="168">
        <f t="shared" si="152"/>
        <v>8741.25</v>
      </c>
      <c r="AY342" s="168">
        <f t="shared" si="152"/>
        <v>0</v>
      </c>
      <c r="AZ342" s="168">
        <f t="shared" si="152"/>
        <v>4856.25</v>
      </c>
      <c r="BA342" s="168">
        <f t="shared" si="152"/>
        <v>0</v>
      </c>
      <c r="BB342" s="168">
        <f t="shared" si="152"/>
        <v>8741.25</v>
      </c>
      <c r="BC342" s="168">
        <f t="shared" si="152"/>
        <v>4856.25</v>
      </c>
      <c r="BD342" s="168">
        <f t="shared" si="152"/>
        <v>0</v>
      </c>
      <c r="BE342" s="168">
        <f t="shared" si="152"/>
        <v>0</v>
      </c>
      <c r="BF342" s="168">
        <f t="shared" si="152"/>
        <v>8741.25</v>
      </c>
      <c r="BG342" s="168">
        <f t="shared" si="152"/>
        <v>0</v>
      </c>
      <c r="BH342" s="168">
        <f t="shared" si="152"/>
        <v>0</v>
      </c>
      <c r="BI342" s="168">
        <f t="shared" si="152"/>
        <v>0</v>
      </c>
    </row>
    <row r="343" spans="1:61" x14ac:dyDescent="0.25">
      <c r="A343" s="172" t="s">
        <v>473</v>
      </c>
      <c r="B343" s="173"/>
      <c r="C343" s="172" t="s">
        <v>497</v>
      </c>
      <c r="D343" s="173"/>
      <c r="E343" s="164"/>
      <c r="F343" s="166"/>
      <c r="G343" s="165"/>
      <c r="H343" s="170">
        <f t="shared" ref="H343:H349" si="153">AK301</f>
        <v>1</v>
      </c>
      <c r="I343" s="171"/>
      <c r="J343" s="168">
        <f t="shared" ref="J343:J349" si="154">$H343*D4*1.11</f>
        <v>8880</v>
      </c>
      <c r="K343" s="168">
        <f t="shared" ref="K343:BI343" si="155">$H343*E4*1.11</f>
        <v>9990</v>
      </c>
      <c r="L343" s="168">
        <f t="shared" si="155"/>
        <v>0</v>
      </c>
      <c r="M343" s="168">
        <f t="shared" si="155"/>
        <v>6660.0000000000009</v>
      </c>
      <c r="N343" s="168">
        <f t="shared" si="155"/>
        <v>8880</v>
      </c>
      <c r="O343" s="168">
        <f t="shared" si="155"/>
        <v>9990</v>
      </c>
      <c r="P343" s="168">
        <f t="shared" si="155"/>
        <v>0</v>
      </c>
      <c r="Q343" s="168">
        <f t="shared" si="155"/>
        <v>3330.0000000000005</v>
      </c>
      <c r="R343" s="168">
        <f t="shared" si="155"/>
        <v>8880</v>
      </c>
      <c r="S343" s="168">
        <f t="shared" si="155"/>
        <v>9990</v>
      </c>
      <c r="T343" s="168">
        <f t="shared" si="155"/>
        <v>0</v>
      </c>
      <c r="U343" s="168">
        <f t="shared" si="155"/>
        <v>0</v>
      </c>
      <c r="V343" s="168">
        <f t="shared" si="155"/>
        <v>8880</v>
      </c>
      <c r="W343" s="168">
        <f t="shared" si="155"/>
        <v>9990</v>
      </c>
      <c r="X343" s="168">
        <f t="shared" si="155"/>
        <v>0</v>
      </c>
      <c r="Y343" s="168">
        <f t="shared" si="155"/>
        <v>0</v>
      </c>
      <c r="Z343" s="168">
        <f t="shared" si="155"/>
        <v>8880</v>
      </c>
      <c r="AA343" s="168">
        <f t="shared" si="155"/>
        <v>9990</v>
      </c>
      <c r="AB343" s="168">
        <f t="shared" si="155"/>
        <v>0</v>
      </c>
      <c r="AC343" s="168">
        <f t="shared" si="155"/>
        <v>0</v>
      </c>
      <c r="AD343" s="168">
        <f t="shared" si="155"/>
        <v>8880</v>
      </c>
      <c r="AE343" s="168">
        <f t="shared" si="155"/>
        <v>9990</v>
      </c>
      <c r="AF343" s="168">
        <f t="shared" si="155"/>
        <v>0</v>
      </c>
      <c r="AG343" s="168">
        <f t="shared" si="155"/>
        <v>0</v>
      </c>
      <c r="AH343" s="168">
        <f t="shared" si="155"/>
        <v>8880</v>
      </c>
      <c r="AI343" s="168">
        <f t="shared" si="155"/>
        <v>9990</v>
      </c>
      <c r="AJ343" s="168">
        <f t="shared" si="155"/>
        <v>0</v>
      </c>
      <c r="AK343" s="168">
        <f t="shared" si="155"/>
        <v>0</v>
      </c>
      <c r="AL343" s="168">
        <f t="shared" si="155"/>
        <v>8880</v>
      </c>
      <c r="AM343" s="168">
        <f t="shared" si="155"/>
        <v>9990</v>
      </c>
      <c r="AN343" s="168">
        <f t="shared" si="155"/>
        <v>0</v>
      </c>
      <c r="AO343" s="168">
        <f t="shared" si="155"/>
        <v>0</v>
      </c>
      <c r="AP343" s="168">
        <f t="shared" si="155"/>
        <v>8880</v>
      </c>
      <c r="AQ343" s="168">
        <f t="shared" si="155"/>
        <v>9990</v>
      </c>
      <c r="AR343" s="168">
        <f t="shared" si="155"/>
        <v>0</v>
      </c>
      <c r="AS343" s="168">
        <f t="shared" si="155"/>
        <v>0</v>
      </c>
      <c r="AT343" s="168">
        <f t="shared" si="155"/>
        <v>8880</v>
      </c>
      <c r="AU343" s="168">
        <f t="shared" si="155"/>
        <v>9990</v>
      </c>
      <c r="AV343" s="168">
        <f t="shared" si="155"/>
        <v>0</v>
      </c>
      <c r="AW343" s="168">
        <f t="shared" si="155"/>
        <v>0</v>
      </c>
      <c r="AX343" s="168">
        <f t="shared" si="155"/>
        <v>8880</v>
      </c>
      <c r="AY343" s="168">
        <f t="shared" si="155"/>
        <v>9990</v>
      </c>
      <c r="AZ343" s="168">
        <f t="shared" si="155"/>
        <v>0</v>
      </c>
      <c r="BA343" s="168">
        <f t="shared" si="155"/>
        <v>5550.0000000000009</v>
      </c>
      <c r="BB343" s="168">
        <f t="shared" si="155"/>
        <v>8880</v>
      </c>
      <c r="BC343" s="168">
        <f t="shared" si="155"/>
        <v>9990</v>
      </c>
      <c r="BD343" s="168">
        <f t="shared" si="155"/>
        <v>0</v>
      </c>
      <c r="BE343" s="168">
        <f t="shared" si="155"/>
        <v>3330.0000000000005</v>
      </c>
      <c r="BF343" s="168">
        <f t="shared" si="155"/>
        <v>8880</v>
      </c>
      <c r="BG343" s="168">
        <f t="shared" si="155"/>
        <v>3330.0000000000005</v>
      </c>
      <c r="BH343" s="168">
        <f t="shared" si="155"/>
        <v>0</v>
      </c>
      <c r="BI343" s="168">
        <f t="shared" si="155"/>
        <v>0</v>
      </c>
    </row>
    <row r="344" spans="1:61" x14ac:dyDescent="0.25">
      <c r="A344" s="172" t="s">
        <v>474</v>
      </c>
      <c r="B344" s="173"/>
      <c r="C344" s="172" t="s">
        <v>497</v>
      </c>
      <c r="D344" s="173"/>
      <c r="E344" s="164"/>
      <c r="F344" s="166"/>
      <c r="G344" s="165"/>
      <c r="H344" s="170">
        <f t="shared" si="153"/>
        <v>0.75</v>
      </c>
      <c r="I344" s="171"/>
      <c r="J344" s="168">
        <f t="shared" si="154"/>
        <v>8325</v>
      </c>
      <c r="K344" s="168">
        <f t="shared" ref="K344:BI344" si="156">$H344*E5*1.11</f>
        <v>6660.0000000000009</v>
      </c>
      <c r="L344" s="168">
        <f t="shared" si="156"/>
        <v>7492.5000000000009</v>
      </c>
      <c r="M344" s="168">
        <f t="shared" si="156"/>
        <v>0</v>
      </c>
      <c r="N344" s="168">
        <f t="shared" si="156"/>
        <v>8325</v>
      </c>
      <c r="O344" s="168">
        <f t="shared" si="156"/>
        <v>6660.0000000000009</v>
      </c>
      <c r="P344" s="168">
        <f t="shared" si="156"/>
        <v>7492.5000000000009</v>
      </c>
      <c r="Q344" s="168">
        <f t="shared" si="156"/>
        <v>0</v>
      </c>
      <c r="R344" s="168">
        <f t="shared" si="156"/>
        <v>8325</v>
      </c>
      <c r="S344" s="168">
        <f t="shared" si="156"/>
        <v>6660.0000000000009</v>
      </c>
      <c r="T344" s="168">
        <f t="shared" si="156"/>
        <v>7492.5000000000009</v>
      </c>
      <c r="U344" s="168">
        <f t="shared" si="156"/>
        <v>0</v>
      </c>
      <c r="V344" s="168">
        <f t="shared" si="156"/>
        <v>8325</v>
      </c>
      <c r="W344" s="168">
        <f t="shared" si="156"/>
        <v>6660.0000000000009</v>
      </c>
      <c r="X344" s="168">
        <f t="shared" si="156"/>
        <v>7492.5000000000009</v>
      </c>
      <c r="Y344" s="168">
        <f t="shared" si="156"/>
        <v>0</v>
      </c>
      <c r="Z344" s="168">
        <f t="shared" si="156"/>
        <v>8325</v>
      </c>
      <c r="AA344" s="168">
        <f t="shared" si="156"/>
        <v>6660.0000000000009</v>
      </c>
      <c r="AB344" s="168">
        <f t="shared" si="156"/>
        <v>7492.5000000000009</v>
      </c>
      <c r="AC344" s="168">
        <f t="shared" si="156"/>
        <v>0</v>
      </c>
      <c r="AD344" s="168">
        <f t="shared" si="156"/>
        <v>8325</v>
      </c>
      <c r="AE344" s="168">
        <f t="shared" si="156"/>
        <v>6660.0000000000009</v>
      </c>
      <c r="AF344" s="168">
        <f t="shared" si="156"/>
        <v>7492.5000000000009</v>
      </c>
      <c r="AG344" s="168">
        <f t="shared" si="156"/>
        <v>0</v>
      </c>
      <c r="AH344" s="168">
        <f t="shared" si="156"/>
        <v>8325</v>
      </c>
      <c r="AI344" s="168">
        <f t="shared" si="156"/>
        <v>6660.0000000000009</v>
      </c>
      <c r="AJ344" s="168">
        <f t="shared" si="156"/>
        <v>7492.5000000000009</v>
      </c>
      <c r="AK344" s="168">
        <f t="shared" si="156"/>
        <v>0</v>
      </c>
      <c r="AL344" s="168">
        <f t="shared" si="156"/>
        <v>8325</v>
      </c>
      <c r="AM344" s="168">
        <f t="shared" si="156"/>
        <v>6660.0000000000009</v>
      </c>
      <c r="AN344" s="168">
        <f t="shared" si="156"/>
        <v>7492.5000000000009</v>
      </c>
      <c r="AO344" s="168">
        <f t="shared" si="156"/>
        <v>0</v>
      </c>
      <c r="AP344" s="168">
        <f t="shared" si="156"/>
        <v>8325</v>
      </c>
      <c r="AQ344" s="168">
        <f t="shared" si="156"/>
        <v>6660.0000000000009</v>
      </c>
      <c r="AR344" s="168">
        <f t="shared" si="156"/>
        <v>7492.5000000000009</v>
      </c>
      <c r="AS344" s="168">
        <f t="shared" si="156"/>
        <v>0</v>
      </c>
      <c r="AT344" s="168">
        <f t="shared" si="156"/>
        <v>8325</v>
      </c>
      <c r="AU344" s="168">
        <f t="shared" si="156"/>
        <v>6660.0000000000009</v>
      </c>
      <c r="AV344" s="168">
        <f t="shared" si="156"/>
        <v>7492.5000000000009</v>
      </c>
      <c r="AW344" s="168">
        <f t="shared" si="156"/>
        <v>0</v>
      </c>
      <c r="AX344" s="168">
        <f t="shared" si="156"/>
        <v>8325</v>
      </c>
      <c r="AY344" s="168">
        <f t="shared" si="156"/>
        <v>6660.0000000000009</v>
      </c>
      <c r="AZ344" s="168">
        <f t="shared" si="156"/>
        <v>7492.5000000000009</v>
      </c>
      <c r="BA344" s="168">
        <f t="shared" si="156"/>
        <v>0</v>
      </c>
      <c r="BB344" s="168">
        <f t="shared" si="156"/>
        <v>8325</v>
      </c>
      <c r="BC344" s="168">
        <f t="shared" si="156"/>
        <v>6660.0000000000009</v>
      </c>
      <c r="BD344" s="168">
        <f t="shared" si="156"/>
        <v>7492.5000000000009</v>
      </c>
      <c r="BE344" s="168">
        <f t="shared" si="156"/>
        <v>0</v>
      </c>
      <c r="BF344" s="168">
        <f t="shared" si="156"/>
        <v>8325</v>
      </c>
      <c r="BG344" s="168">
        <f t="shared" si="156"/>
        <v>6660.0000000000009</v>
      </c>
      <c r="BH344" s="168">
        <f t="shared" si="156"/>
        <v>7492.5000000000009</v>
      </c>
      <c r="BI344" s="168">
        <f t="shared" si="156"/>
        <v>0</v>
      </c>
    </row>
    <row r="345" spans="1:61" x14ac:dyDescent="0.25">
      <c r="A345" s="172" t="s">
        <v>475</v>
      </c>
      <c r="B345" s="173"/>
      <c r="C345" s="172" t="s">
        <v>497</v>
      </c>
      <c r="D345" s="173"/>
      <c r="E345" s="164"/>
      <c r="F345" s="166"/>
      <c r="G345" s="165"/>
      <c r="H345" s="170">
        <f t="shared" si="153"/>
        <v>1.0625</v>
      </c>
      <c r="I345" s="171"/>
      <c r="J345" s="168">
        <f t="shared" si="154"/>
        <v>15331.875000000002</v>
      </c>
      <c r="K345" s="168">
        <f t="shared" ref="K345:BI345" si="157">$H345*E6*1.11</f>
        <v>11793.750000000002</v>
      </c>
      <c r="L345" s="168">
        <f t="shared" si="157"/>
        <v>9435</v>
      </c>
      <c r="M345" s="168">
        <f t="shared" si="157"/>
        <v>10614.375000000002</v>
      </c>
      <c r="N345" s="168">
        <f t="shared" si="157"/>
        <v>10614.375000000002</v>
      </c>
      <c r="O345" s="168">
        <f t="shared" si="157"/>
        <v>11793.750000000002</v>
      </c>
      <c r="P345" s="168">
        <f t="shared" si="157"/>
        <v>9435</v>
      </c>
      <c r="Q345" s="168">
        <f t="shared" si="157"/>
        <v>10614.375000000002</v>
      </c>
      <c r="R345" s="168">
        <f t="shared" si="157"/>
        <v>15331.875000000002</v>
      </c>
      <c r="S345" s="168">
        <f t="shared" si="157"/>
        <v>11793.750000000002</v>
      </c>
      <c r="T345" s="168">
        <f t="shared" si="157"/>
        <v>9435</v>
      </c>
      <c r="U345" s="168">
        <f t="shared" si="157"/>
        <v>10614.375000000002</v>
      </c>
      <c r="V345" s="168">
        <f t="shared" si="157"/>
        <v>15331.875000000002</v>
      </c>
      <c r="W345" s="168">
        <f t="shared" si="157"/>
        <v>11793.750000000002</v>
      </c>
      <c r="X345" s="168">
        <f t="shared" si="157"/>
        <v>9435</v>
      </c>
      <c r="Y345" s="168">
        <f t="shared" si="157"/>
        <v>10614.375000000002</v>
      </c>
      <c r="Z345" s="168">
        <f t="shared" si="157"/>
        <v>10614.375000000002</v>
      </c>
      <c r="AA345" s="168">
        <f t="shared" si="157"/>
        <v>9435</v>
      </c>
      <c r="AB345" s="168">
        <f t="shared" si="157"/>
        <v>9435</v>
      </c>
      <c r="AC345" s="168">
        <f t="shared" si="157"/>
        <v>10614.375000000002</v>
      </c>
      <c r="AD345" s="168">
        <f t="shared" si="157"/>
        <v>15331.875000000002</v>
      </c>
      <c r="AE345" s="168">
        <f t="shared" si="157"/>
        <v>11793.750000000002</v>
      </c>
      <c r="AF345" s="168">
        <f t="shared" si="157"/>
        <v>9435</v>
      </c>
      <c r="AG345" s="168">
        <f t="shared" si="157"/>
        <v>8255.625</v>
      </c>
      <c r="AH345" s="168">
        <f t="shared" si="157"/>
        <v>15331.875000000002</v>
      </c>
      <c r="AI345" s="168">
        <f t="shared" si="157"/>
        <v>11793.750000000002</v>
      </c>
      <c r="AJ345" s="168">
        <f t="shared" si="157"/>
        <v>9435</v>
      </c>
      <c r="AK345" s="168">
        <f t="shared" si="157"/>
        <v>10614.375000000002</v>
      </c>
      <c r="AL345" s="168">
        <f t="shared" si="157"/>
        <v>10614.375000000002</v>
      </c>
      <c r="AM345" s="168">
        <f t="shared" si="157"/>
        <v>11793.750000000002</v>
      </c>
      <c r="AN345" s="168">
        <f t="shared" si="157"/>
        <v>9435</v>
      </c>
      <c r="AO345" s="168">
        <f t="shared" si="157"/>
        <v>10614.375000000002</v>
      </c>
      <c r="AP345" s="168">
        <f t="shared" si="157"/>
        <v>15331.875000000002</v>
      </c>
      <c r="AQ345" s="168">
        <f t="shared" si="157"/>
        <v>11793.750000000002</v>
      </c>
      <c r="AR345" s="168">
        <f t="shared" si="157"/>
        <v>9435</v>
      </c>
      <c r="AS345" s="168">
        <f t="shared" si="157"/>
        <v>8255.625</v>
      </c>
      <c r="AT345" s="168">
        <f t="shared" si="157"/>
        <v>15331.875000000002</v>
      </c>
      <c r="AU345" s="168">
        <f t="shared" si="157"/>
        <v>11793.750000000002</v>
      </c>
      <c r="AV345" s="168">
        <f t="shared" si="157"/>
        <v>9435</v>
      </c>
      <c r="AW345" s="168">
        <f t="shared" si="157"/>
        <v>10614.375000000002</v>
      </c>
      <c r="AX345" s="168">
        <f t="shared" si="157"/>
        <v>10614.375000000002</v>
      </c>
      <c r="AY345" s="168">
        <f t="shared" si="157"/>
        <v>11793.750000000002</v>
      </c>
      <c r="AZ345" s="168">
        <f t="shared" si="157"/>
        <v>9435</v>
      </c>
      <c r="BA345" s="168">
        <f t="shared" si="157"/>
        <v>10614.375000000002</v>
      </c>
      <c r="BB345" s="168">
        <f t="shared" si="157"/>
        <v>15331.875000000002</v>
      </c>
      <c r="BC345" s="168">
        <f t="shared" si="157"/>
        <v>11793.750000000002</v>
      </c>
      <c r="BD345" s="168">
        <f t="shared" si="157"/>
        <v>9435</v>
      </c>
      <c r="BE345" s="168">
        <f t="shared" si="157"/>
        <v>10614.375000000002</v>
      </c>
      <c r="BF345" s="168">
        <f t="shared" si="157"/>
        <v>15331.875000000002</v>
      </c>
      <c r="BG345" s="168">
        <f t="shared" si="157"/>
        <v>11793.750000000002</v>
      </c>
      <c r="BH345" s="168">
        <f t="shared" si="157"/>
        <v>9435</v>
      </c>
      <c r="BI345" s="168">
        <f t="shared" si="157"/>
        <v>8255.625</v>
      </c>
    </row>
    <row r="346" spans="1:61" x14ac:dyDescent="0.25">
      <c r="A346" s="172" t="s">
        <v>476</v>
      </c>
      <c r="B346" s="173"/>
      <c r="C346" s="172" t="s">
        <v>497</v>
      </c>
      <c r="D346" s="173"/>
      <c r="E346" s="164"/>
      <c r="F346" s="166"/>
      <c r="G346" s="165"/>
      <c r="H346" s="170">
        <f t="shared" si="153"/>
        <v>1</v>
      </c>
      <c r="I346" s="171"/>
      <c r="J346" s="168">
        <f t="shared" si="154"/>
        <v>5550.0000000000009</v>
      </c>
      <c r="K346" s="168">
        <f t="shared" ref="K346:BI346" si="158">$H346*E7*1.11</f>
        <v>14430.000000000002</v>
      </c>
      <c r="L346" s="168">
        <f t="shared" si="158"/>
        <v>11100.000000000002</v>
      </c>
      <c r="M346" s="168">
        <f t="shared" si="158"/>
        <v>8880</v>
      </c>
      <c r="N346" s="168">
        <f t="shared" si="158"/>
        <v>5550.0000000000009</v>
      </c>
      <c r="O346" s="168">
        <f t="shared" si="158"/>
        <v>12210.000000000002</v>
      </c>
      <c r="P346" s="168">
        <f t="shared" si="158"/>
        <v>11100.000000000002</v>
      </c>
      <c r="Q346" s="168">
        <f t="shared" si="158"/>
        <v>8880</v>
      </c>
      <c r="R346" s="168">
        <f t="shared" si="158"/>
        <v>5550.0000000000009</v>
      </c>
      <c r="S346" s="168">
        <f t="shared" si="158"/>
        <v>7770.0000000000009</v>
      </c>
      <c r="T346" s="168">
        <f t="shared" si="158"/>
        <v>6660.0000000000009</v>
      </c>
      <c r="U346" s="168">
        <f t="shared" si="158"/>
        <v>8880</v>
      </c>
      <c r="V346" s="168">
        <f t="shared" si="158"/>
        <v>5550.0000000000009</v>
      </c>
      <c r="W346" s="168">
        <f t="shared" si="158"/>
        <v>14430.000000000002</v>
      </c>
      <c r="X346" s="168">
        <f t="shared" si="158"/>
        <v>11100.000000000002</v>
      </c>
      <c r="Y346" s="168">
        <f t="shared" si="158"/>
        <v>8880</v>
      </c>
      <c r="Z346" s="168">
        <f t="shared" si="158"/>
        <v>5550.0000000000009</v>
      </c>
      <c r="AA346" s="168">
        <f t="shared" si="158"/>
        <v>14430.000000000002</v>
      </c>
      <c r="AB346" s="168">
        <f t="shared" si="158"/>
        <v>11100.000000000002</v>
      </c>
      <c r="AC346" s="168">
        <f t="shared" si="158"/>
        <v>8880</v>
      </c>
      <c r="AD346" s="168">
        <f t="shared" si="158"/>
        <v>5550.0000000000009</v>
      </c>
      <c r="AE346" s="168">
        <f t="shared" si="158"/>
        <v>7770.0000000000009</v>
      </c>
      <c r="AF346" s="168">
        <f t="shared" si="158"/>
        <v>11100.000000000002</v>
      </c>
      <c r="AG346" s="168">
        <f t="shared" si="158"/>
        <v>8880</v>
      </c>
      <c r="AH346" s="168">
        <f t="shared" si="158"/>
        <v>5550.0000000000009</v>
      </c>
      <c r="AI346" s="168">
        <f t="shared" si="158"/>
        <v>14430.000000000002</v>
      </c>
      <c r="AJ346" s="168">
        <f t="shared" si="158"/>
        <v>11100.000000000002</v>
      </c>
      <c r="AK346" s="168">
        <f t="shared" si="158"/>
        <v>8880</v>
      </c>
      <c r="AL346" s="168">
        <f t="shared" si="158"/>
        <v>5550.0000000000009</v>
      </c>
      <c r="AM346" s="168">
        <f t="shared" si="158"/>
        <v>12210.000000000002</v>
      </c>
      <c r="AN346" s="168">
        <f t="shared" si="158"/>
        <v>11100.000000000002</v>
      </c>
      <c r="AO346" s="168">
        <f t="shared" si="158"/>
        <v>8880</v>
      </c>
      <c r="AP346" s="168">
        <f t="shared" si="158"/>
        <v>5550.0000000000009</v>
      </c>
      <c r="AQ346" s="168">
        <f t="shared" si="158"/>
        <v>7770.0000000000009</v>
      </c>
      <c r="AR346" s="168">
        <f t="shared" si="158"/>
        <v>11100.000000000002</v>
      </c>
      <c r="AS346" s="168">
        <f t="shared" si="158"/>
        <v>8880</v>
      </c>
      <c r="AT346" s="168">
        <f t="shared" si="158"/>
        <v>5550.0000000000009</v>
      </c>
      <c r="AU346" s="168">
        <f t="shared" si="158"/>
        <v>14430.000000000002</v>
      </c>
      <c r="AV346" s="168">
        <f t="shared" si="158"/>
        <v>11100.000000000002</v>
      </c>
      <c r="AW346" s="168">
        <f t="shared" si="158"/>
        <v>8880</v>
      </c>
      <c r="AX346" s="168">
        <f t="shared" si="158"/>
        <v>5550.0000000000009</v>
      </c>
      <c r="AY346" s="168">
        <f t="shared" si="158"/>
        <v>12210.000000000002</v>
      </c>
      <c r="AZ346" s="168">
        <f t="shared" si="158"/>
        <v>11100.000000000002</v>
      </c>
      <c r="BA346" s="168">
        <f t="shared" si="158"/>
        <v>8880</v>
      </c>
      <c r="BB346" s="168">
        <f t="shared" si="158"/>
        <v>5550.0000000000009</v>
      </c>
      <c r="BC346" s="168">
        <f t="shared" si="158"/>
        <v>14430.000000000002</v>
      </c>
      <c r="BD346" s="168">
        <f t="shared" si="158"/>
        <v>11100.000000000002</v>
      </c>
      <c r="BE346" s="168">
        <f t="shared" si="158"/>
        <v>8880</v>
      </c>
      <c r="BF346" s="168">
        <f t="shared" si="158"/>
        <v>5550.0000000000009</v>
      </c>
      <c r="BG346" s="168">
        <f t="shared" si="158"/>
        <v>14430.000000000002</v>
      </c>
      <c r="BH346" s="168">
        <f t="shared" si="158"/>
        <v>11100.000000000002</v>
      </c>
      <c r="BI346" s="168">
        <f t="shared" si="158"/>
        <v>8880</v>
      </c>
    </row>
    <row r="347" spans="1:61" x14ac:dyDescent="0.25">
      <c r="A347" s="172" t="s">
        <v>477</v>
      </c>
      <c r="B347" s="173"/>
      <c r="C347" s="172" t="s">
        <v>497</v>
      </c>
      <c r="D347" s="173"/>
      <c r="E347" s="164"/>
      <c r="F347" s="166"/>
      <c r="G347" s="165"/>
      <c r="H347" s="170">
        <f t="shared" si="153"/>
        <v>1.125</v>
      </c>
      <c r="I347" s="171"/>
      <c r="J347" s="168">
        <f t="shared" si="154"/>
        <v>0</v>
      </c>
      <c r="K347" s="168">
        <f t="shared" ref="K347:BI347" si="159">$H347*E8*1.11</f>
        <v>6243.7500000000009</v>
      </c>
      <c r="L347" s="168">
        <f t="shared" si="159"/>
        <v>16233.750000000002</v>
      </c>
      <c r="M347" s="168">
        <f t="shared" si="159"/>
        <v>0</v>
      </c>
      <c r="N347" s="168">
        <f t="shared" si="159"/>
        <v>0</v>
      </c>
      <c r="O347" s="168">
        <f t="shared" si="159"/>
        <v>6243.7500000000009</v>
      </c>
      <c r="P347" s="168">
        <f t="shared" si="159"/>
        <v>16233.750000000002</v>
      </c>
      <c r="Q347" s="168">
        <f t="shared" si="159"/>
        <v>12487.500000000002</v>
      </c>
      <c r="R347" s="168">
        <f t="shared" si="159"/>
        <v>7492.5000000000009</v>
      </c>
      <c r="S347" s="168">
        <f t="shared" si="159"/>
        <v>6243.7500000000009</v>
      </c>
      <c r="T347" s="168">
        <f t="shared" si="159"/>
        <v>16233.750000000002</v>
      </c>
      <c r="U347" s="168">
        <f t="shared" si="159"/>
        <v>12487.500000000002</v>
      </c>
      <c r="V347" s="168">
        <f t="shared" si="159"/>
        <v>0</v>
      </c>
      <c r="W347" s="168">
        <f t="shared" si="159"/>
        <v>6243.7500000000009</v>
      </c>
      <c r="X347" s="168">
        <f t="shared" si="159"/>
        <v>16233.750000000002</v>
      </c>
      <c r="Y347" s="168">
        <f t="shared" si="159"/>
        <v>12487.500000000002</v>
      </c>
      <c r="Z347" s="168">
        <f t="shared" si="159"/>
        <v>0</v>
      </c>
      <c r="AA347" s="168">
        <f t="shared" si="159"/>
        <v>6243.7500000000009</v>
      </c>
      <c r="AB347" s="168">
        <f t="shared" si="159"/>
        <v>16233.750000000002</v>
      </c>
      <c r="AC347" s="168">
        <f t="shared" si="159"/>
        <v>12487.500000000002</v>
      </c>
      <c r="AD347" s="168">
        <f t="shared" si="159"/>
        <v>0</v>
      </c>
      <c r="AE347" s="168">
        <f t="shared" si="159"/>
        <v>6243.7500000000009</v>
      </c>
      <c r="AF347" s="168">
        <f t="shared" si="159"/>
        <v>11238.750000000002</v>
      </c>
      <c r="AG347" s="168">
        <f t="shared" si="159"/>
        <v>12487.500000000002</v>
      </c>
      <c r="AH347" s="168">
        <f t="shared" si="159"/>
        <v>0</v>
      </c>
      <c r="AI347" s="168">
        <f t="shared" si="159"/>
        <v>6243.7500000000009</v>
      </c>
      <c r="AJ347" s="168">
        <f t="shared" si="159"/>
        <v>16233.750000000002</v>
      </c>
      <c r="AK347" s="168">
        <f t="shared" si="159"/>
        <v>4995</v>
      </c>
      <c r="AL347" s="168">
        <f t="shared" si="159"/>
        <v>0</v>
      </c>
      <c r="AM347" s="168">
        <f t="shared" si="159"/>
        <v>6243.7500000000009</v>
      </c>
      <c r="AN347" s="168">
        <f t="shared" si="159"/>
        <v>16233.750000000002</v>
      </c>
      <c r="AO347" s="168">
        <f t="shared" si="159"/>
        <v>12487.500000000002</v>
      </c>
      <c r="AP347" s="168">
        <f t="shared" si="159"/>
        <v>0</v>
      </c>
      <c r="AQ347" s="168">
        <f t="shared" si="159"/>
        <v>6243.7500000000009</v>
      </c>
      <c r="AR347" s="168">
        <f t="shared" si="159"/>
        <v>11238.750000000002</v>
      </c>
      <c r="AS347" s="168">
        <f t="shared" si="159"/>
        <v>12487.500000000002</v>
      </c>
      <c r="AT347" s="168">
        <f t="shared" si="159"/>
        <v>0</v>
      </c>
      <c r="AU347" s="168">
        <f t="shared" si="159"/>
        <v>6243.7500000000009</v>
      </c>
      <c r="AV347" s="168">
        <f t="shared" si="159"/>
        <v>16233.750000000002</v>
      </c>
      <c r="AW347" s="168">
        <f t="shared" si="159"/>
        <v>4995</v>
      </c>
      <c r="AX347" s="168">
        <f t="shared" si="159"/>
        <v>0</v>
      </c>
      <c r="AY347" s="168">
        <f t="shared" si="159"/>
        <v>6243.7500000000009</v>
      </c>
      <c r="AZ347" s="168">
        <f t="shared" si="159"/>
        <v>16233.750000000002</v>
      </c>
      <c r="BA347" s="168">
        <f t="shared" si="159"/>
        <v>12487.500000000002</v>
      </c>
      <c r="BB347" s="168">
        <f t="shared" si="159"/>
        <v>6243.7500000000009</v>
      </c>
      <c r="BC347" s="168">
        <f t="shared" si="159"/>
        <v>6243.7500000000009</v>
      </c>
      <c r="BD347" s="168">
        <f t="shared" si="159"/>
        <v>16233.750000000002</v>
      </c>
      <c r="BE347" s="168">
        <f t="shared" si="159"/>
        <v>12487.500000000002</v>
      </c>
      <c r="BF347" s="168">
        <f t="shared" si="159"/>
        <v>7492.5000000000009</v>
      </c>
      <c r="BG347" s="168">
        <f t="shared" si="159"/>
        <v>6243.7500000000009</v>
      </c>
      <c r="BH347" s="168">
        <f t="shared" si="159"/>
        <v>11238.750000000002</v>
      </c>
      <c r="BI347" s="168">
        <f t="shared" si="159"/>
        <v>12487.500000000002</v>
      </c>
    </row>
    <row r="348" spans="1:61" x14ac:dyDescent="0.25">
      <c r="A348" s="172" t="s">
        <v>478</v>
      </c>
      <c r="B348" s="173"/>
      <c r="C348" s="172" t="s">
        <v>497</v>
      </c>
      <c r="D348" s="173"/>
      <c r="E348" s="164"/>
      <c r="F348" s="166"/>
      <c r="G348" s="165"/>
      <c r="H348" s="170">
        <f t="shared" si="153"/>
        <v>0.86250000000000004</v>
      </c>
      <c r="I348" s="171"/>
      <c r="J348" s="168">
        <f t="shared" si="154"/>
        <v>0</v>
      </c>
      <c r="K348" s="168">
        <f t="shared" ref="K348:BI348" si="160">$H348*E9*1.11</f>
        <v>2872.1250000000005</v>
      </c>
      <c r="L348" s="168">
        <f t="shared" si="160"/>
        <v>5744.2500000000009</v>
      </c>
      <c r="M348" s="168">
        <f t="shared" si="160"/>
        <v>10531.125000000002</v>
      </c>
      <c r="N348" s="168">
        <f t="shared" si="160"/>
        <v>0</v>
      </c>
      <c r="O348" s="168">
        <f t="shared" si="160"/>
        <v>0</v>
      </c>
      <c r="P348" s="168">
        <f t="shared" si="160"/>
        <v>4786.875</v>
      </c>
      <c r="Q348" s="168">
        <f t="shared" si="160"/>
        <v>12445.875000000002</v>
      </c>
      <c r="R348" s="168">
        <f t="shared" si="160"/>
        <v>0</v>
      </c>
      <c r="S348" s="168">
        <f t="shared" si="160"/>
        <v>0</v>
      </c>
      <c r="T348" s="168">
        <f t="shared" si="160"/>
        <v>4786.875</v>
      </c>
      <c r="U348" s="168">
        <f t="shared" si="160"/>
        <v>10531.125000000002</v>
      </c>
      <c r="V348" s="168">
        <f t="shared" si="160"/>
        <v>0</v>
      </c>
      <c r="W348" s="168">
        <f t="shared" si="160"/>
        <v>0</v>
      </c>
      <c r="X348" s="168">
        <f t="shared" si="160"/>
        <v>4786.875</v>
      </c>
      <c r="Y348" s="168">
        <f t="shared" si="160"/>
        <v>6701.6250000000009</v>
      </c>
      <c r="Z348" s="168">
        <f t="shared" si="160"/>
        <v>0</v>
      </c>
      <c r="AA348" s="168">
        <f t="shared" si="160"/>
        <v>0</v>
      </c>
      <c r="AB348" s="168">
        <f t="shared" si="160"/>
        <v>4786.875</v>
      </c>
      <c r="AC348" s="168">
        <f t="shared" si="160"/>
        <v>12445.875000000002</v>
      </c>
      <c r="AD348" s="168">
        <f t="shared" si="160"/>
        <v>0</v>
      </c>
      <c r="AE348" s="168">
        <f t="shared" si="160"/>
        <v>0</v>
      </c>
      <c r="AF348" s="168">
        <f t="shared" si="160"/>
        <v>4786.875</v>
      </c>
      <c r="AG348" s="168">
        <f t="shared" si="160"/>
        <v>12445.875000000002</v>
      </c>
      <c r="AH348" s="168">
        <f t="shared" si="160"/>
        <v>0</v>
      </c>
      <c r="AI348" s="168">
        <f t="shared" si="160"/>
        <v>0</v>
      </c>
      <c r="AJ348" s="168">
        <f t="shared" si="160"/>
        <v>4786.875</v>
      </c>
      <c r="AK348" s="168">
        <f t="shared" si="160"/>
        <v>12445.875000000002</v>
      </c>
      <c r="AL348" s="168">
        <f t="shared" si="160"/>
        <v>0</v>
      </c>
      <c r="AM348" s="168">
        <f t="shared" si="160"/>
        <v>0</v>
      </c>
      <c r="AN348" s="168">
        <f t="shared" si="160"/>
        <v>4786.875</v>
      </c>
      <c r="AO348" s="168">
        <f t="shared" si="160"/>
        <v>12445.875000000002</v>
      </c>
      <c r="AP348" s="168">
        <f t="shared" si="160"/>
        <v>0</v>
      </c>
      <c r="AQ348" s="168">
        <f t="shared" si="160"/>
        <v>0</v>
      </c>
      <c r="AR348" s="168">
        <f t="shared" si="160"/>
        <v>4786.875</v>
      </c>
      <c r="AS348" s="168">
        <f t="shared" si="160"/>
        <v>12445.875000000002</v>
      </c>
      <c r="AT348" s="168">
        <f t="shared" si="160"/>
        <v>0</v>
      </c>
      <c r="AU348" s="168">
        <f t="shared" si="160"/>
        <v>0</v>
      </c>
      <c r="AV348" s="168">
        <f t="shared" si="160"/>
        <v>4786.875</v>
      </c>
      <c r="AW348" s="168">
        <f t="shared" si="160"/>
        <v>12445.875000000002</v>
      </c>
      <c r="AX348" s="168">
        <f t="shared" si="160"/>
        <v>0</v>
      </c>
      <c r="AY348" s="168">
        <f t="shared" si="160"/>
        <v>0</v>
      </c>
      <c r="AZ348" s="168">
        <f t="shared" si="160"/>
        <v>4786.875</v>
      </c>
      <c r="BA348" s="168">
        <f t="shared" si="160"/>
        <v>12445.875000000002</v>
      </c>
      <c r="BB348" s="168">
        <f t="shared" si="160"/>
        <v>0</v>
      </c>
      <c r="BC348" s="168">
        <f t="shared" si="160"/>
        <v>0</v>
      </c>
      <c r="BD348" s="168">
        <f t="shared" si="160"/>
        <v>4786.875</v>
      </c>
      <c r="BE348" s="168">
        <f t="shared" si="160"/>
        <v>12445.875000000002</v>
      </c>
      <c r="BF348" s="168">
        <f t="shared" si="160"/>
        <v>0</v>
      </c>
      <c r="BG348" s="168">
        <f t="shared" si="160"/>
        <v>0</v>
      </c>
      <c r="BH348" s="168">
        <f t="shared" si="160"/>
        <v>4786.875</v>
      </c>
      <c r="BI348" s="168">
        <f t="shared" si="160"/>
        <v>12445.875000000002</v>
      </c>
    </row>
    <row r="349" spans="1:61" x14ac:dyDescent="0.25">
      <c r="A349" s="172" t="s">
        <v>479</v>
      </c>
      <c r="B349" s="173"/>
      <c r="C349" s="172" t="s">
        <v>497</v>
      </c>
      <c r="D349" s="173"/>
      <c r="E349" s="164"/>
      <c r="F349" s="166"/>
      <c r="G349" s="165"/>
      <c r="H349" s="170">
        <f t="shared" si="153"/>
        <v>0.97499999999999998</v>
      </c>
      <c r="I349" s="171"/>
      <c r="J349" s="168">
        <f t="shared" si="154"/>
        <v>0</v>
      </c>
      <c r="K349" s="168">
        <f t="shared" ref="K349:BI349" si="161">$H349*E10*1.11</f>
        <v>0</v>
      </c>
      <c r="L349" s="168">
        <f t="shared" si="161"/>
        <v>0</v>
      </c>
      <c r="M349" s="168">
        <f t="shared" si="161"/>
        <v>5411.2500000000009</v>
      </c>
      <c r="N349" s="168">
        <f t="shared" si="161"/>
        <v>0</v>
      </c>
      <c r="O349" s="168">
        <f t="shared" si="161"/>
        <v>0</v>
      </c>
      <c r="P349" s="168">
        <f t="shared" si="161"/>
        <v>0</v>
      </c>
      <c r="Q349" s="168">
        <f t="shared" si="161"/>
        <v>5411.2500000000009</v>
      </c>
      <c r="R349" s="168">
        <f t="shared" si="161"/>
        <v>0</v>
      </c>
      <c r="S349" s="168">
        <f t="shared" si="161"/>
        <v>0</v>
      </c>
      <c r="T349" s="168">
        <f t="shared" si="161"/>
        <v>0</v>
      </c>
      <c r="U349" s="168">
        <f t="shared" si="161"/>
        <v>5411.2500000000009</v>
      </c>
      <c r="V349" s="168">
        <f t="shared" si="161"/>
        <v>0</v>
      </c>
      <c r="W349" s="168">
        <f t="shared" si="161"/>
        <v>0</v>
      </c>
      <c r="X349" s="168">
        <f t="shared" si="161"/>
        <v>6493.5000000000009</v>
      </c>
      <c r="Y349" s="168">
        <f t="shared" si="161"/>
        <v>5411.2500000000009</v>
      </c>
      <c r="Z349" s="168">
        <f t="shared" si="161"/>
        <v>0</v>
      </c>
      <c r="AA349" s="168">
        <f t="shared" si="161"/>
        <v>0</v>
      </c>
      <c r="AB349" s="168">
        <f t="shared" si="161"/>
        <v>0</v>
      </c>
      <c r="AC349" s="168">
        <f t="shared" si="161"/>
        <v>5411.2500000000009</v>
      </c>
      <c r="AD349" s="168">
        <f t="shared" si="161"/>
        <v>6493.5000000000009</v>
      </c>
      <c r="AE349" s="168">
        <f t="shared" si="161"/>
        <v>0</v>
      </c>
      <c r="AF349" s="168">
        <f t="shared" si="161"/>
        <v>0</v>
      </c>
      <c r="AG349" s="168">
        <f t="shared" si="161"/>
        <v>5411.2500000000009</v>
      </c>
      <c r="AH349" s="168">
        <f t="shared" si="161"/>
        <v>0</v>
      </c>
      <c r="AI349" s="168">
        <f t="shared" si="161"/>
        <v>3246.7500000000005</v>
      </c>
      <c r="AJ349" s="168">
        <f t="shared" si="161"/>
        <v>0</v>
      </c>
      <c r="AK349" s="168">
        <f t="shared" si="161"/>
        <v>5411.2500000000009</v>
      </c>
      <c r="AL349" s="168">
        <f t="shared" si="161"/>
        <v>0</v>
      </c>
      <c r="AM349" s="168">
        <f t="shared" si="161"/>
        <v>0</v>
      </c>
      <c r="AN349" s="168">
        <f t="shared" si="161"/>
        <v>0</v>
      </c>
      <c r="AO349" s="168">
        <f t="shared" si="161"/>
        <v>5411.2500000000009</v>
      </c>
      <c r="AP349" s="168">
        <f t="shared" si="161"/>
        <v>6493.5000000000009</v>
      </c>
      <c r="AQ349" s="168">
        <f t="shared" si="161"/>
        <v>0</v>
      </c>
      <c r="AR349" s="168">
        <f t="shared" si="161"/>
        <v>0</v>
      </c>
      <c r="AS349" s="168">
        <f t="shared" si="161"/>
        <v>5411.2500000000009</v>
      </c>
      <c r="AT349" s="168">
        <f t="shared" si="161"/>
        <v>0</v>
      </c>
      <c r="AU349" s="168">
        <f t="shared" si="161"/>
        <v>0</v>
      </c>
      <c r="AV349" s="168">
        <f t="shared" si="161"/>
        <v>6493.5000000000009</v>
      </c>
      <c r="AW349" s="168">
        <f t="shared" si="161"/>
        <v>5411.2500000000009</v>
      </c>
      <c r="AX349" s="168">
        <f t="shared" si="161"/>
        <v>0</v>
      </c>
      <c r="AY349" s="168">
        <f t="shared" si="161"/>
        <v>0</v>
      </c>
      <c r="AZ349" s="168">
        <f t="shared" si="161"/>
        <v>0</v>
      </c>
      <c r="BA349" s="168">
        <f t="shared" si="161"/>
        <v>5411.2500000000009</v>
      </c>
      <c r="BB349" s="168">
        <f t="shared" si="161"/>
        <v>0</v>
      </c>
      <c r="BC349" s="168">
        <f t="shared" si="161"/>
        <v>0</v>
      </c>
      <c r="BD349" s="168">
        <f t="shared" si="161"/>
        <v>0</v>
      </c>
      <c r="BE349" s="168">
        <f t="shared" si="161"/>
        <v>5411.2500000000009</v>
      </c>
      <c r="BF349" s="168">
        <f t="shared" si="161"/>
        <v>0</v>
      </c>
      <c r="BG349" s="168">
        <f t="shared" si="161"/>
        <v>0</v>
      </c>
      <c r="BH349" s="168">
        <f t="shared" si="161"/>
        <v>0</v>
      </c>
      <c r="BI349" s="168">
        <f t="shared" si="161"/>
        <v>5411.2500000000009</v>
      </c>
    </row>
    <row r="350" spans="1:61" x14ac:dyDescent="0.25">
      <c r="A350" s="172" t="s">
        <v>481</v>
      </c>
      <c r="B350" s="173"/>
      <c r="C350" s="172" t="s">
        <v>498</v>
      </c>
      <c r="D350" s="173"/>
      <c r="E350" s="172"/>
      <c r="F350" s="174"/>
      <c r="G350" s="173"/>
      <c r="H350" s="170">
        <f>AL300</f>
        <v>0.875</v>
      </c>
      <c r="I350" s="171"/>
      <c r="J350" s="168">
        <f>$H350*D3*1.045</f>
        <v>8229.375</v>
      </c>
      <c r="K350" s="168">
        <f t="shared" ref="K350:BI350" si="162">$H350*E3*1.045</f>
        <v>0</v>
      </c>
      <c r="L350" s="168">
        <f t="shared" si="162"/>
        <v>4571.875</v>
      </c>
      <c r="M350" s="168">
        <f t="shared" si="162"/>
        <v>0</v>
      </c>
      <c r="N350" s="168">
        <f t="shared" si="162"/>
        <v>8229.375</v>
      </c>
      <c r="O350" s="168">
        <f t="shared" si="162"/>
        <v>0</v>
      </c>
      <c r="P350" s="168">
        <f t="shared" si="162"/>
        <v>0</v>
      </c>
      <c r="Q350" s="168">
        <f t="shared" si="162"/>
        <v>0</v>
      </c>
      <c r="R350" s="168">
        <f t="shared" si="162"/>
        <v>8229.375</v>
      </c>
      <c r="S350" s="168">
        <f t="shared" si="162"/>
        <v>0</v>
      </c>
      <c r="T350" s="168">
        <f t="shared" si="162"/>
        <v>0</v>
      </c>
      <c r="U350" s="168">
        <f t="shared" si="162"/>
        <v>0</v>
      </c>
      <c r="V350" s="168">
        <f t="shared" si="162"/>
        <v>8229.375</v>
      </c>
      <c r="W350" s="168">
        <f t="shared" si="162"/>
        <v>2743.125</v>
      </c>
      <c r="X350" s="168">
        <f t="shared" si="162"/>
        <v>0</v>
      </c>
      <c r="Y350" s="168">
        <f t="shared" si="162"/>
        <v>0</v>
      </c>
      <c r="Z350" s="168">
        <f t="shared" si="162"/>
        <v>8229.375</v>
      </c>
      <c r="AA350" s="168">
        <f t="shared" si="162"/>
        <v>0</v>
      </c>
      <c r="AB350" s="168">
        <f t="shared" si="162"/>
        <v>0</v>
      </c>
      <c r="AC350" s="168">
        <f t="shared" si="162"/>
        <v>2743.125</v>
      </c>
      <c r="AD350" s="168">
        <f t="shared" si="162"/>
        <v>8229.375</v>
      </c>
      <c r="AE350" s="168">
        <f t="shared" si="162"/>
        <v>0</v>
      </c>
      <c r="AF350" s="168">
        <f t="shared" si="162"/>
        <v>0</v>
      </c>
      <c r="AG350" s="168">
        <f t="shared" si="162"/>
        <v>0</v>
      </c>
      <c r="AH350" s="168">
        <f t="shared" si="162"/>
        <v>8229.375</v>
      </c>
      <c r="AI350" s="168">
        <f t="shared" si="162"/>
        <v>0</v>
      </c>
      <c r="AJ350" s="168">
        <f t="shared" si="162"/>
        <v>5486.25</v>
      </c>
      <c r="AK350" s="168">
        <f t="shared" si="162"/>
        <v>0</v>
      </c>
      <c r="AL350" s="168">
        <f t="shared" si="162"/>
        <v>8229.375</v>
      </c>
      <c r="AM350" s="168">
        <f t="shared" si="162"/>
        <v>0</v>
      </c>
      <c r="AN350" s="168">
        <f t="shared" si="162"/>
        <v>0</v>
      </c>
      <c r="AO350" s="168">
        <f t="shared" si="162"/>
        <v>2743.125</v>
      </c>
      <c r="AP350" s="168">
        <f t="shared" si="162"/>
        <v>8229.375</v>
      </c>
      <c r="AQ350" s="168">
        <f t="shared" si="162"/>
        <v>0</v>
      </c>
      <c r="AR350" s="168">
        <f t="shared" si="162"/>
        <v>0</v>
      </c>
      <c r="AS350" s="168">
        <f t="shared" si="162"/>
        <v>0</v>
      </c>
      <c r="AT350" s="168">
        <f t="shared" si="162"/>
        <v>8229.375</v>
      </c>
      <c r="AU350" s="168">
        <f t="shared" si="162"/>
        <v>2743.125</v>
      </c>
      <c r="AV350" s="168">
        <f t="shared" si="162"/>
        <v>0</v>
      </c>
      <c r="AW350" s="168">
        <f t="shared" si="162"/>
        <v>0</v>
      </c>
      <c r="AX350" s="168">
        <f t="shared" si="162"/>
        <v>8229.375</v>
      </c>
      <c r="AY350" s="168">
        <f t="shared" si="162"/>
        <v>0</v>
      </c>
      <c r="AZ350" s="168">
        <f t="shared" si="162"/>
        <v>4571.875</v>
      </c>
      <c r="BA350" s="168">
        <f t="shared" si="162"/>
        <v>0</v>
      </c>
      <c r="BB350" s="168">
        <f t="shared" si="162"/>
        <v>8229.375</v>
      </c>
      <c r="BC350" s="168">
        <f t="shared" si="162"/>
        <v>4571.875</v>
      </c>
      <c r="BD350" s="168">
        <f t="shared" si="162"/>
        <v>0</v>
      </c>
      <c r="BE350" s="168">
        <f t="shared" si="162"/>
        <v>0</v>
      </c>
      <c r="BF350" s="168">
        <f t="shared" si="162"/>
        <v>8229.375</v>
      </c>
      <c r="BG350" s="168">
        <f t="shared" si="162"/>
        <v>0</v>
      </c>
      <c r="BH350" s="168">
        <f t="shared" si="162"/>
        <v>0</v>
      </c>
      <c r="BI350" s="168">
        <f t="shared" si="162"/>
        <v>0</v>
      </c>
    </row>
    <row r="351" spans="1:61" x14ac:dyDescent="0.25">
      <c r="A351" s="172" t="s">
        <v>482</v>
      </c>
      <c r="B351" s="173"/>
      <c r="C351" s="172" t="s">
        <v>498</v>
      </c>
      <c r="D351" s="173"/>
      <c r="E351" s="164"/>
      <c r="F351" s="166"/>
      <c r="G351" s="165"/>
      <c r="H351" s="170">
        <f t="shared" ref="H351:H357" si="163">AL301</f>
        <v>1</v>
      </c>
      <c r="I351" s="171"/>
      <c r="J351" s="168">
        <f t="shared" ref="J351:J357" si="164">$H351*D4*1.045</f>
        <v>8360</v>
      </c>
      <c r="K351" s="168">
        <f t="shared" ref="K351:BI351" si="165">$H351*E4*1.045</f>
        <v>9405</v>
      </c>
      <c r="L351" s="168">
        <f t="shared" si="165"/>
        <v>0</v>
      </c>
      <c r="M351" s="168">
        <f t="shared" si="165"/>
        <v>6270</v>
      </c>
      <c r="N351" s="168">
        <f t="shared" si="165"/>
        <v>8360</v>
      </c>
      <c r="O351" s="168">
        <f t="shared" si="165"/>
        <v>9405</v>
      </c>
      <c r="P351" s="168">
        <f t="shared" si="165"/>
        <v>0</v>
      </c>
      <c r="Q351" s="168">
        <f t="shared" si="165"/>
        <v>3135</v>
      </c>
      <c r="R351" s="168">
        <f t="shared" si="165"/>
        <v>8360</v>
      </c>
      <c r="S351" s="168">
        <f t="shared" si="165"/>
        <v>9405</v>
      </c>
      <c r="T351" s="168">
        <f t="shared" si="165"/>
        <v>0</v>
      </c>
      <c r="U351" s="168">
        <f t="shared" si="165"/>
        <v>0</v>
      </c>
      <c r="V351" s="168">
        <f t="shared" si="165"/>
        <v>8360</v>
      </c>
      <c r="W351" s="168">
        <f t="shared" si="165"/>
        <v>9405</v>
      </c>
      <c r="X351" s="168">
        <f t="shared" si="165"/>
        <v>0</v>
      </c>
      <c r="Y351" s="168">
        <f t="shared" si="165"/>
        <v>0</v>
      </c>
      <c r="Z351" s="168">
        <f t="shared" si="165"/>
        <v>8360</v>
      </c>
      <c r="AA351" s="168">
        <f t="shared" si="165"/>
        <v>9405</v>
      </c>
      <c r="AB351" s="168">
        <f t="shared" si="165"/>
        <v>0</v>
      </c>
      <c r="AC351" s="168">
        <f t="shared" si="165"/>
        <v>0</v>
      </c>
      <c r="AD351" s="168">
        <f t="shared" si="165"/>
        <v>8360</v>
      </c>
      <c r="AE351" s="168">
        <f t="shared" si="165"/>
        <v>9405</v>
      </c>
      <c r="AF351" s="168">
        <f t="shared" si="165"/>
        <v>0</v>
      </c>
      <c r="AG351" s="168">
        <f t="shared" si="165"/>
        <v>0</v>
      </c>
      <c r="AH351" s="168">
        <f t="shared" si="165"/>
        <v>8360</v>
      </c>
      <c r="AI351" s="168">
        <f t="shared" si="165"/>
        <v>9405</v>
      </c>
      <c r="AJ351" s="168">
        <f t="shared" si="165"/>
        <v>0</v>
      </c>
      <c r="AK351" s="168">
        <f t="shared" si="165"/>
        <v>0</v>
      </c>
      <c r="AL351" s="168">
        <f t="shared" si="165"/>
        <v>8360</v>
      </c>
      <c r="AM351" s="168">
        <f t="shared" si="165"/>
        <v>9405</v>
      </c>
      <c r="AN351" s="168">
        <f t="shared" si="165"/>
        <v>0</v>
      </c>
      <c r="AO351" s="168">
        <f t="shared" si="165"/>
        <v>0</v>
      </c>
      <c r="AP351" s="168">
        <f t="shared" si="165"/>
        <v>8360</v>
      </c>
      <c r="AQ351" s="168">
        <f t="shared" si="165"/>
        <v>9405</v>
      </c>
      <c r="AR351" s="168">
        <f t="shared" si="165"/>
        <v>0</v>
      </c>
      <c r="AS351" s="168">
        <f t="shared" si="165"/>
        <v>0</v>
      </c>
      <c r="AT351" s="168">
        <f t="shared" si="165"/>
        <v>8360</v>
      </c>
      <c r="AU351" s="168">
        <f t="shared" si="165"/>
        <v>9405</v>
      </c>
      <c r="AV351" s="168">
        <f t="shared" si="165"/>
        <v>0</v>
      </c>
      <c r="AW351" s="168">
        <f t="shared" si="165"/>
        <v>0</v>
      </c>
      <c r="AX351" s="168">
        <f t="shared" si="165"/>
        <v>8360</v>
      </c>
      <c r="AY351" s="168">
        <f t="shared" si="165"/>
        <v>9405</v>
      </c>
      <c r="AZ351" s="168">
        <f t="shared" si="165"/>
        <v>0</v>
      </c>
      <c r="BA351" s="168">
        <f t="shared" si="165"/>
        <v>5225</v>
      </c>
      <c r="BB351" s="168">
        <f t="shared" si="165"/>
        <v>8360</v>
      </c>
      <c r="BC351" s="168">
        <f t="shared" si="165"/>
        <v>9405</v>
      </c>
      <c r="BD351" s="168">
        <f t="shared" si="165"/>
        <v>0</v>
      </c>
      <c r="BE351" s="168">
        <f t="shared" si="165"/>
        <v>3135</v>
      </c>
      <c r="BF351" s="168">
        <f t="shared" si="165"/>
        <v>8360</v>
      </c>
      <c r="BG351" s="168">
        <f t="shared" si="165"/>
        <v>3135</v>
      </c>
      <c r="BH351" s="168">
        <f t="shared" si="165"/>
        <v>0</v>
      </c>
      <c r="BI351" s="168">
        <f t="shared" si="165"/>
        <v>0</v>
      </c>
    </row>
    <row r="352" spans="1:61" x14ac:dyDescent="0.25">
      <c r="A352" s="172" t="s">
        <v>483</v>
      </c>
      <c r="B352" s="173"/>
      <c r="C352" s="172" t="s">
        <v>498</v>
      </c>
      <c r="D352" s="173"/>
      <c r="E352" s="164"/>
      <c r="F352" s="166"/>
      <c r="G352" s="165"/>
      <c r="H352" s="170">
        <f t="shared" si="163"/>
        <v>0.75</v>
      </c>
      <c r="I352" s="171"/>
      <c r="J352" s="168">
        <f t="shared" si="164"/>
        <v>7837.4999999999991</v>
      </c>
      <c r="K352" s="168">
        <f t="shared" ref="K352:BI352" si="166">$H352*E5*1.045</f>
        <v>6270</v>
      </c>
      <c r="L352" s="168">
        <f t="shared" si="166"/>
        <v>7053.7499999999991</v>
      </c>
      <c r="M352" s="168">
        <f t="shared" si="166"/>
        <v>0</v>
      </c>
      <c r="N352" s="168">
        <f t="shared" si="166"/>
        <v>7837.4999999999991</v>
      </c>
      <c r="O352" s="168">
        <f t="shared" si="166"/>
        <v>6270</v>
      </c>
      <c r="P352" s="168">
        <f t="shared" si="166"/>
        <v>7053.7499999999991</v>
      </c>
      <c r="Q352" s="168">
        <f t="shared" si="166"/>
        <v>0</v>
      </c>
      <c r="R352" s="168">
        <f t="shared" si="166"/>
        <v>7837.4999999999991</v>
      </c>
      <c r="S352" s="168">
        <f t="shared" si="166"/>
        <v>6270</v>
      </c>
      <c r="T352" s="168">
        <f t="shared" si="166"/>
        <v>7053.7499999999991</v>
      </c>
      <c r="U352" s="168">
        <f t="shared" si="166"/>
        <v>0</v>
      </c>
      <c r="V352" s="168">
        <f t="shared" si="166"/>
        <v>7837.4999999999991</v>
      </c>
      <c r="W352" s="168">
        <f t="shared" si="166"/>
        <v>6270</v>
      </c>
      <c r="X352" s="168">
        <f t="shared" si="166"/>
        <v>7053.7499999999991</v>
      </c>
      <c r="Y352" s="168">
        <f t="shared" si="166"/>
        <v>0</v>
      </c>
      <c r="Z352" s="168">
        <f t="shared" si="166"/>
        <v>7837.4999999999991</v>
      </c>
      <c r="AA352" s="168">
        <f t="shared" si="166"/>
        <v>6270</v>
      </c>
      <c r="AB352" s="168">
        <f t="shared" si="166"/>
        <v>7053.7499999999991</v>
      </c>
      <c r="AC352" s="168">
        <f t="shared" si="166"/>
        <v>0</v>
      </c>
      <c r="AD352" s="168">
        <f t="shared" si="166"/>
        <v>7837.4999999999991</v>
      </c>
      <c r="AE352" s="168">
        <f t="shared" si="166"/>
        <v>6270</v>
      </c>
      <c r="AF352" s="168">
        <f t="shared" si="166"/>
        <v>7053.7499999999991</v>
      </c>
      <c r="AG352" s="168">
        <f t="shared" si="166"/>
        <v>0</v>
      </c>
      <c r="AH352" s="168">
        <f t="shared" si="166"/>
        <v>7837.4999999999991</v>
      </c>
      <c r="AI352" s="168">
        <f t="shared" si="166"/>
        <v>6270</v>
      </c>
      <c r="AJ352" s="168">
        <f t="shared" si="166"/>
        <v>7053.7499999999991</v>
      </c>
      <c r="AK352" s="168">
        <f t="shared" si="166"/>
        <v>0</v>
      </c>
      <c r="AL352" s="168">
        <f t="shared" si="166"/>
        <v>7837.4999999999991</v>
      </c>
      <c r="AM352" s="168">
        <f t="shared" si="166"/>
        <v>6270</v>
      </c>
      <c r="AN352" s="168">
        <f t="shared" si="166"/>
        <v>7053.7499999999991</v>
      </c>
      <c r="AO352" s="168">
        <f t="shared" si="166"/>
        <v>0</v>
      </c>
      <c r="AP352" s="168">
        <f t="shared" si="166"/>
        <v>7837.4999999999991</v>
      </c>
      <c r="AQ352" s="168">
        <f t="shared" si="166"/>
        <v>6270</v>
      </c>
      <c r="AR352" s="168">
        <f t="shared" si="166"/>
        <v>7053.7499999999991</v>
      </c>
      <c r="AS352" s="168">
        <f t="shared" si="166"/>
        <v>0</v>
      </c>
      <c r="AT352" s="168">
        <f t="shared" si="166"/>
        <v>7837.4999999999991</v>
      </c>
      <c r="AU352" s="168">
        <f t="shared" si="166"/>
        <v>6270</v>
      </c>
      <c r="AV352" s="168">
        <f t="shared" si="166"/>
        <v>7053.7499999999991</v>
      </c>
      <c r="AW352" s="168">
        <f t="shared" si="166"/>
        <v>0</v>
      </c>
      <c r="AX352" s="168">
        <f t="shared" si="166"/>
        <v>7837.4999999999991</v>
      </c>
      <c r="AY352" s="168">
        <f t="shared" si="166"/>
        <v>6270</v>
      </c>
      <c r="AZ352" s="168">
        <f t="shared" si="166"/>
        <v>7053.7499999999991</v>
      </c>
      <c r="BA352" s="168">
        <f t="shared" si="166"/>
        <v>0</v>
      </c>
      <c r="BB352" s="168">
        <f t="shared" si="166"/>
        <v>7837.4999999999991</v>
      </c>
      <c r="BC352" s="168">
        <f t="shared" si="166"/>
        <v>6270</v>
      </c>
      <c r="BD352" s="168">
        <f t="shared" si="166"/>
        <v>7053.7499999999991</v>
      </c>
      <c r="BE352" s="168">
        <f t="shared" si="166"/>
        <v>0</v>
      </c>
      <c r="BF352" s="168">
        <f t="shared" si="166"/>
        <v>7837.4999999999991</v>
      </c>
      <c r="BG352" s="168">
        <f t="shared" si="166"/>
        <v>6270</v>
      </c>
      <c r="BH352" s="168">
        <f t="shared" si="166"/>
        <v>7053.7499999999991</v>
      </c>
      <c r="BI352" s="168">
        <f t="shared" si="166"/>
        <v>0</v>
      </c>
    </row>
    <row r="353" spans="1:61" x14ac:dyDescent="0.25">
      <c r="A353" s="172" t="s">
        <v>484</v>
      </c>
      <c r="B353" s="173"/>
      <c r="C353" s="172" t="s">
        <v>498</v>
      </c>
      <c r="D353" s="173"/>
      <c r="E353" s="164"/>
      <c r="F353" s="166"/>
      <c r="G353" s="165"/>
      <c r="H353" s="170">
        <f t="shared" si="163"/>
        <v>1.0625</v>
      </c>
      <c r="I353" s="171"/>
      <c r="J353" s="168">
        <f t="shared" si="164"/>
        <v>14434.062499999998</v>
      </c>
      <c r="K353" s="168">
        <f t="shared" ref="K353:BI353" si="167">$H353*E6*1.045</f>
        <v>11103.125</v>
      </c>
      <c r="L353" s="168">
        <f t="shared" si="167"/>
        <v>8882.5</v>
      </c>
      <c r="M353" s="168">
        <f t="shared" si="167"/>
        <v>9992.8125</v>
      </c>
      <c r="N353" s="168">
        <f t="shared" si="167"/>
        <v>9992.8125</v>
      </c>
      <c r="O353" s="168">
        <f t="shared" si="167"/>
        <v>11103.125</v>
      </c>
      <c r="P353" s="168">
        <f t="shared" si="167"/>
        <v>8882.5</v>
      </c>
      <c r="Q353" s="168">
        <f t="shared" si="167"/>
        <v>9992.8125</v>
      </c>
      <c r="R353" s="168">
        <f t="shared" si="167"/>
        <v>14434.062499999998</v>
      </c>
      <c r="S353" s="168">
        <f t="shared" si="167"/>
        <v>11103.125</v>
      </c>
      <c r="T353" s="168">
        <f t="shared" si="167"/>
        <v>8882.5</v>
      </c>
      <c r="U353" s="168">
        <f t="shared" si="167"/>
        <v>9992.8125</v>
      </c>
      <c r="V353" s="168">
        <f t="shared" si="167"/>
        <v>14434.062499999998</v>
      </c>
      <c r="W353" s="168">
        <f t="shared" si="167"/>
        <v>11103.125</v>
      </c>
      <c r="X353" s="168">
        <f t="shared" si="167"/>
        <v>8882.5</v>
      </c>
      <c r="Y353" s="168">
        <f t="shared" si="167"/>
        <v>9992.8125</v>
      </c>
      <c r="Z353" s="168">
        <f t="shared" si="167"/>
        <v>9992.8125</v>
      </c>
      <c r="AA353" s="168">
        <f t="shared" si="167"/>
        <v>8882.5</v>
      </c>
      <c r="AB353" s="168">
        <f t="shared" si="167"/>
        <v>8882.5</v>
      </c>
      <c r="AC353" s="168">
        <f t="shared" si="167"/>
        <v>9992.8125</v>
      </c>
      <c r="AD353" s="168">
        <f t="shared" si="167"/>
        <v>14434.062499999998</v>
      </c>
      <c r="AE353" s="168">
        <f t="shared" si="167"/>
        <v>11103.125</v>
      </c>
      <c r="AF353" s="168">
        <f t="shared" si="167"/>
        <v>8882.5</v>
      </c>
      <c r="AG353" s="168">
        <f t="shared" si="167"/>
        <v>7772.1874999999991</v>
      </c>
      <c r="AH353" s="168">
        <f t="shared" si="167"/>
        <v>14434.062499999998</v>
      </c>
      <c r="AI353" s="168">
        <f t="shared" si="167"/>
        <v>11103.125</v>
      </c>
      <c r="AJ353" s="168">
        <f t="shared" si="167"/>
        <v>8882.5</v>
      </c>
      <c r="AK353" s="168">
        <f t="shared" si="167"/>
        <v>9992.8125</v>
      </c>
      <c r="AL353" s="168">
        <f t="shared" si="167"/>
        <v>9992.8125</v>
      </c>
      <c r="AM353" s="168">
        <f t="shared" si="167"/>
        <v>11103.125</v>
      </c>
      <c r="AN353" s="168">
        <f t="shared" si="167"/>
        <v>8882.5</v>
      </c>
      <c r="AO353" s="168">
        <f t="shared" si="167"/>
        <v>9992.8125</v>
      </c>
      <c r="AP353" s="168">
        <f t="shared" si="167"/>
        <v>14434.062499999998</v>
      </c>
      <c r="AQ353" s="168">
        <f t="shared" si="167"/>
        <v>11103.125</v>
      </c>
      <c r="AR353" s="168">
        <f t="shared" si="167"/>
        <v>8882.5</v>
      </c>
      <c r="AS353" s="168">
        <f t="shared" si="167"/>
        <v>7772.1874999999991</v>
      </c>
      <c r="AT353" s="168">
        <f t="shared" si="167"/>
        <v>14434.062499999998</v>
      </c>
      <c r="AU353" s="168">
        <f t="shared" si="167"/>
        <v>11103.125</v>
      </c>
      <c r="AV353" s="168">
        <f t="shared" si="167"/>
        <v>8882.5</v>
      </c>
      <c r="AW353" s="168">
        <f t="shared" si="167"/>
        <v>9992.8125</v>
      </c>
      <c r="AX353" s="168">
        <f t="shared" si="167"/>
        <v>9992.8125</v>
      </c>
      <c r="AY353" s="168">
        <f t="shared" si="167"/>
        <v>11103.125</v>
      </c>
      <c r="AZ353" s="168">
        <f t="shared" si="167"/>
        <v>8882.5</v>
      </c>
      <c r="BA353" s="168">
        <f t="shared" si="167"/>
        <v>9992.8125</v>
      </c>
      <c r="BB353" s="168">
        <f t="shared" si="167"/>
        <v>14434.062499999998</v>
      </c>
      <c r="BC353" s="168">
        <f t="shared" si="167"/>
        <v>11103.125</v>
      </c>
      <c r="BD353" s="168">
        <f t="shared" si="167"/>
        <v>8882.5</v>
      </c>
      <c r="BE353" s="168">
        <f t="shared" si="167"/>
        <v>9992.8125</v>
      </c>
      <c r="BF353" s="168">
        <f t="shared" si="167"/>
        <v>14434.062499999998</v>
      </c>
      <c r="BG353" s="168">
        <f t="shared" si="167"/>
        <v>11103.125</v>
      </c>
      <c r="BH353" s="168">
        <f t="shared" si="167"/>
        <v>8882.5</v>
      </c>
      <c r="BI353" s="168">
        <f t="shared" si="167"/>
        <v>7772.1874999999991</v>
      </c>
    </row>
    <row r="354" spans="1:61" x14ac:dyDescent="0.25">
      <c r="A354" s="172" t="s">
        <v>485</v>
      </c>
      <c r="B354" s="173"/>
      <c r="C354" s="172" t="s">
        <v>498</v>
      </c>
      <c r="D354" s="173"/>
      <c r="E354" s="164"/>
      <c r="F354" s="166"/>
      <c r="G354" s="165"/>
      <c r="H354" s="170">
        <f t="shared" si="163"/>
        <v>1</v>
      </c>
      <c r="I354" s="171"/>
      <c r="J354" s="168">
        <f t="shared" si="164"/>
        <v>5225</v>
      </c>
      <c r="K354" s="168">
        <f t="shared" ref="K354:BI354" si="168">$H354*E7*1.045</f>
        <v>13584.999999999998</v>
      </c>
      <c r="L354" s="168">
        <f t="shared" si="168"/>
        <v>10450</v>
      </c>
      <c r="M354" s="168">
        <f t="shared" si="168"/>
        <v>8360</v>
      </c>
      <c r="N354" s="168">
        <f t="shared" si="168"/>
        <v>5225</v>
      </c>
      <c r="O354" s="168">
        <f t="shared" si="168"/>
        <v>11495</v>
      </c>
      <c r="P354" s="168">
        <f t="shared" si="168"/>
        <v>10450</v>
      </c>
      <c r="Q354" s="168">
        <f t="shared" si="168"/>
        <v>8360</v>
      </c>
      <c r="R354" s="168">
        <f t="shared" si="168"/>
        <v>5225</v>
      </c>
      <c r="S354" s="168">
        <f t="shared" si="168"/>
        <v>7314.9999999999991</v>
      </c>
      <c r="T354" s="168">
        <f t="shared" si="168"/>
        <v>6270</v>
      </c>
      <c r="U354" s="168">
        <f t="shared" si="168"/>
        <v>8360</v>
      </c>
      <c r="V354" s="168">
        <f t="shared" si="168"/>
        <v>5225</v>
      </c>
      <c r="W354" s="168">
        <f t="shared" si="168"/>
        <v>13584.999999999998</v>
      </c>
      <c r="X354" s="168">
        <f t="shared" si="168"/>
        <v>10450</v>
      </c>
      <c r="Y354" s="168">
        <f t="shared" si="168"/>
        <v>8360</v>
      </c>
      <c r="Z354" s="168">
        <f t="shared" si="168"/>
        <v>5225</v>
      </c>
      <c r="AA354" s="168">
        <f t="shared" si="168"/>
        <v>13584.999999999998</v>
      </c>
      <c r="AB354" s="168">
        <f t="shared" si="168"/>
        <v>10450</v>
      </c>
      <c r="AC354" s="168">
        <f t="shared" si="168"/>
        <v>8360</v>
      </c>
      <c r="AD354" s="168">
        <f t="shared" si="168"/>
        <v>5225</v>
      </c>
      <c r="AE354" s="168">
        <f t="shared" si="168"/>
        <v>7314.9999999999991</v>
      </c>
      <c r="AF354" s="168">
        <f t="shared" si="168"/>
        <v>10450</v>
      </c>
      <c r="AG354" s="168">
        <f t="shared" si="168"/>
        <v>8360</v>
      </c>
      <c r="AH354" s="168">
        <f t="shared" si="168"/>
        <v>5225</v>
      </c>
      <c r="AI354" s="168">
        <f t="shared" si="168"/>
        <v>13584.999999999998</v>
      </c>
      <c r="AJ354" s="168">
        <f t="shared" si="168"/>
        <v>10450</v>
      </c>
      <c r="AK354" s="168">
        <f t="shared" si="168"/>
        <v>8360</v>
      </c>
      <c r="AL354" s="168">
        <f t="shared" si="168"/>
        <v>5225</v>
      </c>
      <c r="AM354" s="168">
        <f t="shared" si="168"/>
        <v>11495</v>
      </c>
      <c r="AN354" s="168">
        <f t="shared" si="168"/>
        <v>10450</v>
      </c>
      <c r="AO354" s="168">
        <f t="shared" si="168"/>
        <v>8360</v>
      </c>
      <c r="AP354" s="168">
        <f t="shared" si="168"/>
        <v>5225</v>
      </c>
      <c r="AQ354" s="168">
        <f t="shared" si="168"/>
        <v>7314.9999999999991</v>
      </c>
      <c r="AR354" s="168">
        <f t="shared" si="168"/>
        <v>10450</v>
      </c>
      <c r="AS354" s="168">
        <f t="shared" si="168"/>
        <v>8360</v>
      </c>
      <c r="AT354" s="168">
        <f t="shared" si="168"/>
        <v>5225</v>
      </c>
      <c r="AU354" s="168">
        <f t="shared" si="168"/>
        <v>13584.999999999998</v>
      </c>
      <c r="AV354" s="168">
        <f t="shared" si="168"/>
        <v>10450</v>
      </c>
      <c r="AW354" s="168">
        <f t="shared" si="168"/>
        <v>8360</v>
      </c>
      <c r="AX354" s="168">
        <f t="shared" si="168"/>
        <v>5225</v>
      </c>
      <c r="AY354" s="168">
        <f t="shared" si="168"/>
        <v>11495</v>
      </c>
      <c r="AZ354" s="168">
        <f t="shared" si="168"/>
        <v>10450</v>
      </c>
      <c r="BA354" s="168">
        <f t="shared" si="168"/>
        <v>8360</v>
      </c>
      <c r="BB354" s="168">
        <f t="shared" si="168"/>
        <v>5225</v>
      </c>
      <c r="BC354" s="168">
        <f t="shared" si="168"/>
        <v>13584.999999999998</v>
      </c>
      <c r="BD354" s="168">
        <f t="shared" si="168"/>
        <v>10450</v>
      </c>
      <c r="BE354" s="168">
        <f t="shared" si="168"/>
        <v>8360</v>
      </c>
      <c r="BF354" s="168">
        <f t="shared" si="168"/>
        <v>5225</v>
      </c>
      <c r="BG354" s="168">
        <f t="shared" si="168"/>
        <v>13584.999999999998</v>
      </c>
      <c r="BH354" s="168">
        <f t="shared" si="168"/>
        <v>10450</v>
      </c>
      <c r="BI354" s="168">
        <f t="shared" si="168"/>
        <v>8360</v>
      </c>
    </row>
    <row r="355" spans="1:61" x14ac:dyDescent="0.25">
      <c r="A355" s="172" t="s">
        <v>486</v>
      </c>
      <c r="B355" s="173"/>
      <c r="C355" s="172" t="s">
        <v>498</v>
      </c>
      <c r="D355" s="173"/>
      <c r="E355" s="164"/>
      <c r="F355" s="166"/>
      <c r="G355" s="165"/>
      <c r="H355" s="170">
        <f t="shared" si="163"/>
        <v>1.125</v>
      </c>
      <c r="I355" s="171"/>
      <c r="J355" s="168">
        <f t="shared" si="164"/>
        <v>0</v>
      </c>
      <c r="K355" s="168">
        <f t="shared" ref="K355:BI355" si="169">$H355*E8*1.045</f>
        <v>5878.125</v>
      </c>
      <c r="L355" s="168">
        <f t="shared" si="169"/>
        <v>15283.124999999998</v>
      </c>
      <c r="M355" s="168">
        <f t="shared" si="169"/>
        <v>0</v>
      </c>
      <c r="N355" s="168">
        <f t="shared" si="169"/>
        <v>0</v>
      </c>
      <c r="O355" s="168">
        <f t="shared" si="169"/>
        <v>5878.125</v>
      </c>
      <c r="P355" s="168">
        <f t="shared" si="169"/>
        <v>15283.124999999998</v>
      </c>
      <c r="Q355" s="168">
        <f t="shared" si="169"/>
        <v>11756.25</v>
      </c>
      <c r="R355" s="168">
        <f t="shared" si="169"/>
        <v>7053.7499999999991</v>
      </c>
      <c r="S355" s="168">
        <f t="shared" si="169"/>
        <v>5878.125</v>
      </c>
      <c r="T355" s="168">
        <f t="shared" si="169"/>
        <v>15283.124999999998</v>
      </c>
      <c r="U355" s="168">
        <f t="shared" si="169"/>
        <v>11756.25</v>
      </c>
      <c r="V355" s="168">
        <f t="shared" si="169"/>
        <v>0</v>
      </c>
      <c r="W355" s="168">
        <f t="shared" si="169"/>
        <v>5878.125</v>
      </c>
      <c r="X355" s="168">
        <f t="shared" si="169"/>
        <v>15283.124999999998</v>
      </c>
      <c r="Y355" s="168">
        <f t="shared" si="169"/>
        <v>11756.25</v>
      </c>
      <c r="Z355" s="168">
        <f t="shared" si="169"/>
        <v>0</v>
      </c>
      <c r="AA355" s="168">
        <f t="shared" si="169"/>
        <v>5878.125</v>
      </c>
      <c r="AB355" s="168">
        <f t="shared" si="169"/>
        <v>15283.124999999998</v>
      </c>
      <c r="AC355" s="168">
        <f t="shared" si="169"/>
        <v>11756.25</v>
      </c>
      <c r="AD355" s="168">
        <f t="shared" si="169"/>
        <v>0</v>
      </c>
      <c r="AE355" s="168">
        <f t="shared" si="169"/>
        <v>5878.125</v>
      </c>
      <c r="AF355" s="168">
        <f t="shared" si="169"/>
        <v>10580.625</v>
      </c>
      <c r="AG355" s="168">
        <f t="shared" si="169"/>
        <v>11756.25</v>
      </c>
      <c r="AH355" s="168">
        <f t="shared" si="169"/>
        <v>0</v>
      </c>
      <c r="AI355" s="168">
        <f t="shared" si="169"/>
        <v>5878.125</v>
      </c>
      <c r="AJ355" s="168">
        <f t="shared" si="169"/>
        <v>15283.124999999998</v>
      </c>
      <c r="AK355" s="168">
        <f t="shared" si="169"/>
        <v>4702.5</v>
      </c>
      <c r="AL355" s="168">
        <f t="shared" si="169"/>
        <v>0</v>
      </c>
      <c r="AM355" s="168">
        <f t="shared" si="169"/>
        <v>5878.125</v>
      </c>
      <c r="AN355" s="168">
        <f t="shared" si="169"/>
        <v>15283.124999999998</v>
      </c>
      <c r="AO355" s="168">
        <f t="shared" si="169"/>
        <v>11756.25</v>
      </c>
      <c r="AP355" s="168">
        <f t="shared" si="169"/>
        <v>0</v>
      </c>
      <c r="AQ355" s="168">
        <f t="shared" si="169"/>
        <v>5878.125</v>
      </c>
      <c r="AR355" s="168">
        <f t="shared" si="169"/>
        <v>10580.625</v>
      </c>
      <c r="AS355" s="168">
        <f t="shared" si="169"/>
        <v>11756.25</v>
      </c>
      <c r="AT355" s="168">
        <f t="shared" si="169"/>
        <v>0</v>
      </c>
      <c r="AU355" s="168">
        <f t="shared" si="169"/>
        <v>5878.125</v>
      </c>
      <c r="AV355" s="168">
        <f t="shared" si="169"/>
        <v>15283.124999999998</v>
      </c>
      <c r="AW355" s="168">
        <f t="shared" si="169"/>
        <v>4702.5</v>
      </c>
      <c r="AX355" s="168">
        <f t="shared" si="169"/>
        <v>0</v>
      </c>
      <c r="AY355" s="168">
        <f t="shared" si="169"/>
        <v>5878.125</v>
      </c>
      <c r="AZ355" s="168">
        <f t="shared" si="169"/>
        <v>15283.124999999998</v>
      </c>
      <c r="BA355" s="168">
        <f t="shared" si="169"/>
        <v>11756.25</v>
      </c>
      <c r="BB355" s="168">
        <f t="shared" si="169"/>
        <v>5878.125</v>
      </c>
      <c r="BC355" s="168">
        <f t="shared" si="169"/>
        <v>5878.125</v>
      </c>
      <c r="BD355" s="168">
        <f t="shared" si="169"/>
        <v>15283.124999999998</v>
      </c>
      <c r="BE355" s="168">
        <f t="shared" si="169"/>
        <v>11756.25</v>
      </c>
      <c r="BF355" s="168">
        <f t="shared" si="169"/>
        <v>7053.7499999999991</v>
      </c>
      <c r="BG355" s="168">
        <f t="shared" si="169"/>
        <v>5878.125</v>
      </c>
      <c r="BH355" s="168">
        <f t="shared" si="169"/>
        <v>10580.625</v>
      </c>
      <c r="BI355" s="168">
        <f t="shared" si="169"/>
        <v>11756.25</v>
      </c>
    </row>
    <row r="356" spans="1:61" x14ac:dyDescent="0.25">
      <c r="A356" s="172" t="s">
        <v>487</v>
      </c>
      <c r="B356" s="173"/>
      <c r="C356" s="172" t="s">
        <v>498</v>
      </c>
      <c r="D356" s="173"/>
      <c r="E356" s="164"/>
      <c r="F356" s="166"/>
      <c r="G356" s="165"/>
      <c r="H356" s="170">
        <f t="shared" si="163"/>
        <v>0.86250000000000004</v>
      </c>
      <c r="I356" s="171"/>
      <c r="J356" s="168">
        <f t="shared" si="164"/>
        <v>0</v>
      </c>
      <c r="K356" s="168">
        <f t="shared" ref="K356:BI356" si="170">$H356*E9*1.045</f>
        <v>2703.9375</v>
      </c>
      <c r="L356" s="168">
        <f t="shared" si="170"/>
        <v>5407.875</v>
      </c>
      <c r="M356" s="168">
        <f t="shared" si="170"/>
        <v>9914.4375</v>
      </c>
      <c r="N356" s="168">
        <f t="shared" si="170"/>
        <v>0</v>
      </c>
      <c r="O356" s="168">
        <f t="shared" si="170"/>
        <v>0</v>
      </c>
      <c r="P356" s="168">
        <f t="shared" si="170"/>
        <v>4506.5625</v>
      </c>
      <c r="Q356" s="168">
        <f t="shared" si="170"/>
        <v>11717.0625</v>
      </c>
      <c r="R356" s="168">
        <f t="shared" si="170"/>
        <v>0</v>
      </c>
      <c r="S356" s="168">
        <f t="shared" si="170"/>
        <v>0</v>
      </c>
      <c r="T356" s="168">
        <f t="shared" si="170"/>
        <v>4506.5625</v>
      </c>
      <c r="U356" s="168">
        <f t="shared" si="170"/>
        <v>9914.4375</v>
      </c>
      <c r="V356" s="168">
        <f t="shared" si="170"/>
        <v>0</v>
      </c>
      <c r="W356" s="168">
        <f t="shared" si="170"/>
        <v>0</v>
      </c>
      <c r="X356" s="168">
        <f t="shared" si="170"/>
        <v>4506.5625</v>
      </c>
      <c r="Y356" s="168">
        <f t="shared" si="170"/>
        <v>6309.1875</v>
      </c>
      <c r="Z356" s="168">
        <f t="shared" si="170"/>
        <v>0</v>
      </c>
      <c r="AA356" s="168">
        <f t="shared" si="170"/>
        <v>0</v>
      </c>
      <c r="AB356" s="168">
        <f t="shared" si="170"/>
        <v>4506.5625</v>
      </c>
      <c r="AC356" s="168">
        <f t="shared" si="170"/>
        <v>11717.0625</v>
      </c>
      <c r="AD356" s="168">
        <f t="shared" si="170"/>
        <v>0</v>
      </c>
      <c r="AE356" s="168">
        <f t="shared" si="170"/>
        <v>0</v>
      </c>
      <c r="AF356" s="168">
        <f t="shared" si="170"/>
        <v>4506.5625</v>
      </c>
      <c r="AG356" s="168">
        <f t="shared" si="170"/>
        <v>11717.0625</v>
      </c>
      <c r="AH356" s="168">
        <f t="shared" si="170"/>
        <v>0</v>
      </c>
      <c r="AI356" s="168">
        <f t="shared" si="170"/>
        <v>0</v>
      </c>
      <c r="AJ356" s="168">
        <f t="shared" si="170"/>
        <v>4506.5625</v>
      </c>
      <c r="AK356" s="168">
        <f t="shared" si="170"/>
        <v>11717.0625</v>
      </c>
      <c r="AL356" s="168">
        <f t="shared" si="170"/>
        <v>0</v>
      </c>
      <c r="AM356" s="168">
        <f t="shared" si="170"/>
        <v>0</v>
      </c>
      <c r="AN356" s="168">
        <f t="shared" si="170"/>
        <v>4506.5625</v>
      </c>
      <c r="AO356" s="168">
        <f t="shared" si="170"/>
        <v>11717.0625</v>
      </c>
      <c r="AP356" s="168">
        <f t="shared" si="170"/>
        <v>0</v>
      </c>
      <c r="AQ356" s="168">
        <f t="shared" si="170"/>
        <v>0</v>
      </c>
      <c r="AR356" s="168">
        <f t="shared" si="170"/>
        <v>4506.5625</v>
      </c>
      <c r="AS356" s="168">
        <f t="shared" si="170"/>
        <v>11717.0625</v>
      </c>
      <c r="AT356" s="168">
        <f t="shared" si="170"/>
        <v>0</v>
      </c>
      <c r="AU356" s="168">
        <f t="shared" si="170"/>
        <v>0</v>
      </c>
      <c r="AV356" s="168">
        <f t="shared" si="170"/>
        <v>4506.5625</v>
      </c>
      <c r="AW356" s="168">
        <f t="shared" si="170"/>
        <v>11717.0625</v>
      </c>
      <c r="AX356" s="168">
        <f t="shared" si="170"/>
        <v>0</v>
      </c>
      <c r="AY356" s="168">
        <f t="shared" si="170"/>
        <v>0</v>
      </c>
      <c r="AZ356" s="168">
        <f t="shared" si="170"/>
        <v>4506.5625</v>
      </c>
      <c r="BA356" s="168">
        <f t="shared" si="170"/>
        <v>11717.0625</v>
      </c>
      <c r="BB356" s="168">
        <f t="shared" si="170"/>
        <v>0</v>
      </c>
      <c r="BC356" s="168">
        <f t="shared" si="170"/>
        <v>0</v>
      </c>
      <c r="BD356" s="168">
        <f t="shared" si="170"/>
        <v>4506.5625</v>
      </c>
      <c r="BE356" s="168">
        <f t="shared" si="170"/>
        <v>11717.0625</v>
      </c>
      <c r="BF356" s="168">
        <f t="shared" si="170"/>
        <v>0</v>
      </c>
      <c r="BG356" s="168">
        <f t="shared" si="170"/>
        <v>0</v>
      </c>
      <c r="BH356" s="168">
        <f t="shared" si="170"/>
        <v>4506.5625</v>
      </c>
      <c r="BI356" s="168">
        <f t="shared" si="170"/>
        <v>11717.0625</v>
      </c>
    </row>
    <row r="357" spans="1:61" x14ac:dyDescent="0.25">
      <c r="A357" s="172" t="s">
        <v>488</v>
      </c>
      <c r="B357" s="173"/>
      <c r="C357" s="172" t="s">
        <v>498</v>
      </c>
      <c r="D357" s="173"/>
      <c r="E357" s="164"/>
      <c r="F357" s="166"/>
      <c r="G357" s="165"/>
      <c r="H357" s="170">
        <f t="shared" si="163"/>
        <v>0.97499999999999998</v>
      </c>
      <c r="I357" s="171"/>
      <c r="J357" s="168">
        <f t="shared" si="164"/>
        <v>0</v>
      </c>
      <c r="K357" s="168">
        <f t="shared" ref="K357:BI357" si="171">$H357*E10*1.045</f>
        <v>0</v>
      </c>
      <c r="L357" s="168">
        <f t="shared" si="171"/>
        <v>0</v>
      </c>
      <c r="M357" s="168">
        <f t="shared" si="171"/>
        <v>5094.375</v>
      </c>
      <c r="N357" s="168">
        <f t="shared" si="171"/>
        <v>0</v>
      </c>
      <c r="O357" s="168">
        <f t="shared" si="171"/>
        <v>0</v>
      </c>
      <c r="P357" s="168">
        <f t="shared" si="171"/>
        <v>0</v>
      </c>
      <c r="Q357" s="168">
        <f t="shared" si="171"/>
        <v>5094.375</v>
      </c>
      <c r="R357" s="168">
        <f t="shared" si="171"/>
        <v>0</v>
      </c>
      <c r="S357" s="168">
        <f t="shared" si="171"/>
        <v>0</v>
      </c>
      <c r="T357" s="168">
        <f t="shared" si="171"/>
        <v>0</v>
      </c>
      <c r="U357" s="168">
        <f t="shared" si="171"/>
        <v>5094.375</v>
      </c>
      <c r="V357" s="168">
        <f t="shared" si="171"/>
        <v>0</v>
      </c>
      <c r="W357" s="168">
        <f t="shared" si="171"/>
        <v>0</v>
      </c>
      <c r="X357" s="168">
        <f t="shared" si="171"/>
        <v>6113.25</v>
      </c>
      <c r="Y357" s="168">
        <f t="shared" si="171"/>
        <v>5094.375</v>
      </c>
      <c r="Z357" s="168">
        <f t="shared" si="171"/>
        <v>0</v>
      </c>
      <c r="AA357" s="168">
        <f t="shared" si="171"/>
        <v>0</v>
      </c>
      <c r="AB357" s="168">
        <f t="shared" si="171"/>
        <v>0</v>
      </c>
      <c r="AC357" s="168">
        <f t="shared" si="171"/>
        <v>5094.375</v>
      </c>
      <c r="AD357" s="168">
        <f t="shared" si="171"/>
        <v>6113.25</v>
      </c>
      <c r="AE357" s="168">
        <f t="shared" si="171"/>
        <v>0</v>
      </c>
      <c r="AF357" s="168">
        <f t="shared" si="171"/>
        <v>0</v>
      </c>
      <c r="AG357" s="168">
        <f t="shared" si="171"/>
        <v>5094.375</v>
      </c>
      <c r="AH357" s="168">
        <f t="shared" si="171"/>
        <v>0</v>
      </c>
      <c r="AI357" s="168">
        <f t="shared" si="171"/>
        <v>3056.625</v>
      </c>
      <c r="AJ357" s="168">
        <f t="shared" si="171"/>
        <v>0</v>
      </c>
      <c r="AK357" s="168">
        <f t="shared" si="171"/>
        <v>5094.375</v>
      </c>
      <c r="AL357" s="168">
        <f t="shared" si="171"/>
        <v>0</v>
      </c>
      <c r="AM357" s="168">
        <f t="shared" si="171"/>
        <v>0</v>
      </c>
      <c r="AN357" s="168">
        <f t="shared" si="171"/>
        <v>0</v>
      </c>
      <c r="AO357" s="168">
        <f t="shared" si="171"/>
        <v>5094.375</v>
      </c>
      <c r="AP357" s="168">
        <f t="shared" si="171"/>
        <v>6113.25</v>
      </c>
      <c r="AQ357" s="168">
        <f t="shared" si="171"/>
        <v>0</v>
      </c>
      <c r="AR357" s="168">
        <f t="shared" si="171"/>
        <v>0</v>
      </c>
      <c r="AS357" s="168">
        <f t="shared" si="171"/>
        <v>5094.375</v>
      </c>
      <c r="AT357" s="168">
        <f t="shared" si="171"/>
        <v>0</v>
      </c>
      <c r="AU357" s="168">
        <f t="shared" si="171"/>
        <v>0</v>
      </c>
      <c r="AV357" s="168">
        <f t="shared" si="171"/>
        <v>6113.25</v>
      </c>
      <c r="AW357" s="168">
        <f t="shared" si="171"/>
        <v>5094.375</v>
      </c>
      <c r="AX357" s="168">
        <f t="shared" si="171"/>
        <v>0</v>
      </c>
      <c r="AY357" s="168">
        <f t="shared" si="171"/>
        <v>0</v>
      </c>
      <c r="AZ357" s="168">
        <f t="shared" si="171"/>
        <v>0</v>
      </c>
      <c r="BA357" s="168">
        <f t="shared" si="171"/>
        <v>5094.375</v>
      </c>
      <c r="BB357" s="168">
        <f t="shared" si="171"/>
        <v>0</v>
      </c>
      <c r="BC357" s="168">
        <f t="shared" si="171"/>
        <v>0</v>
      </c>
      <c r="BD357" s="168">
        <f t="shared" si="171"/>
        <v>0</v>
      </c>
      <c r="BE357" s="168">
        <f t="shared" si="171"/>
        <v>5094.375</v>
      </c>
      <c r="BF357" s="168">
        <f t="shared" si="171"/>
        <v>0</v>
      </c>
      <c r="BG357" s="168">
        <f t="shared" si="171"/>
        <v>0</v>
      </c>
      <c r="BH357" s="168">
        <f t="shared" si="171"/>
        <v>0</v>
      </c>
      <c r="BI357" s="168">
        <f t="shared" si="171"/>
        <v>5094.375</v>
      </c>
    </row>
    <row r="358" spans="1:61" x14ac:dyDescent="0.25">
      <c r="A358" s="172" t="s">
        <v>489</v>
      </c>
      <c r="B358" s="173"/>
      <c r="C358" s="172" t="s">
        <v>450</v>
      </c>
      <c r="D358" s="173"/>
      <c r="E358" s="172"/>
      <c r="F358" s="174"/>
      <c r="G358" s="173"/>
      <c r="H358" s="170">
        <f>AM300</f>
        <v>1.75</v>
      </c>
      <c r="I358" s="171"/>
      <c r="J358" s="168">
        <f>$H358*D3*1.026</f>
        <v>16159.5</v>
      </c>
      <c r="K358" s="168">
        <f t="shared" ref="K358:BI358" si="172">$H358*E3*1.026</f>
        <v>0</v>
      </c>
      <c r="L358" s="168">
        <f t="shared" si="172"/>
        <v>8977.5</v>
      </c>
      <c r="M358" s="168">
        <f t="shared" si="172"/>
        <v>0</v>
      </c>
      <c r="N358" s="168">
        <f t="shared" si="172"/>
        <v>16159.5</v>
      </c>
      <c r="O358" s="168">
        <f t="shared" si="172"/>
        <v>0</v>
      </c>
      <c r="P358" s="168">
        <f t="shared" si="172"/>
        <v>0</v>
      </c>
      <c r="Q358" s="168">
        <f t="shared" si="172"/>
        <v>0</v>
      </c>
      <c r="R358" s="168">
        <f t="shared" si="172"/>
        <v>16159.5</v>
      </c>
      <c r="S358" s="168">
        <f t="shared" si="172"/>
        <v>0</v>
      </c>
      <c r="T358" s="168">
        <f t="shared" si="172"/>
        <v>0</v>
      </c>
      <c r="U358" s="168">
        <f t="shared" si="172"/>
        <v>0</v>
      </c>
      <c r="V358" s="168">
        <f t="shared" si="172"/>
        <v>16159.5</v>
      </c>
      <c r="W358" s="168">
        <f t="shared" si="172"/>
        <v>5386.5</v>
      </c>
      <c r="X358" s="168">
        <f t="shared" si="172"/>
        <v>0</v>
      </c>
      <c r="Y358" s="168">
        <f t="shared" si="172"/>
        <v>0</v>
      </c>
      <c r="Z358" s="168">
        <f t="shared" si="172"/>
        <v>16159.5</v>
      </c>
      <c r="AA358" s="168">
        <f t="shared" si="172"/>
        <v>0</v>
      </c>
      <c r="AB358" s="168">
        <f t="shared" si="172"/>
        <v>0</v>
      </c>
      <c r="AC358" s="168">
        <f t="shared" si="172"/>
        <v>5386.5</v>
      </c>
      <c r="AD358" s="168">
        <f t="shared" si="172"/>
        <v>16159.5</v>
      </c>
      <c r="AE358" s="168">
        <f t="shared" si="172"/>
        <v>0</v>
      </c>
      <c r="AF358" s="168">
        <f t="shared" si="172"/>
        <v>0</v>
      </c>
      <c r="AG358" s="168">
        <f t="shared" si="172"/>
        <v>0</v>
      </c>
      <c r="AH358" s="168">
        <f t="shared" si="172"/>
        <v>16159.5</v>
      </c>
      <c r="AI358" s="168">
        <f t="shared" si="172"/>
        <v>0</v>
      </c>
      <c r="AJ358" s="168">
        <f t="shared" si="172"/>
        <v>10773</v>
      </c>
      <c r="AK358" s="168">
        <f t="shared" si="172"/>
        <v>0</v>
      </c>
      <c r="AL358" s="168">
        <f t="shared" si="172"/>
        <v>16159.5</v>
      </c>
      <c r="AM358" s="168">
        <f t="shared" si="172"/>
        <v>0</v>
      </c>
      <c r="AN358" s="168">
        <f t="shared" si="172"/>
        <v>0</v>
      </c>
      <c r="AO358" s="168">
        <f t="shared" si="172"/>
        <v>5386.5</v>
      </c>
      <c r="AP358" s="168">
        <f t="shared" si="172"/>
        <v>16159.5</v>
      </c>
      <c r="AQ358" s="168">
        <f t="shared" si="172"/>
        <v>0</v>
      </c>
      <c r="AR358" s="168">
        <f t="shared" si="172"/>
        <v>0</v>
      </c>
      <c r="AS358" s="168">
        <f t="shared" si="172"/>
        <v>0</v>
      </c>
      <c r="AT358" s="168">
        <f t="shared" si="172"/>
        <v>16159.5</v>
      </c>
      <c r="AU358" s="168">
        <f t="shared" si="172"/>
        <v>5386.5</v>
      </c>
      <c r="AV358" s="168">
        <f t="shared" si="172"/>
        <v>0</v>
      </c>
      <c r="AW358" s="168">
        <f t="shared" si="172"/>
        <v>0</v>
      </c>
      <c r="AX358" s="168">
        <f t="shared" si="172"/>
        <v>16159.5</v>
      </c>
      <c r="AY358" s="168">
        <f t="shared" si="172"/>
        <v>0</v>
      </c>
      <c r="AZ358" s="168">
        <f t="shared" si="172"/>
        <v>8977.5</v>
      </c>
      <c r="BA358" s="168">
        <f t="shared" si="172"/>
        <v>0</v>
      </c>
      <c r="BB358" s="168">
        <f t="shared" si="172"/>
        <v>16159.5</v>
      </c>
      <c r="BC358" s="168">
        <f t="shared" si="172"/>
        <v>8977.5</v>
      </c>
      <c r="BD358" s="168">
        <f t="shared" si="172"/>
        <v>0</v>
      </c>
      <c r="BE358" s="168">
        <f t="shared" si="172"/>
        <v>0</v>
      </c>
      <c r="BF358" s="168">
        <f t="shared" si="172"/>
        <v>16159.5</v>
      </c>
      <c r="BG358" s="168">
        <f t="shared" si="172"/>
        <v>0</v>
      </c>
      <c r="BH358" s="168">
        <f t="shared" si="172"/>
        <v>0</v>
      </c>
      <c r="BI358" s="168">
        <f t="shared" si="172"/>
        <v>0</v>
      </c>
    </row>
    <row r="359" spans="1:61" x14ac:dyDescent="0.25">
      <c r="A359" s="172" t="s">
        <v>490</v>
      </c>
      <c r="B359" s="173"/>
      <c r="C359" s="172" t="s">
        <v>450</v>
      </c>
      <c r="D359" s="173"/>
      <c r="E359" s="164"/>
      <c r="F359" s="166"/>
      <c r="G359" s="165"/>
      <c r="H359" s="170">
        <f t="shared" ref="H359:H365" si="173">AM301</f>
        <v>2</v>
      </c>
      <c r="I359" s="171"/>
      <c r="J359" s="168">
        <f t="shared" ref="J359:J365" si="174">$H359*D4*1.026</f>
        <v>16416</v>
      </c>
      <c r="K359" s="168">
        <f t="shared" ref="K359:BI359" si="175">$H359*E4*1.026</f>
        <v>18468</v>
      </c>
      <c r="L359" s="168">
        <f t="shared" si="175"/>
        <v>0</v>
      </c>
      <c r="M359" s="168">
        <f t="shared" si="175"/>
        <v>12312</v>
      </c>
      <c r="N359" s="168">
        <f t="shared" si="175"/>
        <v>16416</v>
      </c>
      <c r="O359" s="168">
        <f t="shared" si="175"/>
        <v>18468</v>
      </c>
      <c r="P359" s="168">
        <f t="shared" si="175"/>
        <v>0</v>
      </c>
      <c r="Q359" s="168">
        <f t="shared" si="175"/>
        <v>6156</v>
      </c>
      <c r="R359" s="168">
        <f t="shared" si="175"/>
        <v>16416</v>
      </c>
      <c r="S359" s="168">
        <f t="shared" si="175"/>
        <v>18468</v>
      </c>
      <c r="T359" s="168">
        <f t="shared" si="175"/>
        <v>0</v>
      </c>
      <c r="U359" s="168">
        <f t="shared" si="175"/>
        <v>0</v>
      </c>
      <c r="V359" s="168">
        <f t="shared" si="175"/>
        <v>16416</v>
      </c>
      <c r="W359" s="168">
        <f t="shared" si="175"/>
        <v>18468</v>
      </c>
      <c r="X359" s="168">
        <f t="shared" si="175"/>
        <v>0</v>
      </c>
      <c r="Y359" s="168">
        <f t="shared" si="175"/>
        <v>0</v>
      </c>
      <c r="Z359" s="168">
        <f t="shared" si="175"/>
        <v>16416</v>
      </c>
      <c r="AA359" s="168">
        <f t="shared" si="175"/>
        <v>18468</v>
      </c>
      <c r="AB359" s="168">
        <f t="shared" si="175"/>
        <v>0</v>
      </c>
      <c r="AC359" s="168">
        <f t="shared" si="175"/>
        <v>0</v>
      </c>
      <c r="AD359" s="168">
        <f t="shared" si="175"/>
        <v>16416</v>
      </c>
      <c r="AE359" s="168">
        <f t="shared" si="175"/>
        <v>18468</v>
      </c>
      <c r="AF359" s="168">
        <f t="shared" si="175"/>
        <v>0</v>
      </c>
      <c r="AG359" s="168">
        <f t="shared" si="175"/>
        <v>0</v>
      </c>
      <c r="AH359" s="168">
        <f t="shared" si="175"/>
        <v>16416</v>
      </c>
      <c r="AI359" s="168">
        <f t="shared" si="175"/>
        <v>18468</v>
      </c>
      <c r="AJ359" s="168">
        <f t="shared" si="175"/>
        <v>0</v>
      </c>
      <c r="AK359" s="168">
        <f t="shared" si="175"/>
        <v>0</v>
      </c>
      <c r="AL359" s="168">
        <f t="shared" si="175"/>
        <v>16416</v>
      </c>
      <c r="AM359" s="168">
        <f t="shared" si="175"/>
        <v>18468</v>
      </c>
      <c r="AN359" s="168">
        <f t="shared" si="175"/>
        <v>0</v>
      </c>
      <c r="AO359" s="168">
        <f t="shared" si="175"/>
        <v>0</v>
      </c>
      <c r="AP359" s="168">
        <f t="shared" si="175"/>
        <v>16416</v>
      </c>
      <c r="AQ359" s="168">
        <f t="shared" si="175"/>
        <v>18468</v>
      </c>
      <c r="AR359" s="168">
        <f t="shared" si="175"/>
        <v>0</v>
      </c>
      <c r="AS359" s="168">
        <f t="shared" si="175"/>
        <v>0</v>
      </c>
      <c r="AT359" s="168">
        <f t="shared" si="175"/>
        <v>16416</v>
      </c>
      <c r="AU359" s="168">
        <f t="shared" si="175"/>
        <v>18468</v>
      </c>
      <c r="AV359" s="168">
        <f t="shared" si="175"/>
        <v>0</v>
      </c>
      <c r="AW359" s="168">
        <f t="shared" si="175"/>
        <v>0</v>
      </c>
      <c r="AX359" s="168">
        <f t="shared" si="175"/>
        <v>16416</v>
      </c>
      <c r="AY359" s="168">
        <f t="shared" si="175"/>
        <v>18468</v>
      </c>
      <c r="AZ359" s="168">
        <f t="shared" si="175"/>
        <v>0</v>
      </c>
      <c r="BA359" s="168">
        <f t="shared" si="175"/>
        <v>10260</v>
      </c>
      <c r="BB359" s="168">
        <f t="shared" si="175"/>
        <v>16416</v>
      </c>
      <c r="BC359" s="168">
        <f t="shared" si="175"/>
        <v>18468</v>
      </c>
      <c r="BD359" s="168">
        <f t="shared" si="175"/>
        <v>0</v>
      </c>
      <c r="BE359" s="168">
        <f t="shared" si="175"/>
        <v>6156</v>
      </c>
      <c r="BF359" s="168">
        <f t="shared" si="175"/>
        <v>16416</v>
      </c>
      <c r="BG359" s="168">
        <f t="shared" si="175"/>
        <v>6156</v>
      </c>
      <c r="BH359" s="168">
        <f t="shared" si="175"/>
        <v>0</v>
      </c>
      <c r="BI359" s="168">
        <f t="shared" si="175"/>
        <v>0</v>
      </c>
    </row>
    <row r="360" spans="1:61" x14ac:dyDescent="0.25">
      <c r="A360" s="172" t="s">
        <v>491</v>
      </c>
      <c r="B360" s="173"/>
      <c r="C360" s="172" t="s">
        <v>450</v>
      </c>
      <c r="D360" s="173"/>
      <c r="E360" s="164"/>
      <c r="F360" s="166"/>
      <c r="G360" s="165"/>
      <c r="H360" s="170">
        <f t="shared" si="173"/>
        <v>1.5</v>
      </c>
      <c r="I360" s="171"/>
      <c r="J360" s="168">
        <f t="shared" si="174"/>
        <v>15390</v>
      </c>
      <c r="K360" s="168">
        <f t="shared" ref="K360:BI360" si="176">$H360*E5*1.026</f>
        <v>12312</v>
      </c>
      <c r="L360" s="168">
        <f t="shared" si="176"/>
        <v>13851</v>
      </c>
      <c r="M360" s="168">
        <f t="shared" si="176"/>
        <v>0</v>
      </c>
      <c r="N360" s="168">
        <f t="shared" si="176"/>
        <v>15390</v>
      </c>
      <c r="O360" s="168">
        <f t="shared" si="176"/>
        <v>12312</v>
      </c>
      <c r="P360" s="168">
        <f t="shared" si="176"/>
        <v>13851</v>
      </c>
      <c r="Q360" s="168">
        <f t="shared" si="176"/>
        <v>0</v>
      </c>
      <c r="R360" s="168">
        <f t="shared" si="176"/>
        <v>15390</v>
      </c>
      <c r="S360" s="168">
        <f t="shared" si="176"/>
        <v>12312</v>
      </c>
      <c r="T360" s="168">
        <f t="shared" si="176"/>
        <v>13851</v>
      </c>
      <c r="U360" s="168">
        <f t="shared" si="176"/>
        <v>0</v>
      </c>
      <c r="V360" s="168">
        <f t="shared" si="176"/>
        <v>15390</v>
      </c>
      <c r="W360" s="168">
        <f t="shared" si="176"/>
        <v>12312</v>
      </c>
      <c r="X360" s="168">
        <f t="shared" si="176"/>
        <v>13851</v>
      </c>
      <c r="Y360" s="168">
        <f t="shared" si="176"/>
        <v>0</v>
      </c>
      <c r="Z360" s="168">
        <f t="shared" si="176"/>
        <v>15390</v>
      </c>
      <c r="AA360" s="168">
        <f t="shared" si="176"/>
        <v>12312</v>
      </c>
      <c r="AB360" s="168">
        <f t="shared" si="176"/>
        <v>13851</v>
      </c>
      <c r="AC360" s="168">
        <f t="shared" si="176"/>
        <v>0</v>
      </c>
      <c r="AD360" s="168">
        <f t="shared" si="176"/>
        <v>15390</v>
      </c>
      <c r="AE360" s="168">
        <f t="shared" si="176"/>
        <v>12312</v>
      </c>
      <c r="AF360" s="168">
        <f t="shared" si="176"/>
        <v>13851</v>
      </c>
      <c r="AG360" s="168">
        <f t="shared" si="176"/>
        <v>0</v>
      </c>
      <c r="AH360" s="168">
        <f t="shared" si="176"/>
        <v>15390</v>
      </c>
      <c r="AI360" s="168">
        <f t="shared" si="176"/>
        <v>12312</v>
      </c>
      <c r="AJ360" s="168">
        <f t="shared" si="176"/>
        <v>13851</v>
      </c>
      <c r="AK360" s="168">
        <f t="shared" si="176"/>
        <v>0</v>
      </c>
      <c r="AL360" s="168">
        <f t="shared" si="176"/>
        <v>15390</v>
      </c>
      <c r="AM360" s="168">
        <f t="shared" si="176"/>
        <v>12312</v>
      </c>
      <c r="AN360" s="168">
        <f t="shared" si="176"/>
        <v>13851</v>
      </c>
      <c r="AO360" s="168">
        <f t="shared" si="176"/>
        <v>0</v>
      </c>
      <c r="AP360" s="168">
        <f t="shared" si="176"/>
        <v>15390</v>
      </c>
      <c r="AQ360" s="168">
        <f t="shared" si="176"/>
        <v>12312</v>
      </c>
      <c r="AR360" s="168">
        <f t="shared" si="176"/>
        <v>13851</v>
      </c>
      <c r="AS360" s="168">
        <f t="shared" si="176"/>
        <v>0</v>
      </c>
      <c r="AT360" s="168">
        <f t="shared" si="176"/>
        <v>15390</v>
      </c>
      <c r="AU360" s="168">
        <f t="shared" si="176"/>
        <v>12312</v>
      </c>
      <c r="AV360" s="168">
        <f t="shared" si="176"/>
        <v>13851</v>
      </c>
      <c r="AW360" s="168">
        <f t="shared" si="176"/>
        <v>0</v>
      </c>
      <c r="AX360" s="168">
        <f t="shared" si="176"/>
        <v>15390</v>
      </c>
      <c r="AY360" s="168">
        <f t="shared" si="176"/>
        <v>12312</v>
      </c>
      <c r="AZ360" s="168">
        <f t="shared" si="176"/>
        <v>13851</v>
      </c>
      <c r="BA360" s="168">
        <f t="shared" si="176"/>
        <v>0</v>
      </c>
      <c r="BB360" s="168">
        <f t="shared" si="176"/>
        <v>15390</v>
      </c>
      <c r="BC360" s="168">
        <f t="shared" si="176"/>
        <v>12312</v>
      </c>
      <c r="BD360" s="168">
        <f t="shared" si="176"/>
        <v>13851</v>
      </c>
      <c r="BE360" s="168">
        <f t="shared" si="176"/>
        <v>0</v>
      </c>
      <c r="BF360" s="168">
        <f t="shared" si="176"/>
        <v>15390</v>
      </c>
      <c r="BG360" s="168">
        <f t="shared" si="176"/>
        <v>12312</v>
      </c>
      <c r="BH360" s="168">
        <f t="shared" si="176"/>
        <v>13851</v>
      </c>
      <c r="BI360" s="168">
        <f t="shared" si="176"/>
        <v>0</v>
      </c>
    </row>
    <row r="361" spans="1:61" x14ac:dyDescent="0.25">
      <c r="A361" s="172" t="s">
        <v>492</v>
      </c>
      <c r="B361" s="173"/>
      <c r="C361" s="172" t="s">
        <v>450</v>
      </c>
      <c r="D361" s="173"/>
      <c r="E361" s="164"/>
      <c r="F361" s="166"/>
      <c r="G361" s="165"/>
      <c r="H361" s="170">
        <f t="shared" si="173"/>
        <v>2.125</v>
      </c>
      <c r="I361" s="171"/>
      <c r="J361" s="168">
        <f t="shared" si="174"/>
        <v>28343.25</v>
      </c>
      <c r="K361" s="168">
        <f t="shared" ref="K361:BI361" si="177">$H361*E6*1.026</f>
        <v>21802.5</v>
      </c>
      <c r="L361" s="168">
        <f t="shared" si="177"/>
        <v>17442</v>
      </c>
      <c r="M361" s="168">
        <f t="shared" si="177"/>
        <v>19622.25</v>
      </c>
      <c r="N361" s="168">
        <f t="shared" si="177"/>
        <v>19622.25</v>
      </c>
      <c r="O361" s="168">
        <f t="shared" si="177"/>
        <v>21802.5</v>
      </c>
      <c r="P361" s="168">
        <f t="shared" si="177"/>
        <v>17442</v>
      </c>
      <c r="Q361" s="168">
        <f t="shared" si="177"/>
        <v>19622.25</v>
      </c>
      <c r="R361" s="168">
        <f t="shared" si="177"/>
        <v>28343.25</v>
      </c>
      <c r="S361" s="168">
        <f t="shared" si="177"/>
        <v>21802.5</v>
      </c>
      <c r="T361" s="168">
        <f t="shared" si="177"/>
        <v>17442</v>
      </c>
      <c r="U361" s="168">
        <f t="shared" si="177"/>
        <v>19622.25</v>
      </c>
      <c r="V361" s="168">
        <f t="shared" si="177"/>
        <v>28343.25</v>
      </c>
      <c r="W361" s="168">
        <f t="shared" si="177"/>
        <v>21802.5</v>
      </c>
      <c r="X361" s="168">
        <f t="shared" si="177"/>
        <v>17442</v>
      </c>
      <c r="Y361" s="168">
        <f t="shared" si="177"/>
        <v>19622.25</v>
      </c>
      <c r="Z361" s="168">
        <f t="shared" si="177"/>
        <v>19622.25</v>
      </c>
      <c r="AA361" s="168">
        <f t="shared" si="177"/>
        <v>17442</v>
      </c>
      <c r="AB361" s="168">
        <f t="shared" si="177"/>
        <v>17442</v>
      </c>
      <c r="AC361" s="168">
        <f t="shared" si="177"/>
        <v>19622.25</v>
      </c>
      <c r="AD361" s="168">
        <f t="shared" si="177"/>
        <v>28343.25</v>
      </c>
      <c r="AE361" s="168">
        <f t="shared" si="177"/>
        <v>21802.5</v>
      </c>
      <c r="AF361" s="168">
        <f t="shared" si="177"/>
        <v>17442</v>
      </c>
      <c r="AG361" s="168">
        <f t="shared" si="177"/>
        <v>15261.75</v>
      </c>
      <c r="AH361" s="168">
        <f t="shared" si="177"/>
        <v>28343.25</v>
      </c>
      <c r="AI361" s="168">
        <f t="shared" si="177"/>
        <v>21802.5</v>
      </c>
      <c r="AJ361" s="168">
        <f t="shared" si="177"/>
        <v>17442</v>
      </c>
      <c r="AK361" s="168">
        <f t="shared" si="177"/>
        <v>19622.25</v>
      </c>
      <c r="AL361" s="168">
        <f t="shared" si="177"/>
        <v>19622.25</v>
      </c>
      <c r="AM361" s="168">
        <f t="shared" si="177"/>
        <v>21802.5</v>
      </c>
      <c r="AN361" s="168">
        <f t="shared" si="177"/>
        <v>17442</v>
      </c>
      <c r="AO361" s="168">
        <f t="shared" si="177"/>
        <v>19622.25</v>
      </c>
      <c r="AP361" s="168">
        <f t="shared" si="177"/>
        <v>28343.25</v>
      </c>
      <c r="AQ361" s="168">
        <f t="shared" si="177"/>
        <v>21802.5</v>
      </c>
      <c r="AR361" s="168">
        <f t="shared" si="177"/>
        <v>17442</v>
      </c>
      <c r="AS361" s="168">
        <f t="shared" si="177"/>
        <v>15261.75</v>
      </c>
      <c r="AT361" s="168">
        <f t="shared" si="177"/>
        <v>28343.25</v>
      </c>
      <c r="AU361" s="168">
        <f t="shared" si="177"/>
        <v>21802.5</v>
      </c>
      <c r="AV361" s="168">
        <f t="shared" si="177"/>
        <v>17442</v>
      </c>
      <c r="AW361" s="168">
        <f t="shared" si="177"/>
        <v>19622.25</v>
      </c>
      <c r="AX361" s="168">
        <f t="shared" si="177"/>
        <v>19622.25</v>
      </c>
      <c r="AY361" s="168">
        <f t="shared" si="177"/>
        <v>21802.5</v>
      </c>
      <c r="AZ361" s="168">
        <f t="shared" si="177"/>
        <v>17442</v>
      </c>
      <c r="BA361" s="168">
        <f t="shared" si="177"/>
        <v>19622.25</v>
      </c>
      <c r="BB361" s="168">
        <f t="shared" si="177"/>
        <v>28343.25</v>
      </c>
      <c r="BC361" s="168">
        <f t="shared" si="177"/>
        <v>21802.5</v>
      </c>
      <c r="BD361" s="168">
        <f t="shared" si="177"/>
        <v>17442</v>
      </c>
      <c r="BE361" s="168">
        <f t="shared" si="177"/>
        <v>19622.25</v>
      </c>
      <c r="BF361" s="168">
        <f t="shared" si="177"/>
        <v>28343.25</v>
      </c>
      <c r="BG361" s="168">
        <f t="shared" si="177"/>
        <v>21802.5</v>
      </c>
      <c r="BH361" s="168">
        <f t="shared" si="177"/>
        <v>17442</v>
      </c>
      <c r="BI361" s="168">
        <f t="shared" si="177"/>
        <v>15261.75</v>
      </c>
    </row>
    <row r="362" spans="1:61" x14ac:dyDescent="0.25">
      <c r="A362" s="172" t="s">
        <v>493</v>
      </c>
      <c r="B362" s="173"/>
      <c r="C362" s="172" t="s">
        <v>450</v>
      </c>
      <c r="D362" s="173"/>
      <c r="E362" s="164"/>
      <c r="F362" s="166"/>
      <c r="G362" s="165"/>
      <c r="H362" s="170">
        <f t="shared" si="173"/>
        <v>2</v>
      </c>
      <c r="I362" s="171"/>
      <c r="J362" s="168">
        <f t="shared" si="174"/>
        <v>10260</v>
      </c>
      <c r="K362" s="168">
        <f t="shared" ref="K362:BI362" si="178">$H362*E7*1.026</f>
        <v>26676</v>
      </c>
      <c r="L362" s="168">
        <f t="shared" si="178"/>
        <v>20520</v>
      </c>
      <c r="M362" s="168">
        <f t="shared" si="178"/>
        <v>16416</v>
      </c>
      <c r="N362" s="168">
        <f t="shared" si="178"/>
        <v>10260</v>
      </c>
      <c r="O362" s="168">
        <f t="shared" si="178"/>
        <v>22572</v>
      </c>
      <c r="P362" s="168">
        <f t="shared" si="178"/>
        <v>20520</v>
      </c>
      <c r="Q362" s="168">
        <f t="shared" si="178"/>
        <v>16416</v>
      </c>
      <c r="R362" s="168">
        <f t="shared" si="178"/>
        <v>10260</v>
      </c>
      <c r="S362" s="168">
        <f t="shared" si="178"/>
        <v>14364</v>
      </c>
      <c r="T362" s="168">
        <f t="shared" si="178"/>
        <v>12312</v>
      </c>
      <c r="U362" s="168">
        <f t="shared" si="178"/>
        <v>16416</v>
      </c>
      <c r="V362" s="168">
        <f t="shared" si="178"/>
        <v>10260</v>
      </c>
      <c r="W362" s="168">
        <f t="shared" si="178"/>
        <v>26676</v>
      </c>
      <c r="X362" s="168">
        <f t="shared" si="178"/>
        <v>20520</v>
      </c>
      <c r="Y362" s="168">
        <f t="shared" si="178"/>
        <v>16416</v>
      </c>
      <c r="Z362" s="168">
        <f t="shared" si="178"/>
        <v>10260</v>
      </c>
      <c r="AA362" s="168">
        <f t="shared" si="178"/>
        <v>26676</v>
      </c>
      <c r="AB362" s="168">
        <f t="shared" si="178"/>
        <v>20520</v>
      </c>
      <c r="AC362" s="168">
        <f t="shared" si="178"/>
        <v>16416</v>
      </c>
      <c r="AD362" s="168">
        <f t="shared" si="178"/>
        <v>10260</v>
      </c>
      <c r="AE362" s="168">
        <f t="shared" si="178"/>
        <v>14364</v>
      </c>
      <c r="AF362" s="168">
        <f t="shared" si="178"/>
        <v>20520</v>
      </c>
      <c r="AG362" s="168">
        <f t="shared" si="178"/>
        <v>16416</v>
      </c>
      <c r="AH362" s="168">
        <f t="shared" si="178"/>
        <v>10260</v>
      </c>
      <c r="AI362" s="168">
        <f t="shared" si="178"/>
        <v>26676</v>
      </c>
      <c r="AJ362" s="168">
        <f t="shared" si="178"/>
        <v>20520</v>
      </c>
      <c r="AK362" s="168">
        <f t="shared" si="178"/>
        <v>16416</v>
      </c>
      <c r="AL362" s="168">
        <f t="shared" si="178"/>
        <v>10260</v>
      </c>
      <c r="AM362" s="168">
        <f t="shared" si="178"/>
        <v>22572</v>
      </c>
      <c r="AN362" s="168">
        <f t="shared" si="178"/>
        <v>20520</v>
      </c>
      <c r="AO362" s="168">
        <f t="shared" si="178"/>
        <v>16416</v>
      </c>
      <c r="AP362" s="168">
        <f t="shared" si="178"/>
        <v>10260</v>
      </c>
      <c r="AQ362" s="168">
        <f t="shared" si="178"/>
        <v>14364</v>
      </c>
      <c r="AR362" s="168">
        <f t="shared" si="178"/>
        <v>20520</v>
      </c>
      <c r="AS362" s="168">
        <f t="shared" si="178"/>
        <v>16416</v>
      </c>
      <c r="AT362" s="168">
        <f t="shared" si="178"/>
        <v>10260</v>
      </c>
      <c r="AU362" s="168">
        <f t="shared" si="178"/>
        <v>26676</v>
      </c>
      <c r="AV362" s="168">
        <f t="shared" si="178"/>
        <v>20520</v>
      </c>
      <c r="AW362" s="168">
        <f t="shared" si="178"/>
        <v>16416</v>
      </c>
      <c r="AX362" s="168">
        <f t="shared" si="178"/>
        <v>10260</v>
      </c>
      <c r="AY362" s="168">
        <f t="shared" si="178"/>
        <v>22572</v>
      </c>
      <c r="AZ362" s="168">
        <f t="shared" si="178"/>
        <v>20520</v>
      </c>
      <c r="BA362" s="168">
        <f t="shared" si="178"/>
        <v>16416</v>
      </c>
      <c r="BB362" s="168">
        <f t="shared" si="178"/>
        <v>10260</v>
      </c>
      <c r="BC362" s="168">
        <f t="shared" si="178"/>
        <v>26676</v>
      </c>
      <c r="BD362" s="168">
        <f t="shared" si="178"/>
        <v>20520</v>
      </c>
      <c r="BE362" s="168">
        <f t="shared" si="178"/>
        <v>16416</v>
      </c>
      <c r="BF362" s="168">
        <f t="shared" si="178"/>
        <v>10260</v>
      </c>
      <c r="BG362" s="168">
        <f t="shared" si="178"/>
        <v>26676</v>
      </c>
      <c r="BH362" s="168">
        <f t="shared" si="178"/>
        <v>20520</v>
      </c>
      <c r="BI362" s="168">
        <f t="shared" si="178"/>
        <v>16416</v>
      </c>
    </row>
    <row r="363" spans="1:61" x14ac:dyDescent="0.25">
      <c r="A363" s="172" t="s">
        <v>494</v>
      </c>
      <c r="B363" s="173"/>
      <c r="C363" s="172" t="s">
        <v>450</v>
      </c>
      <c r="D363" s="173"/>
      <c r="E363" s="164"/>
      <c r="F363" s="166"/>
      <c r="G363" s="165"/>
      <c r="H363" s="170">
        <f t="shared" si="173"/>
        <v>2.25</v>
      </c>
      <c r="I363" s="171"/>
      <c r="J363" s="168">
        <f t="shared" si="174"/>
        <v>0</v>
      </c>
      <c r="K363" s="168">
        <f t="shared" ref="K363:BI363" si="179">$H363*E8*1.026</f>
        <v>11542.5</v>
      </c>
      <c r="L363" s="168">
        <f t="shared" si="179"/>
        <v>30010.5</v>
      </c>
      <c r="M363" s="168">
        <f t="shared" si="179"/>
        <v>0</v>
      </c>
      <c r="N363" s="168">
        <f t="shared" si="179"/>
        <v>0</v>
      </c>
      <c r="O363" s="168">
        <f t="shared" si="179"/>
        <v>11542.5</v>
      </c>
      <c r="P363" s="168">
        <f t="shared" si="179"/>
        <v>30010.5</v>
      </c>
      <c r="Q363" s="168">
        <f t="shared" si="179"/>
        <v>23085</v>
      </c>
      <c r="R363" s="168">
        <f t="shared" si="179"/>
        <v>13851</v>
      </c>
      <c r="S363" s="168">
        <f t="shared" si="179"/>
        <v>11542.5</v>
      </c>
      <c r="T363" s="168">
        <f t="shared" si="179"/>
        <v>30010.5</v>
      </c>
      <c r="U363" s="168">
        <f t="shared" si="179"/>
        <v>23085</v>
      </c>
      <c r="V363" s="168">
        <f t="shared" si="179"/>
        <v>0</v>
      </c>
      <c r="W363" s="168">
        <f t="shared" si="179"/>
        <v>11542.5</v>
      </c>
      <c r="X363" s="168">
        <f t="shared" si="179"/>
        <v>30010.5</v>
      </c>
      <c r="Y363" s="168">
        <f t="shared" si="179"/>
        <v>23085</v>
      </c>
      <c r="Z363" s="168">
        <f t="shared" si="179"/>
        <v>0</v>
      </c>
      <c r="AA363" s="168">
        <f t="shared" si="179"/>
        <v>11542.5</v>
      </c>
      <c r="AB363" s="168">
        <f t="shared" si="179"/>
        <v>30010.5</v>
      </c>
      <c r="AC363" s="168">
        <f t="shared" si="179"/>
        <v>23085</v>
      </c>
      <c r="AD363" s="168">
        <f t="shared" si="179"/>
        <v>0</v>
      </c>
      <c r="AE363" s="168">
        <f t="shared" si="179"/>
        <v>11542.5</v>
      </c>
      <c r="AF363" s="168">
        <f t="shared" si="179"/>
        <v>20776.5</v>
      </c>
      <c r="AG363" s="168">
        <f t="shared" si="179"/>
        <v>23085</v>
      </c>
      <c r="AH363" s="168">
        <f t="shared" si="179"/>
        <v>0</v>
      </c>
      <c r="AI363" s="168">
        <f t="shared" si="179"/>
        <v>11542.5</v>
      </c>
      <c r="AJ363" s="168">
        <f t="shared" si="179"/>
        <v>30010.5</v>
      </c>
      <c r="AK363" s="168">
        <f t="shared" si="179"/>
        <v>9234</v>
      </c>
      <c r="AL363" s="168">
        <f t="shared" si="179"/>
        <v>0</v>
      </c>
      <c r="AM363" s="168">
        <f t="shared" si="179"/>
        <v>11542.5</v>
      </c>
      <c r="AN363" s="168">
        <f t="shared" si="179"/>
        <v>30010.5</v>
      </c>
      <c r="AO363" s="168">
        <f t="shared" si="179"/>
        <v>23085</v>
      </c>
      <c r="AP363" s="168">
        <f t="shared" si="179"/>
        <v>0</v>
      </c>
      <c r="AQ363" s="168">
        <f t="shared" si="179"/>
        <v>11542.5</v>
      </c>
      <c r="AR363" s="168">
        <f t="shared" si="179"/>
        <v>20776.5</v>
      </c>
      <c r="AS363" s="168">
        <f t="shared" si="179"/>
        <v>23085</v>
      </c>
      <c r="AT363" s="168">
        <f t="shared" si="179"/>
        <v>0</v>
      </c>
      <c r="AU363" s="168">
        <f t="shared" si="179"/>
        <v>11542.5</v>
      </c>
      <c r="AV363" s="168">
        <f t="shared" si="179"/>
        <v>30010.5</v>
      </c>
      <c r="AW363" s="168">
        <f t="shared" si="179"/>
        <v>9234</v>
      </c>
      <c r="AX363" s="168">
        <f t="shared" si="179"/>
        <v>0</v>
      </c>
      <c r="AY363" s="168">
        <f t="shared" si="179"/>
        <v>11542.5</v>
      </c>
      <c r="AZ363" s="168">
        <f t="shared" si="179"/>
        <v>30010.5</v>
      </c>
      <c r="BA363" s="168">
        <f t="shared" si="179"/>
        <v>23085</v>
      </c>
      <c r="BB363" s="168">
        <f t="shared" si="179"/>
        <v>11542.5</v>
      </c>
      <c r="BC363" s="168">
        <f t="shared" si="179"/>
        <v>11542.5</v>
      </c>
      <c r="BD363" s="168">
        <f t="shared" si="179"/>
        <v>30010.5</v>
      </c>
      <c r="BE363" s="168">
        <f t="shared" si="179"/>
        <v>23085</v>
      </c>
      <c r="BF363" s="168">
        <f t="shared" si="179"/>
        <v>13851</v>
      </c>
      <c r="BG363" s="168">
        <f t="shared" si="179"/>
        <v>11542.5</v>
      </c>
      <c r="BH363" s="168">
        <f t="shared" si="179"/>
        <v>20776.5</v>
      </c>
      <c r="BI363" s="168">
        <f t="shared" si="179"/>
        <v>23085</v>
      </c>
    </row>
    <row r="364" spans="1:61" x14ac:dyDescent="0.25">
      <c r="A364" s="172" t="s">
        <v>495</v>
      </c>
      <c r="B364" s="173"/>
      <c r="C364" s="172" t="s">
        <v>450</v>
      </c>
      <c r="D364" s="173"/>
      <c r="E364" s="164"/>
      <c r="F364" s="166"/>
      <c r="G364" s="165"/>
      <c r="H364" s="170">
        <f t="shared" si="173"/>
        <v>1.7250000000000001</v>
      </c>
      <c r="I364" s="171"/>
      <c r="J364" s="168">
        <f t="shared" si="174"/>
        <v>0</v>
      </c>
      <c r="K364" s="168">
        <f t="shared" ref="K364:BI364" si="180">$H364*E9*1.026</f>
        <v>5309.55</v>
      </c>
      <c r="L364" s="168">
        <f t="shared" si="180"/>
        <v>10619.1</v>
      </c>
      <c r="M364" s="168">
        <f t="shared" si="180"/>
        <v>19468.350000000002</v>
      </c>
      <c r="N364" s="168">
        <f t="shared" si="180"/>
        <v>0</v>
      </c>
      <c r="O364" s="168">
        <f t="shared" si="180"/>
        <v>0</v>
      </c>
      <c r="P364" s="168">
        <f t="shared" si="180"/>
        <v>8849.25</v>
      </c>
      <c r="Q364" s="168">
        <f t="shared" si="180"/>
        <v>23008.05</v>
      </c>
      <c r="R364" s="168">
        <f t="shared" si="180"/>
        <v>0</v>
      </c>
      <c r="S364" s="168">
        <f t="shared" si="180"/>
        <v>0</v>
      </c>
      <c r="T364" s="168">
        <f t="shared" si="180"/>
        <v>8849.25</v>
      </c>
      <c r="U364" s="168">
        <f t="shared" si="180"/>
        <v>19468.350000000002</v>
      </c>
      <c r="V364" s="168">
        <f t="shared" si="180"/>
        <v>0</v>
      </c>
      <c r="W364" s="168">
        <f t="shared" si="180"/>
        <v>0</v>
      </c>
      <c r="X364" s="168">
        <f t="shared" si="180"/>
        <v>8849.25</v>
      </c>
      <c r="Y364" s="168">
        <f t="shared" si="180"/>
        <v>12388.95</v>
      </c>
      <c r="Z364" s="168">
        <f t="shared" si="180"/>
        <v>0</v>
      </c>
      <c r="AA364" s="168">
        <f t="shared" si="180"/>
        <v>0</v>
      </c>
      <c r="AB364" s="168">
        <f t="shared" si="180"/>
        <v>8849.25</v>
      </c>
      <c r="AC364" s="168">
        <f t="shared" si="180"/>
        <v>23008.05</v>
      </c>
      <c r="AD364" s="168">
        <f t="shared" si="180"/>
        <v>0</v>
      </c>
      <c r="AE364" s="168">
        <f t="shared" si="180"/>
        <v>0</v>
      </c>
      <c r="AF364" s="168">
        <f t="shared" si="180"/>
        <v>8849.25</v>
      </c>
      <c r="AG364" s="168">
        <f t="shared" si="180"/>
        <v>23008.05</v>
      </c>
      <c r="AH364" s="168">
        <f t="shared" si="180"/>
        <v>0</v>
      </c>
      <c r="AI364" s="168">
        <f t="shared" si="180"/>
        <v>0</v>
      </c>
      <c r="AJ364" s="168">
        <f t="shared" si="180"/>
        <v>8849.25</v>
      </c>
      <c r="AK364" s="168">
        <f t="shared" si="180"/>
        <v>23008.05</v>
      </c>
      <c r="AL364" s="168">
        <f t="shared" si="180"/>
        <v>0</v>
      </c>
      <c r="AM364" s="168">
        <f t="shared" si="180"/>
        <v>0</v>
      </c>
      <c r="AN364" s="168">
        <f t="shared" si="180"/>
        <v>8849.25</v>
      </c>
      <c r="AO364" s="168">
        <f t="shared" si="180"/>
        <v>23008.05</v>
      </c>
      <c r="AP364" s="168">
        <f t="shared" si="180"/>
        <v>0</v>
      </c>
      <c r="AQ364" s="168">
        <f t="shared" si="180"/>
        <v>0</v>
      </c>
      <c r="AR364" s="168">
        <f t="shared" si="180"/>
        <v>8849.25</v>
      </c>
      <c r="AS364" s="168">
        <f t="shared" si="180"/>
        <v>23008.05</v>
      </c>
      <c r="AT364" s="168">
        <f t="shared" si="180"/>
        <v>0</v>
      </c>
      <c r="AU364" s="168">
        <f t="shared" si="180"/>
        <v>0</v>
      </c>
      <c r="AV364" s="168">
        <f t="shared" si="180"/>
        <v>8849.25</v>
      </c>
      <c r="AW364" s="168">
        <f t="shared" si="180"/>
        <v>23008.05</v>
      </c>
      <c r="AX364" s="168">
        <f t="shared" si="180"/>
        <v>0</v>
      </c>
      <c r="AY364" s="168">
        <f t="shared" si="180"/>
        <v>0</v>
      </c>
      <c r="AZ364" s="168">
        <f t="shared" si="180"/>
        <v>8849.25</v>
      </c>
      <c r="BA364" s="168">
        <f t="shared" si="180"/>
        <v>23008.05</v>
      </c>
      <c r="BB364" s="168">
        <f t="shared" si="180"/>
        <v>0</v>
      </c>
      <c r="BC364" s="168">
        <f t="shared" si="180"/>
        <v>0</v>
      </c>
      <c r="BD364" s="168">
        <f t="shared" si="180"/>
        <v>8849.25</v>
      </c>
      <c r="BE364" s="168">
        <f t="shared" si="180"/>
        <v>23008.05</v>
      </c>
      <c r="BF364" s="168">
        <f t="shared" si="180"/>
        <v>0</v>
      </c>
      <c r="BG364" s="168">
        <f t="shared" si="180"/>
        <v>0</v>
      </c>
      <c r="BH364" s="168">
        <f t="shared" si="180"/>
        <v>8849.25</v>
      </c>
      <c r="BI364" s="168">
        <f t="shared" si="180"/>
        <v>23008.05</v>
      </c>
    </row>
    <row r="365" spans="1:61" x14ac:dyDescent="0.25">
      <c r="A365" s="172" t="s">
        <v>496</v>
      </c>
      <c r="B365" s="173"/>
      <c r="C365" s="172" t="s">
        <v>450</v>
      </c>
      <c r="D365" s="173"/>
      <c r="E365" s="164"/>
      <c r="F365" s="166"/>
      <c r="G365" s="165"/>
      <c r="H365" s="170">
        <f t="shared" si="173"/>
        <v>1.95</v>
      </c>
      <c r="I365" s="171"/>
      <c r="J365" s="168">
        <f t="shared" si="174"/>
        <v>0</v>
      </c>
      <c r="K365" s="168">
        <f t="shared" ref="K365:BI365" si="181">$H365*E10*1.026</f>
        <v>0</v>
      </c>
      <c r="L365" s="168">
        <f t="shared" si="181"/>
        <v>0</v>
      </c>
      <c r="M365" s="168">
        <f t="shared" si="181"/>
        <v>10003.5</v>
      </c>
      <c r="N365" s="168">
        <f t="shared" si="181"/>
        <v>0</v>
      </c>
      <c r="O365" s="168">
        <f t="shared" si="181"/>
        <v>0</v>
      </c>
      <c r="P365" s="168">
        <f t="shared" si="181"/>
        <v>0</v>
      </c>
      <c r="Q365" s="168">
        <f t="shared" si="181"/>
        <v>10003.5</v>
      </c>
      <c r="R365" s="168">
        <f t="shared" si="181"/>
        <v>0</v>
      </c>
      <c r="S365" s="168">
        <f t="shared" si="181"/>
        <v>0</v>
      </c>
      <c r="T365" s="168">
        <f t="shared" si="181"/>
        <v>0</v>
      </c>
      <c r="U365" s="168">
        <f t="shared" si="181"/>
        <v>10003.5</v>
      </c>
      <c r="V365" s="168">
        <f t="shared" si="181"/>
        <v>0</v>
      </c>
      <c r="W365" s="168">
        <f t="shared" si="181"/>
        <v>0</v>
      </c>
      <c r="X365" s="168">
        <f t="shared" si="181"/>
        <v>12004.2</v>
      </c>
      <c r="Y365" s="168">
        <f t="shared" si="181"/>
        <v>10003.5</v>
      </c>
      <c r="Z365" s="168">
        <f t="shared" si="181"/>
        <v>0</v>
      </c>
      <c r="AA365" s="168">
        <f t="shared" si="181"/>
        <v>0</v>
      </c>
      <c r="AB365" s="168">
        <f t="shared" si="181"/>
        <v>0</v>
      </c>
      <c r="AC365" s="168">
        <f t="shared" si="181"/>
        <v>10003.5</v>
      </c>
      <c r="AD365" s="168">
        <f t="shared" si="181"/>
        <v>12004.2</v>
      </c>
      <c r="AE365" s="168">
        <f t="shared" si="181"/>
        <v>0</v>
      </c>
      <c r="AF365" s="168">
        <f t="shared" si="181"/>
        <v>0</v>
      </c>
      <c r="AG365" s="168">
        <f t="shared" si="181"/>
        <v>10003.5</v>
      </c>
      <c r="AH365" s="168">
        <f t="shared" si="181"/>
        <v>0</v>
      </c>
      <c r="AI365" s="168">
        <f t="shared" si="181"/>
        <v>6002.1</v>
      </c>
      <c r="AJ365" s="168">
        <f t="shared" si="181"/>
        <v>0</v>
      </c>
      <c r="AK365" s="168">
        <f t="shared" si="181"/>
        <v>10003.5</v>
      </c>
      <c r="AL365" s="168">
        <f t="shared" si="181"/>
        <v>0</v>
      </c>
      <c r="AM365" s="168">
        <f t="shared" si="181"/>
        <v>0</v>
      </c>
      <c r="AN365" s="168">
        <f t="shared" si="181"/>
        <v>0</v>
      </c>
      <c r="AO365" s="168">
        <f t="shared" si="181"/>
        <v>10003.5</v>
      </c>
      <c r="AP365" s="168">
        <f t="shared" si="181"/>
        <v>12004.2</v>
      </c>
      <c r="AQ365" s="168">
        <f t="shared" si="181"/>
        <v>0</v>
      </c>
      <c r="AR365" s="168">
        <f t="shared" si="181"/>
        <v>0</v>
      </c>
      <c r="AS365" s="168">
        <f t="shared" si="181"/>
        <v>10003.5</v>
      </c>
      <c r="AT365" s="168">
        <f t="shared" si="181"/>
        <v>0</v>
      </c>
      <c r="AU365" s="168">
        <f t="shared" si="181"/>
        <v>0</v>
      </c>
      <c r="AV365" s="168">
        <f t="shared" si="181"/>
        <v>12004.2</v>
      </c>
      <c r="AW365" s="168">
        <f t="shared" si="181"/>
        <v>10003.5</v>
      </c>
      <c r="AX365" s="168">
        <f t="shared" si="181"/>
        <v>0</v>
      </c>
      <c r="AY365" s="168">
        <f t="shared" si="181"/>
        <v>0</v>
      </c>
      <c r="AZ365" s="168">
        <f t="shared" si="181"/>
        <v>0</v>
      </c>
      <c r="BA365" s="168">
        <f t="shared" si="181"/>
        <v>10003.5</v>
      </c>
      <c r="BB365" s="168">
        <f t="shared" si="181"/>
        <v>0</v>
      </c>
      <c r="BC365" s="168">
        <f t="shared" si="181"/>
        <v>0</v>
      </c>
      <c r="BD365" s="168">
        <f t="shared" si="181"/>
        <v>0</v>
      </c>
      <c r="BE365" s="168">
        <f t="shared" si="181"/>
        <v>10003.5</v>
      </c>
      <c r="BF365" s="168">
        <f t="shared" si="181"/>
        <v>0</v>
      </c>
      <c r="BG365" s="168">
        <f t="shared" si="181"/>
        <v>0</v>
      </c>
      <c r="BH365" s="168">
        <f t="shared" si="181"/>
        <v>0</v>
      </c>
      <c r="BI365" s="168">
        <f t="shared" si="181"/>
        <v>10003.5</v>
      </c>
    </row>
    <row r="366" spans="1:61" x14ac:dyDescent="0.25">
      <c r="A366" s="172" t="s">
        <v>507</v>
      </c>
      <c r="B366" s="173"/>
      <c r="C366" s="172" t="s">
        <v>510</v>
      </c>
      <c r="D366" s="173"/>
      <c r="E366" s="172"/>
      <c r="F366" s="174"/>
      <c r="G366" s="173"/>
      <c r="H366" s="170">
        <v>0.08</v>
      </c>
      <c r="I366" s="171"/>
      <c r="J366" s="168">
        <f>SUM(D3:D22)/10000*10*$H366*1.08</f>
        <v>3.8880000000000003</v>
      </c>
      <c r="K366" s="168">
        <f t="shared" ref="K366:BI366" si="182">SUM(E3:E22)/10000*10*$H366*1.08</f>
        <v>4.1471999999999998</v>
      </c>
      <c r="L366" s="168">
        <f t="shared" si="182"/>
        <v>4.4064000000000005</v>
      </c>
      <c r="M366" s="168">
        <f t="shared" si="182"/>
        <v>3.3696000000000002</v>
      </c>
      <c r="N366" s="168">
        <f t="shared" si="182"/>
        <v>3.5424000000000007</v>
      </c>
      <c r="O366" s="168">
        <f t="shared" si="182"/>
        <v>3.7152000000000003</v>
      </c>
      <c r="P366" s="168">
        <f t="shared" si="182"/>
        <v>3.8880000000000003</v>
      </c>
      <c r="Q366" s="168">
        <f t="shared" si="182"/>
        <v>4.1471999999999998</v>
      </c>
      <c r="R366" s="168">
        <f t="shared" si="182"/>
        <v>4.4064000000000005</v>
      </c>
      <c r="S366" s="168">
        <f t="shared" si="182"/>
        <v>3.3696000000000002</v>
      </c>
      <c r="T366" s="168">
        <f t="shared" si="182"/>
        <v>3.5424000000000007</v>
      </c>
      <c r="U366" s="168">
        <f t="shared" si="182"/>
        <v>3.7152000000000003</v>
      </c>
      <c r="V366" s="168">
        <f t="shared" si="182"/>
        <v>3.8880000000000003</v>
      </c>
      <c r="W366" s="168">
        <f t="shared" si="182"/>
        <v>4.1471999999999998</v>
      </c>
      <c r="X366" s="168">
        <f t="shared" si="182"/>
        <v>4.4064000000000005</v>
      </c>
      <c r="Y366" s="168">
        <f t="shared" si="182"/>
        <v>3.3696000000000002</v>
      </c>
      <c r="Z366" s="168">
        <f t="shared" si="182"/>
        <v>3.5424000000000007</v>
      </c>
      <c r="AA366" s="168">
        <f t="shared" si="182"/>
        <v>3.7152000000000003</v>
      </c>
      <c r="AB366" s="168">
        <f t="shared" si="182"/>
        <v>3.8880000000000003</v>
      </c>
      <c r="AC366" s="168">
        <f t="shared" si="182"/>
        <v>4.1471999999999998</v>
      </c>
      <c r="AD366" s="168">
        <f t="shared" si="182"/>
        <v>4.4064000000000005</v>
      </c>
      <c r="AE366" s="168">
        <f t="shared" si="182"/>
        <v>3.3696000000000002</v>
      </c>
      <c r="AF366" s="168">
        <f t="shared" si="182"/>
        <v>3.5424000000000007</v>
      </c>
      <c r="AG366" s="168">
        <f t="shared" si="182"/>
        <v>3.7152000000000003</v>
      </c>
      <c r="AH366" s="168">
        <f t="shared" si="182"/>
        <v>3.8880000000000003</v>
      </c>
      <c r="AI366" s="168">
        <f t="shared" si="182"/>
        <v>4.1471999999999998</v>
      </c>
      <c r="AJ366" s="168">
        <f t="shared" si="182"/>
        <v>4.4064000000000005</v>
      </c>
      <c r="AK366" s="168">
        <f t="shared" si="182"/>
        <v>3.3696000000000002</v>
      </c>
      <c r="AL366" s="168">
        <f t="shared" si="182"/>
        <v>3.5424000000000007</v>
      </c>
      <c r="AM366" s="168">
        <f t="shared" si="182"/>
        <v>3.7152000000000003</v>
      </c>
      <c r="AN366" s="168">
        <f t="shared" si="182"/>
        <v>3.8880000000000003</v>
      </c>
      <c r="AO366" s="168">
        <f t="shared" si="182"/>
        <v>4.1471999999999998</v>
      </c>
      <c r="AP366" s="168">
        <f t="shared" si="182"/>
        <v>4.4064000000000005</v>
      </c>
      <c r="AQ366" s="168">
        <f t="shared" si="182"/>
        <v>3.3696000000000002</v>
      </c>
      <c r="AR366" s="168">
        <f t="shared" si="182"/>
        <v>3.5424000000000007</v>
      </c>
      <c r="AS366" s="168">
        <f t="shared" si="182"/>
        <v>3.7152000000000003</v>
      </c>
      <c r="AT366" s="168">
        <f t="shared" si="182"/>
        <v>3.8880000000000003</v>
      </c>
      <c r="AU366" s="168">
        <f t="shared" si="182"/>
        <v>4.1471999999999998</v>
      </c>
      <c r="AV366" s="168">
        <f t="shared" si="182"/>
        <v>4.4064000000000005</v>
      </c>
      <c r="AW366" s="168">
        <f t="shared" si="182"/>
        <v>3.3696000000000002</v>
      </c>
      <c r="AX366" s="168">
        <f t="shared" si="182"/>
        <v>3.5424000000000007</v>
      </c>
      <c r="AY366" s="168">
        <f t="shared" si="182"/>
        <v>3.7152000000000003</v>
      </c>
      <c r="AZ366" s="168">
        <f t="shared" si="182"/>
        <v>4.32</v>
      </c>
      <c r="BA366" s="168">
        <f t="shared" si="182"/>
        <v>4.32</v>
      </c>
      <c r="BB366" s="168">
        <f t="shared" si="182"/>
        <v>4.32</v>
      </c>
      <c r="BC366" s="168">
        <f t="shared" si="182"/>
        <v>4.32</v>
      </c>
      <c r="BD366" s="168">
        <f t="shared" si="182"/>
        <v>3.8880000000000003</v>
      </c>
      <c r="BE366" s="168">
        <f t="shared" si="182"/>
        <v>4.1471999999999998</v>
      </c>
      <c r="BF366" s="168">
        <f t="shared" si="182"/>
        <v>4.4064000000000005</v>
      </c>
      <c r="BG366" s="168">
        <f t="shared" si="182"/>
        <v>3.3696000000000002</v>
      </c>
      <c r="BH366" s="168">
        <f t="shared" si="182"/>
        <v>3.5424000000000007</v>
      </c>
      <c r="BI366" s="168">
        <f t="shared" si="182"/>
        <v>3.7152000000000003</v>
      </c>
    </row>
    <row r="367" spans="1:61" x14ac:dyDescent="0.25">
      <c r="A367" s="172" t="s">
        <v>508</v>
      </c>
      <c r="B367" s="173"/>
      <c r="C367" s="172" t="s">
        <v>511</v>
      </c>
      <c r="D367" s="173"/>
      <c r="E367" s="172"/>
      <c r="F367" s="174"/>
      <c r="G367" s="173"/>
      <c r="H367" s="170">
        <v>0.13</v>
      </c>
      <c r="I367" s="171"/>
      <c r="J367" s="168">
        <f>$H367*SUM(D3:D22)*2/10000*1.13</f>
        <v>1.3220999999999998</v>
      </c>
      <c r="K367" s="168">
        <f t="shared" ref="K367:BI367" si="183">$H367*SUM(E3:E22)*2/10000*1.13</f>
        <v>1.4102399999999999</v>
      </c>
      <c r="L367" s="168">
        <f t="shared" si="183"/>
        <v>1.49838</v>
      </c>
      <c r="M367" s="168">
        <f t="shared" si="183"/>
        <v>1.1458199999999998</v>
      </c>
      <c r="N367" s="168">
        <f t="shared" si="183"/>
        <v>1.20458</v>
      </c>
      <c r="O367" s="168">
        <f t="shared" si="183"/>
        <v>1.2633399999999999</v>
      </c>
      <c r="P367" s="168">
        <f t="shared" si="183"/>
        <v>1.3220999999999998</v>
      </c>
      <c r="Q367" s="168">
        <f t="shared" si="183"/>
        <v>1.4102399999999999</v>
      </c>
      <c r="R367" s="168">
        <f t="shared" si="183"/>
        <v>1.49838</v>
      </c>
      <c r="S367" s="168">
        <f t="shared" si="183"/>
        <v>1.1458199999999998</v>
      </c>
      <c r="T367" s="168">
        <f t="shared" si="183"/>
        <v>1.20458</v>
      </c>
      <c r="U367" s="168">
        <f t="shared" si="183"/>
        <v>1.2633399999999999</v>
      </c>
      <c r="V367" s="168">
        <f t="shared" si="183"/>
        <v>1.3220999999999998</v>
      </c>
      <c r="W367" s="168">
        <f t="shared" si="183"/>
        <v>1.4102399999999999</v>
      </c>
      <c r="X367" s="168">
        <f t="shared" si="183"/>
        <v>1.49838</v>
      </c>
      <c r="Y367" s="168">
        <f t="shared" si="183"/>
        <v>1.1458199999999998</v>
      </c>
      <c r="Z367" s="168">
        <f t="shared" si="183"/>
        <v>1.20458</v>
      </c>
      <c r="AA367" s="168">
        <f t="shared" si="183"/>
        <v>1.2633399999999999</v>
      </c>
      <c r="AB367" s="168">
        <f t="shared" si="183"/>
        <v>1.3220999999999998</v>
      </c>
      <c r="AC367" s="168">
        <f t="shared" si="183"/>
        <v>1.4102399999999999</v>
      </c>
      <c r="AD367" s="168">
        <f t="shared" si="183"/>
        <v>1.49838</v>
      </c>
      <c r="AE367" s="168">
        <f t="shared" si="183"/>
        <v>1.1458199999999998</v>
      </c>
      <c r="AF367" s="168">
        <f t="shared" si="183"/>
        <v>1.20458</v>
      </c>
      <c r="AG367" s="168">
        <f t="shared" si="183"/>
        <v>1.2633399999999999</v>
      </c>
      <c r="AH367" s="168">
        <f t="shared" si="183"/>
        <v>1.3220999999999998</v>
      </c>
      <c r="AI367" s="168">
        <f t="shared" si="183"/>
        <v>1.4102399999999999</v>
      </c>
      <c r="AJ367" s="168">
        <f t="shared" si="183"/>
        <v>1.49838</v>
      </c>
      <c r="AK367" s="168">
        <f t="shared" si="183"/>
        <v>1.1458199999999998</v>
      </c>
      <c r="AL367" s="168">
        <f t="shared" si="183"/>
        <v>1.20458</v>
      </c>
      <c r="AM367" s="168">
        <f t="shared" si="183"/>
        <v>1.2633399999999999</v>
      </c>
      <c r="AN367" s="168">
        <f t="shared" si="183"/>
        <v>1.3220999999999998</v>
      </c>
      <c r="AO367" s="168">
        <f t="shared" si="183"/>
        <v>1.4102399999999999</v>
      </c>
      <c r="AP367" s="168">
        <f t="shared" si="183"/>
        <v>1.49838</v>
      </c>
      <c r="AQ367" s="168">
        <f t="shared" si="183"/>
        <v>1.1458199999999998</v>
      </c>
      <c r="AR367" s="168">
        <f t="shared" si="183"/>
        <v>1.20458</v>
      </c>
      <c r="AS367" s="168">
        <f t="shared" si="183"/>
        <v>1.2633399999999999</v>
      </c>
      <c r="AT367" s="168">
        <f t="shared" si="183"/>
        <v>1.3220999999999998</v>
      </c>
      <c r="AU367" s="168">
        <f t="shared" si="183"/>
        <v>1.4102399999999999</v>
      </c>
      <c r="AV367" s="168">
        <f t="shared" si="183"/>
        <v>1.49838</v>
      </c>
      <c r="AW367" s="168">
        <f t="shared" si="183"/>
        <v>1.1458199999999998</v>
      </c>
      <c r="AX367" s="168">
        <f t="shared" si="183"/>
        <v>1.20458</v>
      </c>
      <c r="AY367" s="168">
        <f t="shared" si="183"/>
        <v>1.2633399999999999</v>
      </c>
      <c r="AZ367" s="168">
        <f t="shared" si="183"/>
        <v>1.4689999999999999</v>
      </c>
      <c r="BA367" s="168">
        <f t="shared" si="183"/>
        <v>1.4689999999999999</v>
      </c>
      <c r="BB367" s="168">
        <f t="shared" si="183"/>
        <v>1.4689999999999999</v>
      </c>
      <c r="BC367" s="168">
        <f t="shared" si="183"/>
        <v>1.4689999999999999</v>
      </c>
      <c r="BD367" s="168">
        <f t="shared" si="183"/>
        <v>1.3220999999999998</v>
      </c>
      <c r="BE367" s="168">
        <f t="shared" si="183"/>
        <v>1.4102399999999999</v>
      </c>
      <c r="BF367" s="168">
        <f t="shared" si="183"/>
        <v>1.49838</v>
      </c>
      <c r="BG367" s="168">
        <f t="shared" si="183"/>
        <v>1.1458199999999998</v>
      </c>
      <c r="BH367" s="168">
        <f t="shared" si="183"/>
        <v>1.20458</v>
      </c>
      <c r="BI367" s="168">
        <f t="shared" si="183"/>
        <v>1.2633399999999999</v>
      </c>
    </row>
    <row r="368" spans="1:61" x14ac:dyDescent="0.25">
      <c r="A368" s="172" t="s">
        <v>509</v>
      </c>
      <c r="B368" s="173"/>
      <c r="C368" s="172" t="s">
        <v>512</v>
      </c>
      <c r="D368" s="173"/>
      <c r="E368" s="172"/>
      <c r="F368" s="174"/>
      <c r="G368" s="173"/>
      <c r="H368" s="170">
        <v>0.25</v>
      </c>
      <c r="I368" s="171"/>
      <c r="J368" s="168">
        <f>SUM(D3:D22)/10000*8*$H368*1.21</f>
        <v>10.89</v>
      </c>
      <c r="K368" s="168">
        <f t="shared" ref="K368:BI368" si="184">SUM(E3:E22)/10000*8*$H368*1.21</f>
        <v>11.616</v>
      </c>
      <c r="L368" s="168">
        <f t="shared" si="184"/>
        <v>12.341999999999999</v>
      </c>
      <c r="M368" s="168">
        <f t="shared" si="184"/>
        <v>9.4379999999999988</v>
      </c>
      <c r="N368" s="168">
        <f t="shared" si="184"/>
        <v>9.9219999999999988</v>
      </c>
      <c r="O368" s="168">
        <f t="shared" si="184"/>
        <v>10.405999999999999</v>
      </c>
      <c r="P368" s="168">
        <f t="shared" si="184"/>
        <v>10.89</v>
      </c>
      <c r="Q368" s="168">
        <f t="shared" si="184"/>
        <v>11.616</v>
      </c>
      <c r="R368" s="168">
        <f t="shared" si="184"/>
        <v>12.341999999999999</v>
      </c>
      <c r="S368" s="168">
        <f t="shared" si="184"/>
        <v>9.4379999999999988</v>
      </c>
      <c r="T368" s="168">
        <f t="shared" si="184"/>
        <v>9.9219999999999988</v>
      </c>
      <c r="U368" s="168">
        <f t="shared" si="184"/>
        <v>10.405999999999999</v>
      </c>
      <c r="V368" s="168">
        <f t="shared" si="184"/>
        <v>10.89</v>
      </c>
      <c r="W368" s="168">
        <f t="shared" si="184"/>
        <v>11.616</v>
      </c>
      <c r="X368" s="168">
        <f t="shared" si="184"/>
        <v>12.341999999999999</v>
      </c>
      <c r="Y368" s="168">
        <f t="shared" si="184"/>
        <v>9.4379999999999988</v>
      </c>
      <c r="Z368" s="168">
        <f t="shared" si="184"/>
        <v>9.9219999999999988</v>
      </c>
      <c r="AA368" s="168">
        <f t="shared" si="184"/>
        <v>10.405999999999999</v>
      </c>
      <c r="AB368" s="168">
        <f t="shared" si="184"/>
        <v>10.89</v>
      </c>
      <c r="AC368" s="168">
        <f t="shared" si="184"/>
        <v>11.616</v>
      </c>
      <c r="AD368" s="168">
        <f t="shared" si="184"/>
        <v>12.341999999999999</v>
      </c>
      <c r="AE368" s="168">
        <f t="shared" si="184"/>
        <v>9.4379999999999988</v>
      </c>
      <c r="AF368" s="168">
        <f t="shared" si="184"/>
        <v>9.9219999999999988</v>
      </c>
      <c r="AG368" s="168">
        <f t="shared" si="184"/>
        <v>10.405999999999999</v>
      </c>
      <c r="AH368" s="168">
        <f t="shared" si="184"/>
        <v>10.89</v>
      </c>
      <c r="AI368" s="168">
        <f t="shared" si="184"/>
        <v>11.616</v>
      </c>
      <c r="AJ368" s="168">
        <f t="shared" si="184"/>
        <v>12.341999999999999</v>
      </c>
      <c r="AK368" s="168">
        <f t="shared" si="184"/>
        <v>9.4379999999999988</v>
      </c>
      <c r="AL368" s="168">
        <f t="shared" si="184"/>
        <v>9.9219999999999988</v>
      </c>
      <c r="AM368" s="168">
        <f t="shared" si="184"/>
        <v>10.405999999999999</v>
      </c>
      <c r="AN368" s="168">
        <f t="shared" si="184"/>
        <v>10.89</v>
      </c>
      <c r="AO368" s="168">
        <f t="shared" si="184"/>
        <v>11.616</v>
      </c>
      <c r="AP368" s="168">
        <f t="shared" si="184"/>
        <v>12.341999999999999</v>
      </c>
      <c r="AQ368" s="168">
        <f t="shared" si="184"/>
        <v>9.4379999999999988</v>
      </c>
      <c r="AR368" s="168">
        <f t="shared" si="184"/>
        <v>9.9219999999999988</v>
      </c>
      <c r="AS368" s="168">
        <f t="shared" si="184"/>
        <v>10.405999999999999</v>
      </c>
      <c r="AT368" s="168">
        <f t="shared" si="184"/>
        <v>10.89</v>
      </c>
      <c r="AU368" s="168">
        <f t="shared" si="184"/>
        <v>11.616</v>
      </c>
      <c r="AV368" s="168">
        <f t="shared" si="184"/>
        <v>12.341999999999999</v>
      </c>
      <c r="AW368" s="168">
        <f t="shared" si="184"/>
        <v>9.4379999999999988</v>
      </c>
      <c r="AX368" s="168">
        <f t="shared" si="184"/>
        <v>9.9219999999999988</v>
      </c>
      <c r="AY368" s="168">
        <f t="shared" si="184"/>
        <v>10.405999999999999</v>
      </c>
      <c r="AZ368" s="168">
        <f t="shared" si="184"/>
        <v>12.1</v>
      </c>
      <c r="BA368" s="168">
        <f t="shared" si="184"/>
        <v>12.1</v>
      </c>
      <c r="BB368" s="168">
        <f t="shared" si="184"/>
        <v>12.1</v>
      </c>
      <c r="BC368" s="168">
        <f t="shared" si="184"/>
        <v>12.1</v>
      </c>
      <c r="BD368" s="168">
        <f t="shared" si="184"/>
        <v>10.89</v>
      </c>
      <c r="BE368" s="168">
        <f t="shared" si="184"/>
        <v>11.616</v>
      </c>
      <c r="BF368" s="168">
        <f t="shared" si="184"/>
        <v>12.341999999999999</v>
      </c>
      <c r="BG368" s="168">
        <f t="shared" si="184"/>
        <v>9.4379999999999988</v>
      </c>
      <c r="BH368" s="168">
        <f t="shared" si="184"/>
        <v>9.9219999999999988</v>
      </c>
      <c r="BI368" s="168">
        <f t="shared" si="184"/>
        <v>10.405999999999999</v>
      </c>
    </row>
    <row r="369" spans="1:61" x14ac:dyDescent="0.25">
      <c r="A369" s="172"/>
      <c r="B369" s="173"/>
      <c r="C369" s="172"/>
      <c r="D369" s="173"/>
      <c r="E369" s="172"/>
      <c r="F369" s="174"/>
      <c r="G369" s="173"/>
      <c r="H369" s="172"/>
      <c r="I369" s="173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35"/>
      <c r="BA369" s="35"/>
      <c r="BB369" s="35"/>
      <c r="BC369" s="35"/>
      <c r="BD369" s="35"/>
      <c r="BE369" s="35"/>
      <c r="BF369" s="35"/>
      <c r="BG369" s="35"/>
      <c r="BH369" s="35"/>
      <c r="BI369" s="35"/>
    </row>
    <row r="370" spans="1:61" x14ac:dyDescent="0.25">
      <c r="A370" s="172"/>
      <c r="B370" s="173"/>
      <c r="C370" s="172"/>
      <c r="D370" s="173"/>
      <c r="E370" s="172"/>
      <c r="F370" s="174"/>
      <c r="G370" s="173"/>
      <c r="H370" s="172"/>
      <c r="I370" s="173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35"/>
      <c r="BA370" s="35"/>
      <c r="BB370" s="35"/>
      <c r="BC370" s="35"/>
      <c r="BD370" s="35"/>
      <c r="BE370" s="35"/>
      <c r="BF370" s="35"/>
      <c r="BG370" s="35"/>
      <c r="BH370" s="35"/>
      <c r="BI370" s="35"/>
    </row>
    <row r="371" spans="1:61" x14ac:dyDescent="0.25">
      <c r="A371" s="172"/>
      <c r="B371" s="173"/>
      <c r="C371" s="172"/>
      <c r="D371" s="173"/>
      <c r="E371" s="172"/>
      <c r="F371" s="174"/>
      <c r="G371" s="173"/>
      <c r="H371" s="172"/>
      <c r="I371" s="173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  <c r="BC371" s="35"/>
      <c r="BD371" s="35"/>
      <c r="BE371" s="35"/>
      <c r="BF371" s="35"/>
      <c r="BG371" s="35"/>
      <c r="BH371" s="35"/>
      <c r="BI371" s="35"/>
    </row>
    <row r="372" spans="1:61" x14ac:dyDescent="0.25">
      <c r="A372" s="172"/>
      <c r="B372" s="173"/>
      <c r="C372" s="172"/>
      <c r="D372" s="173"/>
      <c r="E372" s="172"/>
      <c r="F372" s="174"/>
      <c r="G372" s="173"/>
      <c r="H372" s="172"/>
      <c r="I372" s="173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  <c r="BC372" s="35"/>
      <c r="BD372" s="35"/>
      <c r="BE372" s="35"/>
      <c r="BF372" s="35"/>
      <c r="BG372" s="35"/>
      <c r="BH372" s="35"/>
      <c r="BI372" s="35"/>
    </row>
    <row r="373" spans="1:61" x14ac:dyDescent="0.25">
      <c r="A373" s="172"/>
      <c r="B373" s="173"/>
      <c r="C373" s="172"/>
      <c r="D373" s="173"/>
      <c r="E373" s="172"/>
      <c r="F373" s="174"/>
      <c r="G373" s="173"/>
      <c r="H373" s="172"/>
      <c r="I373" s="173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  <c r="BA373" s="35"/>
      <c r="BB373" s="35"/>
      <c r="BC373" s="35"/>
      <c r="BD373" s="35"/>
      <c r="BE373" s="35"/>
      <c r="BF373" s="35"/>
      <c r="BG373" s="35"/>
      <c r="BH373" s="35"/>
      <c r="BI373" s="35"/>
    </row>
    <row r="374" spans="1:61" x14ac:dyDescent="0.25">
      <c r="A374" s="172"/>
      <c r="B374" s="173"/>
      <c r="C374" s="172"/>
      <c r="D374" s="173"/>
      <c r="E374" s="172"/>
      <c r="F374" s="174"/>
      <c r="G374" s="173"/>
      <c r="H374" s="172"/>
      <c r="I374" s="173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  <c r="BA374" s="35"/>
      <c r="BB374" s="35"/>
      <c r="BC374" s="35"/>
      <c r="BD374" s="35"/>
      <c r="BE374" s="35"/>
      <c r="BF374" s="35"/>
      <c r="BG374" s="35"/>
      <c r="BH374" s="35"/>
      <c r="BI374" s="35"/>
    </row>
    <row r="375" spans="1:61" x14ac:dyDescent="0.25">
      <c r="A375" s="172"/>
      <c r="B375" s="173"/>
      <c r="C375" s="172"/>
      <c r="D375" s="173"/>
      <c r="E375" s="172"/>
      <c r="F375" s="174"/>
      <c r="G375" s="173"/>
      <c r="H375" s="172"/>
      <c r="I375" s="173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35"/>
      <c r="BA375" s="35"/>
      <c r="BB375" s="35"/>
      <c r="BC375" s="35"/>
      <c r="BD375" s="35"/>
      <c r="BE375" s="35"/>
      <c r="BF375" s="35"/>
      <c r="BG375" s="35"/>
      <c r="BH375" s="35"/>
      <c r="BI375" s="35"/>
    </row>
    <row r="376" spans="1:61" x14ac:dyDescent="0.25">
      <c r="A376" s="172"/>
      <c r="B376" s="173"/>
      <c r="C376" s="172"/>
      <c r="D376" s="173"/>
      <c r="E376" s="172"/>
      <c r="F376" s="174"/>
      <c r="G376" s="173"/>
      <c r="H376" s="172"/>
      <c r="I376" s="173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  <c r="BA376" s="35"/>
      <c r="BB376" s="35"/>
      <c r="BC376" s="35"/>
      <c r="BD376" s="35"/>
      <c r="BE376" s="35"/>
      <c r="BF376" s="35"/>
      <c r="BG376" s="35"/>
      <c r="BH376" s="35"/>
      <c r="BI376" s="35"/>
    </row>
    <row r="377" spans="1:61" x14ac:dyDescent="0.25">
      <c r="A377" s="172"/>
      <c r="B377" s="173"/>
      <c r="C377" s="172"/>
      <c r="D377" s="173"/>
      <c r="E377" s="172"/>
      <c r="F377" s="174"/>
      <c r="G377" s="173"/>
      <c r="H377" s="172"/>
      <c r="I377" s="173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35"/>
      <c r="BA377" s="35"/>
      <c r="BB377" s="35"/>
      <c r="BC377" s="35"/>
      <c r="BD377" s="35"/>
      <c r="BE377" s="35"/>
      <c r="BF377" s="35"/>
      <c r="BG377" s="35"/>
      <c r="BH377" s="35"/>
      <c r="BI377" s="35"/>
    </row>
    <row r="378" spans="1:61" x14ac:dyDescent="0.25">
      <c r="A378" s="172"/>
      <c r="B378" s="173"/>
      <c r="C378" s="172"/>
      <c r="D378" s="173"/>
      <c r="E378" s="172"/>
      <c r="F378" s="174"/>
      <c r="G378" s="173"/>
      <c r="H378" s="172"/>
      <c r="I378" s="173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  <c r="BA378" s="35"/>
      <c r="BB378" s="35"/>
      <c r="BC378" s="35"/>
      <c r="BD378" s="35"/>
      <c r="BE378" s="35"/>
      <c r="BF378" s="35"/>
      <c r="BG378" s="35"/>
      <c r="BH378" s="35"/>
      <c r="BI378" s="35"/>
    </row>
    <row r="379" spans="1:61" x14ac:dyDescent="0.25">
      <c r="A379" s="172"/>
      <c r="B379" s="173"/>
      <c r="C379" s="172"/>
      <c r="D379" s="173"/>
      <c r="E379" s="172"/>
      <c r="F379" s="174"/>
      <c r="G379" s="173"/>
      <c r="H379" s="172"/>
      <c r="I379" s="173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  <c r="BA379" s="35"/>
      <c r="BB379" s="35"/>
      <c r="BC379" s="35"/>
      <c r="BD379" s="35"/>
      <c r="BE379" s="35"/>
      <c r="BF379" s="35"/>
      <c r="BG379" s="35"/>
      <c r="BH379" s="35"/>
      <c r="BI379" s="35"/>
    </row>
    <row r="380" spans="1:61" x14ac:dyDescent="0.25">
      <c r="A380" s="172"/>
      <c r="B380" s="173"/>
      <c r="C380" s="172"/>
      <c r="D380" s="173"/>
      <c r="E380" s="172"/>
      <c r="F380" s="174"/>
      <c r="G380" s="173"/>
      <c r="H380" s="172"/>
      <c r="I380" s="173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  <c r="BC380" s="35"/>
      <c r="BD380" s="35"/>
      <c r="BE380" s="35"/>
      <c r="BF380" s="35"/>
      <c r="BG380" s="35"/>
      <c r="BH380" s="35"/>
      <c r="BI380" s="35"/>
    </row>
    <row r="381" spans="1:61" x14ac:dyDescent="0.25">
      <c r="A381" s="172"/>
      <c r="B381" s="173"/>
      <c r="C381" s="172"/>
      <c r="D381" s="173"/>
      <c r="E381" s="172"/>
      <c r="F381" s="174"/>
      <c r="G381" s="173"/>
      <c r="H381" s="172"/>
      <c r="I381" s="173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  <c r="BA381" s="35"/>
      <c r="BB381" s="35"/>
      <c r="BC381" s="35"/>
      <c r="BD381" s="35"/>
      <c r="BE381" s="35"/>
      <c r="BF381" s="35"/>
      <c r="BG381" s="35"/>
      <c r="BH381" s="35"/>
      <c r="BI381" s="35"/>
    </row>
    <row r="382" spans="1:61" x14ac:dyDescent="0.25">
      <c r="A382" s="172"/>
      <c r="B382" s="173"/>
      <c r="C382" s="172"/>
      <c r="D382" s="173"/>
      <c r="E382" s="172"/>
      <c r="F382" s="174"/>
      <c r="G382" s="173"/>
      <c r="H382" s="172"/>
      <c r="I382" s="173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  <c r="BA382" s="35"/>
      <c r="BB382" s="35"/>
      <c r="BC382" s="35"/>
      <c r="BD382" s="35"/>
      <c r="BE382" s="35"/>
      <c r="BF382" s="35"/>
      <c r="BG382" s="35"/>
      <c r="BH382" s="35"/>
      <c r="BI382" s="35"/>
    </row>
    <row r="383" spans="1:61" x14ac:dyDescent="0.25">
      <c r="A383" s="172"/>
      <c r="B383" s="173"/>
      <c r="C383" s="172"/>
      <c r="D383" s="173"/>
      <c r="E383" s="172"/>
      <c r="F383" s="174"/>
      <c r="G383" s="173"/>
      <c r="H383" s="172"/>
      <c r="I383" s="173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  <c r="BC383" s="35"/>
      <c r="BD383" s="35"/>
      <c r="BE383" s="35"/>
      <c r="BF383" s="35"/>
      <c r="BG383" s="35"/>
      <c r="BH383" s="35"/>
      <c r="BI383" s="35"/>
    </row>
    <row r="384" spans="1:61" x14ac:dyDescent="0.25">
      <c r="A384" s="172"/>
      <c r="B384" s="173"/>
      <c r="C384" s="172"/>
      <c r="D384" s="173"/>
      <c r="E384" s="172"/>
      <c r="F384" s="174"/>
      <c r="G384" s="173"/>
      <c r="H384" s="172"/>
      <c r="I384" s="173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  <c r="BA384" s="35"/>
      <c r="BB384" s="35"/>
      <c r="BC384" s="35"/>
      <c r="BD384" s="35"/>
      <c r="BE384" s="35"/>
      <c r="BF384" s="35"/>
      <c r="BG384" s="35"/>
      <c r="BH384" s="35"/>
      <c r="BI384" s="35"/>
    </row>
    <row r="385" spans="1:61" x14ac:dyDescent="0.25">
      <c r="A385" s="172"/>
      <c r="B385" s="173"/>
      <c r="C385" s="172"/>
      <c r="D385" s="173"/>
      <c r="E385" s="172"/>
      <c r="F385" s="174"/>
      <c r="G385" s="173"/>
      <c r="H385" s="172"/>
      <c r="I385" s="173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  <c r="BA385" s="35"/>
      <c r="BB385" s="35"/>
      <c r="BC385" s="35"/>
      <c r="BD385" s="35"/>
      <c r="BE385" s="35"/>
      <c r="BF385" s="35"/>
      <c r="BG385" s="35"/>
      <c r="BH385" s="35"/>
      <c r="BI385" s="35"/>
    </row>
    <row r="386" spans="1:61" x14ac:dyDescent="0.25">
      <c r="A386" s="172"/>
      <c r="B386" s="173"/>
      <c r="C386" s="172"/>
      <c r="D386" s="173"/>
      <c r="E386" s="172"/>
      <c r="F386" s="174"/>
      <c r="G386" s="173"/>
      <c r="H386" s="172"/>
      <c r="I386" s="173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  <c r="BA386" s="35"/>
      <c r="BB386" s="35"/>
      <c r="BC386" s="35"/>
      <c r="BD386" s="35"/>
      <c r="BE386" s="35"/>
      <c r="BF386" s="35"/>
      <c r="BG386" s="35"/>
      <c r="BH386" s="35"/>
      <c r="BI386" s="35"/>
    </row>
    <row r="387" spans="1:61" x14ac:dyDescent="0.25">
      <c r="A387" s="172"/>
      <c r="B387" s="173"/>
      <c r="C387" s="172"/>
      <c r="D387" s="173"/>
      <c r="E387" s="172"/>
      <c r="F387" s="174"/>
      <c r="G387" s="173"/>
      <c r="H387" s="172"/>
      <c r="I387" s="173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35"/>
      <c r="BA387" s="35"/>
      <c r="BB387" s="35"/>
      <c r="BC387" s="35"/>
      <c r="BD387" s="35"/>
      <c r="BE387" s="35"/>
      <c r="BF387" s="35"/>
      <c r="BG387" s="35"/>
      <c r="BH387" s="35"/>
      <c r="BI387" s="35"/>
    </row>
    <row r="388" spans="1:61" x14ac:dyDescent="0.25">
      <c r="A388" s="172"/>
      <c r="B388" s="173"/>
      <c r="C388" s="172"/>
      <c r="D388" s="173"/>
      <c r="E388" s="172"/>
      <c r="F388" s="174"/>
      <c r="G388" s="173"/>
      <c r="H388" s="172"/>
      <c r="I388" s="173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  <c r="BA388" s="35"/>
      <c r="BB388" s="35"/>
      <c r="BC388" s="35"/>
      <c r="BD388" s="35"/>
      <c r="BE388" s="35"/>
      <c r="BF388" s="35"/>
      <c r="BG388" s="35"/>
      <c r="BH388" s="35"/>
      <c r="BI388" s="35"/>
    </row>
    <row r="389" spans="1:61" x14ac:dyDescent="0.25">
      <c r="A389" s="172"/>
      <c r="B389" s="173"/>
      <c r="C389" s="172"/>
      <c r="D389" s="173"/>
      <c r="E389" s="172"/>
      <c r="F389" s="174"/>
      <c r="G389" s="173"/>
      <c r="H389" s="172"/>
      <c r="I389" s="173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  <c r="AZ389" s="35"/>
      <c r="BA389" s="35"/>
      <c r="BB389" s="35"/>
      <c r="BC389" s="35"/>
      <c r="BD389" s="35"/>
      <c r="BE389" s="35"/>
      <c r="BF389" s="35"/>
      <c r="BG389" s="35"/>
      <c r="BH389" s="35"/>
      <c r="BI389" s="35"/>
    </row>
    <row r="390" spans="1:61" x14ac:dyDescent="0.25">
      <c r="A390" s="172"/>
      <c r="B390" s="173"/>
      <c r="C390" s="172"/>
      <c r="D390" s="173"/>
      <c r="E390" s="172"/>
      <c r="F390" s="174"/>
      <c r="G390" s="173"/>
      <c r="H390" s="172"/>
      <c r="I390" s="173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  <c r="AZ390" s="35"/>
      <c r="BA390" s="35"/>
      <c r="BB390" s="35"/>
      <c r="BC390" s="35"/>
      <c r="BD390" s="35"/>
      <c r="BE390" s="35"/>
      <c r="BF390" s="35"/>
      <c r="BG390" s="35"/>
      <c r="BH390" s="35"/>
      <c r="BI390" s="35"/>
    </row>
    <row r="391" spans="1:61" x14ac:dyDescent="0.25">
      <c r="A391" s="172"/>
      <c r="B391" s="173"/>
      <c r="C391" s="172"/>
      <c r="D391" s="173"/>
      <c r="E391" s="172"/>
      <c r="F391" s="174"/>
      <c r="G391" s="173"/>
      <c r="H391" s="172"/>
      <c r="I391" s="173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35"/>
      <c r="BA391" s="35"/>
      <c r="BB391" s="35"/>
      <c r="BC391" s="35"/>
      <c r="BD391" s="35"/>
      <c r="BE391" s="35"/>
      <c r="BF391" s="35"/>
      <c r="BG391" s="35"/>
      <c r="BH391" s="35"/>
      <c r="BI391" s="35"/>
    </row>
    <row r="392" spans="1:61" x14ac:dyDescent="0.25">
      <c r="A392" s="172"/>
      <c r="B392" s="173"/>
      <c r="C392" s="172"/>
      <c r="D392" s="173"/>
      <c r="E392" s="172"/>
      <c r="F392" s="174"/>
      <c r="G392" s="173"/>
      <c r="H392" s="172"/>
      <c r="I392" s="173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35"/>
      <c r="BA392" s="35"/>
      <c r="BB392" s="35"/>
      <c r="BC392" s="35"/>
      <c r="BD392" s="35"/>
      <c r="BE392" s="35"/>
      <c r="BF392" s="35"/>
      <c r="BG392" s="35"/>
      <c r="BH392" s="35"/>
      <c r="BI392" s="35"/>
    </row>
    <row r="393" spans="1:61" x14ac:dyDescent="0.25">
      <c r="A393" s="172"/>
      <c r="B393" s="173"/>
      <c r="C393" s="172"/>
      <c r="D393" s="173"/>
      <c r="E393" s="172"/>
      <c r="F393" s="174"/>
      <c r="G393" s="173"/>
      <c r="H393" s="172"/>
      <c r="I393" s="173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  <c r="AZ393" s="35"/>
      <c r="BA393" s="35"/>
      <c r="BB393" s="35"/>
      <c r="BC393" s="35"/>
      <c r="BD393" s="35"/>
      <c r="BE393" s="35"/>
      <c r="BF393" s="35"/>
      <c r="BG393" s="35"/>
      <c r="BH393" s="35"/>
      <c r="BI393" s="35"/>
    </row>
    <row r="394" spans="1:61" x14ac:dyDescent="0.25">
      <c r="A394" s="172"/>
      <c r="B394" s="173"/>
      <c r="C394" s="172"/>
      <c r="D394" s="173"/>
      <c r="E394" s="172"/>
      <c r="F394" s="174"/>
      <c r="G394" s="173"/>
      <c r="H394" s="172"/>
      <c r="I394" s="173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  <c r="BA394" s="35"/>
      <c r="BB394" s="35"/>
      <c r="BC394" s="35"/>
      <c r="BD394" s="35"/>
      <c r="BE394" s="35"/>
      <c r="BF394" s="35"/>
      <c r="BG394" s="35"/>
      <c r="BH394" s="35"/>
      <c r="BI394" s="35"/>
    </row>
    <row r="395" spans="1:61" x14ac:dyDescent="0.25">
      <c r="A395" s="172"/>
      <c r="B395" s="173"/>
      <c r="C395" s="172"/>
      <c r="D395" s="173"/>
      <c r="E395" s="172"/>
      <c r="F395" s="174"/>
      <c r="G395" s="173"/>
      <c r="H395" s="172"/>
      <c r="I395" s="173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  <c r="AZ395" s="35"/>
      <c r="BA395" s="35"/>
      <c r="BB395" s="35"/>
      <c r="BC395" s="35"/>
      <c r="BD395" s="35"/>
      <c r="BE395" s="35"/>
      <c r="BF395" s="35"/>
      <c r="BG395" s="35"/>
      <c r="BH395" s="35"/>
      <c r="BI395" s="35"/>
    </row>
    <row r="396" spans="1:61" x14ac:dyDescent="0.25">
      <c r="A396" s="172"/>
      <c r="B396" s="173"/>
      <c r="C396" s="172"/>
      <c r="D396" s="173"/>
      <c r="E396" s="172"/>
      <c r="F396" s="174"/>
      <c r="G396" s="173"/>
      <c r="H396" s="172"/>
      <c r="I396" s="173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5"/>
      <c r="BA396" s="35"/>
      <c r="BB396" s="35"/>
      <c r="BC396" s="35"/>
      <c r="BD396" s="35"/>
      <c r="BE396" s="35"/>
      <c r="BF396" s="35"/>
      <c r="BG396" s="35"/>
      <c r="BH396" s="35"/>
      <c r="BI396" s="35"/>
    </row>
    <row r="397" spans="1:61" x14ac:dyDescent="0.25">
      <c r="A397" s="172"/>
      <c r="B397" s="173"/>
      <c r="C397" s="172"/>
      <c r="D397" s="173"/>
      <c r="E397" s="172"/>
      <c r="F397" s="174"/>
      <c r="G397" s="173"/>
      <c r="H397" s="172"/>
      <c r="I397" s="173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  <c r="BA397" s="35"/>
      <c r="BB397" s="35"/>
      <c r="BC397" s="35"/>
      <c r="BD397" s="35"/>
      <c r="BE397" s="35"/>
      <c r="BF397" s="35"/>
      <c r="BG397" s="35"/>
      <c r="BH397" s="35"/>
      <c r="BI397" s="35"/>
    </row>
    <row r="398" spans="1:61" x14ac:dyDescent="0.25">
      <c r="A398" s="172"/>
      <c r="B398" s="173"/>
      <c r="C398" s="172"/>
      <c r="D398" s="173"/>
      <c r="E398" s="172"/>
      <c r="F398" s="174"/>
      <c r="G398" s="173"/>
      <c r="H398" s="172"/>
      <c r="I398" s="173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35"/>
      <c r="BA398" s="35"/>
      <c r="BB398" s="35"/>
      <c r="BC398" s="35"/>
      <c r="BD398" s="35"/>
      <c r="BE398" s="35"/>
      <c r="BF398" s="35"/>
      <c r="BG398" s="35"/>
      <c r="BH398" s="35"/>
      <c r="BI398" s="35"/>
    </row>
    <row r="399" spans="1:61" x14ac:dyDescent="0.25">
      <c r="A399" s="172"/>
      <c r="B399" s="173"/>
      <c r="C399" s="172"/>
      <c r="D399" s="173"/>
      <c r="E399" s="172"/>
      <c r="F399" s="174"/>
      <c r="G399" s="173"/>
      <c r="H399" s="172"/>
      <c r="I399" s="173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  <c r="AZ399" s="35"/>
      <c r="BA399" s="35"/>
      <c r="BB399" s="35"/>
      <c r="BC399" s="35"/>
      <c r="BD399" s="35"/>
      <c r="BE399" s="35"/>
      <c r="BF399" s="35"/>
      <c r="BG399" s="35"/>
      <c r="BH399" s="35"/>
      <c r="BI399" s="35"/>
    </row>
    <row r="400" spans="1:61" x14ac:dyDescent="0.25">
      <c r="A400" s="172"/>
      <c r="B400" s="173"/>
      <c r="C400" s="172"/>
      <c r="D400" s="173"/>
      <c r="E400" s="172"/>
      <c r="F400" s="174"/>
      <c r="G400" s="173"/>
      <c r="H400" s="172"/>
      <c r="I400" s="173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  <c r="AZ400" s="35"/>
      <c r="BA400" s="35"/>
      <c r="BB400" s="35"/>
      <c r="BC400" s="35"/>
      <c r="BD400" s="35"/>
      <c r="BE400" s="35"/>
      <c r="BF400" s="35"/>
      <c r="BG400" s="35"/>
      <c r="BH400" s="35"/>
      <c r="BI400" s="35"/>
    </row>
    <row r="401" spans="1:61" x14ac:dyDescent="0.25">
      <c r="A401" s="172"/>
      <c r="B401" s="173"/>
      <c r="C401" s="172"/>
      <c r="D401" s="173"/>
      <c r="E401" s="172"/>
      <c r="F401" s="174"/>
      <c r="G401" s="173"/>
      <c r="H401" s="172"/>
      <c r="I401" s="173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35"/>
      <c r="BA401" s="35"/>
      <c r="BB401" s="35"/>
      <c r="BC401" s="35"/>
      <c r="BD401" s="35"/>
      <c r="BE401" s="35"/>
      <c r="BF401" s="35"/>
      <c r="BG401" s="35"/>
      <c r="BH401" s="35"/>
      <c r="BI401" s="35"/>
    </row>
    <row r="402" spans="1:61" x14ac:dyDescent="0.25">
      <c r="A402" s="172"/>
      <c r="B402" s="173"/>
      <c r="C402" s="172"/>
      <c r="D402" s="173"/>
      <c r="E402" s="172"/>
      <c r="F402" s="174"/>
      <c r="G402" s="173"/>
      <c r="H402" s="172"/>
      <c r="I402" s="173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35"/>
      <c r="BA402" s="35"/>
      <c r="BB402" s="35"/>
      <c r="BC402" s="35"/>
      <c r="BD402" s="35"/>
      <c r="BE402" s="35"/>
      <c r="BF402" s="35"/>
      <c r="BG402" s="35"/>
      <c r="BH402" s="35"/>
      <c r="BI402" s="35"/>
    </row>
    <row r="403" spans="1:61" x14ac:dyDescent="0.25">
      <c r="A403" s="172"/>
      <c r="B403" s="173"/>
      <c r="C403" s="172"/>
      <c r="D403" s="173"/>
      <c r="E403" s="172"/>
      <c r="F403" s="174"/>
      <c r="G403" s="173"/>
      <c r="H403" s="172"/>
      <c r="I403" s="173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  <c r="AZ403" s="35"/>
      <c r="BA403" s="35"/>
      <c r="BB403" s="35"/>
      <c r="BC403" s="35"/>
      <c r="BD403" s="35"/>
      <c r="BE403" s="35"/>
      <c r="BF403" s="35"/>
      <c r="BG403" s="35"/>
      <c r="BH403" s="35"/>
      <c r="BI403" s="35"/>
    </row>
    <row r="404" spans="1:61" x14ac:dyDescent="0.25">
      <c r="A404" s="172"/>
      <c r="B404" s="173"/>
      <c r="C404" s="172"/>
      <c r="D404" s="173"/>
      <c r="E404" s="172"/>
      <c r="F404" s="174"/>
      <c r="G404" s="173"/>
      <c r="H404" s="172"/>
      <c r="I404" s="173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35"/>
      <c r="BA404" s="35"/>
      <c r="BB404" s="35"/>
      <c r="BC404" s="35"/>
      <c r="BD404" s="35"/>
      <c r="BE404" s="35"/>
      <c r="BF404" s="35"/>
      <c r="BG404" s="35"/>
      <c r="BH404" s="35"/>
      <c r="BI404" s="35"/>
    </row>
    <row r="405" spans="1:61" x14ac:dyDescent="0.25">
      <c r="A405" s="172"/>
      <c r="B405" s="173"/>
      <c r="C405" s="172"/>
      <c r="D405" s="173"/>
      <c r="E405" s="172"/>
      <c r="F405" s="174"/>
      <c r="G405" s="173"/>
      <c r="H405" s="172"/>
      <c r="I405" s="173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35"/>
      <c r="BA405" s="35"/>
      <c r="BB405" s="35"/>
      <c r="BC405" s="35"/>
      <c r="BD405" s="35"/>
      <c r="BE405" s="35"/>
      <c r="BF405" s="35"/>
      <c r="BG405" s="35"/>
      <c r="BH405" s="35"/>
      <c r="BI405" s="35"/>
    </row>
    <row r="406" spans="1:61" x14ac:dyDescent="0.25">
      <c r="A406" s="172"/>
      <c r="B406" s="173"/>
      <c r="C406" s="172"/>
      <c r="D406" s="173"/>
      <c r="E406" s="172"/>
      <c r="F406" s="174"/>
      <c r="G406" s="173"/>
      <c r="H406" s="172"/>
      <c r="I406" s="173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  <c r="AZ406" s="35"/>
      <c r="BA406" s="35"/>
      <c r="BB406" s="35"/>
      <c r="BC406" s="35"/>
      <c r="BD406" s="35"/>
      <c r="BE406" s="35"/>
      <c r="BF406" s="35"/>
      <c r="BG406" s="35"/>
      <c r="BH406" s="35"/>
      <c r="BI406" s="35"/>
    </row>
    <row r="407" spans="1:61" x14ac:dyDescent="0.25">
      <c r="A407" s="172"/>
      <c r="B407" s="173"/>
      <c r="C407" s="172"/>
      <c r="D407" s="173"/>
      <c r="E407" s="172"/>
      <c r="F407" s="174"/>
      <c r="G407" s="173"/>
      <c r="H407" s="172"/>
      <c r="I407" s="173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35"/>
      <c r="BA407" s="35"/>
      <c r="BB407" s="35"/>
      <c r="BC407" s="35"/>
      <c r="BD407" s="35"/>
      <c r="BE407" s="35"/>
      <c r="BF407" s="35"/>
      <c r="BG407" s="35"/>
      <c r="BH407" s="35"/>
      <c r="BI407" s="35"/>
    </row>
    <row r="408" spans="1:61" x14ac:dyDescent="0.25">
      <c r="A408" s="172"/>
      <c r="B408" s="173"/>
      <c r="C408" s="172"/>
      <c r="D408" s="173"/>
      <c r="E408" s="172"/>
      <c r="F408" s="174"/>
      <c r="G408" s="173"/>
      <c r="H408" s="172"/>
      <c r="I408" s="173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  <c r="AZ408" s="35"/>
      <c r="BA408" s="35"/>
      <c r="BB408" s="35"/>
      <c r="BC408" s="35"/>
      <c r="BD408" s="35"/>
      <c r="BE408" s="35"/>
      <c r="BF408" s="35"/>
      <c r="BG408" s="35"/>
      <c r="BH408" s="35"/>
      <c r="BI408" s="35"/>
    </row>
    <row r="409" spans="1:61" x14ac:dyDescent="0.25">
      <c r="A409" s="172"/>
      <c r="B409" s="173"/>
      <c r="C409" s="172"/>
      <c r="D409" s="173"/>
      <c r="E409" s="172"/>
      <c r="F409" s="174"/>
      <c r="G409" s="173"/>
      <c r="H409" s="172"/>
      <c r="I409" s="173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35"/>
      <c r="BA409" s="35"/>
      <c r="BB409" s="35"/>
      <c r="BC409" s="35"/>
      <c r="BD409" s="35"/>
      <c r="BE409" s="35"/>
      <c r="BF409" s="35"/>
      <c r="BG409" s="35"/>
      <c r="BH409" s="35"/>
      <c r="BI409" s="35"/>
    </row>
    <row r="410" spans="1:61" x14ac:dyDescent="0.25">
      <c r="A410" s="172"/>
      <c r="B410" s="173"/>
      <c r="C410" s="172"/>
      <c r="D410" s="173"/>
      <c r="E410" s="172"/>
      <c r="F410" s="174"/>
      <c r="G410" s="173"/>
      <c r="H410" s="172"/>
      <c r="I410" s="173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  <c r="AZ410" s="35"/>
      <c r="BA410" s="35"/>
      <c r="BB410" s="35"/>
      <c r="BC410" s="35"/>
      <c r="BD410" s="35"/>
      <c r="BE410" s="35"/>
      <c r="BF410" s="35"/>
      <c r="BG410" s="35"/>
      <c r="BH410" s="35"/>
      <c r="BI410" s="35"/>
    </row>
    <row r="411" spans="1:61" x14ac:dyDescent="0.25">
      <c r="A411" s="172"/>
      <c r="B411" s="173"/>
      <c r="C411" s="172"/>
      <c r="D411" s="173"/>
      <c r="E411" s="172"/>
      <c r="F411" s="174"/>
      <c r="G411" s="173"/>
      <c r="H411" s="172"/>
      <c r="I411" s="173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35"/>
      <c r="BA411" s="35"/>
      <c r="BB411" s="35"/>
      <c r="BC411" s="35"/>
      <c r="BD411" s="35"/>
      <c r="BE411" s="35"/>
      <c r="BF411" s="35"/>
      <c r="BG411" s="35"/>
      <c r="BH411" s="35"/>
      <c r="BI411" s="35"/>
    </row>
    <row r="412" spans="1:61" x14ac:dyDescent="0.25">
      <c r="A412" s="172"/>
      <c r="B412" s="173"/>
      <c r="C412" s="172"/>
      <c r="D412" s="173"/>
      <c r="E412" s="172"/>
      <c r="F412" s="174"/>
      <c r="G412" s="173"/>
      <c r="H412" s="172"/>
      <c r="I412" s="173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35"/>
      <c r="BA412" s="35"/>
      <c r="BB412" s="35"/>
      <c r="BC412" s="35"/>
      <c r="BD412" s="35"/>
      <c r="BE412" s="35"/>
      <c r="BF412" s="35"/>
      <c r="BG412" s="35"/>
      <c r="BH412" s="35"/>
      <c r="BI412" s="35"/>
    </row>
    <row r="413" spans="1:61" x14ac:dyDescent="0.25">
      <c r="A413" s="172"/>
      <c r="B413" s="173"/>
      <c r="C413" s="172"/>
      <c r="D413" s="173"/>
      <c r="E413" s="172"/>
      <c r="F413" s="174"/>
      <c r="G413" s="173"/>
      <c r="H413" s="172"/>
      <c r="I413" s="173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  <c r="AZ413" s="35"/>
      <c r="BA413" s="35"/>
      <c r="BB413" s="35"/>
      <c r="BC413" s="35"/>
      <c r="BD413" s="35"/>
      <c r="BE413" s="35"/>
      <c r="BF413" s="35"/>
      <c r="BG413" s="35"/>
      <c r="BH413" s="35"/>
      <c r="BI413" s="35"/>
    </row>
    <row r="414" spans="1:61" x14ac:dyDescent="0.25">
      <c r="A414" s="172"/>
      <c r="B414" s="173"/>
      <c r="C414" s="172"/>
      <c r="D414" s="173"/>
      <c r="E414" s="172"/>
      <c r="F414" s="174"/>
      <c r="G414" s="173"/>
      <c r="H414" s="172"/>
      <c r="I414" s="173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35"/>
      <c r="BA414" s="35"/>
      <c r="BB414" s="35"/>
      <c r="BC414" s="35"/>
      <c r="BD414" s="35"/>
      <c r="BE414" s="35"/>
      <c r="BF414" s="35"/>
      <c r="BG414" s="35"/>
      <c r="BH414" s="35"/>
      <c r="BI414" s="35"/>
    </row>
    <row r="415" spans="1:61" x14ac:dyDescent="0.25">
      <c r="A415" s="172"/>
      <c r="B415" s="173"/>
      <c r="C415" s="172"/>
      <c r="D415" s="173"/>
      <c r="E415" s="172"/>
      <c r="F415" s="174"/>
      <c r="G415" s="173"/>
      <c r="H415" s="172"/>
      <c r="I415" s="173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  <c r="BA415" s="35"/>
      <c r="BB415" s="35"/>
      <c r="BC415" s="35"/>
      <c r="BD415" s="35"/>
      <c r="BE415" s="35"/>
      <c r="BF415" s="35"/>
      <c r="BG415" s="35"/>
      <c r="BH415" s="35"/>
      <c r="BI415" s="35"/>
    </row>
    <row r="416" spans="1:61" x14ac:dyDescent="0.25">
      <c r="A416" s="172"/>
      <c r="B416" s="173"/>
      <c r="C416" s="172"/>
      <c r="D416" s="173"/>
      <c r="E416" s="172"/>
      <c r="F416" s="174"/>
      <c r="G416" s="173"/>
      <c r="H416" s="172"/>
      <c r="I416" s="173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35"/>
      <c r="BA416" s="35"/>
      <c r="BB416" s="35"/>
      <c r="BC416" s="35"/>
      <c r="BD416" s="35"/>
      <c r="BE416" s="35"/>
      <c r="BF416" s="35"/>
      <c r="BG416" s="35"/>
      <c r="BH416" s="35"/>
      <c r="BI416" s="35"/>
    </row>
    <row r="417" spans="1:61" x14ac:dyDescent="0.25">
      <c r="A417" s="172"/>
      <c r="B417" s="173"/>
      <c r="C417" s="172"/>
      <c r="D417" s="173"/>
      <c r="E417" s="172"/>
      <c r="F417" s="174"/>
      <c r="G417" s="173"/>
      <c r="H417" s="172"/>
      <c r="I417" s="173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  <c r="AZ417" s="35"/>
      <c r="BA417" s="35"/>
      <c r="BB417" s="35"/>
      <c r="BC417" s="35"/>
      <c r="BD417" s="35"/>
      <c r="BE417" s="35"/>
      <c r="BF417" s="35"/>
      <c r="BG417" s="35"/>
      <c r="BH417" s="35"/>
      <c r="BI417" s="35"/>
    </row>
    <row r="418" spans="1:61" x14ac:dyDescent="0.25">
      <c r="A418" s="172"/>
      <c r="B418" s="173"/>
      <c r="C418" s="172"/>
      <c r="D418" s="173"/>
      <c r="E418" s="172"/>
      <c r="F418" s="174"/>
      <c r="G418" s="173"/>
      <c r="H418" s="172"/>
      <c r="I418" s="173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  <c r="BA418" s="35"/>
      <c r="BB418" s="35"/>
      <c r="BC418" s="35"/>
      <c r="BD418" s="35"/>
      <c r="BE418" s="35"/>
      <c r="BF418" s="35"/>
      <c r="BG418" s="35"/>
      <c r="BH418" s="35"/>
      <c r="BI418" s="35"/>
    </row>
    <row r="419" spans="1:61" x14ac:dyDescent="0.25">
      <c r="A419" s="172"/>
      <c r="B419" s="173"/>
      <c r="C419" s="172"/>
      <c r="D419" s="173"/>
      <c r="E419" s="172"/>
      <c r="F419" s="174"/>
      <c r="G419" s="173"/>
      <c r="H419" s="172"/>
      <c r="I419" s="173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  <c r="BA419" s="35"/>
      <c r="BB419" s="35"/>
      <c r="BC419" s="35"/>
      <c r="BD419" s="35"/>
      <c r="BE419" s="35"/>
      <c r="BF419" s="35"/>
      <c r="BG419" s="35"/>
      <c r="BH419" s="35"/>
      <c r="BI419" s="35"/>
    </row>
    <row r="420" spans="1:61" x14ac:dyDescent="0.25">
      <c r="A420" s="172"/>
      <c r="B420" s="173"/>
      <c r="C420" s="172"/>
      <c r="D420" s="173"/>
      <c r="E420" s="172"/>
      <c r="F420" s="174"/>
      <c r="G420" s="173"/>
      <c r="H420" s="172"/>
      <c r="I420" s="173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  <c r="BA420" s="35"/>
      <c r="BB420" s="35"/>
      <c r="BC420" s="35"/>
      <c r="BD420" s="35"/>
      <c r="BE420" s="35"/>
      <c r="BF420" s="35"/>
      <c r="BG420" s="35"/>
      <c r="BH420" s="35"/>
      <c r="BI420" s="35"/>
    </row>
    <row r="421" spans="1:61" x14ac:dyDescent="0.25">
      <c r="A421" s="172"/>
      <c r="B421" s="173"/>
      <c r="C421" s="172"/>
      <c r="D421" s="173"/>
      <c r="E421" s="172"/>
      <c r="F421" s="174"/>
      <c r="G421" s="173"/>
      <c r="H421" s="172"/>
      <c r="I421" s="173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  <c r="BA421" s="35"/>
      <c r="BB421" s="35"/>
      <c r="BC421" s="35"/>
      <c r="BD421" s="35"/>
      <c r="BE421" s="35"/>
      <c r="BF421" s="35"/>
      <c r="BG421" s="35"/>
      <c r="BH421" s="35"/>
      <c r="BI421" s="35"/>
    </row>
    <row r="422" spans="1:61" x14ac:dyDescent="0.25">
      <c r="A422" s="172"/>
      <c r="B422" s="173"/>
      <c r="C422" s="172"/>
      <c r="D422" s="173"/>
      <c r="E422" s="172"/>
      <c r="F422" s="174"/>
      <c r="G422" s="173"/>
      <c r="H422" s="172"/>
      <c r="I422" s="173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35"/>
      <c r="BA422" s="35"/>
      <c r="BB422" s="35"/>
      <c r="BC422" s="35"/>
      <c r="BD422" s="35"/>
      <c r="BE422" s="35"/>
      <c r="BF422" s="35"/>
      <c r="BG422" s="35"/>
      <c r="BH422" s="35"/>
      <c r="BI422" s="35"/>
    </row>
    <row r="423" spans="1:61" x14ac:dyDescent="0.25">
      <c r="A423" s="172"/>
      <c r="B423" s="173"/>
      <c r="C423" s="172"/>
      <c r="D423" s="173"/>
      <c r="E423" s="172"/>
      <c r="F423" s="174"/>
      <c r="G423" s="173"/>
      <c r="H423" s="172"/>
      <c r="I423" s="173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/>
      <c r="BB423" s="35"/>
      <c r="BC423" s="35"/>
      <c r="BD423" s="35"/>
      <c r="BE423" s="35"/>
      <c r="BF423" s="35"/>
      <c r="BG423" s="35"/>
      <c r="BH423" s="35"/>
      <c r="BI423" s="35"/>
    </row>
    <row r="424" spans="1:61" x14ac:dyDescent="0.25">
      <c r="A424" s="172"/>
      <c r="B424" s="173"/>
      <c r="C424" s="172"/>
      <c r="D424" s="173"/>
      <c r="E424" s="172"/>
      <c r="F424" s="174"/>
      <c r="G424" s="173"/>
      <c r="H424" s="172"/>
      <c r="I424" s="173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5"/>
      <c r="BA424" s="35"/>
      <c r="BB424" s="35"/>
      <c r="BC424" s="35"/>
      <c r="BD424" s="35"/>
      <c r="BE424" s="35"/>
      <c r="BF424" s="35"/>
      <c r="BG424" s="35"/>
      <c r="BH424" s="35"/>
      <c r="BI424" s="35"/>
    </row>
    <row r="425" spans="1:61" x14ac:dyDescent="0.25">
      <c r="A425" s="172"/>
      <c r="B425" s="173"/>
      <c r="C425" s="172"/>
      <c r="D425" s="173"/>
      <c r="E425" s="172"/>
      <c r="F425" s="174"/>
      <c r="G425" s="173"/>
      <c r="H425" s="172"/>
      <c r="I425" s="173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  <c r="BA425" s="35"/>
      <c r="BB425" s="35"/>
      <c r="BC425" s="35"/>
      <c r="BD425" s="35"/>
      <c r="BE425" s="35"/>
      <c r="BF425" s="35"/>
      <c r="BG425" s="35"/>
      <c r="BH425" s="35"/>
      <c r="BI425" s="35"/>
    </row>
    <row r="426" spans="1:61" x14ac:dyDescent="0.25">
      <c r="A426" s="172"/>
      <c r="B426" s="173"/>
      <c r="C426" s="172"/>
      <c r="D426" s="173"/>
      <c r="E426" s="172"/>
      <c r="F426" s="174"/>
      <c r="G426" s="173"/>
      <c r="H426" s="172"/>
      <c r="I426" s="173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  <c r="BC426" s="35"/>
      <c r="BD426" s="35"/>
      <c r="BE426" s="35"/>
      <c r="BF426" s="35"/>
      <c r="BG426" s="35"/>
      <c r="BH426" s="35"/>
      <c r="BI426" s="35"/>
    </row>
    <row r="427" spans="1:61" x14ac:dyDescent="0.25">
      <c r="A427" s="172"/>
      <c r="B427" s="173"/>
      <c r="C427" s="172"/>
      <c r="D427" s="173"/>
      <c r="E427" s="172"/>
      <c r="F427" s="174"/>
      <c r="G427" s="173"/>
      <c r="H427" s="172"/>
      <c r="I427" s="173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  <c r="BA427" s="35"/>
      <c r="BB427" s="35"/>
      <c r="BC427" s="35"/>
      <c r="BD427" s="35"/>
      <c r="BE427" s="35"/>
      <c r="BF427" s="35"/>
      <c r="BG427" s="35"/>
      <c r="BH427" s="35"/>
      <c r="BI427" s="35"/>
    </row>
    <row r="428" spans="1:61" x14ac:dyDescent="0.25">
      <c r="A428" s="172"/>
      <c r="B428" s="173"/>
      <c r="C428" s="172"/>
      <c r="D428" s="173"/>
      <c r="E428" s="172"/>
      <c r="F428" s="174"/>
      <c r="G428" s="173"/>
      <c r="H428" s="172"/>
      <c r="I428" s="173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  <c r="BA428" s="35"/>
      <c r="BB428" s="35"/>
      <c r="BC428" s="35"/>
      <c r="BD428" s="35"/>
      <c r="BE428" s="35"/>
      <c r="BF428" s="35"/>
      <c r="BG428" s="35"/>
      <c r="BH428" s="35"/>
      <c r="BI428" s="35"/>
    </row>
    <row r="429" spans="1:61" x14ac:dyDescent="0.25">
      <c r="A429" s="172"/>
      <c r="B429" s="173"/>
      <c r="C429" s="172"/>
      <c r="D429" s="173"/>
      <c r="E429" s="172"/>
      <c r="F429" s="174"/>
      <c r="G429" s="173"/>
      <c r="H429" s="172"/>
      <c r="I429" s="173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  <c r="BA429" s="35"/>
      <c r="BB429" s="35"/>
      <c r="BC429" s="35"/>
      <c r="BD429" s="35"/>
      <c r="BE429" s="35"/>
      <c r="BF429" s="35"/>
      <c r="BG429" s="35"/>
      <c r="BH429" s="35"/>
      <c r="BI429" s="35"/>
    </row>
    <row r="430" spans="1:61" x14ac:dyDescent="0.25">
      <c r="A430" s="172"/>
      <c r="B430" s="173"/>
      <c r="C430" s="172"/>
      <c r="D430" s="173"/>
      <c r="E430" s="172"/>
      <c r="F430" s="174"/>
      <c r="G430" s="173"/>
      <c r="H430" s="172"/>
      <c r="I430" s="173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35"/>
      <c r="BA430" s="35"/>
      <c r="BB430" s="35"/>
      <c r="BC430" s="35"/>
      <c r="BD430" s="35"/>
      <c r="BE430" s="35"/>
      <c r="BF430" s="35"/>
      <c r="BG430" s="35"/>
      <c r="BH430" s="35"/>
      <c r="BI430" s="35"/>
    </row>
    <row r="431" spans="1:61" x14ac:dyDescent="0.25">
      <c r="A431" s="172"/>
      <c r="B431" s="173"/>
      <c r="C431" s="172"/>
      <c r="D431" s="173"/>
      <c r="E431" s="172"/>
      <c r="F431" s="174"/>
      <c r="G431" s="173"/>
      <c r="H431" s="172"/>
      <c r="I431" s="173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  <c r="AZ431" s="35"/>
      <c r="BA431" s="35"/>
      <c r="BB431" s="35"/>
      <c r="BC431" s="35"/>
      <c r="BD431" s="35"/>
      <c r="BE431" s="35"/>
      <c r="BF431" s="35"/>
      <c r="BG431" s="35"/>
      <c r="BH431" s="35"/>
      <c r="BI431" s="35"/>
    </row>
    <row r="432" spans="1:61" x14ac:dyDescent="0.25">
      <c r="A432" s="172"/>
      <c r="B432" s="173"/>
      <c r="C432" s="172"/>
      <c r="D432" s="173"/>
      <c r="E432" s="172"/>
      <c r="F432" s="174"/>
      <c r="G432" s="173"/>
      <c r="H432" s="172"/>
      <c r="I432" s="173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  <c r="AZ432" s="35"/>
      <c r="BA432" s="35"/>
      <c r="BB432" s="35"/>
      <c r="BC432" s="35"/>
      <c r="BD432" s="35"/>
      <c r="BE432" s="35"/>
      <c r="BF432" s="35"/>
      <c r="BG432" s="35"/>
      <c r="BH432" s="35"/>
      <c r="BI432" s="35"/>
    </row>
    <row r="433" spans="1:61" x14ac:dyDescent="0.25">
      <c r="A433" s="172"/>
      <c r="B433" s="173"/>
      <c r="C433" s="172"/>
      <c r="D433" s="173"/>
      <c r="E433" s="172"/>
      <c r="F433" s="174"/>
      <c r="G433" s="173"/>
      <c r="H433" s="172"/>
      <c r="I433" s="173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35"/>
      <c r="BA433" s="35"/>
      <c r="BB433" s="35"/>
      <c r="BC433" s="35"/>
      <c r="BD433" s="35"/>
      <c r="BE433" s="35"/>
      <c r="BF433" s="35"/>
      <c r="BG433" s="35"/>
      <c r="BH433" s="35"/>
      <c r="BI433" s="35"/>
    </row>
    <row r="434" spans="1:61" x14ac:dyDescent="0.25">
      <c r="A434" s="172"/>
      <c r="B434" s="173"/>
      <c r="C434" s="172"/>
      <c r="D434" s="173"/>
      <c r="E434" s="172"/>
      <c r="F434" s="174"/>
      <c r="G434" s="173"/>
      <c r="H434" s="172"/>
      <c r="I434" s="173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  <c r="AZ434" s="35"/>
      <c r="BA434" s="35"/>
      <c r="BB434" s="35"/>
      <c r="BC434" s="35"/>
      <c r="BD434" s="35"/>
      <c r="BE434" s="35"/>
      <c r="BF434" s="35"/>
      <c r="BG434" s="35"/>
      <c r="BH434" s="35"/>
      <c r="BI434" s="35"/>
    </row>
    <row r="435" spans="1:61" x14ac:dyDescent="0.25">
      <c r="A435" s="172"/>
      <c r="B435" s="173"/>
      <c r="C435" s="172"/>
      <c r="D435" s="173"/>
      <c r="E435" s="172"/>
      <c r="F435" s="174"/>
      <c r="G435" s="173"/>
      <c r="H435" s="172"/>
      <c r="I435" s="173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  <c r="AZ435" s="35"/>
      <c r="BA435" s="35"/>
      <c r="BB435" s="35"/>
      <c r="BC435" s="35"/>
      <c r="BD435" s="35"/>
      <c r="BE435" s="35"/>
      <c r="BF435" s="35"/>
      <c r="BG435" s="35"/>
      <c r="BH435" s="35"/>
      <c r="BI435" s="35"/>
    </row>
    <row r="436" spans="1:61" x14ac:dyDescent="0.25">
      <c r="A436" s="172"/>
      <c r="B436" s="173"/>
      <c r="C436" s="172"/>
      <c r="D436" s="173"/>
      <c r="E436" s="172"/>
      <c r="F436" s="174"/>
      <c r="G436" s="173"/>
      <c r="H436" s="172"/>
      <c r="I436" s="173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  <c r="AZ436" s="35"/>
      <c r="BA436" s="35"/>
      <c r="BB436" s="35"/>
      <c r="BC436" s="35"/>
      <c r="BD436" s="35"/>
      <c r="BE436" s="35"/>
      <c r="BF436" s="35"/>
      <c r="BG436" s="35"/>
      <c r="BH436" s="35"/>
      <c r="BI436" s="35"/>
    </row>
    <row r="437" spans="1:61" x14ac:dyDescent="0.25">
      <c r="A437" s="172"/>
      <c r="B437" s="173"/>
      <c r="C437" s="172"/>
      <c r="D437" s="173"/>
      <c r="E437" s="172"/>
      <c r="F437" s="174"/>
      <c r="G437" s="173"/>
      <c r="H437" s="172"/>
      <c r="I437" s="173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  <c r="AZ437" s="35"/>
      <c r="BA437" s="35"/>
      <c r="BB437" s="35"/>
      <c r="BC437" s="35"/>
      <c r="BD437" s="35"/>
      <c r="BE437" s="35"/>
      <c r="BF437" s="35"/>
      <c r="BG437" s="35"/>
      <c r="BH437" s="35"/>
      <c r="BI437" s="35"/>
    </row>
    <row r="438" spans="1:61" x14ac:dyDescent="0.25">
      <c r="A438" s="172"/>
      <c r="B438" s="173"/>
      <c r="C438" s="172"/>
      <c r="D438" s="173"/>
      <c r="E438" s="172"/>
      <c r="F438" s="174"/>
      <c r="G438" s="173"/>
      <c r="H438" s="172"/>
      <c r="I438" s="173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35"/>
      <c r="BA438" s="35"/>
      <c r="BB438" s="35"/>
      <c r="BC438" s="35"/>
      <c r="BD438" s="35"/>
      <c r="BE438" s="35"/>
      <c r="BF438" s="35"/>
      <c r="BG438" s="35"/>
      <c r="BH438" s="35"/>
      <c r="BI438" s="35"/>
    </row>
    <row r="439" spans="1:61" x14ac:dyDescent="0.25">
      <c r="A439" s="172"/>
      <c r="B439" s="173"/>
      <c r="C439" s="172"/>
      <c r="D439" s="173"/>
      <c r="E439" s="172"/>
      <c r="F439" s="174"/>
      <c r="G439" s="173"/>
      <c r="H439" s="172"/>
      <c r="I439" s="173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35"/>
      <c r="BA439" s="35"/>
      <c r="BB439" s="35"/>
      <c r="BC439" s="35"/>
      <c r="BD439" s="35"/>
      <c r="BE439" s="35"/>
      <c r="BF439" s="35"/>
      <c r="BG439" s="35"/>
      <c r="BH439" s="35"/>
      <c r="BI439" s="35"/>
    </row>
    <row r="440" spans="1:61" x14ac:dyDescent="0.25">
      <c r="A440" s="172"/>
      <c r="B440" s="173"/>
      <c r="C440" s="172"/>
      <c r="D440" s="173"/>
      <c r="E440" s="172"/>
      <c r="F440" s="174"/>
      <c r="G440" s="173"/>
      <c r="H440" s="172"/>
      <c r="I440" s="173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  <c r="AZ440" s="35"/>
      <c r="BA440" s="35"/>
      <c r="BB440" s="35"/>
      <c r="BC440" s="35"/>
      <c r="BD440" s="35"/>
      <c r="BE440" s="35"/>
      <c r="BF440" s="35"/>
      <c r="BG440" s="35"/>
      <c r="BH440" s="35"/>
      <c r="BI440" s="35"/>
    </row>
    <row r="441" spans="1:61" x14ac:dyDescent="0.25">
      <c r="A441" s="172"/>
      <c r="B441" s="173"/>
      <c r="C441" s="172"/>
      <c r="D441" s="173"/>
      <c r="E441" s="172"/>
      <c r="F441" s="174"/>
      <c r="G441" s="173"/>
      <c r="H441" s="172"/>
      <c r="I441" s="173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  <c r="AZ441" s="35"/>
      <c r="BA441" s="35"/>
      <c r="BB441" s="35"/>
      <c r="BC441" s="35"/>
      <c r="BD441" s="35"/>
      <c r="BE441" s="35"/>
      <c r="BF441" s="35"/>
      <c r="BG441" s="35"/>
      <c r="BH441" s="35"/>
      <c r="BI441" s="35"/>
    </row>
    <row r="442" spans="1:61" x14ac:dyDescent="0.25">
      <c r="A442" s="172"/>
      <c r="B442" s="173"/>
      <c r="C442" s="172"/>
      <c r="D442" s="173"/>
      <c r="E442" s="172"/>
      <c r="F442" s="174"/>
      <c r="G442" s="173"/>
      <c r="H442" s="172"/>
      <c r="I442" s="173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  <c r="AZ442" s="35"/>
      <c r="BA442" s="35"/>
      <c r="BB442" s="35"/>
      <c r="BC442" s="35"/>
      <c r="BD442" s="35"/>
      <c r="BE442" s="35"/>
      <c r="BF442" s="35"/>
      <c r="BG442" s="35"/>
      <c r="BH442" s="35"/>
      <c r="BI442" s="35"/>
    </row>
    <row r="443" spans="1:61" x14ac:dyDescent="0.25">
      <c r="A443" s="172"/>
      <c r="B443" s="173"/>
      <c r="C443" s="172"/>
      <c r="D443" s="173"/>
      <c r="E443" s="172"/>
      <c r="F443" s="174"/>
      <c r="G443" s="173"/>
      <c r="H443" s="172"/>
      <c r="I443" s="173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  <c r="AZ443" s="35"/>
      <c r="BA443" s="35"/>
      <c r="BB443" s="35"/>
      <c r="BC443" s="35"/>
      <c r="BD443" s="35"/>
      <c r="BE443" s="35"/>
      <c r="BF443" s="35"/>
      <c r="BG443" s="35"/>
      <c r="BH443" s="35"/>
      <c r="BI443" s="35"/>
    </row>
    <row r="444" spans="1:61" x14ac:dyDescent="0.25">
      <c r="A444" s="172"/>
      <c r="B444" s="173"/>
      <c r="C444" s="172"/>
      <c r="D444" s="173"/>
      <c r="E444" s="172"/>
      <c r="F444" s="174"/>
      <c r="G444" s="173"/>
      <c r="H444" s="172"/>
      <c r="I444" s="173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35"/>
      <c r="BA444" s="35"/>
      <c r="BB444" s="35"/>
      <c r="BC444" s="35"/>
      <c r="BD444" s="35"/>
      <c r="BE444" s="35"/>
      <c r="BF444" s="35"/>
      <c r="BG444" s="35"/>
      <c r="BH444" s="35"/>
      <c r="BI444" s="35"/>
    </row>
    <row r="445" spans="1:61" x14ac:dyDescent="0.25">
      <c r="A445" s="172"/>
      <c r="B445" s="173"/>
      <c r="C445" s="172"/>
      <c r="D445" s="173"/>
      <c r="E445" s="172"/>
      <c r="F445" s="174"/>
      <c r="G445" s="173"/>
      <c r="H445" s="172"/>
      <c r="I445" s="173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  <c r="BC445" s="35"/>
      <c r="BD445" s="35"/>
      <c r="BE445" s="35"/>
      <c r="BF445" s="35"/>
      <c r="BG445" s="35"/>
      <c r="BH445" s="35"/>
      <c r="BI445" s="35"/>
    </row>
    <row r="446" spans="1:61" x14ac:dyDescent="0.25">
      <c r="A446" s="172"/>
      <c r="B446" s="173"/>
      <c r="C446" s="172"/>
      <c r="D446" s="173"/>
      <c r="E446" s="172"/>
      <c r="F446" s="174"/>
      <c r="G446" s="173"/>
      <c r="H446" s="172"/>
      <c r="I446" s="173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  <c r="BA446" s="35"/>
      <c r="BB446" s="35"/>
      <c r="BC446" s="35"/>
      <c r="BD446" s="35"/>
      <c r="BE446" s="35"/>
      <c r="BF446" s="35"/>
      <c r="BG446" s="35"/>
      <c r="BH446" s="35"/>
      <c r="BI446" s="35"/>
    </row>
    <row r="447" spans="1:61" x14ac:dyDescent="0.25">
      <c r="A447" s="172"/>
      <c r="B447" s="173"/>
      <c r="C447" s="172"/>
      <c r="D447" s="173"/>
      <c r="E447" s="172"/>
      <c r="F447" s="174"/>
      <c r="G447" s="173"/>
      <c r="H447" s="172"/>
      <c r="I447" s="173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35"/>
      <c r="BA447" s="35"/>
      <c r="BB447" s="35"/>
      <c r="BC447" s="35"/>
      <c r="BD447" s="35"/>
      <c r="BE447" s="35"/>
      <c r="BF447" s="35"/>
      <c r="BG447" s="35"/>
      <c r="BH447" s="35"/>
      <c r="BI447" s="35"/>
    </row>
    <row r="448" spans="1:61" x14ac:dyDescent="0.25">
      <c r="A448" s="172"/>
      <c r="B448" s="173"/>
      <c r="C448" s="172"/>
      <c r="D448" s="173"/>
      <c r="E448" s="172"/>
      <c r="F448" s="174"/>
      <c r="G448" s="173"/>
      <c r="H448" s="172"/>
      <c r="I448" s="173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35"/>
      <c r="BA448" s="35"/>
      <c r="BB448" s="35"/>
      <c r="BC448" s="35"/>
      <c r="BD448" s="35"/>
      <c r="BE448" s="35"/>
      <c r="BF448" s="35"/>
      <c r="BG448" s="35"/>
      <c r="BH448" s="35"/>
      <c r="BI448" s="35"/>
    </row>
    <row r="449" spans="1:61" x14ac:dyDescent="0.25">
      <c r="A449" s="172"/>
      <c r="B449" s="173"/>
      <c r="C449" s="172"/>
      <c r="D449" s="173"/>
      <c r="E449" s="172"/>
      <c r="F449" s="174"/>
      <c r="G449" s="173"/>
      <c r="H449" s="172"/>
      <c r="I449" s="173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  <c r="BA449" s="35"/>
      <c r="BB449" s="35"/>
      <c r="BC449" s="35"/>
      <c r="BD449" s="35"/>
      <c r="BE449" s="35"/>
      <c r="BF449" s="35"/>
      <c r="BG449" s="35"/>
      <c r="BH449" s="35"/>
      <c r="BI449" s="35"/>
    </row>
    <row r="450" spans="1:61" x14ac:dyDescent="0.25">
      <c r="A450" s="172"/>
      <c r="B450" s="173"/>
      <c r="C450" s="172"/>
      <c r="D450" s="173"/>
      <c r="E450" s="172"/>
      <c r="F450" s="174"/>
      <c r="G450" s="173"/>
      <c r="H450" s="172"/>
      <c r="I450" s="173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  <c r="BC450" s="35"/>
      <c r="BD450" s="35"/>
      <c r="BE450" s="35"/>
      <c r="BF450" s="35"/>
      <c r="BG450" s="35"/>
      <c r="BH450" s="35"/>
      <c r="BI450" s="35"/>
    </row>
    <row r="451" spans="1:61" x14ac:dyDescent="0.25">
      <c r="A451" s="172"/>
      <c r="B451" s="173"/>
      <c r="C451" s="172"/>
      <c r="D451" s="173"/>
      <c r="E451" s="172"/>
      <c r="F451" s="174"/>
      <c r="G451" s="173"/>
      <c r="H451" s="172"/>
      <c r="I451" s="173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  <c r="BC451" s="35"/>
      <c r="BD451" s="35"/>
      <c r="BE451" s="35"/>
      <c r="BF451" s="35"/>
      <c r="BG451" s="35"/>
      <c r="BH451" s="35"/>
      <c r="BI451" s="35"/>
    </row>
    <row r="452" spans="1:61" x14ac:dyDescent="0.25">
      <c r="A452" s="172"/>
      <c r="B452" s="173"/>
      <c r="C452" s="172"/>
      <c r="D452" s="173"/>
      <c r="E452" s="172"/>
      <c r="F452" s="174"/>
      <c r="G452" s="173"/>
      <c r="H452" s="172"/>
      <c r="I452" s="173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  <c r="BC452" s="35"/>
      <c r="BD452" s="35"/>
      <c r="BE452" s="35"/>
      <c r="BF452" s="35"/>
      <c r="BG452" s="35"/>
      <c r="BH452" s="35"/>
      <c r="BI452" s="35"/>
    </row>
    <row r="453" spans="1:61" x14ac:dyDescent="0.25">
      <c r="A453" s="172"/>
      <c r="B453" s="173"/>
      <c r="C453" s="172"/>
      <c r="D453" s="173"/>
      <c r="E453" s="172"/>
      <c r="F453" s="174"/>
      <c r="G453" s="173"/>
      <c r="H453" s="172"/>
      <c r="I453" s="173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  <c r="BC453" s="35"/>
      <c r="BD453" s="35"/>
      <c r="BE453" s="35"/>
      <c r="BF453" s="35"/>
      <c r="BG453" s="35"/>
      <c r="BH453" s="35"/>
      <c r="BI453" s="35"/>
    </row>
    <row r="454" spans="1:61" x14ac:dyDescent="0.25">
      <c r="A454" s="172"/>
      <c r="B454" s="173"/>
      <c r="C454" s="172"/>
      <c r="D454" s="173"/>
      <c r="E454" s="172"/>
      <c r="F454" s="174"/>
      <c r="G454" s="173"/>
      <c r="H454" s="172"/>
      <c r="I454" s="173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  <c r="BC454" s="35"/>
      <c r="BD454" s="35"/>
      <c r="BE454" s="35"/>
      <c r="BF454" s="35"/>
      <c r="BG454" s="35"/>
      <c r="BH454" s="35"/>
      <c r="BI454" s="35"/>
    </row>
    <row r="455" spans="1:61" x14ac:dyDescent="0.25">
      <c r="A455" s="172"/>
      <c r="B455" s="173"/>
      <c r="C455" s="172"/>
      <c r="D455" s="173"/>
      <c r="E455" s="172"/>
      <c r="F455" s="174"/>
      <c r="G455" s="173"/>
      <c r="H455" s="172"/>
      <c r="I455" s="173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  <c r="BC455" s="35"/>
      <c r="BD455" s="35"/>
      <c r="BE455" s="35"/>
      <c r="BF455" s="35"/>
      <c r="BG455" s="35"/>
      <c r="BH455" s="35"/>
      <c r="BI455" s="35"/>
    </row>
    <row r="456" spans="1:61" x14ac:dyDescent="0.25">
      <c r="A456" s="172"/>
      <c r="B456" s="173"/>
      <c r="C456" s="172"/>
      <c r="D456" s="173"/>
      <c r="E456" s="172"/>
      <c r="F456" s="174"/>
      <c r="G456" s="173"/>
      <c r="H456" s="172"/>
      <c r="I456" s="173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  <c r="BC456" s="35"/>
      <c r="BD456" s="35"/>
      <c r="BE456" s="35"/>
      <c r="BF456" s="35"/>
      <c r="BG456" s="35"/>
      <c r="BH456" s="35"/>
      <c r="BI456" s="35"/>
    </row>
    <row r="457" spans="1:61" x14ac:dyDescent="0.25">
      <c r="A457" s="172"/>
      <c r="B457" s="173"/>
      <c r="C457" s="172"/>
      <c r="D457" s="173"/>
      <c r="E457" s="172"/>
      <c r="F457" s="174"/>
      <c r="G457" s="173"/>
      <c r="H457" s="172"/>
      <c r="I457" s="173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  <c r="BC457" s="35"/>
      <c r="BD457" s="35"/>
      <c r="BE457" s="35"/>
      <c r="BF457" s="35"/>
      <c r="BG457" s="35"/>
      <c r="BH457" s="35"/>
      <c r="BI457" s="35"/>
    </row>
    <row r="458" spans="1:61" x14ac:dyDescent="0.25">
      <c r="A458" s="172"/>
      <c r="B458" s="173"/>
      <c r="C458" s="172"/>
      <c r="D458" s="173"/>
      <c r="E458" s="172"/>
      <c r="F458" s="174"/>
      <c r="G458" s="173"/>
      <c r="H458" s="172"/>
      <c r="I458" s="173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  <c r="BC458" s="35"/>
      <c r="BD458" s="35"/>
      <c r="BE458" s="35"/>
      <c r="BF458" s="35"/>
      <c r="BG458" s="35"/>
      <c r="BH458" s="35"/>
      <c r="BI458" s="35"/>
    </row>
    <row r="459" spans="1:61" x14ac:dyDescent="0.25">
      <c r="A459" s="172"/>
      <c r="B459" s="173"/>
      <c r="C459" s="172"/>
      <c r="D459" s="173"/>
      <c r="E459" s="172"/>
      <c r="F459" s="174"/>
      <c r="G459" s="173"/>
      <c r="H459" s="172"/>
      <c r="I459" s="173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  <c r="BA459" s="35"/>
      <c r="BB459" s="35"/>
      <c r="BC459" s="35"/>
      <c r="BD459" s="35"/>
      <c r="BE459" s="35"/>
      <c r="BF459" s="35"/>
      <c r="BG459" s="35"/>
      <c r="BH459" s="35"/>
      <c r="BI459" s="35"/>
    </row>
    <row r="460" spans="1:61" x14ac:dyDescent="0.25">
      <c r="A460" s="172"/>
      <c r="B460" s="173"/>
      <c r="C460" s="172"/>
      <c r="D460" s="173"/>
      <c r="E460" s="172"/>
      <c r="F460" s="174"/>
      <c r="G460" s="173"/>
      <c r="H460" s="172"/>
      <c r="I460" s="173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  <c r="BC460" s="35"/>
      <c r="BD460" s="35"/>
      <c r="BE460" s="35"/>
      <c r="BF460" s="35"/>
      <c r="BG460" s="35"/>
      <c r="BH460" s="35"/>
      <c r="BI460" s="35"/>
    </row>
    <row r="461" spans="1:61" x14ac:dyDescent="0.25">
      <c r="A461" s="172"/>
      <c r="B461" s="173"/>
      <c r="C461" s="172"/>
      <c r="D461" s="173"/>
      <c r="E461" s="172"/>
      <c r="F461" s="174"/>
      <c r="G461" s="173"/>
      <c r="H461" s="172"/>
      <c r="I461" s="173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  <c r="BC461" s="35"/>
      <c r="BD461" s="35"/>
      <c r="BE461" s="35"/>
      <c r="BF461" s="35"/>
      <c r="BG461" s="35"/>
      <c r="BH461" s="35"/>
      <c r="BI461" s="35"/>
    </row>
    <row r="462" spans="1:61" x14ac:dyDescent="0.25">
      <c r="A462" s="172"/>
      <c r="B462" s="173"/>
      <c r="C462" s="172"/>
      <c r="D462" s="173"/>
      <c r="E462" s="172"/>
      <c r="F462" s="174"/>
      <c r="G462" s="173"/>
      <c r="H462" s="172"/>
      <c r="I462" s="173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  <c r="BA462" s="35"/>
      <c r="BB462" s="35"/>
      <c r="BC462" s="35"/>
      <c r="BD462" s="35"/>
      <c r="BE462" s="35"/>
      <c r="BF462" s="35"/>
      <c r="BG462" s="35"/>
      <c r="BH462" s="35"/>
      <c r="BI462" s="35"/>
    </row>
    <row r="463" spans="1:61" x14ac:dyDescent="0.25">
      <c r="A463" s="172"/>
      <c r="B463" s="173"/>
      <c r="C463" s="172"/>
      <c r="D463" s="173"/>
      <c r="E463" s="172"/>
      <c r="F463" s="174"/>
      <c r="G463" s="173"/>
      <c r="H463" s="172"/>
      <c r="I463" s="173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/>
      <c r="BB463" s="35"/>
      <c r="BC463" s="35"/>
      <c r="BD463" s="35"/>
      <c r="BE463" s="35"/>
      <c r="BF463" s="35"/>
      <c r="BG463" s="35"/>
      <c r="BH463" s="35"/>
      <c r="BI463" s="35"/>
    </row>
    <row r="464" spans="1:61" x14ac:dyDescent="0.25">
      <c r="A464" s="172"/>
      <c r="B464" s="173"/>
      <c r="C464" s="172"/>
      <c r="D464" s="173"/>
      <c r="E464" s="172"/>
      <c r="F464" s="174"/>
      <c r="G464" s="173"/>
      <c r="H464" s="172"/>
      <c r="I464" s="173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  <c r="BA464" s="35"/>
      <c r="BB464" s="35"/>
      <c r="BC464" s="35"/>
      <c r="BD464" s="35"/>
      <c r="BE464" s="35"/>
      <c r="BF464" s="35"/>
      <c r="BG464" s="35"/>
      <c r="BH464" s="35"/>
      <c r="BI464" s="35"/>
    </row>
    <row r="465" spans="1:61" x14ac:dyDescent="0.25">
      <c r="A465" s="172"/>
      <c r="B465" s="173"/>
      <c r="C465" s="172"/>
      <c r="D465" s="173"/>
      <c r="E465" s="172"/>
      <c r="F465" s="174"/>
      <c r="G465" s="173"/>
      <c r="H465" s="172"/>
      <c r="I465" s="173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  <c r="BA465" s="35"/>
      <c r="BB465" s="35"/>
      <c r="BC465" s="35"/>
      <c r="BD465" s="35"/>
      <c r="BE465" s="35"/>
      <c r="BF465" s="35"/>
      <c r="BG465" s="35"/>
      <c r="BH465" s="35"/>
      <c r="BI465" s="35"/>
    </row>
    <row r="466" spans="1:61" x14ac:dyDescent="0.25">
      <c r="A466" s="172"/>
      <c r="B466" s="173"/>
      <c r="C466" s="172"/>
      <c r="D466" s="173"/>
      <c r="E466" s="172"/>
      <c r="F466" s="174"/>
      <c r="G466" s="173"/>
      <c r="H466" s="172"/>
      <c r="I466" s="173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/>
      <c r="BB466" s="35"/>
      <c r="BC466" s="35"/>
      <c r="BD466" s="35"/>
      <c r="BE466" s="35"/>
      <c r="BF466" s="35"/>
      <c r="BG466" s="35"/>
      <c r="BH466" s="35"/>
      <c r="BI466" s="35"/>
    </row>
    <row r="467" spans="1:61" x14ac:dyDescent="0.25">
      <c r="A467" s="172"/>
      <c r="B467" s="173"/>
      <c r="C467" s="172"/>
      <c r="D467" s="173"/>
      <c r="E467" s="172"/>
      <c r="F467" s="174"/>
      <c r="G467" s="173"/>
      <c r="H467" s="172"/>
      <c r="I467" s="173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  <c r="BA467" s="35"/>
      <c r="BB467" s="35"/>
      <c r="BC467" s="35"/>
      <c r="BD467" s="35"/>
      <c r="BE467" s="35"/>
      <c r="BF467" s="35"/>
      <c r="BG467" s="35"/>
      <c r="BH467" s="35"/>
      <c r="BI467" s="35"/>
    </row>
    <row r="468" spans="1:61" x14ac:dyDescent="0.25">
      <c r="A468" s="172"/>
      <c r="B468" s="173"/>
      <c r="C468" s="172"/>
      <c r="D468" s="173"/>
      <c r="E468" s="172"/>
      <c r="F468" s="174"/>
      <c r="G468" s="173"/>
      <c r="H468" s="172"/>
      <c r="I468" s="173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35"/>
      <c r="BA468" s="35"/>
      <c r="BB468" s="35"/>
      <c r="BC468" s="35"/>
      <c r="BD468" s="35"/>
      <c r="BE468" s="35"/>
      <c r="BF468" s="35"/>
      <c r="BG468" s="35"/>
      <c r="BH468" s="35"/>
      <c r="BI468" s="35"/>
    </row>
    <row r="469" spans="1:61" x14ac:dyDescent="0.25">
      <c r="A469" s="172"/>
      <c r="B469" s="173"/>
      <c r="C469" s="172"/>
      <c r="D469" s="173"/>
      <c r="E469" s="172"/>
      <c r="F469" s="174"/>
      <c r="G469" s="173"/>
      <c r="H469" s="172"/>
      <c r="I469" s="173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  <c r="BA469" s="35"/>
      <c r="BB469" s="35"/>
      <c r="BC469" s="35"/>
      <c r="BD469" s="35"/>
      <c r="BE469" s="35"/>
      <c r="BF469" s="35"/>
      <c r="BG469" s="35"/>
      <c r="BH469" s="35"/>
      <c r="BI469" s="35"/>
    </row>
    <row r="470" spans="1:61" x14ac:dyDescent="0.25">
      <c r="A470" s="172"/>
      <c r="B470" s="173"/>
      <c r="C470" s="172"/>
      <c r="D470" s="173"/>
      <c r="E470" s="172"/>
      <c r="F470" s="174"/>
      <c r="G470" s="173"/>
      <c r="H470" s="172"/>
      <c r="I470" s="173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  <c r="BA470" s="35"/>
      <c r="BB470" s="35"/>
      <c r="BC470" s="35"/>
      <c r="BD470" s="35"/>
      <c r="BE470" s="35"/>
      <c r="BF470" s="35"/>
      <c r="BG470" s="35"/>
      <c r="BH470" s="35"/>
      <c r="BI470" s="35"/>
    </row>
    <row r="471" spans="1:61" x14ac:dyDescent="0.25">
      <c r="A471" s="172"/>
      <c r="B471" s="173"/>
      <c r="C471" s="172"/>
      <c r="D471" s="173"/>
      <c r="E471" s="172"/>
      <c r="F471" s="174"/>
      <c r="G471" s="173"/>
      <c r="H471" s="172"/>
      <c r="I471" s="173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35"/>
      <c r="BA471" s="35"/>
      <c r="BB471" s="35"/>
      <c r="BC471" s="35"/>
      <c r="BD471" s="35"/>
      <c r="BE471" s="35"/>
      <c r="BF471" s="35"/>
      <c r="BG471" s="35"/>
      <c r="BH471" s="35"/>
      <c r="BI471" s="35"/>
    </row>
    <row r="472" spans="1:61" x14ac:dyDescent="0.25">
      <c r="A472" s="172"/>
      <c r="B472" s="173"/>
      <c r="C472" s="172"/>
      <c r="D472" s="173"/>
      <c r="E472" s="172"/>
      <c r="F472" s="174"/>
      <c r="G472" s="173"/>
      <c r="H472" s="172"/>
      <c r="I472" s="173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  <c r="BC472" s="35"/>
      <c r="BD472" s="35"/>
      <c r="BE472" s="35"/>
      <c r="BF472" s="35"/>
      <c r="BG472" s="35"/>
      <c r="BH472" s="35"/>
      <c r="BI472" s="35"/>
    </row>
    <row r="473" spans="1:61" x14ac:dyDescent="0.25">
      <c r="A473" s="172"/>
      <c r="B473" s="173"/>
      <c r="C473" s="172"/>
      <c r="D473" s="173"/>
      <c r="E473" s="172"/>
      <c r="F473" s="174"/>
      <c r="G473" s="173"/>
      <c r="H473" s="172"/>
      <c r="I473" s="173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35"/>
      <c r="BA473" s="35"/>
      <c r="BB473" s="35"/>
      <c r="BC473" s="35"/>
      <c r="BD473" s="35"/>
      <c r="BE473" s="35"/>
      <c r="BF473" s="35"/>
      <c r="BG473" s="35"/>
      <c r="BH473" s="35"/>
      <c r="BI473" s="35"/>
    </row>
    <row r="474" spans="1:61" x14ac:dyDescent="0.25">
      <c r="A474" s="172"/>
      <c r="B474" s="173"/>
      <c r="C474" s="172"/>
      <c r="D474" s="173"/>
      <c r="E474" s="172"/>
      <c r="F474" s="174"/>
      <c r="G474" s="173"/>
      <c r="H474" s="172"/>
      <c r="I474" s="173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35"/>
      <c r="BA474" s="35"/>
      <c r="BB474" s="35"/>
      <c r="BC474" s="35"/>
      <c r="BD474" s="35"/>
      <c r="BE474" s="35"/>
      <c r="BF474" s="35"/>
      <c r="BG474" s="35"/>
      <c r="BH474" s="35"/>
      <c r="BI474" s="35"/>
    </row>
    <row r="475" spans="1:61" x14ac:dyDescent="0.25">
      <c r="A475" s="172"/>
      <c r="B475" s="173"/>
      <c r="C475" s="172"/>
      <c r="D475" s="173"/>
      <c r="E475" s="172"/>
      <c r="F475" s="174"/>
      <c r="G475" s="173"/>
      <c r="H475" s="172"/>
      <c r="I475" s="173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35"/>
      <c r="BA475" s="35"/>
      <c r="BB475" s="35"/>
      <c r="BC475" s="35"/>
      <c r="BD475" s="35"/>
      <c r="BE475" s="35"/>
      <c r="BF475" s="35"/>
      <c r="BG475" s="35"/>
      <c r="BH475" s="35"/>
      <c r="BI475" s="35"/>
    </row>
    <row r="476" spans="1:61" x14ac:dyDescent="0.25">
      <c r="A476" s="172"/>
      <c r="B476" s="173"/>
      <c r="C476" s="172"/>
      <c r="D476" s="173"/>
      <c r="E476" s="172"/>
      <c r="F476" s="174"/>
      <c r="G476" s="173"/>
      <c r="H476" s="172"/>
      <c r="I476" s="173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  <c r="AZ476" s="35"/>
      <c r="BA476" s="35"/>
      <c r="BB476" s="35"/>
      <c r="BC476" s="35"/>
      <c r="BD476" s="35"/>
      <c r="BE476" s="35"/>
      <c r="BF476" s="35"/>
      <c r="BG476" s="35"/>
      <c r="BH476" s="35"/>
      <c r="BI476" s="35"/>
    </row>
    <row r="477" spans="1:61" x14ac:dyDescent="0.25">
      <c r="A477" s="172"/>
      <c r="B477" s="173"/>
      <c r="C477" s="172"/>
      <c r="D477" s="173"/>
      <c r="E477" s="172"/>
      <c r="F477" s="174"/>
      <c r="G477" s="173"/>
      <c r="H477" s="172"/>
      <c r="I477" s="173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  <c r="AZ477" s="35"/>
      <c r="BA477" s="35"/>
      <c r="BB477" s="35"/>
      <c r="BC477" s="35"/>
      <c r="BD477" s="35"/>
      <c r="BE477" s="35"/>
      <c r="BF477" s="35"/>
      <c r="BG477" s="35"/>
      <c r="BH477" s="35"/>
      <c r="BI477" s="35"/>
    </row>
    <row r="478" spans="1:61" x14ac:dyDescent="0.25">
      <c r="A478" s="172"/>
      <c r="B478" s="173"/>
      <c r="C478" s="172"/>
      <c r="D478" s="173"/>
      <c r="E478" s="172"/>
      <c r="F478" s="174"/>
      <c r="G478" s="173"/>
      <c r="H478" s="172"/>
      <c r="I478" s="173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35"/>
      <c r="BA478" s="35"/>
      <c r="BB478" s="35"/>
      <c r="BC478" s="35"/>
      <c r="BD478" s="35"/>
      <c r="BE478" s="35"/>
      <c r="BF478" s="35"/>
      <c r="BG478" s="35"/>
      <c r="BH478" s="35"/>
      <c r="BI478" s="35"/>
    </row>
    <row r="479" spans="1:61" x14ac:dyDescent="0.25">
      <c r="A479" s="172"/>
      <c r="B479" s="173"/>
      <c r="C479" s="172"/>
      <c r="D479" s="173"/>
      <c r="E479" s="172"/>
      <c r="F479" s="174"/>
      <c r="G479" s="173"/>
      <c r="H479" s="172"/>
      <c r="I479" s="173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35"/>
      <c r="BA479" s="35"/>
      <c r="BB479" s="35"/>
      <c r="BC479" s="35"/>
      <c r="BD479" s="35"/>
      <c r="BE479" s="35"/>
      <c r="BF479" s="35"/>
      <c r="BG479" s="35"/>
      <c r="BH479" s="35"/>
      <c r="BI479" s="35"/>
    </row>
    <row r="480" spans="1:61" x14ac:dyDescent="0.25">
      <c r="A480" s="172"/>
      <c r="B480" s="173"/>
      <c r="C480" s="172"/>
      <c r="D480" s="173"/>
      <c r="E480" s="172"/>
      <c r="F480" s="174"/>
      <c r="G480" s="173"/>
      <c r="H480" s="172"/>
      <c r="I480" s="173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35"/>
      <c r="BA480" s="35"/>
      <c r="BB480" s="35"/>
      <c r="BC480" s="35"/>
      <c r="BD480" s="35"/>
      <c r="BE480" s="35"/>
      <c r="BF480" s="35"/>
      <c r="BG480" s="35"/>
      <c r="BH480" s="35"/>
      <c r="BI480" s="35"/>
    </row>
    <row r="481" spans="1:61" x14ac:dyDescent="0.25">
      <c r="A481" s="172"/>
      <c r="B481" s="173"/>
      <c r="C481" s="172"/>
      <c r="D481" s="173"/>
      <c r="E481" s="172"/>
      <c r="F481" s="174"/>
      <c r="G481" s="173"/>
      <c r="H481" s="172"/>
      <c r="I481" s="173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35"/>
      <c r="BA481" s="35"/>
      <c r="BB481" s="35"/>
      <c r="BC481" s="35"/>
      <c r="BD481" s="35"/>
      <c r="BE481" s="35"/>
      <c r="BF481" s="35"/>
      <c r="BG481" s="35"/>
      <c r="BH481" s="35"/>
      <c r="BI481" s="35"/>
    </row>
    <row r="483" spans="1:61" x14ac:dyDescent="0.25">
      <c r="B483" s="61" t="s">
        <v>436</v>
      </c>
      <c r="C483" s="104">
        <v>1</v>
      </c>
      <c r="D483" s="104">
        <f>C483+1</f>
        <v>2</v>
      </c>
      <c r="E483" s="104">
        <f t="shared" ref="E483" si="185">D483+1</f>
        <v>3</v>
      </c>
      <c r="F483" s="104">
        <f t="shared" ref="F483" si="186">E483+1</f>
        <v>4</v>
      </c>
      <c r="G483" s="104">
        <f t="shared" ref="G483" si="187">F483+1</f>
        <v>5</v>
      </c>
      <c r="H483" s="104">
        <f t="shared" ref="H483" si="188">G483+1</f>
        <v>6</v>
      </c>
      <c r="I483" s="104">
        <f t="shared" ref="I483" si="189">H483+1</f>
        <v>7</v>
      </c>
      <c r="J483" s="104">
        <f t="shared" ref="J483" si="190">I483+1</f>
        <v>8</v>
      </c>
      <c r="K483" s="104">
        <f t="shared" ref="K483" si="191">J483+1</f>
        <v>9</v>
      </c>
      <c r="L483" s="104">
        <f t="shared" ref="L483" si="192">K483+1</f>
        <v>10</v>
      </c>
      <c r="M483" s="104">
        <f t="shared" ref="M483" si="193">L483+1</f>
        <v>11</v>
      </c>
      <c r="N483" s="104">
        <f t="shared" ref="N483" si="194">M483+1</f>
        <v>12</v>
      </c>
      <c r="O483" s="104">
        <f t="shared" ref="O483" si="195">N483+1</f>
        <v>13</v>
      </c>
      <c r="P483" s="104">
        <f t="shared" ref="P483" si="196">O483+1</f>
        <v>14</v>
      </c>
      <c r="Q483" s="104">
        <f t="shared" ref="Q483" si="197">P483+1</f>
        <v>15</v>
      </c>
      <c r="R483" s="104">
        <f t="shared" ref="R483" si="198">Q483+1</f>
        <v>16</v>
      </c>
      <c r="S483" s="104">
        <f t="shared" ref="S483" si="199">R483+1</f>
        <v>17</v>
      </c>
      <c r="T483" s="104">
        <f t="shared" ref="T483" si="200">S483+1</f>
        <v>18</v>
      </c>
      <c r="U483" s="104">
        <f t="shared" ref="U483" si="201">T483+1</f>
        <v>19</v>
      </c>
      <c r="V483" s="104">
        <f t="shared" ref="V483" si="202">U483+1</f>
        <v>20</v>
      </c>
      <c r="W483" s="104">
        <f t="shared" ref="W483" si="203">V483+1</f>
        <v>21</v>
      </c>
      <c r="X483" s="104">
        <f t="shared" ref="X483" si="204">W483+1</f>
        <v>22</v>
      </c>
      <c r="Y483" s="104">
        <f t="shared" ref="Y483" si="205">X483+1</f>
        <v>23</v>
      </c>
      <c r="Z483" s="104">
        <f t="shared" ref="Z483" si="206">Y483+1</f>
        <v>24</v>
      </c>
      <c r="AA483" s="104">
        <f>Z483+1</f>
        <v>25</v>
      </c>
      <c r="AB483" s="104">
        <f t="shared" ref="AB483" si="207">AA483+1</f>
        <v>26</v>
      </c>
      <c r="AC483" s="104">
        <f t="shared" ref="AC483" si="208">AB483+1</f>
        <v>27</v>
      </c>
      <c r="AD483" s="104">
        <f t="shared" ref="AD483" si="209">AC483+1</f>
        <v>28</v>
      </c>
      <c r="AE483" s="104">
        <f t="shared" ref="AE483" si="210">AD483+1</f>
        <v>29</v>
      </c>
      <c r="AF483" s="104">
        <f t="shared" ref="AF483" si="211">AE483+1</f>
        <v>30</v>
      </c>
      <c r="AG483" s="104">
        <f t="shared" ref="AG483" si="212">AF483+1</f>
        <v>31</v>
      </c>
      <c r="AH483" s="104">
        <f t="shared" ref="AH483" si="213">AG483+1</f>
        <v>32</v>
      </c>
      <c r="AI483" s="104">
        <f t="shared" ref="AI483" si="214">AH483+1</f>
        <v>33</v>
      </c>
      <c r="AJ483" s="104">
        <f t="shared" ref="AJ483" si="215">AI483+1</f>
        <v>34</v>
      </c>
      <c r="AK483" s="104">
        <f t="shared" ref="AK483" si="216">AJ483+1</f>
        <v>35</v>
      </c>
      <c r="AL483" s="104">
        <f t="shared" ref="AL483" si="217">AK483+1</f>
        <v>36</v>
      </c>
      <c r="AM483" s="104">
        <f t="shared" ref="AM483" si="218">AL483+1</f>
        <v>37</v>
      </c>
      <c r="AN483" s="104">
        <f t="shared" ref="AN483" si="219">AM483+1</f>
        <v>38</v>
      </c>
      <c r="AO483" s="104">
        <f t="shared" ref="AO483" si="220">AN483+1</f>
        <v>39</v>
      </c>
      <c r="AP483" s="104">
        <f t="shared" ref="AP483" si="221">AO483+1</f>
        <v>40</v>
      </c>
      <c r="AQ483" s="104">
        <f t="shared" ref="AQ483" si="222">AP483+1</f>
        <v>41</v>
      </c>
      <c r="AR483" s="104">
        <f t="shared" ref="AR483" si="223">AQ483+1</f>
        <v>42</v>
      </c>
      <c r="AS483" s="104">
        <f t="shared" ref="AS483" si="224">AR483+1</f>
        <v>43</v>
      </c>
      <c r="AT483" s="104">
        <f t="shared" ref="AT483" si="225">AS483+1</f>
        <v>44</v>
      </c>
      <c r="AU483" s="104">
        <f t="shared" ref="AU483" si="226">AT483+1</f>
        <v>45</v>
      </c>
      <c r="AV483" s="104">
        <f t="shared" ref="AV483" si="227">AU483+1</f>
        <v>46</v>
      </c>
      <c r="AW483" s="104">
        <f t="shared" ref="AW483" si="228">AV483+1</f>
        <v>47</v>
      </c>
      <c r="AX483" s="104">
        <f t="shared" ref="AX483" si="229">AW483+1</f>
        <v>48</v>
      </c>
      <c r="AY483" s="104">
        <f t="shared" ref="AY483" si="230">AX483+1</f>
        <v>49</v>
      </c>
      <c r="AZ483" s="104">
        <f t="shared" ref="AZ483" si="231">AY483+1</f>
        <v>50</v>
      </c>
      <c r="BA483" s="104">
        <f t="shared" ref="BA483" si="232">AZ483+1</f>
        <v>51</v>
      </c>
      <c r="BB483" s="104">
        <f t="shared" ref="BB483" si="233">BA483+1</f>
        <v>52</v>
      </c>
    </row>
    <row r="484" spans="1:61" x14ac:dyDescent="0.25">
      <c r="B484" s="19" t="s">
        <v>171</v>
      </c>
      <c r="C484" s="19">
        <f t="shared" ref="C484:AH484" si="234">D3/$BD3*$AF300</f>
        <v>1912.5</v>
      </c>
      <c r="D484" s="19">
        <f t="shared" si="234"/>
        <v>0</v>
      </c>
      <c r="E484" s="19">
        <f t="shared" si="234"/>
        <v>1062.5</v>
      </c>
      <c r="F484" s="19">
        <f t="shared" si="234"/>
        <v>0</v>
      </c>
      <c r="G484" s="19">
        <f t="shared" si="234"/>
        <v>1912.5</v>
      </c>
      <c r="H484" s="19">
        <f t="shared" si="234"/>
        <v>0</v>
      </c>
      <c r="I484" s="19">
        <f t="shared" si="234"/>
        <v>0</v>
      </c>
      <c r="J484" s="19">
        <f t="shared" si="234"/>
        <v>0</v>
      </c>
      <c r="K484" s="19">
        <f t="shared" si="234"/>
        <v>1912.5</v>
      </c>
      <c r="L484" s="19">
        <f t="shared" si="234"/>
        <v>0</v>
      </c>
      <c r="M484" s="19">
        <f t="shared" si="234"/>
        <v>0</v>
      </c>
      <c r="N484" s="19">
        <f t="shared" si="234"/>
        <v>0</v>
      </c>
      <c r="O484" s="19">
        <f t="shared" si="234"/>
        <v>1912.5</v>
      </c>
      <c r="P484" s="19">
        <f t="shared" si="234"/>
        <v>637.5</v>
      </c>
      <c r="Q484" s="19">
        <f t="shared" si="234"/>
        <v>0</v>
      </c>
      <c r="R484" s="19">
        <f t="shared" si="234"/>
        <v>0</v>
      </c>
      <c r="S484" s="19">
        <f t="shared" si="234"/>
        <v>1912.5</v>
      </c>
      <c r="T484" s="19">
        <f t="shared" si="234"/>
        <v>0</v>
      </c>
      <c r="U484" s="19">
        <f t="shared" si="234"/>
        <v>0</v>
      </c>
      <c r="V484" s="19">
        <f t="shared" si="234"/>
        <v>637.5</v>
      </c>
      <c r="W484" s="19">
        <f t="shared" si="234"/>
        <v>1912.5</v>
      </c>
      <c r="X484" s="19">
        <f t="shared" si="234"/>
        <v>0</v>
      </c>
      <c r="Y484" s="19">
        <f t="shared" si="234"/>
        <v>0</v>
      </c>
      <c r="Z484" s="19">
        <f t="shared" si="234"/>
        <v>0</v>
      </c>
      <c r="AA484" s="19">
        <f t="shared" si="234"/>
        <v>1912.5</v>
      </c>
      <c r="AB484" s="19">
        <f t="shared" si="234"/>
        <v>0</v>
      </c>
      <c r="AC484" s="19">
        <f t="shared" si="234"/>
        <v>1275</v>
      </c>
      <c r="AD484" s="19">
        <f t="shared" si="234"/>
        <v>0</v>
      </c>
      <c r="AE484" s="19">
        <f t="shared" si="234"/>
        <v>1912.5</v>
      </c>
      <c r="AF484" s="19">
        <f t="shared" si="234"/>
        <v>0</v>
      </c>
      <c r="AG484" s="19">
        <f t="shared" si="234"/>
        <v>0</v>
      </c>
      <c r="AH484" s="19">
        <f t="shared" si="234"/>
        <v>637.5</v>
      </c>
      <c r="AI484" s="19">
        <f t="shared" ref="AI484:BB484" si="235">AJ3/$BD3*$AF300</f>
        <v>1912.5</v>
      </c>
      <c r="AJ484" s="19">
        <f t="shared" si="235"/>
        <v>0</v>
      </c>
      <c r="AK484" s="19">
        <f t="shared" si="235"/>
        <v>0</v>
      </c>
      <c r="AL484" s="19">
        <f t="shared" si="235"/>
        <v>0</v>
      </c>
      <c r="AM484" s="19">
        <f t="shared" si="235"/>
        <v>1912.5</v>
      </c>
      <c r="AN484" s="19">
        <f t="shared" si="235"/>
        <v>637.5</v>
      </c>
      <c r="AO484" s="19">
        <f t="shared" si="235"/>
        <v>0</v>
      </c>
      <c r="AP484" s="19">
        <f t="shared" si="235"/>
        <v>0</v>
      </c>
      <c r="AQ484" s="19">
        <f t="shared" si="235"/>
        <v>1912.5</v>
      </c>
      <c r="AR484" s="19">
        <f t="shared" si="235"/>
        <v>0</v>
      </c>
      <c r="AS484" s="19">
        <f t="shared" si="235"/>
        <v>1062.5</v>
      </c>
      <c r="AT484" s="19">
        <f t="shared" si="235"/>
        <v>0</v>
      </c>
      <c r="AU484" s="19">
        <f t="shared" si="235"/>
        <v>1912.5</v>
      </c>
      <c r="AV484" s="19">
        <f t="shared" si="235"/>
        <v>1062.5</v>
      </c>
      <c r="AW484" s="19">
        <f t="shared" si="235"/>
        <v>0</v>
      </c>
      <c r="AX484" s="19">
        <f t="shared" si="235"/>
        <v>0</v>
      </c>
      <c r="AY484" s="19">
        <f t="shared" si="235"/>
        <v>1912.5</v>
      </c>
      <c r="AZ484" s="19">
        <f t="shared" si="235"/>
        <v>0</v>
      </c>
      <c r="BA484" s="19">
        <f t="shared" si="235"/>
        <v>0</v>
      </c>
      <c r="BB484" s="19">
        <f t="shared" si="235"/>
        <v>0</v>
      </c>
      <c r="BC484" s="129">
        <f>SUM(C484:BB484)</f>
        <v>31875</v>
      </c>
    </row>
    <row r="485" spans="1:61" x14ac:dyDescent="0.25">
      <c r="B485" s="19" t="s">
        <v>172</v>
      </c>
      <c r="C485" s="19">
        <f t="shared" ref="C485:AH485" si="236">D4/$BD4*$AF301</f>
        <v>1780</v>
      </c>
      <c r="D485" s="19">
        <f t="shared" si="236"/>
        <v>2002.5</v>
      </c>
      <c r="E485" s="19">
        <f t="shared" si="236"/>
        <v>0</v>
      </c>
      <c r="F485" s="19">
        <f t="shared" si="236"/>
        <v>1335</v>
      </c>
      <c r="G485" s="19">
        <f t="shared" si="236"/>
        <v>1780</v>
      </c>
      <c r="H485" s="19">
        <f t="shared" si="236"/>
        <v>2002.5</v>
      </c>
      <c r="I485" s="19">
        <f t="shared" si="236"/>
        <v>0</v>
      </c>
      <c r="J485" s="19">
        <f t="shared" si="236"/>
        <v>667.5</v>
      </c>
      <c r="K485" s="19">
        <f t="shared" si="236"/>
        <v>1780</v>
      </c>
      <c r="L485" s="19">
        <f t="shared" si="236"/>
        <v>2002.5</v>
      </c>
      <c r="M485" s="19">
        <f t="shared" si="236"/>
        <v>0</v>
      </c>
      <c r="N485" s="19">
        <f t="shared" si="236"/>
        <v>0</v>
      </c>
      <c r="O485" s="19">
        <f t="shared" si="236"/>
        <v>1780</v>
      </c>
      <c r="P485" s="19">
        <f t="shared" si="236"/>
        <v>2002.5</v>
      </c>
      <c r="Q485" s="19">
        <f t="shared" si="236"/>
        <v>0</v>
      </c>
      <c r="R485" s="19">
        <f t="shared" si="236"/>
        <v>0</v>
      </c>
      <c r="S485" s="19">
        <f t="shared" si="236"/>
        <v>1780</v>
      </c>
      <c r="T485" s="19">
        <f t="shared" si="236"/>
        <v>2002.5</v>
      </c>
      <c r="U485" s="19">
        <f t="shared" si="236"/>
        <v>0</v>
      </c>
      <c r="V485" s="19">
        <f t="shared" si="236"/>
        <v>0</v>
      </c>
      <c r="W485" s="19">
        <f t="shared" si="236"/>
        <v>1780</v>
      </c>
      <c r="X485" s="19">
        <f t="shared" si="236"/>
        <v>2002.5</v>
      </c>
      <c r="Y485" s="19">
        <f t="shared" si="236"/>
        <v>0</v>
      </c>
      <c r="Z485" s="19">
        <f t="shared" si="236"/>
        <v>0</v>
      </c>
      <c r="AA485" s="19">
        <f t="shared" si="236"/>
        <v>1780</v>
      </c>
      <c r="AB485" s="19">
        <f t="shared" si="236"/>
        <v>2002.5</v>
      </c>
      <c r="AC485" s="19">
        <f t="shared" si="236"/>
        <v>0</v>
      </c>
      <c r="AD485" s="19">
        <f t="shared" si="236"/>
        <v>0</v>
      </c>
      <c r="AE485" s="19">
        <f t="shared" si="236"/>
        <v>1780</v>
      </c>
      <c r="AF485" s="19">
        <f t="shared" si="236"/>
        <v>2002.5</v>
      </c>
      <c r="AG485" s="19">
        <f t="shared" si="236"/>
        <v>0</v>
      </c>
      <c r="AH485" s="19">
        <f t="shared" si="236"/>
        <v>0</v>
      </c>
      <c r="AI485" s="19">
        <f t="shared" ref="AI485:BB485" si="237">AJ4/$BD4*$AF301</f>
        <v>1780</v>
      </c>
      <c r="AJ485" s="19">
        <f t="shared" si="237"/>
        <v>2002.5</v>
      </c>
      <c r="AK485" s="19">
        <f t="shared" si="237"/>
        <v>0</v>
      </c>
      <c r="AL485" s="19">
        <f t="shared" si="237"/>
        <v>0</v>
      </c>
      <c r="AM485" s="19">
        <f t="shared" si="237"/>
        <v>1780</v>
      </c>
      <c r="AN485" s="19">
        <f t="shared" si="237"/>
        <v>2002.5</v>
      </c>
      <c r="AO485" s="19">
        <f t="shared" si="237"/>
        <v>0</v>
      </c>
      <c r="AP485" s="19">
        <f t="shared" si="237"/>
        <v>0</v>
      </c>
      <c r="AQ485" s="19">
        <f t="shared" si="237"/>
        <v>1780</v>
      </c>
      <c r="AR485" s="19">
        <f t="shared" si="237"/>
        <v>2002.5</v>
      </c>
      <c r="AS485" s="19">
        <f t="shared" si="237"/>
        <v>0</v>
      </c>
      <c r="AT485" s="19">
        <f t="shared" si="237"/>
        <v>1112.5</v>
      </c>
      <c r="AU485" s="19">
        <f t="shared" si="237"/>
        <v>1780</v>
      </c>
      <c r="AV485" s="19">
        <f t="shared" si="237"/>
        <v>2002.5</v>
      </c>
      <c r="AW485" s="19">
        <f t="shared" si="237"/>
        <v>0</v>
      </c>
      <c r="AX485" s="19">
        <f t="shared" si="237"/>
        <v>667.5</v>
      </c>
      <c r="AY485" s="19">
        <f t="shared" si="237"/>
        <v>1780</v>
      </c>
      <c r="AZ485" s="19">
        <f t="shared" si="237"/>
        <v>667.5</v>
      </c>
      <c r="BA485" s="19">
        <f t="shared" si="237"/>
        <v>0</v>
      </c>
      <c r="BB485" s="19">
        <f t="shared" si="237"/>
        <v>0</v>
      </c>
      <c r="BC485" s="129">
        <f t="shared" ref="BC485:BC491" si="238">SUM(C485:BB485)</f>
        <v>51620</v>
      </c>
    </row>
    <row r="486" spans="1:61" x14ac:dyDescent="0.25">
      <c r="B486" s="19" t="s">
        <v>173</v>
      </c>
      <c r="C486" s="19">
        <f t="shared" ref="C486:AH486" si="239">D5/$BD5*$AF302</f>
        <v>2250</v>
      </c>
      <c r="D486" s="19">
        <f t="shared" si="239"/>
        <v>1800</v>
      </c>
      <c r="E486" s="19">
        <f t="shared" si="239"/>
        <v>2025</v>
      </c>
      <c r="F486" s="19">
        <f t="shared" si="239"/>
        <v>0</v>
      </c>
      <c r="G486" s="19">
        <f t="shared" si="239"/>
        <v>2250</v>
      </c>
      <c r="H486" s="19">
        <f t="shared" si="239"/>
        <v>1800</v>
      </c>
      <c r="I486" s="19">
        <f t="shared" si="239"/>
        <v>2025</v>
      </c>
      <c r="J486" s="19">
        <f t="shared" si="239"/>
        <v>0</v>
      </c>
      <c r="K486" s="19">
        <f t="shared" si="239"/>
        <v>2250</v>
      </c>
      <c r="L486" s="19">
        <f t="shared" si="239"/>
        <v>1800</v>
      </c>
      <c r="M486" s="19">
        <f t="shared" si="239"/>
        <v>2025</v>
      </c>
      <c r="N486" s="19">
        <f t="shared" si="239"/>
        <v>0</v>
      </c>
      <c r="O486" s="19">
        <f t="shared" si="239"/>
        <v>2250</v>
      </c>
      <c r="P486" s="19">
        <f t="shared" si="239"/>
        <v>1800</v>
      </c>
      <c r="Q486" s="19">
        <f t="shared" si="239"/>
        <v>2025</v>
      </c>
      <c r="R486" s="19">
        <f t="shared" si="239"/>
        <v>0</v>
      </c>
      <c r="S486" s="19">
        <f t="shared" si="239"/>
        <v>2250</v>
      </c>
      <c r="T486" s="19">
        <f t="shared" si="239"/>
        <v>1800</v>
      </c>
      <c r="U486" s="19">
        <f t="shared" si="239"/>
        <v>2025</v>
      </c>
      <c r="V486" s="19">
        <f t="shared" si="239"/>
        <v>0</v>
      </c>
      <c r="W486" s="19">
        <f t="shared" si="239"/>
        <v>2250</v>
      </c>
      <c r="X486" s="19">
        <f t="shared" si="239"/>
        <v>1800</v>
      </c>
      <c r="Y486" s="19">
        <f t="shared" si="239"/>
        <v>2025</v>
      </c>
      <c r="Z486" s="19">
        <f t="shared" si="239"/>
        <v>0</v>
      </c>
      <c r="AA486" s="19">
        <f t="shared" si="239"/>
        <v>2250</v>
      </c>
      <c r="AB486" s="19">
        <f t="shared" si="239"/>
        <v>1800</v>
      </c>
      <c r="AC486" s="19">
        <f t="shared" si="239"/>
        <v>2025</v>
      </c>
      <c r="AD486" s="19">
        <f t="shared" si="239"/>
        <v>0</v>
      </c>
      <c r="AE486" s="19">
        <f t="shared" si="239"/>
        <v>2250</v>
      </c>
      <c r="AF486" s="19">
        <f t="shared" si="239"/>
        <v>1800</v>
      </c>
      <c r="AG486" s="19">
        <f t="shared" si="239"/>
        <v>2025</v>
      </c>
      <c r="AH486" s="19">
        <f t="shared" si="239"/>
        <v>0</v>
      </c>
      <c r="AI486" s="19">
        <f t="shared" ref="AI486:BB486" si="240">AJ5/$BD5*$AF302</f>
        <v>2250</v>
      </c>
      <c r="AJ486" s="19">
        <f t="shared" si="240"/>
        <v>1800</v>
      </c>
      <c r="AK486" s="19">
        <f t="shared" si="240"/>
        <v>2025</v>
      </c>
      <c r="AL486" s="19">
        <f t="shared" si="240"/>
        <v>0</v>
      </c>
      <c r="AM486" s="19">
        <f t="shared" si="240"/>
        <v>2250</v>
      </c>
      <c r="AN486" s="19">
        <f t="shared" si="240"/>
        <v>1800</v>
      </c>
      <c r="AO486" s="19">
        <f t="shared" si="240"/>
        <v>2025</v>
      </c>
      <c r="AP486" s="19">
        <f t="shared" si="240"/>
        <v>0</v>
      </c>
      <c r="AQ486" s="19">
        <f t="shared" si="240"/>
        <v>2250</v>
      </c>
      <c r="AR486" s="19">
        <f t="shared" si="240"/>
        <v>1800</v>
      </c>
      <c r="AS486" s="19">
        <f t="shared" si="240"/>
        <v>2025</v>
      </c>
      <c r="AT486" s="19">
        <f t="shared" si="240"/>
        <v>0</v>
      </c>
      <c r="AU486" s="19">
        <f t="shared" si="240"/>
        <v>2250</v>
      </c>
      <c r="AV486" s="19">
        <f t="shared" si="240"/>
        <v>1800</v>
      </c>
      <c r="AW486" s="19">
        <f t="shared" si="240"/>
        <v>2025</v>
      </c>
      <c r="AX486" s="19">
        <f t="shared" si="240"/>
        <v>0</v>
      </c>
      <c r="AY486" s="19">
        <f t="shared" si="240"/>
        <v>2250</v>
      </c>
      <c r="AZ486" s="19">
        <f t="shared" si="240"/>
        <v>1800</v>
      </c>
      <c r="BA486" s="19">
        <f t="shared" si="240"/>
        <v>2025</v>
      </c>
      <c r="BB486" s="19">
        <f t="shared" si="240"/>
        <v>0</v>
      </c>
      <c r="BC486" s="129">
        <f t="shared" si="238"/>
        <v>78975</v>
      </c>
    </row>
    <row r="487" spans="1:61" x14ac:dyDescent="0.25">
      <c r="B487" s="19" t="s">
        <v>174</v>
      </c>
      <c r="C487" s="19">
        <f t="shared" ref="C487:AH487" si="241">D6/$BD6*$AF303</f>
        <v>2600</v>
      </c>
      <c r="D487" s="19">
        <f t="shared" si="241"/>
        <v>2000</v>
      </c>
      <c r="E487" s="19">
        <f t="shared" si="241"/>
        <v>1600</v>
      </c>
      <c r="F487" s="19">
        <f t="shared" si="241"/>
        <v>1800.0000000000002</v>
      </c>
      <c r="G487" s="19">
        <f t="shared" si="241"/>
        <v>1800.0000000000002</v>
      </c>
      <c r="H487" s="19">
        <f t="shared" si="241"/>
        <v>2000</v>
      </c>
      <c r="I487" s="19">
        <f t="shared" si="241"/>
        <v>1600</v>
      </c>
      <c r="J487" s="19">
        <f t="shared" si="241"/>
        <v>1800.0000000000002</v>
      </c>
      <c r="K487" s="19">
        <f t="shared" si="241"/>
        <v>2600</v>
      </c>
      <c r="L487" s="19">
        <f t="shared" si="241"/>
        <v>2000</v>
      </c>
      <c r="M487" s="19">
        <f t="shared" si="241"/>
        <v>1600</v>
      </c>
      <c r="N487" s="19">
        <f t="shared" si="241"/>
        <v>1800.0000000000002</v>
      </c>
      <c r="O487" s="19">
        <f t="shared" si="241"/>
        <v>2600</v>
      </c>
      <c r="P487" s="19">
        <f t="shared" si="241"/>
        <v>2000</v>
      </c>
      <c r="Q487" s="19">
        <f t="shared" si="241"/>
        <v>1600</v>
      </c>
      <c r="R487" s="19">
        <f t="shared" si="241"/>
        <v>1800.0000000000002</v>
      </c>
      <c r="S487" s="19">
        <f t="shared" si="241"/>
        <v>1800.0000000000002</v>
      </c>
      <c r="T487" s="19">
        <f t="shared" si="241"/>
        <v>1600</v>
      </c>
      <c r="U487" s="19">
        <f t="shared" si="241"/>
        <v>1600</v>
      </c>
      <c r="V487" s="19">
        <f t="shared" si="241"/>
        <v>1800.0000000000002</v>
      </c>
      <c r="W487" s="19">
        <f t="shared" si="241"/>
        <v>2600</v>
      </c>
      <c r="X487" s="19">
        <f t="shared" si="241"/>
        <v>2000</v>
      </c>
      <c r="Y487" s="19">
        <f t="shared" si="241"/>
        <v>1600</v>
      </c>
      <c r="Z487" s="19">
        <f t="shared" si="241"/>
        <v>1400</v>
      </c>
      <c r="AA487" s="19">
        <f t="shared" si="241"/>
        <v>2600</v>
      </c>
      <c r="AB487" s="19">
        <f t="shared" si="241"/>
        <v>2000</v>
      </c>
      <c r="AC487" s="19">
        <f t="shared" si="241"/>
        <v>1600</v>
      </c>
      <c r="AD487" s="19">
        <f t="shared" si="241"/>
        <v>1800.0000000000002</v>
      </c>
      <c r="AE487" s="19">
        <f t="shared" si="241"/>
        <v>1800.0000000000002</v>
      </c>
      <c r="AF487" s="19">
        <f t="shared" si="241"/>
        <v>2000</v>
      </c>
      <c r="AG487" s="19">
        <f t="shared" si="241"/>
        <v>1600</v>
      </c>
      <c r="AH487" s="19">
        <f t="shared" si="241"/>
        <v>1800.0000000000002</v>
      </c>
      <c r="AI487" s="19">
        <f t="shared" ref="AI487:BB487" si="242">AJ6/$BD6*$AF303</f>
        <v>2600</v>
      </c>
      <c r="AJ487" s="19">
        <f t="shared" si="242"/>
        <v>2000</v>
      </c>
      <c r="AK487" s="19">
        <f t="shared" si="242"/>
        <v>1600</v>
      </c>
      <c r="AL487" s="19">
        <f t="shared" si="242"/>
        <v>1400</v>
      </c>
      <c r="AM487" s="19">
        <f t="shared" si="242"/>
        <v>2600</v>
      </c>
      <c r="AN487" s="19">
        <f t="shared" si="242"/>
        <v>2000</v>
      </c>
      <c r="AO487" s="19">
        <f t="shared" si="242"/>
        <v>1600</v>
      </c>
      <c r="AP487" s="19">
        <f t="shared" si="242"/>
        <v>1800.0000000000002</v>
      </c>
      <c r="AQ487" s="19">
        <f t="shared" si="242"/>
        <v>1800.0000000000002</v>
      </c>
      <c r="AR487" s="19">
        <f t="shared" si="242"/>
        <v>2000</v>
      </c>
      <c r="AS487" s="19">
        <f t="shared" si="242"/>
        <v>1600</v>
      </c>
      <c r="AT487" s="19">
        <f t="shared" si="242"/>
        <v>1800.0000000000002</v>
      </c>
      <c r="AU487" s="19">
        <f t="shared" si="242"/>
        <v>2600</v>
      </c>
      <c r="AV487" s="19">
        <f t="shared" si="242"/>
        <v>2000</v>
      </c>
      <c r="AW487" s="19">
        <f t="shared" si="242"/>
        <v>1600</v>
      </c>
      <c r="AX487" s="19">
        <f t="shared" si="242"/>
        <v>1800.0000000000002</v>
      </c>
      <c r="AY487" s="19">
        <f t="shared" si="242"/>
        <v>2600</v>
      </c>
      <c r="AZ487" s="19">
        <f t="shared" si="242"/>
        <v>2000</v>
      </c>
      <c r="BA487" s="19">
        <f t="shared" si="242"/>
        <v>1600</v>
      </c>
      <c r="BB487" s="19">
        <f t="shared" si="242"/>
        <v>1400</v>
      </c>
      <c r="BC487" s="129">
        <f t="shared" si="238"/>
        <v>99200</v>
      </c>
    </row>
    <row r="488" spans="1:61" x14ac:dyDescent="0.25">
      <c r="B488" s="19" t="s">
        <v>175</v>
      </c>
      <c r="C488" s="19">
        <f t="shared" ref="C488:AH488" si="243">D7/$BD7*$AF304</f>
        <v>975</v>
      </c>
      <c r="D488" s="19">
        <f t="shared" si="243"/>
        <v>2535</v>
      </c>
      <c r="E488" s="19">
        <f t="shared" si="243"/>
        <v>1950</v>
      </c>
      <c r="F488" s="19">
        <f t="shared" si="243"/>
        <v>1560</v>
      </c>
      <c r="G488" s="19">
        <f t="shared" si="243"/>
        <v>975</v>
      </c>
      <c r="H488" s="19">
        <f t="shared" si="243"/>
        <v>2145</v>
      </c>
      <c r="I488" s="19">
        <f t="shared" si="243"/>
        <v>1950</v>
      </c>
      <c r="J488" s="19">
        <f t="shared" si="243"/>
        <v>1560</v>
      </c>
      <c r="K488" s="19">
        <f t="shared" si="243"/>
        <v>975</v>
      </c>
      <c r="L488" s="19">
        <f t="shared" si="243"/>
        <v>1364.9999999999998</v>
      </c>
      <c r="M488" s="19">
        <f t="shared" si="243"/>
        <v>1170</v>
      </c>
      <c r="N488" s="19">
        <f t="shared" si="243"/>
        <v>1560</v>
      </c>
      <c r="O488" s="19">
        <f t="shared" si="243"/>
        <v>975</v>
      </c>
      <c r="P488" s="19">
        <f t="shared" si="243"/>
        <v>2535</v>
      </c>
      <c r="Q488" s="19">
        <f t="shared" si="243"/>
        <v>1950</v>
      </c>
      <c r="R488" s="19">
        <f t="shared" si="243"/>
        <v>1560</v>
      </c>
      <c r="S488" s="19">
        <f t="shared" si="243"/>
        <v>975</v>
      </c>
      <c r="T488" s="19">
        <f t="shared" si="243"/>
        <v>2535</v>
      </c>
      <c r="U488" s="19">
        <f t="shared" si="243"/>
        <v>1950</v>
      </c>
      <c r="V488" s="19">
        <f t="shared" si="243"/>
        <v>1560</v>
      </c>
      <c r="W488" s="19">
        <f t="shared" si="243"/>
        <v>975</v>
      </c>
      <c r="X488" s="19">
        <f t="shared" si="243"/>
        <v>1364.9999999999998</v>
      </c>
      <c r="Y488" s="19">
        <f t="shared" si="243"/>
        <v>1950</v>
      </c>
      <c r="Z488" s="19">
        <f t="shared" si="243"/>
        <v>1560</v>
      </c>
      <c r="AA488" s="19">
        <f t="shared" si="243"/>
        <v>975</v>
      </c>
      <c r="AB488" s="19">
        <f t="shared" si="243"/>
        <v>2535</v>
      </c>
      <c r="AC488" s="19">
        <f t="shared" si="243"/>
        <v>1950</v>
      </c>
      <c r="AD488" s="19">
        <f t="shared" si="243"/>
        <v>1560</v>
      </c>
      <c r="AE488" s="19">
        <f t="shared" si="243"/>
        <v>975</v>
      </c>
      <c r="AF488" s="19">
        <f t="shared" si="243"/>
        <v>2145</v>
      </c>
      <c r="AG488" s="19">
        <f t="shared" si="243"/>
        <v>1950</v>
      </c>
      <c r="AH488" s="19">
        <f t="shared" si="243"/>
        <v>1560</v>
      </c>
      <c r="AI488" s="19">
        <f t="shared" ref="AI488:BB488" si="244">AJ7/$BD7*$AF304</f>
        <v>975</v>
      </c>
      <c r="AJ488" s="19">
        <f t="shared" si="244"/>
        <v>1364.9999999999998</v>
      </c>
      <c r="AK488" s="19">
        <f t="shared" si="244"/>
        <v>1950</v>
      </c>
      <c r="AL488" s="19">
        <f t="shared" si="244"/>
        <v>1560</v>
      </c>
      <c r="AM488" s="19">
        <f t="shared" si="244"/>
        <v>975</v>
      </c>
      <c r="AN488" s="19">
        <f t="shared" si="244"/>
        <v>2535</v>
      </c>
      <c r="AO488" s="19">
        <f t="shared" si="244"/>
        <v>1950</v>
      </c>
      <c r="AP488" s="19">
        <f t="shared" si="244"/>
        <v>1560</v>
      </c>
      <c r="AQ488" s="19">
        <f t="shared" si="244"/>
        <v>975</v>
      </c>
      <c r="AR488" s="19">
        <f t="shared" si="244"/>
        <v>2145</v>
      </c>
      <c r="AS488" s="19">
        <f t="shared" si="244"/>
        <v>1950</v>
      </c>
      <c r="AT488" s="19">
        <f t="shared" si="244"/>
        <v>1560</v>
      </c>
      <c r="AU488" s="19">
        <f t="shared" si="244"/>
        <v>975</v>
      </c>
      <c r="AV488" s="19">
        <f t="shared" si="244"/>
        <v>2535</v>
      </c>
      <c r="AW488" s="19">
        <f t="shared" si="244"/>
        <v>1950</v>
      </c>
      <c r="AX488" s="19">
        <f t="shared" si="244"/>
        <v>1560</v>
      </c>
      <c r="AY488" s="19">
        <f t="shared" si="244"/>
        <v>975</v>
      </c>
      <c r="AZ488" s="19">
        <f t="shared" si="244"/>
        <v>2535</v>
      </c>
      <c r="BA488" s="19">
        <f t="shared" si="244"/>
        <v>1950</v>
      </c>
      <c r="BB488" s="19">
        <f t="shared" si="244"/>
        <v>1560</v>
      </c>
      <c r="BC488" s="129">
        <f t="shared" si="238"/>
        <v>85800</v>
      </c>
    </row>
    <row r="489" spans="1:61" x14ac:dyDescent="0.25">
      <c r="B489" s="19" t="s">
        <v>176</v>
      </c>
      <c r="C489" s="19">
        <f t="shared" ref="C489:AH489" si="245">D8/$BD8*$AF305</f>
        <v>0</v>
      </c>
      <c r="D489" s="19">
        <f t="shared" si="245"/>
        <v>987.5</v>
      </c>
      <c r="E489" s="19">
        <f t="shared" si="245"/>
        <v>2567.5</v>
      </c>
      <c r="F489" s="19">
        <f t="shared" si="245"/>
        <v>0</v>
      </c>
      <c r="G489" s="19">
        <f t="shared" si="245"/>
        <v>0</v>
      </c>
      <c r="H489" s="19">
        <f t="shared" si="245"/>
        <v>987.5</v>
      </c>
      <c r="I489" s="19">
        <f t="shared" si="245"/>
        <v>2567.5</v>
      </c>
      <c r="J489" s="19">
        <f t="shared" si="245"/>
        <v>1975</v>
      </c>
      <c r="K489" s="19">
        <f t="shared" si="245"/>
        <v>1185</v>
      </c>
      <c r="L489" s="19">
        <f t="shared" si="245"/>
        <v>987.5</v>
      </c>
      <c r="M489" s="19">
        <f t="shared" si="245"/>
        <v>2567.5</v>
      </c>
      <c r="N489" s="19">
        <f t="shared" si="245"/>
        <v>1975</v>
      </c>
      <c r="O489" s="19">
        <f t="shared" si="245"/>
        <v>0</v>
      </c>
      <c r="P489" s="19">
        <f t="shared" si="245"/>
        <v>987.5</v>
      </c>
      <c r="Q489" s="19">
        <f t="shared" si="245"/>
        <v>2567.5</v>
      </c>
      <c r="R489" s="19">
        <f t="shared" si="245"/>
        <v>1975</v>
      </c>
      <c r="S489" s="19">
        <f t="shared" si="245"/>
        <v>0</v>
      </c>
      <c r="T489" s="19">
        <f t="shared" si="245"/>
        <v>987.5</v>
      </c>
      <c r="U489" s="19">
        <f t="shared" si="245"/>
        <v>2567.5</v>
      </c>
      <c r="V489" s="19">
        <f t="shared" si="245"/>
        <v>1975</v>
      </c>
      <c r="W489" s="19">
        <f t="shared" si="245"/>
        <v>0</v>
      </c>
      <c r="X489" s="19">
        <f t="shared" si="245"/>
        <v>987.5</v>
      </c>
      <c r="Y489" s="19">
        <f t="shared" si="245"/>
        <v>1777.5</v>
      </c>
      <c r="Z489" s="19">
        <f t="shared" si="245"/>
        <v>1975</v>
      </c>
      <c r="AA489" s="19">
        <f t="shared" si="245"/>
        <v>0</v>
      </c>
      <c r="AB489" s="19">
        <f t="shared" si="245"/>
        <v>987.5</v>
      </c>
      <c r="AC489" s="19">
        <f t="shared" si="245"/>
        <v>2567.5</v>
      </c>
      <c r="AD489" s="19">
        <f t="shared" si="245"/>
        <v>790</v>
      </c>
      <c r="AE489" s="19">
        <f t="shared" si="245"/>
        <v>0</v>
      </c>
      <c r="AF489" s="19">
        <f t="shared" si="245"/>
        <v>987.5</v>
      </c>
      <c r="AG489" s="19">
        <f t="shared" si="245"/>
        <v>2567.5</v>
      </c>
      <c r="AH489" s="19">
        <f t="shared" si="245"/>
        <v>1975</v>
      </c>
      <c r="AI489" s="19">
        <f t="shared" ref="AI489:BB489" si="246">AJ8/$BD8*$AF305</f>
        <v>0</v>
      </c>
      <c r="AJ489" s="19">
        <f t="shared" si="246"/>
        <v>987.5</v>
      </c>
      <c r="AK489" s="19">
        <f t="shared" si="246"/>
        <v>1777.5</v>
      </c>
      <c r="AL489" s="19">
        <f t="shared" si="246"/>
        <v>1975</v>
      </c>
      <c r="AM489" s="19">
        <f t="shared" si="246"/>
        <v>0</v>
      </c>
      <c r="AN489" s="19">
        <f t="shared" si="246"/>
        <v>987.5</v>
      </c>
      <c r="AO489" s="19">
        <f t="shared" si="246"/>
        <v>2567.5</v>
      </c>
      <c r="AP489" s="19">
        <f t="shared" si="246"/>
        <v>790</v>
      </c>
      <c r="AQ489" s="19">
        <f t="shared" si="246"/>
        <v>0</v>
      </c>
      <c r="AR489" s="19">
        <f t="shared" si="246"/>
        <v>987.5</v>
      </c>
      <c r="AS489" s="19">
        <f t="shared" si="246"/>
        <v>2567.5</v>
      </c>
      <c r="AT489" s="19">
        <f t="shared" si="246"/>
        <v>1975</v>
      </c>
      <c r="AU489" s="19">
        <f t="shared" si="246"/>
        <v>987.5</v>
      </c>
      <c r="AV489" s="19">
        <f t="shared" si="246"/>
        <v>987.5</v>
      </c>
      <c r="AW489" s="19">
        <f t="shared" si="246"/>
        <v>2567.5</v>
      </c>
      <c r="AX489" s="19">
        <f t="shared" si="246"/>
        <v>1975</v>
      </c>
      <c r="AY489" s="19">
        <f t="shared" si="246"/>
        <v>1185</v>
      </c>
      <c r="AZ489" s="19">
        <f t="shared" si="246"/>
        <v>987.5</v>
      </c>
      <c r="BA489" s="19">
        <f t="shared" si="246"/>
        <v>1777.5</v>
      </c>
      <c r="BB489" s="19">
        <f t="shared" si="246"/>
        <v>1975</v>
      </c>
      <c r="BC489" s="129">
        <f t="shared" si="238"/>
        <v>68532.5</v>
      </c>
    </row>
    <row r="490" spans="1:61" x14ac:dyDescent="0.25">
      <c r="B490" s="19" t="s">
        <v>177</v>
      </c>
      <c r="C490" s="19">
        <f t="shared" ref="C490:AH490" si="247">D9/$BD9*$AF306</f>
        <v>0</v>
      </c>
      <c r="D490" s="19">
        <f t="shared" si="247"/>
        <v>600</v>
      </c>
      <c r="E490" s="19">
        <f t="shared" si="247"/>
        <v>1200</v>
      </c>
      <c r="F490" s="19">
        <f t="shared" si="247"/>
        <v>2200</v>
      </c>
      <c r="G490" s="19">
        <f t="shared" si="247"/>
        <v>0</v>
      </c>
      <c r="H490" s="19">
        <f t="shared" si="247"/>
        <v>0</v>
      </c>
      <c r="I490" s="19">
        <f t="shared" si="247"/>
        <v>1000</v>
      </c>
      <c r="J490" s="19">
        <f t="shared" si="247"/>
        <v>2600</v>
      </c>
      <c r="K490" s="19">
        <f t="shared" si="247"/>
        <v>0</v>
      </c>
      <c r="L490" s="19">
        <f t="shared" si="247"/>
        <v>0</v>
      </c>
      <c r="M490" s="19">
        <f t="shared" si="247"/>
        <v>1000</v>
      </c>
      <c r="N490" s="19">
        <f t="shared" si="247"/>
        <v>2200</v>
      </c>
      <c r="O490" s="19">
        <f t="shared" si="247"/>
        <v>0</v>
      </c>
      <c r="P490" s="19">
        <f t="shared" si="247"/>
        <v>0</v>
      </c>
      <c r="Q490" s="19">
        <f t="shared" si="247"/>
        <v>1000</v>
      </c>
      <c r="R490" s="19">
        <f t="shared" si="247"/>
        <v>1400</v>
      </c>
      <c r="S490" s="19">
        <f t="shared" si="247"/>
        <v>0</v>
      </c>
      <c r="T490" s="19">
        <f t="shared" si="247"/>
        <v>0</v>
      </c>
      <c r="U490" s="19">
        <f t="shared" si="247"/>
        <v>1000</v>
      </c>
      <c r="V490" s="19">
        <f t="shared" si="247"/>
        <v>2600</v>
      </c>
      <c r="W490" s="19">
        <f t="shared" si="247"/>
        <v>0</v>
      </c>
      <c r="X490" s="19">
        <f t="shared" si="247"/>
        <v>0</v>
      </c>
      <c r="Y490" s="19">
        <f t="shared" si="247"/>
        <v>1000</v>
      </c>
      <c r="Z490" s="19">
        <f t="shared" si="247"/>
        <v>2600</v>
      </c>
      <c r="AA490" s="19">
        <f t="shared" si="247"/>
        <v>0</v>
      </c>
      <c r="AB490" s="19">
        <f t="shared" si="247"/>
        <v>0</v>
      </c>
      <c r="AC490" s="19">
        <f t="shared" si="247"/>
        <v>1000</v>
      </c>
      <c r="AD490" s="19">
        <f t="shared" si="247"/>
        <v>2600</v>
      </c>
      <c r="AE490" s="19">
        <f t="shared" si="247"/>
        <v>0</v>
      </c>
      <c r="AF490" s="19">
        <f t="shared" si="247"/>
        <v>0</v>
      </c>
      <c r="AG490" s="19">
        <f t="shared" si="247"/>
        <v>1000</v>
      </c>
      <c r="AH490" s="19">
        <f t="shared" si="247"/>
        <v>2600</v>
      </c>
      <c r="AI490" s="19">
        <f t="shared" ref="AI490:BB490" si="248">AJ9/$BD9*$AF306</f>
        <v>0</v>
      </c>
      <c r="AJ490" s="19">
        <f t="shared" si="248"/>
        <v>0</v>
      </c>
      <c r="AK490" s="19">
        <f t="shared" si="248"/>
        <v>1000</v>
      </c>
      <c r="AL490" s="19">
        <f t="shared" si="248"/>
        <v>2600</v>
      </c>
      <c r="AM490" s="19">
        <f t="shared" si="248"/>
        <v>0</v>
      </c>
      <c r="AN490" s="19">
        <f t="shared" si="248"/>
        <v>0</v>
      </c>
      <c r="AO490" s="19">
        <f t="shared" si="248"/>
        <v>1000</v>
      </c>
      <c r="AP490" s="19">
        <f t="shared" si="248"/>
        <v>2600</v>
      </c>
      <c r="AQ490" s="19">
        <f t="shared" si="248"/>
        <v>0</v>
      </c>
      <c r="AR490" s="19">
        <f t="shared" si="248"/>
        <v>0</v>
      </c>
      <c r="AS490" s="19">
        <f t="shared" si="248"/>
        <v>1000</v>
      </c>
      <c r="AT490" s="19">
        <f t="shared" si="248"/>
        <v>2600</v>
      </c>
      <c r="AU490" s="19">
        <f t="shared" si="248"/>
        <v>0</v>
      </c>
      <c r="AV490" s="19">
        <f t="shared" si="248"/>
        <v>0</v>
      </c>
      <c r="AW490" s="19">
        <f t="shared" si="248"/>
        <v>1000</v>
      </c>
      <c r="AX490" s="19">
        <f t="shared" si="248"/>
        <v>2600</v>
      </c>
      <c r="AY490" s="19">
        <f t="shared" si="248"/>
        <v>0</v>
      </c>
      <c r="AZ490" s="19">
        <f t="shared" si="248"/>
        <v>0</v>
      </c>
      <c r="BA490" s="19">
        <f t="shared" si="248"/>
        <v>1000</v>
      </c>
      <c r="BB490" s="19">
        <f t="shared" si="248"/>
        <v>2600</v>
      </c>
      <c r="BC490" s="129">
        <f t="shared" si="238"/>
        <v>45600</v>
      </c>
    </row>
    <row r="491" spans="1:61" x14ac:dyDescent="0.25">
      <c r="B491" s="19" t="s">
        <v>178</v>
      </c>
      <c r="C491" s="19">
        <f t="shared" ref="C491:AH491" si="249">D10/$BD10*$AF307</f>
        <v>0</v>
      </c>
      <c r="D491" s="19">
        <f t="shared" si="249"/>
        <v>0</v>
      </c>
      <c r="E491" s="19">
        <f t="shared" si="249"/>
        <v>0</v>
      </c>
      <c r="F491" s="19">
        <f t="shared" si="249"/>
        <v>937.5</v>
      </c>
      <c r="G491" s="19">
        <f t="shared" si="249"/>
        <v>0</v>
      </c>
      <c r="H491" s="19">
        <f t="shared" si="249"/>
        <v>0</v>
      </c>
      <c r="I491" s="19">
        <f t="shared" si="249"/>
        <v>0</v>
      </c>
      <c r="J491" s="19">
        <f t="shared" si="249"/>
        <v>937.5</v>
      </c>
      <c r="K491" s="19">
        <f t="shared" si="249"/>
        <v>0</v>
      </c>
      <c r="L491" s="19">
        <f t="shared" si="249"/>
        <v>0</v>
      </c>
      <c r="M491" s="19">
        <f t="shared" si="249"/>
        <v>0</v>
      </c>
      <c r="N491" s="19">
        <f t="shared" si="249"/>
        <v>937.5</v>
      </c>
      <c r="O491" s="19">
        <f t="shared" si="249"/>
        <v>0</v>
      </c>
      <c r="P491" s="19">
        <f t="shared" si="249"/>
        <v>0</v>
      </c>
      <c r="Q491" s="19">
        <f t="shared" si="249"/>
        <v>1125</v>
      </c>
      <c r="R491" s="19">
        <f t="shared" si="249"/>
        <v>937.5</v>
      </c>
      <c r="S491" s="19">
        <f t="shared" si="249"/>
        <v>0</v>
      </c>
      <c r="T491" s="19">
        <f t="shared" si="249"/>
        <v>0</v>
      </c>
      <c r="U491" s="19">
        <f t="shared" si="249"/>
        <v>0</v>
      </c>
      <c r="V491" s="19">
        <f t="shared" si="249"/>
        <v>937.5</v>
      </c>
      <c r="W491" s="19">
        <f t="shared" si="249"/>
        <v>1125</v>
      </c>
      <c r="X491" s="19">
        <f t="shared" si="249"/>
        <v>0</v>
      </c>
      <c r="Y491" s="19">
        <f t="shared" si="249"/>
        <v>0</v>
      </c>
      <c r="Z491" s="19">
        <f t="shared" si="249"/>
        <v>937.5</v>
      </c>
      <c r="AA491" s="19">
        <f t="shared" si="249"/>
        <v>0</v>
      </c>
      <c r="AB491" s="19">
        <f t="shared" si="249"/>
        <v>562.5</v>
      </c>
      <c r="AC491" s="19">
        <f t="shared" si="249"/>
        <v>0</v>
      </c>
      <c r="AD491" s="19">
        <f t="shared" si="249"/>
        <v>937.5</v>
      </c>
      <c r="AE491" s="19">
        <f t="shared" si="249"/>
        <v>0</v>
      </c>
      <c r="AF491" s="19">
        <f t="shared" si="249"/>
        <v>0</v>
      </c>
      <c r="AG491" s="19">
        <f t="shared" si="249"/>
        <v>0</v>
      </c>
      <c r="AH491" s="19">
        <f t="shared" si="249"/>
        <v>937.5</v>
      </c>
      <c r="AI491" s="19">
        <f t="shared" ref="AI491:BB491" si="250">AJ10/$BD10*$AF307</f>
        <v>1125</v>
      </c>
      <c r="AJ491" s="19">
        <f t="shared" si="250"/>
        <v>0</v>
      </c>
      <c r="AK491" s="19">
        <f t="shared" si="250"/>
        <v>0</v>
      </c>
      <c r="AL491" s="19">
        <f t="shared" si="250"/>
        <v>937.5</v>
      </c>
      <c r="AM491" s="19">
        <f t="shared" si="250"/>
        <v>0</v>
      </c>
      <c r="AN491" s="19">
        <f t="shared" si="250"/>
        <v>0</v>
      </c>
      <c r="AO491" s="19">
        <f t="shared" si="250"/>
        <v>1125</v>
      </c>
      <c r="AP491" s="19">
        <f t="shared" si="250"/>
        <v>937.5</v>
      </c>
      <c r="AQ491" s="19">
        <f t="shared" si="250"/>
        <v>0</v>
      </c>
      <c r="AR491" s="19">
        <f t="shared" si="250"/>
        <v>0</v>
      </c>
      <c r="AS491" s="19">
        <f t="shared" si="250"/>
        <v>0</v>
      </c>
      <c r="AT491" s="19">
        <f t="shared" si="250"/>
        <v>937.5</v>
      </c>
      <c r="AU491" s="19">
        <f t="shared" si="250"/>
        <v>0</v>
      </c>
      <c r="AV491" s="19">
        <f t="shared" si="250"/>
        <v>0</v>
      </c>
      <c r="AW491" s="19">
        <f t="shared" si="250"/>
        <v>0</v>
      </c>
      <c r="AX491" s="19">
        <f t="shared" si="250"/>
        <v>937.5</v>
      </c>
      <c r="AY491" s="19">
        <f t="shared" si="250"/>
        <v>0</v>
      </c>
      <c r="AZ491" s="19">
        <f t="shared" si="250"/>
        <v>0</v>
      </c>
      <c r="BA491" s="19">
        <f t="shared" si="250"/>
        <v>0</v>
      </c>
      <c r="BB491" s="19">
        <f t="shared" si="250"/>
        <v>937.5</v>
      </c>
      <c r="BC491" s="129">
        <f t="shared" si="238"/>
        <v>17250</v>
      </c>
    </row>
    <row r="492" spans="1:61" s="1" customFormat="1" x14ac:dyDescent="0.25">
      <c r="C492" s="136">
        <f>SUM(C484:C491)</f>
        <v>9517.5</v>
      </c>
      <c r="D492" s="136">
        <f t="shared" ref="D492:BB492" si="251">SUM(D484:D491)</f>
        <v>9925</v>
      </c>
      <c r="E492" s="136">
        <f t="shared" si="251"/>
        <v>10405</v>
      </c>
      <c r="F492" s="136">
        <f t="shared" si="251"/>
        <v>7832.5</v>
      </c>
      <c r="G492" s="136">
        <f t="shared" si="251"/>
        <v>8717.5</v>
      </c>
      <c r="H492" s="136">
        <f t="shared" si="251"/>
        <v>8935</v>
      </c>
      <c r="I492" s="136">
        <f t="shared" si="251"/>
        <v>9142.5</v>
      </c>
      <c r="J492" s="136">
        <f t="shared" si="251"/>
        <v>9540</v>
      </c>
      <c r="K492" s="136">
        <f t="shared" si="251"/>
        <v>10702.5</v>
      </c>
      <c r="L492" s="136">
        <f t="shared" si="251"/>
        <v>8155</v>
      </c>
      <c r="M492" s="136">
        <f t="shared" si="251"/>
        <v>8362.5</v>
      </c>
      <c r="N492" s="136">
        <f t="shared" si="251"/>
        <v>8472.5</v>
      </c>
      <c r="O492" s="136">
        <f t="shared" si="251"/>
        <v>9517.5</v>
      </c>
      <c r="P492" s="136">
        <f t="shared" si="251"/>
        <v>9962.5</v>
      </c>
      <c r="Q492" s="136">
        <f t="shared" si="251"/>
        <v>10267.5</v>
      </c>
      <c r="R492" s="136">
        <f t="shared" si="251"/>
        <v>7672.5</v>
      </c>
      <c r="S492" s="136">
        <f t="shared" si="251"/>
        <v>8717.5</v>
      </c>
      <c r="T492" s="136">
        <f t="shared" si="251"/>
        <v>8925</v>
      </c>
      <c r="U492" s="136">
        <f t="shared" si="251"/>
        <v>9142.5</v>
      </c>
      <c r="V492" s="136">
        <f t="shared" si="251"/>
        <v>9510</v>
      </c>
      <c r="W492" s="136">
        <f t="shared" si="251"/>
        <v>10642.5</v>
      </c>
      <c r="X492" s="136">
        <f t="shared" si="251"/>
        <v>8155</v>
      </c>
      <c r="Y492" s="136">
        <f t="shared" si="251"/>
        <v>8352.5</v>
      </c>
      <c r="Z492" s="136">
        <f t="shared" si="251"/>
        <v>8472.5</v>
      </c>
      <c r="AA492" s="136">
        <f t="shared" si="251"/>
        <v>9517.5</v>
      </c>
      <c r="AB492" s="136">
        <f t="shared" si="251"/>
        <v>9887.5</v>
      </c>
      <c r="AC492" s="136">
        <f t="shared" si="251"/>
        <v>10417.5</v>
      </c>
      <c r="AD492" s="136">
        <f t="shared" si="251"/>
        <v>7687.5</v>
      </c>
      <c r="AE492" s="136">
        <f t="shared" si="251"/>
        <v>8717.5</v>
      </c>
      <c r="AF492" s="136">
        <f t="shared" si="251"/>
        <v>8935</v>
      </c>
      <c r="AG492" s="136">
        <f t="shared" si="251"/>
        <v>9142.5</v>
      </c>
      <c r="AH492" s="136">
        <f t="shared" si="251"/>
        <v>9510</v>
      </c>
      <c r="AI492" s="136">
        <f t="shared" si="251"/>
        <v>10642.5</v>
      </c>
      <c r="AJ492" s="136">
        <f t="shared" si="251"/>
        <v>8155</v>
      </c>
      <c r="AK492" s="136">
        <f t="shared" si="251"/>
        <v>8352.5</v>
      </c>
      <c r="AL492" s="136">
        <f t="shared" si="251"/>
        <v>8472.5</v>
      </c>
      <c r="AM492" s="136">
        <f t="shared" si="251"/>
        <v>9517.5</v>
      </c>
      <c r="AN492" s="136">
        <f t="shared" si="251"/>
        <v>9962.5</v>
      </c>
      <c r="AO492" s="136">
        <f t="shared" si="251"/>
        <v>10267.5</v>
      </c>
      <c r="AP492" s="136">
        <f t="shared" si="251"/>
        <v>7687.5</v>
      </c>
      <c r="AQ492" s="136">
        <f t="shared" si="251"/>
        <v>8717.5</v>
      </c>
      <c r="AR492" s="136">
        <f t="shared" si="251"/>
        <v>8935</v>
      </c>
      <c r="AS492" s="136">
        <f t="shared" si="251"/>
        <v>10205</v>
      </c>
      <c r="AT492" s="136">
        <f t="shared" si="251"/>
        <v>9985</v>
      </c>
      <c r="AU492" s="136">
        <f t="shared" si="251"/>
        <v>10505</v>
      </c>
      <c r="AV492" s="136">
        <f t="shared" si="251"/>
        <v>10387.5</v>
      </c>
      <c r="AW492" s="136">
        <f t="shared" si="251"/>
        <v>9142.5</v>
      </c>
      <c r="AX492" s="136">
        <f t="shared" si="251"/>
        <v>9540</v>
      </c>
      <c r="AY492" s="136">
        <f t="shared" si="251"/>
        <v>10702.5</v>
      </c>
      <c r="AZ492" s="136">
        <f t="shared" si="251"/>
        <v>7990</v>
      </c>
      <c r="BA492" s="136">
        <f t="shared" si="251"/>
        <v>8352.5</v>
      </c>
      <c r="BB492" s="136">
        <f t="shared" si="251"/>
        <v>8472.5</v>
      </c>
      <c r="BC492" s="1">
        <f>SUM(BC484:BC491)</f>
        <v>478852.5</v>
      </c>
    </row>
    <row r="493" spans="1:61" x14ac:dyDescent="0.25">
      <c r="B493" s="61" t="s">
        <v>437</v>
      </c>
      <c r="C493" s="104">
        <v>1</v>
      </c>
      <c r="D493" s="104">
        <f>C493+1</f>
        <v>2</v>
      </c>
      <c r="E493" s="104">
        <f t="shared" ref="E493" si="252">D493+1</f>
        <v>3</v>
      </c>
      <c r="F493" s="104">
        <f t="shared" ref="F493" si="253">E493+1</f>
        <v>4</v>
      </c>
      <c r="G493" s="104">
        <f t="shared" ref="G493" si="254">F493+1</f>
        <v>5</v>
      </c>
      <c r="H493" s="104">
        <f t="shared" ref="H493" si="255">G493+1</f>
        <v>6</v>
      </c>
      <c r="I493" s="104">
        <f t="shared" ref="I493" si="256">H493+1</f>
        <v>7</v>
      </c>
      <c r="J493" s="104">
        <f t="shared" ref="J493" si="257">I493+1</f>
        <v>8</v>
      </c>
      <c r="K493" s="104">
        <f t="shared" ref="K493" si="258">J493+1</f>
        <v>9</v>
      </c>
      <c r="L493" s="104">
        <f t="shared" ref="L493" si="259">K493+1</f>
        <v>10</v>
      </c>
      <c r="M493" s="104">
        <f t="shared" ref="M493" si="260">L493+1</f>
        <v>11</v>
      </c>
      <c r="N493" s="104">
        <f t="shared" ref="N493" si="261">M493+1</f>
        <v>12</v>
      </c>
      <c r="O493" s="104">
        <f t="shared" ref="O493" si="262">N493+1</f>
        <v>13</v>
      </c>
      <c r="P493" s="104">
        <f t="shared" ref="P493" si="263">O493+1</f>
        <v>14</v>
      </c>
      <c r="Q493" s="104">
        <f t="shared" ref="Q493" si="264">P493+1</f>
        <v>15</v>
      </c>
      <c r="R493" s="104">
        <f t="shared" ref="R493" si="265">Q493+1</f>
        <v>16</v>
      </c>
      <c r="S493" s="104">
        <f t="shared" ref="S493" si="266">R493+1</f>
        <v>17</v>
      </c>
      <c r="T493" s="104">
        <f t="shared" ref="T493" si="267">S493+1</f>
        <v>18</v>
      </c>
      <c r="U493" s="104">
        <f t="shared" ref="U493" si="268">T493+1</f>
        <v>19</v>
      </c>
      <c r="V493" s="104">
        <f t="shared" ref="V493" si="269">U493+1</f>
        <v>20</v>
      </c>
      <c r="W493" s="104">
        <f t="shared" ref="W493" si="270">V493+1</f>
        <v>21</v>
      </c>
      <c r="X493" s="104">
        <f t="shared" ref="X493" si="271">W493+1</f>
        <v>22</v>
      </c>
      <c r="Y493" s="104">
        <f t="shared" ref="Y493" si="272">X493+1</f>
        <v>23</v>
      </c>
      <c r="Z493" s="104">
        <f t="shared" ref="Z493" si="273">Y493+1</f>
        <v>24</v>
      </c>
      <c r="AA493" s="104">
        <f>Z493+1</f>
        <v>25</v>
      </c>
      <c r="AB493" s="104">
        <f t="shared" ref="AB493" si="274">AA493+1</f>
        <v>26</v>
      </c>
      <c r="AC493" s="104">
        <f t="shared" ref="AC493" si="275">AB493+1</f>
        <v>27</v>
      </c>
      <c r="AD493" s="104">
        <f t="shared" ref="AD493" si="276">AC493+1</f>
        <v>28</v>
      </c>
      <c r="AE493" s="104">
        <f t="shared" ref="AE493" si="277">AD493+1</f>
        <v>29</v>
      </c>
      <c r="AF493" s="104">
        <f t="shared" ref="AF493" si="278">AE493+1</f>
        <v>30</v>
      </c>
      <c r="AG493" s="104">
        <f t="shared" ref="AG493" si="279">AF493+1</f>
        <v>31</v>
      </c>
      <c r="AH493" s="104">
        <f t="shared" ref="AH493" si="280">AG493+1</f>
        <v>32</v>
      </c>
      <c r="AI493" s="104">
        <f t="shared" ref="AI493" si="281">AH493+1</f>
        <v>33</v>
      </c>
      <c r="AJ493" s="104">
        <f t="shared" ref="AJ493" si="282">AI493+1</f>
        <v>34</v>
      </c>
      <c r="AK493" s="104">
        <f t="shared" ref="AK493" si="283">AJ493+1</f>
        <v>35</v>
      </c>
      <c r="AL493" s="104">
        <f t="shared" ref="AL493" si="284">AK493+1</f>
        <v>36</v>
      </c>
      <c r="AM493" s="104">
        <f t="shared" ref="AM493" si="285">AL493+1</f>
        <v>37</v>
      </c>
      <c r="AN493" s="104">
        <f t="shared" ref="AN493" si="286">AM493+1</f>
        <v>38</v>
      </c>
      <c r="AO493" s="104">
        <f t="shared" ref="AO493" si="287">AN493+1</f>
        <v>39</v>
      </c>
      <c r="AP493" s="104">
        <f t="shared" ref="AP493" si="288">AO493+1</f>
        <v>40</v>
      </c>
      <c r="AQ493" s="104">
        <f t="shared" ref="AQ493" si="289">AP493+1</f>
        <v>41</v>
      </c>
      <c r="AR493" s="104">
        <f t="shared" ref="AR493" si="290">AQ493+1</f>
        <v>42</v>
      </c>
      <c r="AS493" s="104">
        <f t="shared" ref="AS493" si="291">AR493+1</f>
        <v>43</v>
      </c>
      <c r="AT493" s="104">
        <f t="shared" ref="AT493" si="292">AS493+1</f>
        <v>44</v>
      </c>
      <c r="AU493" s="104">
        <f t="shared" ref="AU493" si="293">AT493+1</f>
        <v>45</v>
      </c>
      <c r="AV493" s="104">
        <f t="shared" ref="AV493" si="294">AU493+1</f>
        <v>46</v>
      </c>
      <c r="AW493" s="104">
        <f t="shared" ref="AW493" si="295">AV493+1</f>
        <v>47</v>
      </c>
      <c r="AX493" s="104">
        <f t="shared" ref="AX493" si="296">AW493+1</f>
        <v>48</v>
      </c>
      <c r="AY493" s="104">
        <f t="shared" ref="AY493" si="297">AX493+1</f>
        <v>49</v>
      </c>
      <c r="AZ493" s="104">
        <f t="shared" ref="AZ493" si="298">AY493+1</f>
        <v>50</v>
      </c>
      <c r="BA493" s="104">
        <f t="shared" ref="BA493" si="299">AZ493+1</f>
        <v>51</v>
      </c>
      <c r="BB493" s="104">
        <f t="shared" ref="BB493" si="300">BA493+1</f>
        <v>52</v>
      </c>
    </row>
    <row r="494" spans="1:61" x14ac:dyDescent="0.25">
      <c r="B494" s="19" t="s">
        <v>171</v>
      </c>
      <c r="C494" s="19">
        <f t="shared" ref="C494:AH494" si="301">D3/$BD3*$AG300</f>
        <v>573.75</v>
      </c>
      <c r="D494" s="19">
        <f t="shared" si="301"/>
        <v>0</v>
      </c>
      <c r="E494" s="19">
        <f t="shared" si="301"/>
        <v>318.75</v>
      </c>
      <c r="F494" s="19">
        <f t="shared" si="301"/>
        <v>0</v>
      </c>
      <c r="G494" s="19">
        <f t="shared" si="301"/>
        <v>573.75</v>
      </c>
      <c r="H494" s="19">
        <f t="shared" si="301"/>
        <v>0</v>
      </c>
      <c r="I494" s="19">
        <f t="shared" si="301"/>
        <v>0</v>
      </c>
      <c r="J494" s="19">
        <f t="shared" si="301"/>
        <v>0</v>
      </c>
      <c r="K494" s="19">
        <f t="shared" si="301"/>
        <v>573.75</v>
      </c>
      <c r="L494" s="19">
        <f t="shared" si="301"/>
        <v>0</v>
      </c>
      <c r="M494" s="19">
        <f t="shared" si="301"/>
        <v>0</v>
      </c>
      <c r="N494" s="19">
        <f t="shared" si="301"/>
        <v>0</v>
      </c>
      <c r="O494" s="19">
        <f t="shared" si="301"/>
        <v>573.75</v>
      </c>
      <c r="P494" s="19">
        <f t="shared" si="301"/>
        <v>191.25</v>
      </c>
      <c r="Q494" s="19">
        <f t="shared" si="301"/>
        <v>0</v>
      </c>
      <c r="R494" s="19">
        <f t="shared" si="301"/>
        <v>0</v>
      </c>
      <c r="S494" s="19">
        <f t="shared" si="301"/>
        <v>573.75</v>
      </c>
      <c r="T494" s="19">
        <f t="shared" si="301"/>
        <v>0</v>
      </c>
      <c r="U494" s="19">
        <f t="shared" si="301"/>
        <v>0</v>
      </c>
      <c r="V494" s="19">
        <f t="shared" si="301"/>
        <v>191.25</v>
      </c>
      <c r="W494" s="19">
        <f t="shared" si="301"/>
        <v>573.75</v>
      </c>
      <c r="X494" s="19">
        <f t="shared" si="301"/>
        <v>0</v>
      </c>
      <c r="Y494" s="19">
        <f t="shared" si="301"/>
        <v>0</v>
      </c>
      <c r="Z494" s="19">
        <f t="shared" si="301"/>
        <v>0</v>
      </c>
      <c r="AA494" s="19">
        <f t="shared" si="301"/>
        <v>573.75</v>
      </c>
      <c r="AB494" s="19">
        <f t="shared" si="301"/>
        <v>0</v>
      </c>
      <c r="AC494" s="19">
        <f t="shared" si="301"/>
        <v>382.5</v>
      </c>
      <c r="AD494" s="19">
        <f t="shared" si="301"/>
        <v>0</v>
      </c>
      <c r="AE494" s="19">
        <f t="shared" si="301"/>
        <v>573.75</v>
      </c>
      <c r="AF494" s="19">
        <f t="shared" si="301"/>
        <v>0</v>
      </c>
      <c r="AG494" s="19">
        <f t="shared" si="301"/>
        <v>0</v>
      </c>
      <c r="AH494" s="19">
        <f t="shared" si="301"/>
        <v>191.25</v>
      </c>
      <c r="AI494" s="19">
        <f t="shared" ref="AI494:BB494" si="302">AJ3/$BD3*$AG300</f>
        <v>573.75</v>
      </c>
      <c r="AJ494" s="19">
        <f t="shared" si="302"/>
        <v>0</v>
      </c>
      <c r="AK494" s="19">
        <f t="shared" si="302"/>
        <v>0</v>
      </c>
      <c r="AL494" s="19">
        <f t="shared" si="302"/>
        <v>0</v>
      </c>
      <c r="AM494" s="19">
        <f t="shared" si="302"/>
        <v>573.75</v>
      </c>
      <c r="AN494" s="19">
        <f t="shared" si="302"/>
        <v>191.25</v>
      </c>
      <c r="AO494" s="19">
        <f t="shared" si="302"/>
        <v>0</v>
      </c>
      <c r="AP494" s="19">
        <f t="shared" si="302"/>
        <v>0</v>
      </c>
      <c r="AQ494" s="19">
        <f t="shared" si="302"/>
        <v>573.75</v>
      </c>
      <c r="AR494" s="19">
        <f t="shared" si="302"/>
        <v>0</v>
      </c>
      <c r="AS494" s="19">
        <f t="shared" si="302"/>
        <v>318.75</v>
      </c>
      <c r="AT494" s="19">
        <f t="shared" si="302"/>
        <v>0</v>
      </c>
      <c r="AU494" s="19">
        <f t="shared" si="302"/>
        <v>573.75</v>
      </c>
      <c r="AV494" s="19">
        <f t="shared" si="302"/>
        <v>318.75</v>
      </c>
      <c r="AW494" s="19">
        <f t="shared" si="302"/>
        <v>0</v>
      </c>
      <c r="AX494" s="19">
        <f t="shared" si="302"/>
        <v>0</v>
      </c>
      <c r="AY494" s="19">
        <f t="shared" si="302"/>
        <v>573.75</v>
      </c>
      <c r="AZ494" s="19">
        <f t="shared" si="302"/>
        <v>0</v>
      </c>
      <c r="BA494" s="19">
        <f t="shared" si="302"/>
        <v>0</v>
      </c>
      <c r="BB494" s="19">
        <f t="shared" si="302"/>
        <v>0</v>
      </c>
      <c r="BC494" s="129">
        <f>SUM(C494:BB494)</f>
        <v>9562.5</v>
      </c>
    </row>
    <row r="495" spans="1:61" x14ac:dyDescent="0.25">
      <c r="B495" s="19" t="s">
        <v>172</v>
      </c>
      <c r="C495" s="19">
        <f t="shared" ref="C495:AH495" si="303">D4/$BD4*$AG301</f>
        <v>534</v>
      </c>
      <c r="D495" s="19">
        <f t="shared" si="303"/>
        <v>600.75000000000011</v>
      </c>
      <c r="E495" s="19">
        <f t="shared" si="303"/>
        <v>0</v>
      </c>
      <c r="F495" s="19">
        <f t="shared" si="303"/>
        <v>400.50000000000006</v>
      </c>
      <c r="G495" s="19">
        <f t="shared" si="303"/>
        <v>534</v>
      </c>
      <c r="H495" s="19">
        <f t="shared" si="303"/>
        <v>600.75000000000011</v>
      </c>
      <c r="I495" s="19">
        <f t="shared" si="303"/>
        <v>0</v>
      </c>
      <c r="J495" s="19">
        <f t="shared" si="303"/>
        <v>200.25000000000003</v>
      </c>
      <c r="K495" s="19">
        <f t="shared" si="303"/>
        <v>534</v>
      </c>
      <c r="L495" s="19">
        <f t="shared" si="303"/>
        <v>600.75000000000011</v>
      </c>
      <c r="M495" s="19">
        <f t="shared" si="303"/>
        <v>0</v>
      </c>
      <c r="N495" s="19">
        <f t="shared" si="303"/>
        <v>0</v>
      </c>
      <c r="O495" s="19">
        <f t="shared" si="303"/>
        <v>534</v>
      </c>
      <c r="P495" s="19">
        <f t="shared" si="303"/>
        <v>600.75000000000011</v>
      </c>
      <c r="Q495" s="19">
        <f t="shared" si="303"/>
        <v>0</v>
      </c>
      <c r="R495" s="19">
        <f t="shared" si="303"/>
        <v>0</v>
      </c>
      <c r="S495" s="19">
        <f t="shared" si="303"/>
        <v>534</v>
      </c>
      <c r="T495" s="19">
        <f t="shared" si="303"/>
        <v>600.75000000000011</v>
      </c>
      <c r="U495" s="19">
        <f t="shared" si="303"/>
        <v>0</v>
      </c>
      <c r="V495" s="19">
        <f t="shared" si="303"/>
        <v>0</v>
      </c>
      <c r="W495" s="19">
        <f t="shared" si="303"/>
        <v>534</v>
      </c>
      <c r="X495" s="19">
        <f t="shared" si="303"/>
        <v>600.75000000000011</v>
      </c>
      <c r="Y495" s="19">
        <f t="shared" si="303"/>
        <v>0</v>
      </c>
      <c r="Z495" s="19">
        <f t="shared" si="303"/>
        <v>0</v>
      </c>
      <c r="AA495" s="19">
        <f t="shared" si="303"/>
        <v>534</v>
      </c>
      <c r="AB495" s="19">
        <f t="shared" si="303"/>
        <v>600.75000000000011</v>
      </c>
      <c r="AC495" s="19">
        <f t="shared" si="303"/>
        <v>0</v>
      </c>
      <c r="AD495" s="19">
        <f t="shared" si="303"/>
        <v>0</v>
      </c>
      <c r="AE495" s="19">
        <f t="shared" si="303"/>
        <v>534</v>
      </c>
      <c r="AF495" s="19">
        <f t="shared" si="303"/>
        <v>600.75000000000011</v>
      </c>
      <c r="AG495" s="19">
        <f t="shared" si="303"/>
        <v>0</v>
      </c>
      <c r="AH495" s="19">
        <f t="shared" si="303"/>
        <v>0</v>
      </c>
      <c r="AI495" s="19">
        <f t="shared" ref="AI495:BB495" si="304">AJ4/$BD4*$AG301</f>
        <v>534</v>
      </c>
      <c r="AJ495" s="19">
        <f t="shared" si="304"/>
        <v>600.75000000000011</v>
      </c>
      <c r="AK495" s="19">
        <f t="shared" si="304"/>
        <v>0</v>
      </c>
      <c r="AL495" s="19">
        <f t="shared" si="304"/>
        <v>0</v>
      </c>
      <c r="AM495" s="19">
        <f t="shared" si="304"/>
        <v>534</v>
      </c>
      <c r="AN495" s="19">
        <f t="shared" si="304"/>
        <v>600.75000000000011</v>
      </c>
      <c r="AO495" s="19">
        <f t="shared" si="304"/>
        <v>0</v>
      </c>
      <c r="AP495" s="19">
        <f t="shared" si="304"/>
        <v>0</v>
      </c>
      <c r="AQ495" s="19">
        <f t="shared" si="304"/>
        <v>534</v>
      </c>
      <c r="AR495" s="19">
        <f t="shared" si="304"/>
        <v>600.75000000000011</v>
      </c>
      <c r="AS495" s="19">
        <f t="shared" si="304"/>
        <v>0</v>
      </c>
      <c r="AT495" s="19">
        <f t="shared" si="304"/>
        <v>333.75000000000006</v>
      </c>
      <c r="AU495" s="19">
        <f t="shared" si="304"/>
        <v>534</v>
      </c>
      <c r="AV495" s="19">
        <f t="shared" si="304"/>
        <v>600.75000000000011</v>
      </c>
      <c r="AW495" s="19">
        <f t="shared" si="304"/>
        <v>0</v>
      </c>
      <c r="AX495" s="19">
        <f t="shared" si="304"/>
        <v>200.25000000000003</v>
      </c>
      <c r="AY495" s="19">
        <f t="shared" si="304"/>
        <v>534</v>
      </c>
      <c r="AZ495" s="19">
        <f t="shared" si="304"/>
        <v>200.25000000000003</v>
      </c>
      <c r="BA495" s="19">
        <f t="shared" si="304"/>
        <v>0</v>
      </c>
      <c r="BB495" s="19">
        <f t="shared" si="304"/>
        <v>0</v>
      </c>
      <c r="BC495" s="129">
        <f t="shared" ref="BC495:BC501" si="305">SUM(C495:BB495)</f>
        <v>15486</v>
      </c>
    </row>
    <row r="496" spans="1:61" x14ac:dyDescent="0.25">
      <c r="B496" s="19" t="s">
        <v>173</v>
      </c>
      <c r="C496" s="19">
        <f t="shared" ref="C496:AH496" si="306">D5/$BD5*$AG302</f>
        <v>675</v>
      </c>
      <c r="D496" s="19">
        <f t="shared" si="306"/>
        <v>540</v>
      </c>
      <c r="E496" s="19">
        <f t="shared" si="306"/>
        <v>607.5</v>
      </c>
      <c r="F496" s="19">
        <f t="shared" si="306"/>
        <v>0</v>
      </c>
      <c r="G496" s="19">
        <f t="shared" si="306"/>
        <v>675</v>
      </c>
      <c r="H496" s="19">
        <f t="shared" si="306"/>
        <v>540</v>
      </c>
      <c r="I496" s="19">
        <f t="shared" si="306"/>
        <v>607.5</v>
      </c>
      <c r="J496" s="19">
        <f t="shared" si="306"/>
        <v>0</v>
      </c>
      <c r="K496" s="19">
        <f t="shared" si="306"/>
        <v>675</v>
      </c>
      <c r="L496" s="19">
        <f t="shared" si="306"/>
        <v>540</v>
      </c>
      <c r="M496" s="19">
        <f t="shared" si="306"/>
        <v>607.5</v>
      </c>
      <c r="N496" s="19">
        <f t="shared" si="306"/>
        <v>0</v>
      </c>
      <c r="O496" s="19">
        <f t="shared" si="306"/>
        <v>675</v>
      </c>
      <c r="P496" s="19">
        <f t="shared" si="306"/>
        <v>540</v>
      </c>
      <c r="Q496" s="19">
        <f t="shared" si="306"/>
        <v>607.5</v>
      </c>
      <c r="R496" s="19">
        <f t="shared" si="306"/>
        <v>0</v>
      </c>
      <c r="S496" s="19">
        <f t="shared" si="306"/>
        <v>675</v>
      </c>
      <c r="T496" s="19">
        <f t="shared" si="306"/>
        <v>540</v>
      </c>
      <c r="U496" s="19">
        <f t="shared" si="306"/>
        <v>607.5</v>
      </c>
      <c r="V496" s="19">
        <f t="shared" si="306"/>
        <v>0</v>
      </c>
      <c r="W496" s="19">
        <f t="shared" si="306"/>
        <v>675</v>
      </c>
      <c r="X496" s="19">
        <f t="shared" si="306"/>
        <v>540</v>
      </c>
      <c r="Y496" s="19">
        <f t="shared" si="306"/>
        <v>607.5</v>
      </c>
      <c r="Z496" s="19">
        <f t="shared" si="306"/>
        <v>0</v>
      </c>
      <c r="AA496" s="19">
        <f t="shared" si="306"/>
        <v>675</v>
      </c>
      <c r="AB496" s="19">
        <f t="shared" si="306"/>
        <v>540</v>
      </c>
      <c r="AC496" s="19">
        <f t="shared" si="306"/>
        <v>607.5</v>
      </c>
      <c r="AD496" s="19">
        <f t="shared" si="306"/>
        <v>0</v>
      </c>
      <c r="AE496" s="19">
        <f t="shared" si="306"/>
        <v>675</v>
      </c>
      <c r="AF496" s="19">
        <f t="shared" si="306"/>
        <v>540</v>
      </c>
      <c r="AG496" s="19">
        <f t="shared" si="306"/>
        <v>607.5</v>
      </c>
      <c r="AH496" s="19">
        <f t="shared" si="306"/>
        <v>0</v>
      </c>
      <c r="AI496" s="19">
        <f t="shared" ref="AI496:BB496" si="307">AJ5/$BD5*$AG302</f>
        <v>675</v>
      </c>
      <c r="AJ496" s="19">
        <f t="shared" si="307"/>
        <v>540</v>
      </c>
      <c r="AK496" s="19">
        <f t="shared" si="307"/>
        <v>607.5</v>
      </c>
      <c r="AL496" s="19">
        <f t="shared" si="307"/>
        <v>0</v>
      </c>
      <c r="AM496" s="19">
        <f t="shared" si="307"/>
        <v>675</v>
      </c>
      <c r="AN496" s="19">
        <f t="shared" si="307"/>
        <v>540</v>
      </c>
      <c r="AO496" s="19">
        <f t="shared" si="307"/>
        <v>607.5</v>
      </c>
      <c r="AP496" s="19">
        <f t="shared" si="307"/>
        <v>0</v>
      </c>
      <c r="AQ496" s="19">
        <f t="shared" si="307"/>
        <v>675</v>
      </c>
      <c r="AR496" s="19">
        <f t="shared" si="307"/>
        <v>540</v>
      </c>
      <c r="AS496" s="19">
        <f t="shared" si="307"/>
        <v>607.5</v>
      </c>
      <c r="AT496" s="19">
        <f t="shared" si="307"/>
        <v>0</v>
      </c>
      <c r="AU496" s="19">
        <f t="shared" si="307"/>
        <v>675</v>
      </c>
      <c r="AV496" s="19">
        <f t="shared" si="307"/>
        <v>540</v>
      </c>
      <c r="AW496" s="19">
        <f t="shared" si="307"/>
        <v>607.5</v>
      </c>
      <c r="AX496" s="19">
        <f t="shared" si="307"/>
        <v>0</v>
      </c>
      <c r="AY496" s="19">
        <f t="shared" si="307"/>
        <v>675</v>
      </c>
      <c r="AZ496" s="19">
        <f t="shared" si="307"/>
        <v>540</v>
      </c>
      <c r="BA496" s="19">
        <f t="shared" si="307"/>
        <v>607.5</v>
      </c>
      <c r="BB496" s="19">
        <f t="shared" si="307"/>
        <v>0</v>
      </c>
      <c r="BC496" s="129">
        <f t="shared" si="305"/>
        <v>23692.5</v>
      </c>
    </row>
    <row r="497" spans="2:55" x14ac:dyDescent="0.25">
      <c r="B497" s="19" t="s">
        <v>174</v>
      </c>
      <c r="C497" s="19">
        <f t="shared" ref="C497:AH497" si="308">D6/$BD6*$AG303</f>
        <v>780</v>
      </c>
      <c r="D497" s="19">
        <f t="shared" si="308"/>
        <v>600</v>
      </c>
      <c r="E497" s="19">
        <f t="shared" si="308"/>
        <v>480</v>
      </c>
      <c r="F497" s="19">
        <f t="shared" si="308"/>
        <v>540</v>
      </c>
      <c r="G497" s="19">
        <f t="shared" si="308"/>
        <v>540</v>
      </c>
      <c r="H497" s="19">
        <f t="shared" si="308"/>
        <v>600</v>
      </c>
      <c r="I497" s="19">
        <f t="shared" si="308"/>
        <v>480</v>
      </c>
      <c r="J497" s="19">
        <f t="shared" si="308"/>
        <v>540</v>
      </c>
      <c r="K497" s="19">
        <f t="shared" si="308"/>
        <v>780</v>
      </c>
      <c r="L497" s="19">
        <f t="shared" si="308"/>
        <v>600</v>
      </c>
      <c r="M497" s="19">
        <f t="shared" si="308"/>
        <v>480</v>
      </c>
      <c r="N497" s="19">
        <f t="shared" si="308"/>
        <v>540</v>
      </c>
      <c r="O497" s="19">
        <f t="shared" si="308"/>
        <v>780</v>
      </c>
      <c r="P497" s="19">
        <f t="shared" si="308"/>
        <v>600</v>
      </c>
      <c r="Q497" s="19">
        <f t="shared" si="308"/>
        <v>480</v>
      </c>
      <c r="R497" s="19">
        <f t="shared" si="308"/>
        <v>540</v>
      </c>
      <c r="S497" s="19">
        <f t="shared" si="308"/>
        <v>540</v>
      </c>
      <c r="T497" s="19">
        <f t="shared" si="308"/>
        <v>480</v>
      </c>
      <c r="U497" s="19">
        <f t="shared" si="308"/>
        <v>480</v>
      </c>
      <c r="V497" s="19">
        <f t="shared" si="308"/>
        <v>540</v>
      </c>
      <c r="W497" s="19">
        <f t="shared" si="308"/>
        <v>780</v>
      </c>
      <c r="X497" s="19">
        <f t="shared" si="308"/>
        <v>600</v>
      </c>
      <c r="Y497" s="19">
        <f t="shared" si="308"/>
        <v>480</v>
      </c>
      <c r="Z497" s="19">
        <f t="shared" si="308"/>
        <v>420</v>
      </c>
      <c r="AA497" s="19">
        <f t="shared" si="308"/>
        <v>780</v>
      </c>
      <c r="AB497" s="19">
        <f t="shared" si="308"/>
        <v>600</v>
      </c>
      <c r="AC497" s="19">
        <f t="shared" si="308"/>
        <v>480</v>
      </c>
      <c r="AD497" s="19">
        <f t="shared" si="308"/>
        <v>540</v>
      </c>
      <c r="AE497" s="19">
        <f t="shared" si="308"/>
        <v>540</v>
      </c>
      <c r="AF497" s="19">
        <f t="shared" si="308"/>
        <v>600</v>
      </c>
      <c r="AG497" s="19">
        <f t="shared" si="308"/>
        <v>480</v>
      </c>
      <c r="AH497" s="19">
        <f t="shared" si="308"/>
        <v>540</v>
      </c>
      <c r="AI497" s="19">
        <f t="shared" ref="AI497:BB497" si="309">AJ6/$BD6*$AG303</f>
        <v>780</v>
      </c>
      <c r="AJ497" s="19">
        <f t="shared" si="309"/>
        <v>600</v>
      </c>
      <c r="AK497" s="19">
        <f t="shared" si="309"/>
        <v>480</v>
      </c>
      <c r="AL497" s="19">
        <f t="shared" si="309"/>
        <v>420</v>
      </c>
      <c r="AM497" s="19">
        <f t="shared" si="309"/>
        <v>780</v>
      </c>
      <c r="AN497" s="19">
        <f t="shared" si="309"/>
        <v>600</v>
      </c>
      <c r="AO497" s="19">
        <f t="shared" si="309"/>
        <v>480</v>
      </c>
      <c r="AP497" s="19">
        <f t="shared" si="309"/>
        <v>540</v>
      </c>
      <c r="AQ497" s="19">
        <f t="shared" si="309"/>
        <v>540</v>
      </c>
      <c r="AR497" s="19">
        <f t="shared" si="309"/>
        <v>600</v>
      </c>
      <c r="AS497" s="19">
        <f t="shared" si="309"/>
        <v>480</v>
      </c>
      <c r="AT497" s="19">
        <f t="shared" si="309"/>
        <v>540</v>
      </c>
      <c r="AU497" s="19">
        <f t="shared" si="309"/>
        <v>780</v>
      </c>
      <c r="AV497" s="19">
        <f t="shared" si="309"/>
        <v>600</v>
      </c>
      <c r="AW497" s="19">
        <f t="shared" si="309"/>
        <v>480</v>
      </c>
      <c r="AX497" s="19">
        <f t="shared" si="309"/>
        <v>540</v>
      </c>
      <c r="AY497" s="19">
        <f t="shared" si="309"/>
        <v>780</v>
      </c>
      <c r="AZ497" s="19">
        <f t="shared" si="309"/>
        <v>600</v>
      </c>
      <c r="BA497" s="19">
        <f t="shared" si="309"/>
        <v>480</v>
      </c>
      <c r="BB497" s="19">
        <f t="shared" si="309"/>
        <v>420</v>
      </c>
      <c r="BC497" s="129">
        <f t="shared" si="305"/>
        <v>29760</v>
      </c>
    </row>
    <row r="498" spans="2:55" x14ac:dyDescent="0.25">
      <c r="B498" s="19" t="s">
        <v>175</v>
      </c>
      <c r="C498" s="19">
        <f t="shared" ref="C498:AH498" si="310">D7/$BD7*$AG304</f>
        <v>292.5</v>
      </c>
      <c r="D498" s="19">
        <f t="shared" si="310"/>
        <v>760.5</v>
      </c>
      <c r="E498" s="19">
        <f t="shared" si="310"/>
        <v>585</v>
      </c>
      <c r="F498" s="19">
        <f t="shared" si="310"/>
        <v>468</v>
      </c>
      <c r="G498" s="19">
        <f t="shared" si="310"/>
        <v>292.5</v>
      </c>
      <c r="H498" s="19">
        <f t="shared" si="310"/>
        <v>643.5</v>
      </c>
      <c r="I498" s="19">
        <f t="shared" si="310"/>
        <v>585</v>
      </c>
      <c r="J498" s="19">
        <f t="shared" si="310"/>
        <v>468</v>
      </c>
      <c r="K498" s="19">
        <f t="shared" si="310"/>
        <v>292.5</v>
      </c>
      <c r="L498" s="19">
        <f t="shared" si="310"/>
        <v>409.49999999999994</v>
      </c>
      <c r="M498" s="19">
        <f t="shared" si="310"/>
        <v>351</v>
      </c>
      <c r="N498" s="19">
        <f t="shared" si="310"/>
        <v>468</v>
      </c>
      <c r="O498" s="19">
        <f t="shared" si="310"/>
        <v>292.5</v>
      </c>
      <c r="P498" s="19">
        <f t="shared" si="310"/>
        <v>760.5</v>
      </c>
      <c r="Q498" s="19">
        <f t="shared" si="310"/>
        <v>585</v>
      </c>
      <c r="R498" s="19">
        <f t="shared" si="310"/>
        <v>468</v>
      </c>
      <c r="S498" s="19">
        <f t="shared" si="310"/>
        <v>292.5</v>
      </c>
      <c r="T498" s="19">
        <f t="shared" si="310"/>
        <v>760.5</v>
      </c>
      <c r="U498" s="19">
        <f t="shared" si="310"/>
        <v>585</v>
      </c>
      <c r="V498" s="19">
        <f t="shared" si="310"/>
        <v>468</v>
      </c>
      <c r="W498" s="19">
        <f t="shared" si="310"/>
        <v>292.5</v>
      </c>
      <c r="X498" s="19">
        <f t="shared" si="310"/>
        <v>409.49999999999994</v>
      </c>
      <c r="Y498" s="19">
        <f t="shared" si="310"/>
        <v>585</v>
      </c>
      <c r="Z498" s="19">
        <f t="shared" si="310"/>
        <v>468</v>
      </c>
      <c r="AA498" s="19">
        <f t="shared" si="310"/>
        <v>292.5</v>
      </c>
      <c r="AB498" s="19">
        <f t="shared" si="310"/>
        <v>760.5</v>
      </c>
      <c r="AC498" s="19">
        <f t="shared" si="310"/>
        <v>585</v>
      </c>
      <c r="AD498" s="19">
        <f t="shared" si="310"/>
        <v>468</v>
      </c>
      <c r="AE498" s="19">
        <f t="shared" si="310"/>
        <v>292.5</v>
      </c>
      <c r="AF498" s="19">
        <f t="shared" si="310"/>
        <v>643.5</v>
      </c>
      <c r="AG498" s="19">
        <f t="shared" si="310"/>
        <v>585</v>
      </c>
      <c r="AH498" s="19">
        <f t="shared" si="310"/>
        <v>468</v>
      </c>
      <c r="AI498" s="19">
        <f t="shared" ref="AI498:BB498" si="311">AJ7/$BD7*$AG304</f>
        <v>292.5</v>
      </c>
      <c r="AJ498" s="19">
        <f t="shared" si="311"/>
        <v>409.49999999999994</v>
      </c>
      <c r="AK498" s="19">
        <f t="shared" si="311"/>
        <v>585</v>
      </c>
      <c r="AL498" s="19">
        <f t="shared" si="311"/>
        <v>468</v>
      </c>
      <c r="AM498" s="19">
        <f t="shared" si="311"/>
        <v>292.5</v>
      </c>
      <c r="AN498" s="19">
        <f t="shared" si="311"/>
        <v>760.5</v>
      </c>
      <c r="AO498" s="19">
        <f t="shared" si="311"/>
        <v>585</v>
      </c>
      <c r="AP498" s="19">
        <f t="shared" si="311"/>
        <v>468</v>
      </c>
      <c r="AQ498" s="19">
        <f t="shared" si="311"/>
        <v>292.5</v>
      </c>
      <c r="AR498" s="19">
        <f t="shared" si="311"/>
        <v>643.5</v>
      </c>
      <c r="AS498" s="19">
        <f t="shared" si="311"/>
        <v>585</v>
      </c>
      <c r="AT498" s="19">
        <f t="shared" si="311"/>
        <v>468</v>
      </c>
      <c r="AU498" s="19">
        <f t="shared" si="311"/>
        <v>292.5</v>
      </c>
      <c r="AV498" s="19">
        <f t="shared" si="311"/>
        <v>760.5</v>
      </c>
      <c r="AW498" s="19">
        <f t="shared" si="311"/>
        <v>585</v>
      </c>
      <c r="AX498" s="19">
        <f t="shared" si="311"/>
        <v>468</v>
      </c>
      <c r="AY498" s="19">
        <f t="shared" si="311"/>
        <v>292.5</v>
      </c>
      <c r="AZ498" s="19">
        <f t="shared" si="311"/>
        <v>760.5</v>
      </c>
      <c r="BA498" s="19">
        <f t="shared" si="311"/>
        <v>585</v>
      </c>
      <c r="BB498" s="19">
        <f t="shared" si="311"/>
        <v>468</v>
      </c>
      <c r="BC498" s="129">
        <f t="shared" si="305"/>
        <v>25740</v>
      </c>
    </row>
    <row r="499" spans="2:55" x14ac:dyDescent="0.25">
      <c r="B499" s="19" t="s">
        <v>176</v>
      </c>
      <c r="C499" s="19">
        <f t="shared" ref="C499:AH499" si="312">D8/$BD8*$AG305</f>
        <v>0</v>
      </c>
      <c r="D499" s="19">
        <f t="shared" si="312"/>
        <v>296.25000000000006</v>
      </c>
      <c r="E499" s="19">
        <f t="shared" si="312"/>
        <v>770.25000000000011</v>
      </c>
      <c r="F499" s="19">
        <f t="shared" si="312"/>
        <v>0</v>
      </c>
      <c r="G499" s="19">
        <f t="shared" si="312"/>
        <v>0</v>
      </c>
      <c r="H499" s="19">
        <f t="shared" si="312"/>
        <v>296.25000000000006</v>
      </c>
      <c r="I499" s="19">
        <f t="shared" si="312"/>
        <v>770.25000000000011</v>
      </c>
      <c r="J499" s="19">
        <f t="shared" si="312"/>
        <v>592.50000000000011</v>
      </c>
      <c r="K499" s="19">
        <f t="shared" si="312"/>
        <v>355.50000000000011</v>
      </c>
      <c r="L499" s="19">
        <f t="shared" si="312"/>
        <v>296.25000000000006</v>
      </c>
      <c r="M499" s="19">
        <f t="shared" si="312"/>
        <v>770.25000000000011</v>
      </c>
      <c r="N499" s="19">
        <f t="shared" si="312"/>
        <v>592.50000000000011</v>
      </c>
      <c r="O499" s="19">
        <f t="shared" si="312"/>
        <v>0</v>
      </c>
      <c r="P499" s="19">
        <f t="shared" si="312"/>
        <v>296.25000000000006</v>
      </c>
      <c r="Q499" s="19">
        <f t="shared" si="312"/>
        <v>770.25000000000011</v>
      </c>
      <c r="R499" s="19">
        <f t="shared" si="312"/>
        <v>592.50000000000011</v>
      </c>
      <c r="S499" s="19">
        <f t="shared" si="312"/>
        <v>0</v>
      </c>
      <c r="T499" s="19">
        <f t="shared" si="312"/>
        <v>296.25000000000006</v>
      </c>
      <c r="U499" s="19">
        <f t="shared" si="312"/>
        <v>770.25000000000011</v>
      </c>
      <c r="V499" s="19">
        <f t="shared" si="312"/>
        <v>592.50000000000011</v>
      </c>
      <c r="W499" s="19">
        <f t="shared" si="312"/>
        <v>0</v>
      </c>
      <c r="X499" s="19">
        <f t="shared" si="312"/>
        <v>296.25000000000006</v>
      </c>
      <c r="Y499" s="19">
        <f t="shared" si="312"/>
        <v>533.25000000000011</v>
      </c>
      <c r="Z499" s="19">
        <f t="shared" si="312"/>
        <v>592.50000000000011</v>
      </c>
      <c r="AA499" s="19">
        <f t="shared" si="312"/>
        <v>0</v>
      </c>
      <c r="AB499" s="19">
        <f t="shared" si="312"/>
        <v>296.25000000000006</v>
      </c>
      <c r="AC499" s="19">
        <f t="shared" si="312"/>
        <v>770.25000000000011</v>
      </c>
      <c r="AD499" s="19">
        <f t="shared" si="312"/>
        <v>237.00000000000003</v>
      </c>
      <c r="AE499" s="19">
        <f t="shared" si="312"/>
        <v>0</v>
      </c>
      <c r="AF499" s="19">
        <f t="shared" si="312"/>
        <v>296.25000000000006</v>
      </c>
      <c r="AG499" s="19">
        <f t="shared" si="312"/>
        <v>770.25000000000011</v>
      </c>
      <c r="AH499" s="19">
        <f t="shared" si="312"/>
        <v>592.50000000000011</v>
      </c>
      <c r="AI499" s="19">
        <f t="shared" ref="AI499:BB499" si="313">AJ8/$BD8*$AG305</f>
        <v>0</v>
      </c>
      <c r="AJ499" s="19">
        <f t="shared" si="313"/>
        <v>296.25000000000006</v>
      </c>
      <c r="AK499" s="19">
        <f t="shared" si="313"/>
        <v>533.25000000000011</v>
      </c>
      <c r="AL499" s="19">
        <f t="shared" si="313"/>
        <v>592.50000000000011</v>
      </c>
      <c r="AM499" s="19">
        <f t="shared" si="313"/>
        <v>0</v>
      </c>
      <c r="AN499" s="19">
        <f t="shared" si="313"/>
        <v>296.25000000000006</v>
      </c>
      <c r="AO499" s="19">
        <f t="shared" si="313"/>
        <v>770.25000000000011</v>
      </c>
      <c r="AP499" s="19">
        <f t="shared" si="313"/>
        <v>237.00000000000003</v>
      </c>
      <c r="AQ499" s="19">
        <f t="shared" si="313"/>
        <v>0</v>
      </c>
      <c r="AR499" s="19">
        <f t="shared" si="313"/>
        <v>296.25000000000006</v>
      </c>
      <c r="AS499" s="19">
        <f t="shared" si="313"/>
        <v>770.25000000000011</v>
      </c>
      <c r="AT499" s="19">
        <f t="shared" si="313"/>
        <v>592.50000000000011</v>
      </c>
      <c r="AU499" s="19">
        <f t="shared" si="313"/>
        <v>296.25000000000006</v>
      </c>
      <c r="AV499" s="19">
        <f t="shared" si="313"/>
        <v>296.25000000000006</v>
      </c>
      <c r="AW499" s="19">
        <f t="shared" si="313"/>
        <v>770.25000000000011</v>
      </c>
      <c r="AX499" s="19">
        <f t="shared" si="313"/>
        <v>592.50000000000011</v>
      </c>
      <c r="AY499" s="19">
        <f t="shared" si="313"/>
        <v>355.50000000000011</v>
      </c>
      <c r="AZ499" s="19">
        <f t="shared" si="313"/>
        <v>296.25000000000006</v>
      </c>
      <c r="BA499" s="19">
        <f t="shared" si="313"/>
        <v>533.25000000000011</v>
      </c>
      <c r="BB499" s="19">
        <f t="shared" si="313"/>
        <v>592.50000000000011</v>
      </c>
      <c r="BC499" s="129">
        <f t="shared" si="305"/>
        <v>20559.750000000004</v>
      </c>
    </row>
    <row r="500" spans="2:55" x14ac:dyDescent="0.25">
      <c r="B500" s="19" t="s">
        <v>177</v>
      </c>
      <c r="C500" s="19">
        <f t="shared" ref="C500:AH500" si="314">D9/$BD9*$AG306</f>
        <v>0</v>
      </c>
      <c r="D500" s="19">
        <f t="shared" si="314"/>
        <v>180</v>
      </c>
      <c r="E500" s="19">
        <f t="shared" si="314"/>
        <v>360</v>
      </c>
      <c r="F500" s="19">
        <f t="shared" si="314"/>
        <v>660</v>
      </c>
      <c r="G500" s="19">
        <f t="shared" si="314"/>
        <v>0</v>
      </c>
      <c r="H500" s="19">
        <f t="shared" si="314"/>
        <v>0</v>
      </c>
      <c r="I500" s="19">
        <f t="shared" si="314"/>
        <v>300</v>
      </c>
      <c r="J500" s="19">
        <f t="shared" si="314"/>
        <v>780</v>
      </c>
      <c r="K500" s="19">
        <f t="shared" si="314"/>
        <v>0</v>
      </c>
      <c r="L500" s="19">
        <f t="shared" si="314"/>
        <v>0</v>
      </c>
      <c r="M500" s="19">
        <f t="shared" si="314"/>
        <v>300</v>
      </c>
      <c r="N500" s="19">
        <f t="shared" si="314"/>
        <v>660</v>
      </c>
      <c r="O500" s="19">
        <f t="shared" si="314"/>
        <v>0</v>
      </c>
      <c r="P500" s="19">
        <f t="shared" si="314"/>
        <v>0</v>
      </c>
      <c r="Q500" s="19">
        <f t="shared" si="314"/>
        <v>300</v>
      </c>
      <c r="R500" s="19">
        <f t="shared" si="314"/>
        <v>420</v>
      </c>
      <c r="S500" s="19">
        <f t="shared" si="314"/>
        <v>0</v>
      </c>
      <c r="T500" s="19">
        <f t="shared" si="314"/>
        <v>0</v>
      </c>
      <c r="U500" s="19">
        <f t="shared" si="314"/>
        <v>300</v>
      </c>
      <c r="V500" s="19">
        <f t="shared" si="314"/>
        <v>780</v>
      </c>
      <c r="W500" s="19">
        <f t="shared" si="314"/>
        <v>0</v>
      </c>
      <c r="X500" s="19">
        <f t="shared" si="314"/>
        <v>0</v>
      </c>
      <c r="Y500" s="19">
        <f t="shared" si="314"/>
        <v>300</v>
      </c>
      <c r="Z500" s="19">
        <f t="shared" si="314"/>
        <v>780</v>
      </c>
      <c r="AA500" s="19">
        <f t="shared" si="314"/>
        <v>0</v>
      </c>
      <c r="AB500" s="19">
        <f t="shared" si="314"/>
        <v>0</v>
      </c>
      <c r="AC500" s="19">
        <f t="shared" si="314"/>
        <v>300</v>
      </c>
      <c r="AD500" s="19">
        <f t="shared" si="314"/>
        <v>780</v>
      </c>
      <c r="AE500" s="19">
        <f t="shared" si="314"/>
        <v>0</v>
      </c>
      <c r="AF500" s="19">
        <f t="shared" si="314"/>
        <v>0</v>
      </c>
      <c r="AG500" s="19">
        <f t="shared" si="314"/>
        <v>300</v>
      </c>
      <c r="AH500" s="19">
        <f t="shared" si="314"/>
        <v>780</v>
      </c>
      <c r="AI500" s="19">
        <f t="shared" ref="AI500:BB500" si="315">AJ9/$BD9*$AG306</f>
        <v>0</v>
      </c>
      <c r="AJ500" s="19">
        <f t="shared" si="315"/>
        <v>0</v>
      </c>
      <c r="AK500" s="19">
        <f t="shared" si="315"/>
        <v>300</v>
      </c>
      <c r="AL500" s="19">
        <f t="shared" si="315"/>
        <v>780</v>
      </c>
      <c r="AM500" s="19">
        <f t="shared" si="315"/>
        <v>0</v>
      </c>
      <c r="AN500" s="19">
        <f t="shared" si="315"/>
        <v>0</v>
      </c>
      <c r="AO500" s="19">
        <f t="shared" si="315"/>
        <v>300</v>
      </c>
      <c r="AP500" s="19">
        <f t="shared" si="315"/>
        <v>780</v>
      </c>
      <c r="AQ500" s="19">
        <f t="shared" si="315"/>
        <v>0</v>
      </c>
      <c r="AR500" s="19">
        <f t="shared" si="315"/>
        <v>0</v>
      </c>
      <c r="AS500" s="19">
        <f t="shared" si="315"/>
        <v>300</v>
      </c>
      <c r="AT500" s="19">
        <f t="shared" si="315"/>
        <v>780</v>
      </c>
      <c r="AU500" s="19">
        <f t="shared" si="315"/>
        <v>0</v>
      </c>
      <c r="AV500" s="19">
        <f t="shared" si="315"/>
        <v>0</v>
      </c>
      <c r="AW500" s="19">
        <f t="shared" si="315"/>
        <v>300</v>
      </c>
      <c r="AX500" s="19">
        <f t="shared" si="315"/>
        <v>780</v>
      </c>
      <c r="AY500" s="19">
        <f t="shared" si="315"/>
        <v>0</v>
      </c>
      <c r="AZ500" s="19">
        <f t="shared" si="315"/>
        <v>0</v>
      </c>
      <c r="BA500" s="19">
        <f t="shared" si="315"/>
        <v>300</v>
      </c>
      <c r="BB500" s="19">
        <f t="shared" si="315"/>
        <v>780</v>
      </c>
      <c r="BC500" s="129">
        <f t="shared" si="305"/>
        <v>13680</v>
      </c>
    </row>
    <row r="501" spans="2:55" x14ac:dyDescent="0.25">
      <c r="B501" s="19" t="s">
        <v>178</v>
      </c>
      <c r="C501" s="19">
        <f t="shared" ref="C501:AH501" si="316">D10/$BD10*$AG307</f>
        <v>0</v>
      </c>
      <c r="D501" s="19">
        <f t="shared" si="316"/>
        <v>0</v>
      </c>
      <c r="E501" s="19">
        <f t="shared" si="316"/>
        <v>0</v>
      </c>
      <c r="F501" s="19">
        <f t="shared" si="316"/>
        <v>281.25</v>
      </c>
      <c r="G501" s="19">
        <f t="shared" si="316"/>
        <v>0</v>
      </c>
      <c r="H501" s="19">
        <f t="shared" si="316"/>
        <v>0</v>
      </c>
      <c r="I501" s="19">
        <f t="shared" si="316"/>
        <v>0</v>
      </c>
      <c r="J501" s="19">
        <f t="shared" si="316"/>
        <v>281.25</v>
      </c>
      <c r="K501" s="19">
        <f t="shared" si="316"/>
        <v>0</v>
      </c>
      <c r="L501" s="19">
        <f t="shared" si="316"/>
        <v>0</v>
      </c>
      <c r="M501" s="19">
        <f t="shared" si="316"/>
        <v>0</v>
      </c>
      <c r="N501" s="19">
        <f t="shared" si="316"/>
        <v>281.25</v>
      </c>
      <c r="O501" s="19">
        <f t="shared" si="316"/>
        <v>0</v>
      </c>
      <c r="P501" s="19">
        <f t="shared" si="316"/>
        <v>0</v>
      </c>
      <c r="Q501" s="19">
        <f t="shared" si="316"/>
        <v>337.5</v>
      </c>
      <c r="R501" s="19">
        <f t="shared" si="316"/>
        <v>281.25</v>
      </c>
      <c r="S501" s="19">
        <f t="shared" si="316"/>
        <v>0</v>
      </c>
      <c r="T501" s="19">
        <f t="shared" si="316"/>
        <v>0</v>
      </c>
      <c r="U501" s="19">
        <f t="shared" si="316"/>
        <v>0</v>
      </c>
      <c r="V501" s="19">
        <f t="shared" si="316"/>
        <v>281.25</v>
      </c>
      <c r="W501" s="19">
        <f t="shared" si="316"/>
        <v>337.5</v>
      </c>
      <c r="X501" s="19">
        <f t="shared" si="316"/>
        <v>0</v>
      </c>
      <c r="Y501" s="19">
        <f t="shared" si="316"/>
        <v>0</v>
      </c>
      <c r="Z501" s="19">
        <f t="shared" si="316"/>
        <v>281.25</v>
      </c>
      <c r="AA501" s="19">
        <f t="shared" si="316"/>
        <v>0</v>
      </c>
      <c r="AB501" s="19">
        <f t="shared" si="316"/>
        <v>168.75</v>
      </c>
      <c r="AC501" s="19">
        <f t="shared" si="316"/>
        <v>0</v>
      </c>
      <c r="AD501" s="19">
        <f t="shared" si="316"/>
        <v>281.25</v>
      </c>
      <c r="AE501" s="19">
        <f t="shared" si="316"/>
        <v>0</v>
      </c>
      <c r="AF501" s="19">
        <f t="shared" si="316"/>
        <v>0</v>
      </c>
      <c r="AG501" s="19">
        <f t="shared" si="316"/>
        <v>0</v>
      </c>
      <c r="AH501" s="19">
        <f t="shared" si="316"/>
        <v>281.25</v>
      </c>
      <c r="AI501" s="19">
        <f t="shared" ref="AI501:BB501" si="317">AJ10/$BD10*$AG307</f>
        <v>337.5</v>
      </c>
      <c r="AJ501" s="19">
        <f t="shared" si="317"/>
        <v>0</v>
      </c>
      <c r="AK501" s="19">
        <f t="shared" si="317"/>
        <v>0</v>
      </c>
      <c r="AL501" s="19">
        <f t="shared" si="317"/>
        <v>281.25</v>
      </c>
      <c r="AM501" s="19">
        <f t="shared" si="317"/>
        <v>0</v>
      </c>
      <c r="AN501" s="19">
        <f t="shared" si="317"/>
        <v>0</v>
      </c>
      <c r="AO501" s="19">
        <f t="shared" si="317"/>
        <v>337.5</v>
      </c>
      <c r="AP501" s="19">
        <f t="shared" si="317"/>
        <v>281.25</v>
      </c>
      <c r="AQ501" s="19">
        <f t="shared" si="317"/>
        <v>0</v>
      </c>
      <c r="AR501" s="19">
        <f t="shared" si="317"/>
        <v>0</v>
      </c>
      <c r="AS501" s="19">
        <f t="shared" si="317"/>
        <v>0</v>
      </c>
      <c r="AT501" s="19">
        <f t="shared" si="317"/>
        <v>281.25</v>
      </c>
      <c r="AU501" s="19">
        <f t="shared" si="317"/>
        <v>0</v>
      </c>
      <c r="AV501" s="19">
        <f t="shared" si="317"/>
        <v>0</v>
      </c>
      <c r="AW501" s="19">
        <f t="shared" si="317"/>
        <v>0</v>
      </c>
      <c r="AX501" s="19">
        <f t="shared" si="317"/>
        <v>281.25</v>
      </c>
      <c r="AY501" s="19">
        <f t="shared" si="317"/>
        <v>0</v>
      </c>
      <c r="AZ501" s="19">
        <f t="shared" si="317"/>
        <v>0</v>
      </c>
      <c r="BA501" s="19">
        <f t="shared" si="317"/>
        <v>0</v>
      </c>
      <c r="BB501" s="19">
        <f t="shared" si="317"/>
        <v>281.25</v>
      </c>
      <c r="BC501" s="129">
        <f t="shared" si="305"/>
        <v>5175</v>
      </c>
    </row>
    <row r="502" spans="2:55" s="1" customFormat="1" x14ac:dyDescent="0.25">
      <c r="C502" s="136">
        <f t="shared" ref="C502:BB502" si="318">SUM(C494:C501)</f>
        <v>2855.25</v>
      </c>
      <c r="D502" s="136">
        <f t="shared" si="318"/>
        <v>2977.5</v>
      </c>
      <c r="E502" s="136">
        <f t="shared" si="318"/>
        <v>3121.5</v>
      </c>
      <c r="F502" s="136">
        <f t="shared" si="318"/>
        <v>2349.75</v>
      </c>
      <c r="G502" s="136">
        <f t="shared" si="318"/>
        <v>2615.25</v>
      </c>
      <c r="H502" s="136">
        <f t="shared" si="318"/>
        <v>2680.5</v>
      </c>
      <c r="I502" s="136">
        <f t="shared" si="318"/>
        <v>2742.75</v>
      </c>
      <c r="J502" s="136">
        <f t="shared" si="318"/>
        <v>2862</v>
      </c>
      <c r="K502" s="136">
        <f t="shared" si="318"/>
        <v>3210.75</v>
      </c>
      <c r="L502" s="136">
        <f t="shared" si="318"/>
        <v>2446.5</v>
      </c>
      <c r="M502" s="136">
        <f t="shared" si="318"/>
        <v>2508.75</v>
      </c>
      <c r="N502" s="136">
        <f t="shared" si="318"/>
        <v>2541.75</v>
      </c>
      <c r="O502" s="136">
        <f t="shared" si="318"/>
        <v>2855.25</v>
      </c>
      <c r="P502" s="136">
        <f t="shared" si="318"/>
        <v>2988.75</v>
      </c>
      <c r="Q502" s="136">
        <f t="shared" si="318"/>
        <v>3080.25</v>
      </c>
      <c r="R502" s="136">
        <f t="shared" si="318"/>
        <v>2301.75</v>
      </c>
      <c r="S502" s="136">
        <f t="shared" si="318"/>
        <v>2615.25</v>
      </c>
      <c r="T502" s="136">
        <f t="shared" si="318"/>
        <v>2677.5</v>
      </c>
      <c r="U502" s="136">
        <f t="shared" si="318"/>
        <v>2742.75</v>
      </c>
      <c r="V502" s="136">
        <f t="shared" si="318"/>
        <v>2853</v>
      </c>
      <c r="W502" s="136">
        <f t="shared" si="318"/>
        <v>3192.75</v>
      </c>
      <c r="X502" s="136">
        <f t="shared" si="318"/>
        <v>2446.5</v>
      </c>
      <c r="Y502" s="136">
        <f t="shared" si="318"/>
        <v>2505.75</v>
      </c>
      <c r="Z502" s="136">
        <f t="shared" si="318"/>
        <v>2541.75</v>
      </c>
      <c r="AA502" s="136">
        <f t="shared" si="318"/>
        <v>2855.25</v>
      </c>
      <c r="AB502" s="136">
        <f t="shared" si="318"/>
        <v>2966.25</v>
      </c>
      <c r="AC502" s="136">
        <f t="shared" si="318"/>
        <v>3125.25</v>
      </c>
      <c r="AD502" s="136">
        <f t="shared" si="318"/>
        <v>2306.25</v>
      </c>
      <c r="AE502" s="136">
        <f t="shared" si="318"/>
        <v>2615.25</v>
      </c>
      <c r="AF502" s="136">
        <f t="shared" si="318"/>
        <v>2680.5</v>
      </c>
      <c r="AG502" s="136">
        <f t="shared" si="318"/>
        <v>2742.75</v>
      </c>
      <c r="AH502" s="136">
        <f t="shared" si="318"/>
        <v>2853</v>
      </c>
      <c r="AI502" s="136">
        <f t="shared" si="318"/>
        <v>3192.75</v>
      </c>
      <c r="AJ502" s="136">
        <f t="shared" si="318"/>
        <v>2446.5</v>
      </c>
      <c r="AK502" s="136">
        <f t="shared" si="318"/>
        <v>2505.75</v>
      </c>
      <c r="AL502" s="136">
        <f t="shared" si="318"/>
        <v>2541.75</v>
      </c>
      <c r="AM502" s="136">
        <f t="shared" si="318"/>
        <v>2855.25</v>
      </c>
      <c r="AN502" s="136">
        <f t="shared" si="318"/>
        <v>2988.75</v>
      </c>
      <c r="AO502" s="136">
        <f t="shared" si="318"/>
        <v>3080.25</v>
      </c>
      <c r="AP502" s="136">
        <f t="shared" si="318"/>
        <v>2306.25</v>
      </c>
      <c r="AQ502" s="136">
        <f t="shared" si="318"/>
        <v>2615.25</v>
      </c>
      <c r="AR502" s="136">
        <f t="shared" si="318"/>
        <v>2680.5</v>
      </c>
      <c r="AS502" s="136">
        <f t="shared" si="318"/>
        <v>3061.5</v>
      </c>
      <c r="AT502" s="136">
        <f t="shared" si="318"/>
        <v>2995.5</v>
      </c>
      <c r="AU502" s="136">
        <f t="shared" si="318"/>
        <v>3151.5</v>
      </c>
      <c r="AV502" s="136">
        <f t="shared" si="318"/>
        <v>3116.25</v>
      </c>
      <c r="AW502" s="136">
        <f t="shared" si="318"/>
        <v>2742.75</v>
      </c>
      <c r="AX502" s="136">
        <f t="shared" si="318"/>
        <v>2862</v>
      </c>
      <c r="AY502" s="136">
        <f t="shared" si="318"/>
        <v>3210.75</v>
      </c>
      <c r="AZ502" s="136">
        <f t="shared" si="318"/>
        <v>2397</v>
      </c>
      <c r="BA502" s="136">
        <f t="shared" si="318"/>
        <v>2505.75</v>
      </c>
      <c r="BB502" s="136">
        <f t="shared" si="318"/>
        <v>2541.75</v>
      </c>
      <c r="BC502" s="1">
        <f>SUM(BC494:BC501)</f>
        <v>143655.75</v>
      </c>
    </row>
    <row r="503" spans="2:55" x14ac:dyDescent="0.25">
      <c r="B503" s="61" t="s">
        <v>438</v>
      </c>
      <c r="C503" s="104">
        <v>1</v>
      </c>
      <c r="D503" s="104">
        <f>C503+1</f>
        <v>2</v>
      </c>
      <c r="E503" s="104">
        <f t="shared" ref="E503" si="319">D503+1</f>
        <v>3</v>
      </c>
      <c r="F503" s="104">
        <f t="shared" ref="F503" si="320">E503+1</f>
        <v>4</v>
      </c>
      <c r="G503" s="104">
        <f t="shared" ref="G503" si="321">F503+1</f>
        <v>5</v>
      </c>
      <c r="H503" s="104">
        <f t="shared" ref="H503" si="322">G503+1</f>
        <v>6</v>
      </c>
      <c r="I503" s="104">
        <f t="shared" ref="I503" si="323">H503+1</f>
        <v>7</v>
      </c>
      <c r="J503" s="104">
        <f t="shared" ref="J503" si="324">I503+1</f>
        <v>8</v>
      </c>
      <c r="K503" s="104">
        <f t="shared" ref="K503" si="325">J503+1</f>
        <v>9</v>
      </c>
      <c r="L503" s="104">
        <f t="shared" ref="L503" si="326">K503+1</f>
        <v>10</v>
      </c>
      <c r="M503" s="104">
        <f t="shared" ref="M503" si="327">L503+1</f>
        <v>11</v>
      </c>
      <c r="N503" s="104">
        <f t="shared" ref="N503" si="328">M503+1</f>
        <v>12</v>
      </c>
      <c r="O503" s="104">
        <f t="shared" ref="O503" si="329">N503+1</f>
        <v>13</v>
      </c>
      <c r="P503" s="104">
        <f t="shared" ref="P503" si="330">O503+1</f>
        <v>14</v>
      </c>
      <c r="Q503" s="104">
        <f t="shared" ref="Q503" si="331">P503+1</f>
        <v>15</v>
      </c>
      <c r="R503" s="104">
        <f t="shared" ref="R503" si="332">Q503+1</f>
        <v>16</v>
      </c>
      <c r="S503" s="104">
        <f t="shared" ref="S503" si="333">R503+1</f>
        <v>17</v>
      </c>
      <c r="T503" s="104">
        <f t="shared" ref="T503" si="334">S503+1</f>
        <v>18</v>
      </c>
      <c r="U503" s="104">
        <f t="shared" ref="U503" si="335">T503+1</f>
        <v>19</v>
      </c>
      <c r="V503" s="104">
        <f t="shared" ref="V503" si="336">U503+1</f>
        <v>20</v>
      </c>
      <c r="W503" s="104">
        <f t="shared" ref="W503" si="337">V503+1</f>
        <v>21</v>
      </c>
      <c r="X503" s="104">
        <f t="shared" ref="X503" si="338">W503+1</f>
        <v>22</v>
      </c>
      <c r="Y503" s="104">
        <f t="shared" ref="Y503" si="339">X503+1</f>
        <v>23</v>
      </c>
      <c r="Z503" s="104">
        <f t="shared" ref="Z503" si="340">Y503+1</f>
        <v>24</v>
      </c>
      <c r="AA503" s="104">
        <f>Z503+1</f>
        <v>25</v>
      </c>
      <c r="AB503" s="104">
        <f t="shared" ref="AB503" si="341">AA503+1</f>
        <v>26</v>
      </c>
      <c r="AC503" s="104">
        <f t="shared" ref="AC503" si="342">AB503+1</f>
        <v>27</v>
      </c>
      <c r="AD503" s="104">
        <f t="shared" ref="AD503" si="343">AC503+1</f>
        <v>28</v>
      </c>
      <c r="AE503" s="104">
        <f t="shared" ref="AE503" si="344">AD503+1</f>
        <v>29</v>
      </c>
      <c r="AF503" s="104">
        <f t="shared" ref="AF503" si="345">AE503+1</f>
        <v>30</v>
      </c>
      <c r="AG503" s="104">
        <f t="shared" ref="AG503" si="346">AF503+1</f>
        <v>31</v>
      </c>
      <c r="AH503" s="104">
        <f t="shared" ref="AH503" si="347">AG503+1</f>
        <v>32</v>
      </c>
      <c r="AI503" s="104">
        <f t="shared" ref="AI503" si="348">AH503+1</f>
        <v>33</v>
      </c>
      <c r="AJ503" s="104">
        <f t="shared" ref="AJ503" si="349">AI503+1</f>
        <v>34</v>
      </c>
      <c r="AK503" s="104">
        <f t="shared" ref="AK503" si="350">AJ503+1</f>
        <v>35</v>
      </c>
      <c r="AL503" s="104">
        <f t="shared" ref="AL503" si="351">AK503+1</f>
        <v>36</v>
      </c>
      <c r="AM503" s="104">
        <f t="shared" ref="AM503" si="352">AL503+1</f>
        <v>37</v>
      </c>
      <c r="AN503" s="104">
        <f t="shared" ref="AN503" si="353">AM503+1</f>
        <v>38</v>
      </c>
      <c r="AO503" s="104">
        <f t="shared" ref="AO503" si="354">AN503+1</f>
        <v>39</v>
      </c>
      <c r="AP503" s="104">
        <f t="shared" ref="AP503" si="355">AO503+1</f>
        <v>40</v>
      </c>
      <c r="AQ503" s="104">
        <f t="shared" ref="AQ503" si="356">AP503+1</f>
        <v>41</v>
      </c>
      <c r="AR503" s="104">
        <f t="shared" ref="AR503" si="357">AQ503+1</f>
        <v>42</v>
      </c>
      <c r="AS503" s="104">
        <f t="shared" ref="AS503" si="358">AR503+1</f>
        <v>43</v>
      </c>
      <c r="AT503" s="104">
        <f t="shared" ref="AT503" si="359">AS503+1</f>
        <v>44</v>
      </c>
      <c r="AU503" s="104">
        <f t="shared" ref="AU503" si="360">AT503+1</f>
        <v>45</v>
      </c>
      <c r="AV503" s="104">
        <f t="shared" ref="AV503" si="361">AU503+1</f>
        <v>46</v>
      </c>
      <c r="AW503" s="104">
        <f t="shared" ref="AW503" si="362">AV503+1</f>
        <v>47</v>
      </c>
      <c r="AX503" s="104">
        <f t="shared" ref="AX503" si="363">AW503+1</f>
        <v>48</v>
      </c>
      <c r="AY503" s="104">
        <f t="shared" ref="AY503" si="364">AX503+1</f>
        <v>49</v>
      </c>
      <c r="AZ503" s="104">
        <f t="shared" ref="AZ503" si="365">AY503+1</f>
        <v>50</v>
      </c>
      <c r="BA503" s="104">
        <f t="shared" ref="BA503" si="366">AZ503+1</f>
        <v>51</v>
      </c>
      <c r="BB503" s="104">
        <f t="shared" ref="BB503" si="367">BA503+1</f>
        <v>52</v>
      </c>
    </row>
    <row r="504" spans="2:55" x14ac:dyDescent="0.25">
      <c r="B504" s="19" t="s">
        <v>171</v>
      </c>
      <c r="C504" s="19">
        <f t="shared" ref="C504:AH504" si="368">D3/$BD3*$AH300</f>
        <v>1912.5</v>
      </c>
      <c r="D504" s="19">
        <f t="shared" si="368"/>
        <v>0</v>
      </c>
      <c r="E504" s="19">
        <f t="shared" si="368"/>
        <v>1062.5</v>
      </c>
      <c r="F504" s="19">
        <f t="shared" si="368"/>
        <v>0</v>
      </c>
      <c r="G504" s="19">
        <f t="shared" si="368"/>
        <v>1912.5</v>
      </c>
      <c r="H504" s="19">
        <f t="shared" si="368"/>
        <v>0</v>
      </c>
      <c r="I504" s="19">
        <f t="shared" si="368"/>
        <v>0</v>
      </c>
      <c r="J504" s="19">
        <f t="shared" si="368"/>
        <v>0</v>
      </c>
      <c r="K504" s="19">
        <f t="shared" si="368"/>
        <v>1912.5</v>
      </c>
      <c r="L504" s="19">
        <f t="shared" si="368"/>
        <v>0</v>
      </c>
      <c r="M504" s="19">
        <f t="shared" si="368"/>
        <v>0</v>
      </c>
      <c r="N504" s="19">
        <f t="shared" si="368"/>
        <v>0</v>
      </c>
      <c r="O504" s="19">
        <f t="shared" si="368"/>
        <v>1912.5</v>
      </c>
      <c r="P504" s="19">
        <f t="shared" si="368"/>
        <v>637.5</v>
      </c>
      <c r="Q504" s="19">
        <f t="shared" si="368"/>
        <v>0</v>
      </c>
      <c r="R504" s="19">
        <f t="shared" si="368"/>
        <v>0</v>
      </c>
      <c r="S504" s="19">
        <f t="shared" si="368"/>
        <v>1912.5</v>
      </c>
      <c r="T504" s="19">
        <f t="shared" si="368"/>
        <v>0</v>
      </c>
      <c r="U504" s="19">
        <f t="shared" si="368"/>
        <v>0</v>
      </c>
      <c r="V504" s="19">
        <f t="shared" si="368"/>
        <v>637.5</v>
      </c>
      <c r="W504" s="19">
        <f t="shared" si="368"/>
        <v>1912.5</v>
      </c>
      <c r="X504" s="19">
        <f t="shared" si="368"/>
        <v>0</v>
      </c>
      <c r="Y504" s="19">
        <f t="shared" si="368"/>
        <v>0</v>
      </c>
      <c r="Z504" s="19">
        <f t="shared" si="368"/>
        <v>0</v>
      </c>
      <c r="AA504" s="19">
        <f t="shared" si="368"/>
        <v>1912.5</v>
      </c>
      <c r="AB504" s="19">
        <f t="shared" si="368"/>
        <v>0</v>
      </c>
      <c r="AC504" s="19">
        <f t="shared" si="368"/>
        <v>1275</v>
      </c>
      <c r="AD504" s="19">
        <f t="shared" si="368"/>
        <v>0</v>
      </c>
      <c r="AE504" s="19">
        <f t="shared" si="368"/>
        <v>1912.5</v>
      </c>
      <c r="AF504" s="19">
        <f t="shared" si="368"/>
        <v>0</v>
      </c>
      <c r="AG504" s="19">
        <f t="shared" si="368"/>
        <v>0</v>
      </c>
      <c r="AH504" s="19">
        <f t="shared" si="368"/>
        <v>637.5</v>
      </c>
      <c r="AI504" s="19">
        <f t="shared" ref="AI504:BB504" si="369">AJ3/$BD3*$AH300</f>
        <v>1912.5</v>
      </c>
      <c r="AJ504" s="19">
        <f t="shared" si="369"/>
        <v>0</v>
      </c>
      <c r="AK504" s="19">
        <f t="shared" si="369"/>
        <v>0</v>
      </c>
      <c r="AL504" s="19">
        <f t="shared" si="369"/>
        <v>0</v>
      </c>
      <c r="AM504" s="19">
        <f t="shared" si="369"/>
        <v>1912.5</v>
      </c>
      <c r="AN504" s="19">
        <f t="shared" si="369"/>
        <v>637.5</v>
      </c>
      <c r="AO504" s="19">
        <f t="shared" si="369"/>
        <v>0</v>
      </c>
      <c r="AP504" s="19">
        <f t="shared" si="369"/>
        <v>0</v>
      </c>
      <c r="AQ504" s="19">
        <f t="shared" si="369"/>
        <v>1912.5</v>
      </c>
      <c r="AR504" s="19">
        <f t="shared" si="369"/>
        <v>0</v>
      </c>
      <c r="AS504" s="19">
        <f t="shared" si="369"/>
        <v>1062.5</v>
      </c>
      <c r="AT504" s="19">
        <f t="shared" si="369"/>
        <v>0</v>
      </c>
      <c r="AU504" s="19">
        <f t="shared" si="369"/>
        <v>1912.5</v>
      </c>
      <c r="AV504" s="19">
        <f t="shared" si="369"/>
        <v>1062.5</v>
      </c>
      <c r="AW504" s="19">
        <f t="shared" si="369"/>
        <v>0</v>
      </c>
      <c r="AX504" s="19">
        <f t="shared" si="369"/>
        <v>0</v>
      </c>
      <c r="AY504" s="19">
        <f t="shared" si="369"/>
        <v>1912.5</v>
      </c>
      <c r="AZ504" s="19">
        <f t="shared" si="369"/>
        <v>0</v>
      </c>
      <c r="BA504" s="19">
        <f t="shared" si="369"/>
        <v>0</v>
      </c>
      <c r="BB504" s="19">
        <f t="shared" si="369"/>
        <v>0</v>
      </c>
      <c r="BC504" s="129">
        <f>SUM(C504:BB504)</f>
        <v>31875</v>
      </c>
    </row>
    <row r="505" spans="2:55" x14ac:dyDescent="0.25">
      <c r="B505" s="19" t="s">
        <v>172</v>
      </c>
      <c r="C505" s="19">
        <f t="shared" ref="C505:AH505" si="370">D4/$BD4*$AH301</f>
        <v>1780</v>
      </c>
      <c r="D505" s="19">
        <f t="shared" si="370"/>
        <v>2002.5</v>
      </c>
      <c r="E505" s="19">
        <f t="shared" si="370"/>
        <v>0</v>
      </c>
      <c r="F505" s="19">
        <f t="shared" si="370"/>
        <v>1335</v>
      </c>
      <c r="G505" s="19">
        <f t="shared" si="370"/>
        <v>1780</v>
      </c>
      <c r="H505" s="19">
        <f t="shared" si="370"/>
        <v>2002.5</v>
      </c>
      <c r="I505" s="19">
        <f t="shared" si="370"/>
        <v>0</v>
      </c>
      <c r="J505" s="19">
        <f t="shared" si="370"/>
        <v>667.5</v>
      </c>
      <c r="K505" s="19">
        <f t="shared" si="370"/>
        <v>1780</v>
      </c>
      <c r="L505" s="19">
        <f t="shared" si="370"/>
        <v>2002.5</v>
      </c>
      <c r="M505" s="19">
        <f t="shared" si="370"/>
        <v>0</v>
      </c>
      <c r="N505" s="19">
        <f t="shared" si="370"/>
        <v>0</v>
      </c>
      <c r="O505" s="19">
        <f t="shared" si="370"/>
        <v>1780</v>
      </c>
      <c r="P505" s="19">
        <f t="shared" si="370"/>
        <v>2002.5</v>
      </c>
      <c r="Q505" s="19">
        <f t="shared" si="370"/>
        <v>0</v>
      </c>
      <c r="R505" s="19">
        <f t="shared" si="370"/>
        <v>0</v>
      </c>
      <c r="S505" s="19">
        <f t="shared" si="370"/>
        <v>1780</v>
      </c>
      <c r="T505" s="19">
        <f t="shared" si="370"/>
        <v>2002.5</v>
      </c>
      <c r="U505" s="19">
        <f t="shared" si="370"/>
        <v>0</v>
      </c>
      <c r="V505" s="19">
        <f t="shared" si="370"/>
        <v>0</v>
      </c>
      <c r="W505" s="19">
        <f t="shared" si="370"/>
        <v>1780</v>
      </c>
      <c r="X505" s="19">
        <f t="shared" si="370"/>
        <v>2002.5</v>
      </c>
      <c r="Y505" s="19">
        <f t="shared" si="370"/>
        <v>0</v>
      </c>
      <c r="Z505" s="19">
        <f t="shared" si="370"/>
        <v>0</v>
      </c>
      <c r="AA505" s="19">
        <f t="shared" si="370"/>
        <v>1780</v>
      </c>
      <c r="AB505" s="19">
        <f t="shared" si="370"/>
        <v>2002.5</v>
      </c>
      <c r="AC505" s="19">
        <f t="shared" si="370"/>
        <v>0</v>
      </c>
      <c r="AD505" s="19">
        <f t="shared" si="370"/>
        <v>0</v>
      </c>
      <c r="AE505" s="19">
        <f t="shared" si="370"/>
        <v>1780</v>
      </c>
      <c r="AF505" s="19">
        <f t="shared" si="370"/>
        <v>2002.5</v>
      </c>
      <c r="AG505" s="19">
        <f t="shared" si="370"/>
        <v>0</v>
      </c>
      <c r="AH505" s="19">
        <f t="shared" si="370"/>
        <v>0</v>
      </c>
      <c r="AI505" s="19">
        <f t="shared" ref="AI505:BB505" si="371">AJ4/$BD4*$AH301</f>
        <v>1780</v>
      </c>
      <c r="AJ505" s="19">
        <f t="shared" si="371"/>
        <v>2002.5</v>
      </c>
      <c r="AK505" s="19">
        <f t="shared" si="371"/>
        <v>0</v>
      </c>
      <c r="AL505" s="19">
        <f t="shared" si="371"/>
        <v>0</v>
      </c>
      <c r="AM505" s="19">
        <f t="shared" si="371"/>
        <v>1780</v>
      </c>
      <c r="AN505" s="19">
        <f t="shared" si="371"/>
        <v>2002.5</v>
      </c>
      <c r="AO505" s="19">
        <f t="shared" si="371"/>
        <v>0</v>
      </c>
      <c r="AP505" s="19">
        <f t="shared" si="371"/>
        <v>0</v>
      </c>
      <c r="AQ505" s="19">
        <f t="shared" si="371"/>
        <v>1780</v>
      </c>
      <c r="AR505" s="19">
        <f t="shared" si="371"/>
        <v>2002.5</v>
      </c>
      <c r="AS505" s="19">
        <f t="shared" si="371"/>
        <v>0</v>
      </c>
      <c r="AT505" s="19">
        <f t="shared" si="371"/>
        <v>1112.5</v>
      </c>
      <c r="AU505" s="19">
        <f t="shared" si="371"/>
        <v>1780</v>
      </c>
      <c r="AV505" s="19">
        <f t="shared" si="371"/>
        <v>2002.5</v>
      </c>
      <c r="AW505" s="19">
        <f t="shared" si="371"/>
        <v>0</v>
      </c>
      <c r="AX505" s="19">
        <f t="shared" si="371"/>
        <v>667.5</v>
      </c>
      <c r="AY505" s="19">
        <f t="shared" si="371"/>
        <v>1780</v>
      </c>
      <c r="AZ505" s="19">
        <f t="shared" si="371"/>
        <v>667.5</v>
      </c>
      <c r="BA505" s="19">
        <f t="shared" si="371"/>
        <v>0</v>
      </c>
      <c r="BB505" s="19">
        <f t="shared" si="371"/>
        <v>0</v>
      </c>
      <c r="BC505" s="129">
        <f t="shared" ref="BC505:BC511" si="372">SUM(C505:BB505)</f>
        <v>51620</v>
      </c>
    </row>
    <row r="506" spans="2:55" x14ac:dyDescent="0.25">
      <c r="B506" s="19" t="s">
        <v>173</v>
      </c>
      <c r="C506" s="19">
        <f t="shared" ref="C506:AH506" si="373">D5/$BD5*$AH302</f>
        <v>2250</v>
      </c>
      <c r="D506" s="19">
        <f t="shared" si="373"/>
        <v>1800</v>
      </c>
      <c r="E506" s="19">
        <f t="shared" si="373"/>
        <v>2025</v>
      </c>
      <c r="F506" s="19">
        <f t="shared" si="373"/>
        <v>0</v>
      </c>
      <c r="G506" s="19">
        <f t="shared" si="373"/>
        <v>2250</v>
      </c>
      <c r="H506" s="19">
        <f t="shared" si="373"/>
        <v>1800</v>
      </c>
      <c r="I506" s="19">
        <f t="shared" si="373"/>
        <v>2025</v>
      </c>
      <c r="J506" s="19">
        <f t="shared" si="373"/>
        <v>0</v>
      </c>
      <c r="K506" s="19">
        <f t="shared" si="373"/>
        <v>2250</v>
      </c>
      <c r="L506" s="19">
        <f t="shared" si="373"/>
        <v>1800</v>
      </c>
      <c r="M506" s="19">
        <f t="shared" si="373"/>
        <v>2025</v>
      </c>
      <c r="N506" s="19">
        <f t="shared" si="373"/>
        <v>0</v>
      </c>
      <c r="O506" s="19">
        <f t="shared" si="373"/>
        <v>2250</v>
      </c>
      <c r="P506" s="19">
        <f t="shared" si="373"/>
        <v>1800</v>
      </c>
      <c r="Q506" s="19">
        <f t="shared" si="373"/>
        <v>2025</v>
      </c>
      <c r="R506" s="19">
        <f t="shared" si="373"/>
        <v>0</v>
      </c>
      <c r="S506" s="19">
        <f t="shared" si="373"/>
        <v>2250</v>
      </c>
      <c r="T506" s="19">
        <f t="shared" si="373"/>
        <v>1800</v>
      </c>
      <c r="U506" s="19">
        <f t="shared" si="373"/>
        <v>2025</v>
      </c>
      <c r="V506" s="19">
        <f t="shared" si="373"/>
        <v>0</v>
      </c>
      <c r="W506" s="19">
        <f t="shared" si="373"/>
        <v>2250</v>
      </c>
      <c r="X506" s="19">
        <f t="shared" si="373"/>
        <v>1800</v>
      </c>
      <c r="Y506" s="19">
        <f t="shared" si="373"/>
        <v>2025</v>
      </c>
      <c r="Z506" s="19">
        <f t="shared" si="373"/>
        <v>0</v>
      </c>
      <c r="AA506" s="19">
        <f t="shared" si="373"/>
        <v>2250</v>
      </c>
      <c r="AB506" s="19">
        <f t="shared" si="373"/>
        <v>1800</v>
      </c>
      <c r="AC506" s="19">
        <f t="shared" si="373"/>
        <v>2025</v>
      </c>
      <c r="AD506" s="19">
        <f t="shared" si="373"/>
        <v>0</v>
      </c>
      <c r="AE506" s="19">
        <f t="shared" si="373"/>
        <v>2250</v>
      </c>
      <c r="AF506" s="19">
        <f t="shared" si="373"/>
        <v>1800</v>
      </c>
      <c r="AG506" s="19">
        <f t="shared" si="373"/>
        <v>2025</v>
      </c>
      <c r="AH506" s="19">
        <f t="shared" si="373"/>
        <v>0</v>
      </c>
      <c r="AI506" s="19">
        <f t="shared" ref="AI506:BB506" si="374">AJ5/$BD5*$AH302</f>
        <v>2250</v>
      </c>
      <c r="AJ506" s="19">
        <f t="shared" si="374"/>
        <v>1800</v>
      </c>
      <c r="AK506" s="19">
        <f t="shared" si="374"/>
        <v>2025</v>
      </c>
      <c r="AL506" s="19">
        <f t="shared" si="374"/>
        <v>0</v>
      </c>
      <c r="AM506" s="19">
        <f t="shared" si="374"/>
        <v>2250</v>
      </c>
      <c r="AN506" s="19">
        <f t="shared" si="374"/>
        <v>1800</v>
      </c>
      <c r="AO506" s="19">
        <f t="shared" si="374"/>
        <v>2025</v>
      </c>
      <c r="AP506" s="19">
        <f t="shared" si="374"/>
        <v>0</v>
      </c>
      <c r="AQ506" s="19">
        <f t="shared" si="374"/>
        <v>2250</v>
      </c>
      <c r="AR506" s="19">
        <f t="shared" si="374"/>
        <v>1800</v>
      </c>
      <c r="AS506" s="19">
        <f t="shared" si="374"/>
        <v>2025</v>
      </c>
      <c r="AT506" s="19">
        <f t="shared" si="374"/>
        <v>0</v>
      </c>
      <c r="AU506" s="19">
        <f t="shared" si="374"/>
        <v>2250</v>
      </c>
      <c r="AV506" s="19">
        <f t="shared" si="374"/>
        <v>1800</v>
      </c>
      <c r="AW506" s="19">
        <f t="shared" si="374"/>
        <v>2025</v>
      </c>
      <c r="AX506" s="19">
        <f t="shared" si="374"/>
        <v>0</v>
      </c>
      <c r="AY506" s="19">
        <f t="shared" si="374"/>
        <v>2250</v>
      </c>
      <c r="AZ506" s="19">
        <f t="shared" si="374"/>
        <v>1800</v>
      </c>
      <c r="BA506" s="19">
        <f t="shared" si="374"/>
        <v>2025</v>
      </c>
      <c r="BB506" s="19">
        <f t="shared" si="374"/>
        <v>0</v>
      </c>
      <c r="BC506" s="129">
        <f t="shared" si="372"/>
        <v>78975</v>
      </c>
    </row>
    <row r="507" spans="2:55" x14ac:dyDescent="0.25">
      <c r="B507" s="19" t="s">
        <v>174</v>
      </c>
      <c r="C507" s="19">
        <f t="shared" ref="C507:AH507" si="375">D6/$BD6*$AH303</f>
        <v>2600</v>
      </c>
      <c r="D507" s="19">
        <f t="shared" si="375"/>
        <v>2000</v>
      </c>
      <c r="E507" s="19">
        <f t="shared" si="375"/>
        <v>1600</v>
      </c>
      <c r="F507" s="19">
        <f t="shared" si="375"/>
        <v>1800.0000000000002</v>
      </c>
      <c r="G507" s="19">
        <f t="shared" si="375"/>
        <v>1800.0000000000002</v>
      </c>
      <c r="H507" s="19">
        <f t="shared" si="375"/>
        <v>2000</v>
      </c>
      <c r="I507" s="19">
        <f t="shared" si="375"/>
        <v>1600</v>
      </c>
      <c r="J507" s="19">
        <f t="shared" si="375"/>
        <v>1800.0000000000002</v>
      </c>
      <c r="K507" s="19">
        <f t="shared" si="375"/>
        <v>2600</v>
      </c>
      <c r="L507" s="19">
        <f t="shared" si="375"/>
        <v>2000</v>
      </c>
      <c r="M507" s="19">
        <f t="shared" si="375"/>
        <v>1600</v>
      </c>
      <c r="N507" s="19">
        <f t="shared" si="375"/>
        <v>1800.0000000000002</v>
      </c>
      <c r="O507" s="19">
        <f t="shared" si="375"/>
        <v>2600</v>
      </c>
      <c r="P507" s="19">
        <f t="shared" si="375"/>
        <v>2000</v>
      </c>
      <c r="Q507" s="19">
        <f t="shared" si="375"/>
        <v>1600</v>
      </c>
      <c r="R507" s="19">
        <f t="shared" si="375"/>
        <v>1800.0000000000002</v>
      </c>
      <c r="S507" s="19">
        <f t="shared" si="375"/>
        <v>1800.0000000000002</v>
      </c>
      <c r="T507" s="19">
        <f t="shared" si="375"/>
        <v>1600</v>
      </c>
      <c r="U507" s="19">
        <f t="shared" si="375"/>
        <v>1600</v>
      </c>
      <c r="V507" s="19">
        <f t="shared" si="375"/>
        <v>1800.0000000000002</v>
      </c>
      <c r="W507" s="19">
        <f t="shared" si="375"/>
        <v>2600</v>
      </c>
      <c r="X507" s="19">
        <f t="shared" si="375"/>
        <v>2000</v>
      </c>
      <c r="Y507" s="19">
        <f t="shared" si="375"/>
        <v>1600</v>
      </c>
      <c r="Z507" s="19">
        <f t="shared" si="375"/>
        <v>1400</v>
      </c>
      <c r="AA507" s="19">
        <f t="shared" si="375"/>
        <v>2600</v>
      </c>
      <c r="AB507" s="19">
        <f t="shared" si="375"/>
        <v>2000</v>
      </c>
      <c r="AC507" s="19">
        <f t="shared" si="375"/>
        <v>1600</v>
      </c>
      <c r="AD507" s="19">
        <f t="shared" si="375"/>
        <v>1800.0000000000002</v>
      </c>
      <c r="AE507" s="19">
        <f t="shared" si="375"/>
        <v>1800.0000000000002</v>
      </c>
      <c r="AF507" s="19">
        <f t="shared" si="375"/>
        <v>2000</v>
      </c>
      <c r="AG507" s="19">
        <f t="shared" si="375"/>
        <v>1600</v>
      </c>
      <c r="AH507" s="19">
        <f t="shared" si="375"/>
        <v>1800.0000000000002</v>
      </c>
      <c r="AI507" s="19">
        <f t="shared" ref="AI507:BB507" si="376">AJ6/$BD6*$AH303</f>
        <v>2600</v>
      </c>
      <c r="AJ507" s="19">
        <f t="shared" si="376"/>
        <v>2000</v>
      </c>
      <c r="AK507" s="19">
        <f t="shared" si="376"/>
        <v>1600</v>
      </c>
      <c r="AL507" s="19">
        <f t="shared" si="376"/>
        <v>1400</v>
      </c>
      <c r="AM507" s="19">
        <f t="shared" si="376"/>
        <v>2600</v>
      </c>
      <c r="AN507" s="19">
        <f t="shared" si="376"/>
        <v>2000</v>
      </c>
      <c r="AO507" s="19">
        <f t="shared" si="376"/>
        <v>1600</v>
      </c>
      <c r="AP507" s="19">
        <f t="shared" si="376"/>
        <v>1800.0000000000002</v>
      </c>
      <c r="AQ507" s="19">
        <f t="shared" si="376"/>
        <v>1800.0000000000002</v>
      </c>
      <c r="AR507" s="19">
        <f t="shared" si="376"/>
        <v>2000</v>
      </c>
      <c r="AS507" s="19">
        <f t="shared" si="376"/>
        <v>1600</v>
      </c>
      <c r="AT507" s="19">
        <f t="shared" si="376"/>
        <v>1800.0000000000002</v>
      </c>
      <c r="AU507" s="19">
        <f t="shared" si="376"/>
        <v>2600</v>
      </c>
      <c r="AV507" s="19">
        <f t="shared" si="376"/>
        <v>2000</v>
      </c>
      <c r="AW507" s="19">
        <f t="shared" si="376"/>
        <v>1600</v>
      </c>
      <c r="AX507" s="19">
        <f t="shared" si="376"/>
        <v>1800.0000000000002</v>
      </c>
      <c r="AY507" s="19">
        <f t="shared" si="376"/>
        <v>2600</v>
      </c>
      <c r="AZ507" s="19">
        <f t="shared" si="376"/>
        <v>2000</v>
      </c>
      <c r="BA507" s="19">
        <f t="shared" si="376"/>
        <v>1600</v>
      </c>
      <c r="BB507" s="19">
        <f t="shared" si="376"/>
        <v>1400</v>
      </c>
      <c r="BC507" s="129">
        <f t="shared" si="372"/>
        <v>99200</v>
      </c>
    </row>
    <row r="508" spans="2:55" x14ac:dyDescent="0.25">
      <c r="B508" s="19" t="s">
        <v>175</v>
      </c>
      <c r="C508" s="19">
        <f t="shared" ref="C508:AH508" si="377">D7/$BD7*$AH304</f>
        <v>975</v>
      </c>
      <c r="D508" s="19">
        <f t="shared" si="377"/>
        <v>2535</v>
      </c>
      <c r="E508" s="19">
        <f t="shared" si="377"/>
        <v>1950</v>
      </c>
      <c r="F508" s="19">
        <f t="shared" si="377"/>
        <v>1560</v>
      </c>
      <c r="G508" s="19">
        <f t="shared" si="377"/>
        <v>975</v>
      </c>
      <c r="H508" s="19">
        <f t="shared" si="377"/>
        <v>2145</v>
      </c>
      <c r="I508" s="19">
        <f t="shared" si="377"/>
        <v>1950</v>
      </c>
      <c r="J508" s="19">
        <f t="shared" si="377"/>
        <v>1560</v>
      </c>
      <c r="K508" s="19">
        <f t="shared" si="377"/>
        <v>975</v>
      </c>
      <c r="L508" s="19">
        <f t="shared" si="377"/>
        <v>1364.9999999999998</v>
      </c>
      <c r="M508" s="19">
        <f t="shared" si="377"/>
        <v>1170</v>
      </c>
      <c r="N508" s="19">
        <f t="shared" si="377"/>
        <v>1560</v>
      </c>
      <c r="O508" s="19">
        <f t="shared" si="377"/>
        <v>975</v>
      </c>
      <c r="P508" s="19">
        <f t="shared" si="377"/>
        <v>2535</v>
      </c>
      <c r="Q508" s="19">
        <f t="shared" si="377"/>
        <v>1950</v>
      </c>
      <c r="R508" s="19">
        <f t="shared" si="377"/>
        <v>1560</v>
      </c>
      <c r="S508" s="19">
        <f t="shared" si="377"/>
        <v>975</v>
      </c>
      <c r="T508" s="19">
        <f t="shared" si="377"/>
        <v>2535</v>
      </c>
      <c r="U508" s="19">
        <f t="shared" si="377"/>
        <v>1950</v>
      </c>
      <c r="V508" s="19">
        <f t="shared" si="377"/>
        <v>1560</v>
      </c>
      <c r="W508" s="19">
        <f t="shared" si="377"/>
        <v>975</v>
      </c>
      <c r="X508" s="19">
        <f t="shared" si="377"/>
        <v>1364.9999999999998</v>
      </c>
      <c r="Y508" s="19">
        <f t="shared" si="377"/>
        <v>1950</v>
      </c>
      <c r="Z508" s="19">
        <f t="shared" si="377"/>
        <v>1560</v>
      </c>
      <c r="AA508" s="19">
        <f t="shared" si="377"/>
        <v>975</v>
      </c>
      <c r="AB508" s="19">
        <f t="shared" si="377"/>
        <v>2535</v>
      </c>
      <c r="AC508" s="19">
        <f t="shared" si="377"/>
        <v>1950</v>
      </c>
      <c r="AD508" s="19">
        <f t="shared" si="377"/>
        <v>1560</v>
      </c>
      <c r="AE508" s="19">
        <f t="shared" si="377"/>
        <v>975</v>
      </c>
      <c r="AF508" s="19">
        <f t="shared" si="377"/>
        <v>2145</v>
      </c>
      <c r="AG508" s="19">
        <f t="shared" si="377"/>
        <v>1950</v>
      </c>
      <c r="AH508" s="19">
        <f t="shared" si="377"/>
        <v>1560</v>
      </c>
      <c r="AI508" s="19">
        <f t="shared" ref="AI508:BB508" si="378">AJ7/$BD7*$AH304</f>
        <v>975</v>
      </c>
      <c r="AJ508" s="19">
        <f t="shared" si="378"/>
        <v>1364.9999999999998</v>
      </c>
      <c r="AK508" s="19">
        <f t="shared" si="378"/>
        <v>1950</v>
      </c>
      <c r="AL508" s="19">
        <f t="shared" si="378"/>
        <v>1560</v>
      </c>
      <c r="AM508" s="19">
        <f t="shared" si="378"/>
        <v>975</v>
      </c>
      <c r="AN508" s="19">
        <f t="shared" si="378"/>
        <v>2535</v>
      </c>
      <c r="AO508" s="19">
        <f t="shared" si="378"/>
        <v>1950</v>
      </c>
      <c r="AP508" s="19">
        <f t="shared" si="378"/>
        <v>1560</v>
      </c>
      <c r="AQ508" s="19">
        <f t="shared" si="378"/>
        <v>975</v>
      </c>
      <c r="AR508" s="19">
        <f t="shared" si="378"/>
        <v>2145</v>
      </c>
      <c r="AS508" s="19">
        <f t="shared" si="378"/>
        <v>1950</v>
      </c>
      <c r="AT508" s="19">
        <f t="shared" si="378"/>
        <v>1560</v>
      </c>
      <c r="AU508" s="19">
        <f t="shared" si="378"/>
        <v>975</v>
      </c>
      <c r="AV508" s="19">
        <f t="shared" si="378"/>
        <v>2535</v>
      </c>
      <c r="AW508" s="19">
        <f t="shared" si="378"/>
        <v>1950</v>
      </c>
      <c r="AX508" s="19">
        <f t="shared" si="378"/>
        <v>1560</v>
      </c>
      <c r="AY508" s="19">
        <f t="shared" si="378"/>
        <v>975</v>
      </c>
      <c r="AZ508" s="19">
        <f t="shared" si="378"/>
        <v>2535</v>
      </c>
      <c r="BA508" s="19">
        <f t="shared" si="378"/>
        <v>1950</v>
      </c>
      <c r="BB508" s="19">
        <f t="shared" si="378"/>
        <v>1560</v>
      </c>
      <c r="BC508" s="129">
        <f t="shared" si="372"/>
        <v>85800</v>
      </c>
    </row>
    <row r="509" spans="2:55" x14ac:dyDescent="0.25">
      <c r="B509" s="19" t="s">
        <v>176</v>
      </c>
      <c r="C509" s="19">
        <f t="shared" ref="C509:AH509" si="379">D8/$BD8*$AH305</f>
        <v>0</v>
      </c>
      <c r="D509" s="19">
        <f t="shared" si="379"/>
        <v>987.5</v>
      </c>
      <c r="E509" s="19">
        <f t="shared" si="379"/>
        <v>2567.5</v>
      </c>
      <c r="F509" s="19">
        <f t="shared" si="379"/>
        <v>0</v>
      </c>
      <c r="G509" s="19">
        <f t="shared" si="379"/>
        <v>0</v>
      </c>
      <c r="H509" s="19">
        <f t="shared" si="379"/>
        <v>987.5</v>
      </c>
      <c r="I509" s="19">
        <f t="shared" si="379"/>
        <v>2567.5</v>
      </c>
      <c r="J509" s="19">
        <f t="shared" si="379"/>
        <v>1975</v>
      </c>
      <c r="K509" s="19">
        <f t="shared" si="379"/>
        <v>1185</v>
      </c>
      <c r="L509" s="19">
        <f t="shared" si="379"/>
        <v>987.5</v>
      </c>
      <c r="M509" s="19">
        <f t="shared" si="379"/>
        <v>2567.5</v>
      </c>
      <c r="N509" s="19">
        <f t="shared" si="379"/>
        <v>1975</v>
      </c>
      <c r="O509" s="19">
        <f t="shared" si="379"/>
        <v>0</v>
      </c>
      <c r="P509" s="19">
        <f t="shared" si="379"/>
        <v>987.5</v>
      </c>
      <c r="Q509" s="19">
        <f t="shared" si="379"/>
        <v>2567.5</v>
      </c>
      <c r="R509" s="19">
        <f t="shared" si="379"/>
        <v>1975</v>
      </c>
      <c r="S509" s="19">
        <f t="shared" si="379"/>
        <v>0</v>
      </c>
      <c r="T509" s="19">
        <f t="shared" si="379"/>
        <v>987.5</v>
      </c>
      <c r="U509" s="19">
        <f t="shared" si="379"/>
        <v>2567.5</v>
      </c>
      <c r="V509" s="19">
        <f t="shared" si="379"/>
        <v>1975</v>
      </c>
      <c r="W509" s="19">
        <f t="shared" si="379"/>
        <v>0</v>
      </c>
      <c r="X509" s="19">
        <f t="shared" si="379"/>
        <v>987.5</v>
      </c>
      <c r="Y509" s="19">
        <f t="shared" si="379"/>
        <v>1777.5</v>
      </c>
      <c r="Z509" s="19">
        <f t="shared" si="379"/>
        <v>1975</v>
      </c>
      <c r="AA509" s="19">
        <f t="shared" si="379"/>
        <v>0</v>
      </c>
      <c r="AB509" s="19">
        <f t="shared" si="379"/>
        <v>987.5</v>
      </c>
      <c r="AC509" s="19">
        <f t="shared" si="379"/>
        <v>2567.5</v>
      </c>
      <c r="AD509" s="19">
        <f t="shared" si="379"/>
        <v>790</v>
      </c>
      <c r="AE509" s="19">
        <f t="shared" si="379"/>
        <v>0</v>
      </c>
      <c r="AF509" s="19">
        <f t="shared" si="379"/>
        <v>987.5</v>
      </c>
      <c r="AG509" s="19">
        <f t="shared" si="379"/>
        <v>2567.5</v>
      </c>
      <c r="AH509" s="19">
        <f t="shared" si="379"/>
        <v>1975</v>
      </c>
      <c r="AI509" s="19">
        <f t="shared" ref="AI509:BB509" si="380">AJ8/$BD8*$AH305</f>
        <v>0</v>
      </c>
      <c r="AJ509" s="19">
        <f t="shared" si="380"/>
        <v>987.5</v>
      </c>
      <c r="AK509" s="19">
        <f t="shared" si="380"/>
        <v>1777.5</v>
      </c>
      <c r="AL509" s="19">
        <f t="shared" si="380"/>
        <v>1975</v>
      </c>
      <c r="AM509" s="19">
        <f t="shared" si="380"/>
        <v>0</v>
      </c>
      <c r="AN509" s="19">
        <f t="shared" si="380"/>
        <v>987.5</v>
      </c>
      <c r="AO509" s="19">
        <f t="shared" si="380"/>
        <v>2567.5</v>
      </c>
      <c r="AP509" s="19">
        <f t="shared" si="380"/>
        <v>790</v>
      </c>
      <c r="AQ509" s="19">
        <f t="shared" si="380"/>
        <v>0</v>
      </c>
      <c r="AR509" s="19">
        <f t="shared" si="380"/>
        <v>987.5</v>
      </c>
      <c r="AS509" s="19">
        <f t="shared" si="380"/>
        <v>2567.5</v>
      </c>
      <c r="AT509" s="19">
        <f t="shared" si="380"/>
        <v>1975</v>
      </c>
      <c r="AU509" s="19">
        <f t="shared" si="380"/>
        <v>987.5</v>
      </c>
      <c r="AV509" s="19">
        <f t="shared" si="380"/>
        <v>987.5</v>
      </c>
      <c r="AW509" s="19">
        <f t="shared" si="380"/>
        <v>2567.5</v>
      </c>
      <c r="AX509" s="19">
        <f t="shared" si="380"/>
        <v>1975</v>
      </c>
      <c r="AY509" s="19">
        <f t="shared" si="380"/>
        <v>1185</v>
      </c>
      <c r="AZ509" s="19">
        <f t="shared" si="380"/>
        <v>987.5</v>
      </c>
      <c r="BA509" s="19">
        <f t="shared" si="380"/>
        <v>1777.5</v>
      </c>
      <c r="BB509" s="19">
        <f t="shared" si="380"/>
        <v>1975</v>
      </c>
      <c r="BC509" s="129">
        <f t="shared" si="372"/>
        <v>68532.5</v>
      </c>
    </row>
    <row r="510" spans="2:55" x14ac:dyDescent="0.25">
      <c r="B510" s="19" t="s">
        <v>177</v>
      </c>
      <c r="C510" s="19">
        <f t="shared" ref="C510:AH510" si="381">D9/$BD9*$AH306</f>
        <v>0</v>
      </c>
      <c r="D510" s="19">
        <f t="shared" si="381"/>
        <v>600</v>
      </c>
      <c r="E510" s="19">
        <f t="shared" si="381"/>
        <v>1200</v>
      </c>
      <c r="F510" s="19">
        <f t="shared" si="381"/>
        <v>2200</v>
      </c>
      <c r="G510" s="19">
        <f t="shared" si="381"/>
        <v>0</v>
      </c>
      <c r="H510" s="19">
        <f t="shared" si="381"/>
        <v>0</v>
      </c>
      <c r="I510" s="19">
        <f t="shared" si="381"/>
        <v>1000</v>
      </c>
      <c r="J510" s="19">
        <f t="shared" si="381"/>
        <v>2600</v>
      </c>
      <c r="K510" s="19">
        <f t="shared" si="381"/>
        <v>0</v>
      </c>
      <c r="L510" s="19">
        <f t="shared" si="381"/>
        <v>0</v>
      </c>
      <c r="M510" s="19">
        <f t="shared" si="381"/>
        <v>1000</v>
      </c>
      <c r="N510" s="19">
        <f t="shared" si="381"/>
        <v>2200</v>
      </c>
      <c r="O510" s="19">
        <f t="shared" si="381"/>
        <v>0</v>
      </c>
      <c r="P510" s="19">
        <f t="shared" si="381"/>
        <v>0</v>
      </c>
      <c r="Q510" s="19">
        <f t="shared" si="381"/>
        <v>1000</v>
      </c>
      <c r="R510" s="19">
        <f t="shared" si="381"/>
        <v>1400</v>
      </c>
      <c r="S510" s="19">
        <f t="shared" si="381"/>
        <v>0</v>
      </c>
      <c r="T510" s="19">
        <f t="shared" si="381"/>
        <v>0</v>
      </c>
      <c r="U510" s="19">
        <f t="shared" si="381"/>
        <v>1000</v>
      </c>
      <c r="V510" s="19">
        <f t="shared" si="381"/>
        <v>2600</v>
      </c>
      <c r="W510" s="19">
        <f t="shared" si="381"/>
        <v>0</v>
      </c>
      <c r="X510" s="19">
        <f t="shared" si="381"/>
        <v>0</v>
      </c>
      <c r="Y510" s="19">
        <f t="shared" si="381"/>
        <v>1000</v>
      </c>
      <c r="Z510" s="19">
        <f t="shared" si="381"/>
        <v>2600</v>
      </c>
      <c r="AA510" s="19">
        <f t="shared" si="381"/>
        <v>0</v>
      </c>
      <c r="AB510" s="19">
        <f t="shared" si="381"/>
        <v>0</v>
      </c>
      <c r="AC510" s="19">
        <f t="shared" si="381"/>
        <v>1000</v>
      </c>
      <c r="AD510" s="19">
        <f t="shared" si="381"/>
        <v>2600</v>
      </c>
      <c r="AE510" s="19">
        <f t="shared" si="381"/>
        <v>0</v>
      </c>
      <c r="AF510" s="19">
        <f t="shared" si="381"/>
        <v>0</v>
      </c>
      <c r="AG510" s="19">
        <f t="shared" si="381"/>
        <v>1000</v>
      </c>
      <c r="AH510" s="19">
        <f t="shared" si="381"/>
        <v>2600</v>
      </c>
      <c r="AI510" s="19">
        <f t="shared" ref="AI510:BB510" si="382">AJ9/$BD9*$AH306</f>
        <v>0</v>
      </c>
      <c r="AJ510" s="19">
        <f t="shared" si="382"/>
        <v>0</v>
      </c>
      <c r="AK510" s="19">
        <f t="shared" si="382"/>
        <v>1000</v>
      </c>
      <c r="AL510" s="19">
        <f t="shared" si="382"/>
        <v>2600</v>
      </c>
      <c r="AM510" s="19">
        <f t="shared" si="382"/>
        <v>0</v>
      </c>
      <c r="AN510" s="19">
        <f t="shared" si="382"/>
        <v>0</v>
      </c>
      <c r="AO510" s="19">
        <f t="shared" si="382"/>
        <v>1000</v>
      </c>
      <c r="AP510" s="19">
        <f t="shared" si="382"/>
        <v>2600</v>
      </c>
      <c r="AQ510" s="19">
        <f t="shared" si="382"/>
        <v>0</v>
      </c>
      <c r="AR510" s="19">
        <f t="shared" si="382"/>
        <v>0</v>
      </c>
      <c r="AS510" s="19">
        <f t="shared" si="382"/>
        <v>1000</v>
      </c>
      <c r="AT510" s="19">
        <f t="shared" si="382"/>
        <v>2600</v>
      </c>
      <c r="AU510" s="19">
        <f t="shared" si="382"/>
        <v>0</v>
      </c>
      <c r="AV510" s="19">
        <f t="shared" si="382"/>
        <v>0</v>
      </c>
      <c r="AW510" s="19">
        <f t="shared" si="382"/>
        <v>1000</v>
      </c>
      <c r="AX510" s="19">
        <f t="shared" si="382"/>
        <v>2600</v>
      </c>
      <c r="AY510" s="19">
        <f t="shared" si="382"/>
        <v>0</v>
      </c>
      <c r="AZ510" s="19">
        <f t="shared" si="382"/>
        <v>0</v>
      </c>
      <c r="BA510" s="19">
        <f t="shared" si="382"/>
        <v>1000</v>
      </c>
      <c r="BB510" s="19">
        <f t="shared" si="382"/>
        <v>2600</v>
      </c>
      <c r="BC510" s="129">
        <f t="shared" si="372"/>
        <v>45600</v>
      </c>
    </row>
    <row r="511" spans="2:55" x14ac:dyDescent="0.25">
      <c r="B511" s="19" t="s">
        <v>178</v>
      </c>
      <c r="C511" s="19">
        <f t="shared" ref="C511:AH511" si="383">D10/$BD10*$AH307</f>
        <v>0</v>
      </c>
      <c r="D511" s="19">
        <f t="shared" si="383"/>
        <v>0</v>
      </c>
      <c r="E511" s="19">
        <f t="shared" si="383"/>
        <v>0</v>
      </c>
      <c r="F511" s="19">
        <f t="shared" si="383"/>
        <v>937.5</v>
      </c>
      <c r="G511" s="19">
        <f t="shared" si="383"/>
        <v>0</v>
      </c>
      <c r="H511" s="19">
        <f t="shared" si="383"/>
        <v>0</v>
      </c>
      <c r="I511" s="19">
        <f t="shared" si="383"/>
        <v>0</v>
      </c>
      <c r="J511" s="19">
        <f t="shared" si="383"/>
        <v>937.5</v>
      </c>
      <c r="K511" s="19">
        <f t="shared" si="383"/>
        <v>0</v>
      </c>
      <c r="L511" s="19">
        <f t="shared" si="383"/>
        <v>0</v>
      </c>
      <c r="M511" s="19">
        <f t="shared" si="383"/>
        <v>0</v>
      </c>
      <c r="N511" s="19">
        <f t="shared" si="383"/>
        <v>937.5</v>
      </c>
      <c r="O511" s="19">
        <f t="shared" si="383"/>
        <v>0</v>
      </c>
      <c r="P511" s="19">
        <f t="shared" si="383"/>
        <v>0</v>
      </c>
      <c r="Q511" s="19">
        <f t="shared" si="383"/>
        <v>1125</v>
      </c>
      <c r="R511" s="19">
        <f t="shared" si="383"/>
        <v>937.5</v>
      </c>
      <c r="S511" s="19">
        <f t="shared" si="383"/>
        <v>0</v>
      </c>
      <c r="T511" s="19">
        <f t="shared" si="383"/>
        <v>0</v>
      </c>
      <c r="U511" s="19">
        <f t="shared" si="383"/>
        <v>0</v>
      </c>
      <c r="V511" s="19">
        <f t="shared" si="383"/>
        <v>937.5</v>
      </c>
      <c r="W511" s="19">
        <f t="shared" si="383"/>
        <v>1125</v>
      </c>
      <c r="X511" s="19">
        <f t="shared" si="383"/>
        <v>0</v>
      </c>
      <c r="Y511" s="19">
        <f t="shared" si="383"/>
        <v>0</v>
      </c>
      <c r="Z511" s="19">
        <f t="shared" si="383"/>
        <v>937.5</v>
      </c>
      <c r="AA511" s="19">
        <f t="shared" si="383"/>
        <v>0</v>
      </c>
      <c r="AB511" s="19">
        <f t="shared" si="383"/>
        <v>562.5</v>
      </c>
      <c r="AC511" s="19">
        <f t="shared" si="383"/>
        <v>0</v>
      </c>
      <c r="AD511" s="19">
        <f t="shared" si="383"/>
        <v>937.5</v>
      </c>
      <c r="AE511" s="19">
        <f t="shared" si="383"/>
        <v>0</v>
      </c>
      <c r="AF511" s="19">
        <f t="shared" si="383"/>
        <v>0</v>
      </c>
      <c r="AG511" s="19">
        <f t="shared" si="383"/>
        <v>0</v>
      </c>
      <c r="AH511" s="19">
        <f t="shared" si="383"/>
        <v>937.5</v>
      </c>
      <c r="AI511" s="19">
        <f t="shared" ref="AI511:BB511" si="384">AJ10/$BD10*$AH307</f>
        <v>1125</v>
      </c>
      <c r="AJ511" s="19">
        <f t="shared" si="384"/>
        <v>0</v>
      </c>
      <c r="AK511" s="19">
        <f t="shared" si="384"/>
        <v>0</v>
      </c>
      <c r="AL511" s="19">
        <f t="shared" si="384"/>
        <v>937.5</v>
      </c>
      <c r="AM511" s="19">
        <f t="shared" si="384"/>
        <v>0</v>
      </c>
      <c r="AN511" s="19">
        <f t="shared" si="384"/>
        <v>0</v>
      </c>
      <c r="AO511" s="19">
        <f t="shared" si="384"/>
        <v>1125</v>
      </c>
      <c r="AP511" s="19">
        <f t="shared" si="384"/>
        <v>937.5</v>
      </c>
      <c r="AQ511" s="19">
        <f t="shared" si="384"/>
        <v>0</v>
      </c>
      <c r="AR511" s="19">
        <f t="shared" si="384"/>
        <v>0</v>
      </c>
      <c r="AS511" s="19">
        <f t="shared" si="384"/>
        <v>0</v>
      </c>
      <c r="AT511" s="19">
        <f t="shared" si="384"/>
        <v>937.5</v>
      </c>
      <c r="AU511" s="19">
        <f t="shared" si="384"/>
        <v>0</v>
      </c>
      <c r="AV511" s="19">
        <f t="shared" si="384"/>
        <v>0</v>
      </c>
      <c r="AW511" s="19">
        <f t="shared" si="384"/>
        <v>0</v>
      </c>
      <c r="AX511" s="19">
        <f t="shared" si="384"/>
        <v>937.5</v>
      </c>
      <c r="AY511" s="19">
        <f t="shared" si="384"/>
        <v>0</v>
      </c>
      <c r="AZ511" s="19">
        <f t="shared" si="384"/>
        <v>0</v>
      </c>
      <c r="BA511" s="19">
        <f t="shared" si="384"/>
        <v>0</v>
      </c>
      <c r="BB511" s="19">
        <f t="shared" si="384"/>
        <v>937.5</v>
      </c>
      <c r="BC511" s="129">
        <f t="shared" si="372"/>
        <v>17250</v>
      </c>
    </row>
    <row r="512" spans="2:55" s="1" customFormat="1" x14ac:dyDescent="0.25">
      <c r="C512" s="136">
        <f t="shared" ref="C512:BB512" si="385">SUM(C504:C511)</f>
        <v>9517.5</v>
      </c>
      <c r="D512" s="136">
        <f t="shared" si="385"/>
        <v>9925</v>
      </c>
      <c r="E512" s="136">
        <f t="shared" si="385"/>
        <v>10405</v>
      </c>
      <c r="F512" s="136">
        <f t="shared" si="385"/>
        <v>7832.5</v>
      </c>
      <c r="G512" s="136">
        <f t="shared" si="385"/>
        <v>8717.5</v>
      </c>
      <c r="H512" s="136">
        <f t="shared" si="385"/>
        <v>8935</v>
      </c>
      <c r="I512" s="136">
        <f t="shared" si="385"/>
        <v>9142.5</v>
      </c>
      <c r="J512" s="136">
        <f t="shared" si="385"/>
        <v>9540</v>
      </c>
      <c r="K512" s="136">
        <f t="shared" si="385"/>
        <v>10702.5</v>
      </c>
      <c r="L512" s="136">
        <f t="shared" si="385"/>
        <v>8155</v>
      </c>
      <c r="M512" s="136">
        <f t="shared" si="385"/>
        <v>8362.5</v>
      </c>
      <c r="N512" s="136">
        <f t="shared" si="385"/>
        <v>8472.5</v>
      </c>
      <c r="O512" s="136">
        <f t="shared" si="385"/>
        <v>9517.5</v>
      </c>
      <c r="P512" s="136">
        <f t="shared" si="385"/>
        <v>9962.5</v>
      </c>
      <c r="Q512" s="136">
        <f t="shared" si="385"/>
        <v>10267.5</v>
      </c>
      <c r="R512" s="136">
        <f t="shared" si="385"/>
        <v>7672.5</v>
      </c>
      <c r="S512" s="136">
        <f t="shared" si="385"/>
        <v>8717.5</v>
      </c>
      <c r="T512" s="136">
        <f t="shared" si="385"/>
        <v>8925</v>
      </c>
      <c r="U512" s="136">
        <f t="shared" si="385"/>
        <v>9142.5</v>
      </c>
      <c r="V512" s="136">
        <f t="shared" si="385"/>
        <v>9510</v>
      </c>
      <c r="W512" s="136">
        <f t="shared" si="385"/>
        <v>10642.5</v>
      </c>
      <c r="X512" s="136">
        <f t="shared" si="385"/>
        <v>8155</v>
      </c>
      <c r="Y512" s="136">
        <f t="shared" si="385"/>
        <v>8352.5</v>
      </c>
      <c r="Z512" s="136">
        <f t="shared" si="385"/>
        <v>8472.5</v>
      </c>
      <c r="AA512" s="136">
        <f t="shared" si="385"/>
        <v>9517.5</v>
      </c>
      <c r="AB512" s="136">
        <f t="shared" si="385"/>
        <v>9887.5</v>
      </c>
      <c r="AC512" s="136">
        <f t="shared" si="385"/>
        <v>10417.5</v>
      </c>
      <c r="AD512" s="136">
        <f t="shared" si="385"/>
        <v>7687.5</v>
      </c>
      <c r="AE512" s="136">
        <f t="shared" si="385"/>
        <v>8717.5</v>
      </c>
      <c r="AF512" s="136">
        <f t="shared" si="385"/>
        <v>8935</v>
      </c>
      <c r="AG512" s="136">
        <f t="shared" si="385"/>
        <v>9142.5</v>
      </c>
      <c r="AH512" s="136">
        <f t="shared" si="385"/>
        <v>9510</v>
      </c>
      <c r="AI512" s="136">
        <f t="shared" si="385"/>
        <v>10642.5</v>
      </c>
      <c r="AJ512" s="136">
        <f t="shared" si="385"/>
        <v>8155</v>
      </c>
      <c r="AK512" s="136">
        <f t="shared" si="385"/>
        <v>8352.5</v>
      </c>
      <c r="AL512" s="136">
        <f t="shared" si="385"/>
        <v>8472.5</v>
      </c>
      <c r="AM512" s="136">
        <f t="shared" si="385"/>
        <v>9517.5</v>
      </c>
      <c r="AN512" s="136">
        <f t="shared" si="385"/>
        <v>9962.5</v>
      </c>
      <c r="AO512" s="136">
        <f t="shared" si="385"/>
        <v>10267.5</v>
      </c>
      <c r="AP512" s="136">
        <f t="shared" si="385"/>
        <v>7687.5</v>
      </c>
      <c r="AQ512" s="136">
        <f t="shared" si="385"/>
        <v>8717.5</v>
      </c>
      <c r="AR512" s="136">
        <f t="shared" si="385"/>
        <v>8935</v>
      </c>
      <c r="AS512" s="136">
        <f t="shared" si="385"/>
        <v>10205</v>
      </c>
      <c r="AT512" s="136">
        <f t="shared" si="385"/>
        <v>9985</v>
      </c>
      <c r="AU512" s="136">
        <f t="shared" si="385"/>
        <v>10505</v>
      </c>
      <c r="AV512" s="136">
        <f t="shared" si="385"/>
        <v>10387.5</v>
      </c>
      <c r="AW512" s="136">
        <f t="shared" si="385"/>
        <v>9142.5</v>
      </c>
      <c r="AX512" s="136">
        <f t="shared" si="385"/>
        <v>9540</v>
      </c>
      <c r="AY512" s="136">
        <f t="shared" si="385"/>
        <v>10702.5</v>
      </c>
      <c r="AZ512" s="136">
        <f t="shared" si="385"/>
        <v>7990</v>
      </c>
      <c r="BA512" s="136">
        <f t="shared" si="385"/>
        <v>8352.5</v>
      </c>
      <c r="BB512" s="136">
        <f t="shared" si="385"/>
        <v>8472.5</v>
      </c>
      <c r="BC512" s="1">
        <f>SUM(BC504:BC511)</f>
        <v>478852.5</v>
      </c>
    </row>
  </sheetData>
  <mergeCells count="630">
    <mergeCell ref="C330:D330"/>
    <mergeCell ref="C331:D331"/>
    <mergeCell ref="C332:D332"/>
    <mergeCell ref="C333:D333"/>
    <mergeCell ref="H321:I322"/>
    <mergeCell ref="J321:BI321"/>
    <mergeCell ref="N106:O106"/>
    <mergeCell ref="N107:O107"/>
    <mergeCell ref="Q106:R106"/>
    <mergeCell ref="Q107:R107"/>
    <mergeCell ref="T106:V106"/>
    <mergeCell ref="T107:V107"/>
    <mergeCell ref="D106:E106"/>
    <mergeCell ref="D107:E107"/>
    <mergeCell ref="G107:I107"/>
    <mergeCell ref="K106:L106"/>
    <mergeCell ref="K107:L107"/>
    <mergeCell ref="AA106:AB106"/>
    <mergeCell ref="AA107:AB107"/>
    <mergeCell ref="AD106:AE106"/>
    <mergeCell ref="AD107:AE107"/>
    <mergeCell ref="X106:Y106"/>
    <mergeCell ref="X107:Y107"/>
    <mergeCell ref="A323:B323"/>
    <mergeCell ref="A324:B324"/>
    <mergeCell ref="A325:B325"/>
    <mergeCell ref="A326:B326"/>
    <mergeCell ref="A334:B334"/>
    <mergeCell ref="A321:B322"/>
    <mergeCell ref="C321:D322"/>
    <mergeCell ref="E321:G322"/>
    <mergeCell ref="E327:G327"/>
    <mergeCell ref="E328:G328"/>
    <mergeCell ref="E329:G329"/>
    <mergeCell ref="E330:G330"/>
    <mergeCell ref="E331:G331"/>
    <mergeCell ref="E332:G332"/>
    <mergeCell ref="E333:G333"/>
    <mergeCell ref="C323:D323"/>
    <mergeCell ref="C324:D324"/>
    <mergeCell ref="C325:D325"/>
    <mergeCell ref="C326:D326"/>
    <mergeCell ref="C334:D334"/>
    <mergeCell ref="A327:B327"/>
    <mergeCell ref="A328:B328"/>
    <mergeCell ref="A329:B329"/>
    <mergeCell ref="A330:B330"/>
    <mergeCell ref="A368:B368"/>
    <mergeCell ref="A369:B369"/>
    <mergeCell ref="A370:B370"/>
    <mergeCell ref="A371:B371"/>
    <mergeCell ref="A372:B372"/>
    <mergeCell ref="A342:B342"/>
    <mergeCell ref="A350:B350"/>
    <mergeCell ref="A358:B358"/>
    <mergeCell ref="A366:B366"/>
    <mergeCell ref="A367:B367"/>
    <mergeCell ref="A347:B347"/>
    <mergeCell ref="A348:B348"/>
    <mergeCell ref="A349:B349"/>
    <mergeCell ref="A357:B357"/>
    <mergeCell ref="A359:B359"/>
    <mergeCell ref="A360:B360"/>
    <mergeCell ref="A361:B361"/>
    <mergeCell ref="A362:B362"/>
    <mergeCell ref="A363:B363"/>
    <mergeCell ref="A364:B364"/>
    <mergeCell ref="A365:B365"/>
    <mergeCell ref="A351:B351"/>
    <mergeCell ref="A352:B352"/>
    <mergeCell ref="A353:B353"/>
    <mergeCell ref="A378:B378"/>
    <mergeCell ref="A379:B379"/>
    <mergeCell ref="A380:B380"/>
    <mergeCell ref="A381:B381"/>
    <mergeCell ref="A382:B382"/>
    <mergeCell ref="A373:B373"/>
    <mergeCell ref="A374:B374"/>
    <mergeCell ref="A375:B375"/>
    <mergeCell ref="A376:B376"/>
    <mergeCell ref="A377:B377"/>
    <mergeCell ref="A388:B388"/>
    <mergeCell ref="A389:B389"/>
    <mergeCell ref="A390:B390"/>
    <mergeCell ref="A391:B391"/>
    <mergeCell ref="A392:B392"/>
    <mergeCell ref="A383:B383"/>
    <mergeCell ref="A384:B384"/>
    <mergeCell ref="A385:B385"/>
    <mergeCell ref="A386:B386"/>
    <mergeCell ref="A387:B387"/>
    <mergeCell ref="A398:B398"/>
    <mergeCell ref="A399:B399"/>
    <mergeCell ref="A400:B400"/>
    <mergeCell ref="A401:B401"/>
    <mergeCell ref="A402:B402"/>
    <mergeCell ref="A393:B393"/>
    <mergeCell ref="A394:B394"/>
    <mergeCell ref="A395:B395"/>
    <mergeCell ref="A396:B396"/>
    <mergeCell ref="A397:B397"/>
    <mergeCell ref="A408:B408"/>
    <mergeCell ref="A409:B409"/>
    <mergeCell ref="A410:B410"/>
    <mergeCell ref="A411:B411"/>
    <mergeCell ref="A412:B412"/>
    <mergeCell ref="A403:B403"/>
    <mergeCell ref="A404:B404"/>
    <mergeCell ref="A405:B405"/>
    <mergeCell ref="A406:B406"/>
    <mergeCell ref="A407:B407"/>
    <mergeCell ref="A418:B418"/>
    <mergeCell ref="A419:B419"/>
    <mergeCell ref="A420:B420"/>
    <mergeCell ref="A421:B421"/>
    <mergeCell ref="A422:B422"/>
    <mergeCell ref="A413:B413"/>
    <mergeCell ref="A414:B414"/>
    <mergeCell ref="A415:B415"/>
    <mergeCell ref="A416:B416"/>
    <mergeCell ref="A417:B417"/>
    <mergeCell ref="A428:B428"/>
    <mergeCell ref="A429:B429"/>
    <mergeCell ref="A430:B430"/>
    <mergeCell ref="A431:B431"/>
    <mergeCell ref="A432:B432"/>
    <mergeCell ref="A423:B423"/>
    <mergeCell ref="A424:B424"/>
    <mergeCell ref="A425:B425"/>
    <mergeCell ref="A426:B426"/>
    <mergeCell ref="A427:B427"/>
    <mergeCell ref="A461:B461"/>
    <mergeCell ref="A462:B462"/>
    <mergeCell ref="A453:B453"/>
    <mergeCell ref="A439:B439"/>
    <mergeCell ref="A440:B440"/>
    <mergeCell ref="A441:B441"/>
    <mergeCell ref="A442:B442"/>
    <mergeCell ref="A433:B433"/>
    <mergeCell ref="A434:B434"/>
    <mergeCell ref="A435:B435"/>
    <mergeCell ref="A436:B436"/>
    <mergeCell ref="A437:B437"/>
    <mergeCell ref="A443:B443"/>
    <mergeCell ref="A444:B444"/>
    <mergeCell ref="A445:B445"/>
    <mergeCell ref="A446:B446"/>
    <mergeCell ref="A447:B447"/>
    <mergeCell ref="A438:B438"/>
    <mergeCell ref="C347:D347"/>
    <mergeCell ref="C348:D348"/>
    <mergeCell ref="C349:D349"/>
    <mergeCell ref="C357:D357"/>
    <mergeCell ref="C359:D359"/>
    <mergeCell ref="C360:D360"/>
    <mergeCell ref="C361:D361"/>
    <mergeCell ref="C362:D362"/>
    <mergeCell ref="C363:D363"/>
    <mergeCell ref="A470:B470"/>
    <mergeCell ref="A471:B471"/>
    <mergeCell ref="A472:B472"/>
    <mergeCell ref="A463:B463"/>
    <mergeCell ref="C350:D350"/>
    <mergeCell ref="C358:D358"/>
    <mergeCell ref="C366:D366"/>
    <mergeCell ref="C370:D370"/>
    <mergeCell ref="C371:D371"/>
    <mergeCell ref="C372:D372"/>
    <mergeCell ref="C373:D373"/>
    <mergeCell ref="C374:D374"/>
    <mergeCell ref="C364:D364"/>
    <mergeCell ref="C365:D365"/>
    <mergeCell ref="C367:D367"/>
    <mergeCell ref="C368:D368"/>
    <mergeCell ref="C369:D369"/>
    <mergeCell ref="A464:B464"/>
    <mergeCell ref="A465:B465"/>
    <mergeCell ref="A466:B466"/>
    <mergeCell ref="A467:B467"/>
    <mergeCell ref="A458:B458"/>
    <mergeCell ref="A459:B459"/>
    <mergeCell ref="A460:B460"/>
    <mergeCell ref="C394:D394"/>
    <mergeCell ref="C400:D400"/>
    <mergeCell ref="C401:D401"/>
    <mergeCell ref="C402:D402"/>
    <mergeCell ref="A478:B478"/>
    <mergeCell ref="A479:B479"/>
    <mergeCell ref="A480:B480"/>
    <mergeCell ref="A481:B481"/>
    <mergeCell ref="A454:B454"/>
    <mergeCell ref="A455:B455"/>
    <mergeCell ref="A456:B456"/>
    <mergeCell ref="A457:B457"/>
    <mergeCell ref="A448:B448"/>
    <mergeCell ref="A449:B449"/>
    <mergeCell ref="A450:B450"/>
    <mergeCell ref="A451:B451"/>
    <mergeCell ref="A452:B452"/>
    <mergeCell ref="A473:B473"/>
    <mergeCell ref="A474:B474"/>
    <mergeCell ref="A475:B475"/>
    <mergeCell ref="A476:B476"/>
    <mergeCell ref="A477:B477"/>
    <mergeCell ref="A468:B468"/>
    <mergeCell ref="A469:B469"/>
    <mergeCell ref="C403:D403"/>
    <mergeCell ref="C404:D404"/>
    <mergeCell ref="C395:D395"/>
    <mergeCell ref="C396:D396"/>
    <mergeCell ref="C397:D397"/>
    <mergeCell ref="C398:D398"/>
    <mergeCell ref="C399:D399"/>
    <mergeCell ref="C410:D410"/>
    <mergeCell ref="C411:D411"/>
    <mergeCell ref="C375:D375"/>
    <mergeCell ref="C376:D376"/>
    <mergeCell ref="C377:D377"/>
    <mergeCell ref="C378:D378"/>
    <mergeCell ref="C379:D379"/>
    <mergeCell ref="C390:D390"/>
    <mergeCell ref="C391:D391"/>
    <mergeCell ref="C392:D392"/>
    <mergeCell ref="C393:D393"/>
    <mergeCell ref="C385:D385"/>
    <mergeCell ref="C386:D386"/>
    <mergeCell ref="C387:D387"/>
    <mergeCell ref="C388:D388"/>
    <mergeCell ref="C389:D389"/>
    <mergeCell ref="C380:D380"/>
    <mergeCell ref="C381:D381"/>
    <mergeCell ref="C382:D382"/>
    <mergeCell ref="C383:D383"/>
    <mergeCell ref="C384:D384"/>
    <mergeCell ref="C412:D412"/>
    <mergeCell ref="C413:D413"/>
    <mergeCell ref="C414:D414"/>
    <mergeCell ref="C405:D405"/>
    <mergeCell ref="C406:D406"/>
    <mergeCell ref="C407:D407"/>
    <mergeCell ref="C408:D408"/>
    <mergeCell ref="C409:D409"/>
    <mergeCell ref="C420:D420"/>
    <mergeCell ref="C421:D421"/>
    <mergeCell ref="C422:D422"/>
    <mergeCell ref="C423:D423"/>
    <mergeCell ref="C424:D424"/>
    <mergeCell ref="C415:D415"/>
    <mergeCell ref="C416:D416"/>
    <mergeCell ref="C417:D417"/>
    <mergeCell ref="C418:D418"/>
    <mergeCell ref="C419:D419"/>
    <mergeCell ref="C430:D430"/>
    <mergeCell ref="C431:D431"/>
    <mergeCell ref="C432:D432"/>
    <mergeCell ref="C433:D433"/>
    <mergeCell ref="C434:D434"/>
    <mergeCell ref="C425:D425"/>
    <mergeCell ref="C426:D426"/>
    <mergeCell ref="C427:D427"/>
    <mergeCell ref="C428:D428"/>
    <mergeCell ref="C429:D429"/>
    <mergeCell ref="C440:D440"/>
    <mergeCell ref="C441:D441"/>
    <mergeCell ref="C442:D442"/>
    <mergeCell ref="C443:D443"/>
    <mergeCell ref="C444:D444"/>
    <mergeCell ref="C435:D435"/>
    <mergeCell ref="C436:D436"/>
    <mergeCell ref="C437:D437"/>
    <mergeCell ref="C438:D438"/>
    <mergeCell ref="C439:D439"/>
    <mergeCell ref="C450:D450"/>
    <mergeCell ref="C451:D451"/>
    <mergeCell ref="C452:D452"/>
    <mergeCell ref="C453:D453"/>
    <mergeCell ref="C454:D454"/>
    <mergeCell ref="C445:D445"/>
    <mergeCell ref="C446:D446"/>
    <mergeCell ref="C447:D447"/>
    <mergeCell ref="C448:D448"/>
    <mergeCell ref="C449:D449"/>
    <mergeCell ref="C460:D460"/>
    <mergeCell ref="C461:D461"/>
    <mergeCell ref="C462:D462"/>
    <mergeCell ref="C463:D463"/>
    <mergeCell ref="C464:D464"/>
    <mergeCell ref="C455:D455"/>
    <mergeCell ref="C456:D456"/>
    <mergeCell ref="C457:D457"/>
    <mergeCell ref="C458:D458"/>
    <mergeCell ref="C459:D459"/>
    <mergeCell ref="C478:D478"/>
    <mergeCell ref="C479:D479"/>
    <mergeCell ref="C470:D470"/>
    <mergeCell ref="C471:D471"/>
    <mergeCell ref="C472:D472"/>
    <mergeCell ref="C473:D473"/>
    <mergeCell ref="C474:D474"/>
    <mergeCell ref="C465:D465"/>
    <mergeCell ref="C466:D466"/>
    <mergeCell ref="C467:D467"/>
    <mergeCell ref="C468:D468"/>
    <mergeCell ref="C469:D469"/>
    <mergeCell ref="E371:G371"/>
    <mergeCell ref="E372:G372"/>
    <mergeCell ref="E373:G373"/>
    <mergeCell ref="E374:G374"/>
    <mergeCell ref="E375:G375"/>
    <mergeCell ref="C480:D480"/>
    <mergeCell ref="C481:D481"/>
    <mergeCell ref="E323:G323"/>
    <mergeCell ref="H323:I323"/>
    <mergeCell ref="E324:G324"/>
    <mergeCell ref="E325:G325"/>
    <mergeCell ref="E326:G326"/>
    <mergeCell ref="E334:G334"/>
    <mergeCell ref="E342:G342"/>
    <mergeCell ref="E350:G350"/>
    <mergeCell ref="E358:G358"/>
    <mergeCell ref="E366:G366"/>
    <mergeCell ref="E367:G367"/>
    <mergeCell ref="E368:G368"/>
    <mergeCell ref="E369:G369"/>
    <mergeCell ref="E370:G370"/>
    <mergeCell ref="C475:D475"/>
    <mergeCell ref="C476:D476"/>
    <mergeCell ref="C477:D477"/>
    <mergeCell ref="E381:G381"/>
    <mergeCell ref="E382:G382"/>
    <mergeCell ref="E383:G383"/>
    <mergeCell ref="E384:G384"/>
    <mergeCell ref="E385:G385"/>
    <mergeCell ref="E376:G376"/>
    <mergeCell ref="E377:G377"/>
    <mergeCell ref="E378:G378"/>
    <mergeCell ref="E379:G379"/>
    <mergeCell ref="E380:G380"/>
    <mergeCell ref="E391:G391"/>
    <mergeCell ref="E392:G392"/>
    <mergeCell ref="E393:G393"/>
    <mergeCell ref="E394:G394"/>
    <mergeCell ref="E395:G395"/>
    <mergeCell ref="E386:G386"/>
    <mergeCell ref="E387:G387"/>
    <mergeCell ref="E388:G388"/>
    <mergeCell ref="E389:G389"/>
    <mergeCell ref="E390:G390"/>
    <mergeCell ref="E401:G401"/>
    <mergeCell ref="E402:G402"/>
    <mergeCell ref="E403:G403"/>
    <mergeCell ref="E404:G404"/>
    <mergeCell ref="E405:G405"/>
    <mergeCell ref="E396:G396"/>
    <mergeCell ref="E397:G397"/>
    <mergeCell ref="E398:G398"/>
    <mergeCell ref="E399:G399"/>
    <mergeCell ref="E400:G400"/>
    <mergeCell ref="E411:G411"/>
    <mergeCell ref="E412:G412"/>
    <mergeCell ref="E413:G413"/>
    <mergeCell ref="E414:G414"/>
    <mergeCell ref="E415:G415"/>
    <mergeCell ref="E406:G406"/>
    <mergeCell ref="E407:G407"/>
    <mergeCell ref="E408:G408"/>
    <mergeCell ref="E409:G409"/>
    <mergeCell ref="E410:G410"/>
    <mergeCell ref="E421:G421"/>
    <mergeCell ref="E422:G422"/>
    <mergeCell ref="E423:G423"/>
    <mergeCell ref="E424:G424"/>
    <mergeCell ref="E425:G425"/>
    <mergeCell ref="E416:G416"/>
    <mergeCell ref="E417:G417"/>
    <mergeCell ref="E418:G418"/>
    <mergeCell ref="E419:G419"/>
    <mergeCell ref="E420:G420"/>
    <mergeCell ref="E431:G431"/>
    <mergeCell ref="E432:G432"/>
    <mergeCell ref="E433:G433"/>
    <mergeCell ref="E434:G434"/>
    <mergeCell ref="E435:G435"/>
    <mergeCell ref="E426:G426"/>
    <mergeCell ref="E427:G427"/>
    <mergeCell ref="E428:G428"/>
    <mergeCell ref="E429:G429"/>
    <mergeCell ref="E430:G430"/>
    <mergeCell ref="E441:G441"/>
    <mergeCell ref="E442:G442"/>
    <mergeCell ref="E443:G443"/>
    <mergeCell ref="E444:G444"/>
    <mergeCell ref="E445:G445"/>
    <mergeCell ref="E436:G436"/>
    <mergeCell ref="E437:G437"/>
    <mergeCell ref="E438:G438"/>
    <mergeCell ref="E439:G439"/>
    <mergeCell ref="E440:G440"/>
    <mergeCell ref="E451:G451"/>
    <mergeCell ref="E452:G452"/>
    <mergeCell ref="E453:G453"/>
    <mergeCell ref="E454:G454"/>
    <mergeCell ref="E455:G455"/>
    <mergeCell ref="E446:G446"/>
    <mergeCell ref="E447:G447"/>
    <mergeCell ref="E448:G448"/>
    <mergeCell ref="E449:G449"/>
    <mergeCell ref="E450:G450"/>
    <mergeCell ref="E461:G461"/>
    <mergeCell ref="E462:G462"/>
    <mergeCell ref="E463:G463"/>
    <mergeCell ref="E464:G464"/>
    <mergeCell ref="E465:G465"/>
    <mergeCell ref="E456:G456"/>
    <mergeCell ref="E457:G457"/>
    <mergeCell ref="E458:G458"/>
    <mergeCell ref="E459:G459"/>
    <mergeCell ref="E460:G460"/>
    <mergeCell ref="E479:G479"/>
    <mergeCell ref="E480:G480"/>
    <mergeCell ref="E471:G471"/>
    <mergeCell ref="E472:G472"/>
    <mergeCell ref="E473:G473"/>
    <mergeCell ref="E474:G474"/>
    <mergeCell ref="E475:G475"/>
    <mergeCell ref="E466:G466"/>
    <mergeCell ref="E467:G467"/>
    <mergeCell ref="E468:G468"/>
    <mergeCell ref="E469:G469"/>
    <mergeCell ref="E470:G470"/>
    <mergeCell ref="H374:I374"/>
    <mergeCell ref="H375:I375"/>
    <mergeCell ref="H376:I376"/>
    <mergeCell ref="H377:I377"/>
    <mergeCell ref="H378:I378"/>
    <mergeCell ref="E481:G481"/>
    <mergeCell ref="H324:I324"/>
    <mergeCell ref="H325:I325"/>
    <mergeCell ref="H326:I326"/>
    <mergeCell ref="H334:I334"/>
    <mergeCell ref="H342:I342"/>
    <mergeCell ref="H350:I350"/>
    <mergeCell ref="H358:I358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E476:G476"/>
    <mergeCell ref="E477:G477"/>
    <mergeCell ref="E478:G478"/>
    <mergeCell ref="H384:I384"/>
    <mergeCell ref="H385:I385"/>
    <mergeCell ref="H386:I386"/>
    <mergeCell ref="H387:I387"/>
    <mergeCell ref="H388:I388"/>
    <mergeCell ref="H379:I379"/>
    <mergeCell ref="H380:I380"/>
    <mergeCell ref="H381:I381"/>
    <mergeCell ref="H382:I382"/>
    <mergeCell ref="H383:I383"/>
    <mergeCell ref="H394:I394"/>
    <mergeCell ref="H395:I395"/>
    <mergeCell ref="H396:I396"/>
    <mergeCell ref="H397:I397"/>
    <mergeCell ref="H398:I398"/>
    <mergeCell ref="H389:I389"/>
    <mergeCell ref="H390:I390"/>
    <mergeCell ref="H391:I391"/>
    <mergeCell ref="H392:I392"/>
    <mergeCell ref="H393:I393"/>
    <mergeCell ref="H404:I404"/>
    <mergeCell ref="H405:I405"/>
    <mergeCell ref="H406:I406"/>
    <mergeCell ref="H407:I407"/>
    <mergeCell ref="H408:I408"/>
    <mergeCell ref="H399:I399"/>
    <mergeCell ref="H400:I400"/>
    <mergeCell ref="H401:I401"/>
    <mergeCell ref="H402:I402"/>
    <mergeCell ref="H403:I403"/>
    <mergeCell ref="H414:I414"/>
    <mergeCell ref="H415:I415"/>
    <mergeCell ref="H416:I416"/>
    <mergeCell ref="H417:I417"/>
    <mergeCell ref="H418:I418"/>
    <mergeCell ref="H409:I409"/>
    <mergeCell ref="H410:I410"/>
    <mergeCell ref="H411:I411"/>
    <mergeCell ref="H412:I412"/>
    <mergeCell ref="H413:I413"/>
    <mergeCell ref="H424:I424"/>
    <mergeCell ref="H425:I425"/>
    <mergeCell ref="H426:I426"/>
    <mergeCell ref="H427:I427"/>
    <mergeCell ref="H428:I428"/>
    <mergeCell ref="H419:I419"/>
    <mergeCell ref="H420:I420"/>
    <mergeCell ref="H421:I421"/>
    <mergeCell ref="H422:I422"/>
    <mergeCell ref="H423:I423"/>
    <mergeCell ref="H434:I434"/>
    <mergeCell ref="H435:I435"/>
    <mergeCell ref="H436:I436"/>
    <mergeCell ref="H437:I437"/>
    <mergeCell ref="H438:I438"/>
    <mergeCell ref="H429:I429"/>
    <mergeCell ref="H430:I430"/>
    <mergeCell ref="H431:I431"/>
    <mergeCell ref="H432:I432"/>
    <mergeCell ref="H433:I433"/>
    <mergeCell ref="H444:I444"/>
    <mergeCell ref="H445:I445"/>
    <mergeCell ref="H446:I446"/>
    <mergeCell ref="H447:I447"/>
    <mergeCell ref="H448:I448"/>
    <mergeCell ref="H439:I439"/>
    <mergeCell ref="H440:I440"/>
    <mergeCell ref="H441:I441"/>
    <mergeCell ref="H442:I442"/>
    <mergeCell ref="H443:I443"/>
    <mergeCell ref="H454:I454"/>
    <mergeCell ref="H455:I455"/>
    <mergeCell ref="H456:I456"/>
    <mergeCell ref="H457:I457"/>
    <mergeCell ref="H458:I458"/>
    <mergeCell ref="H449:I449"/>
    <mergeCell ref="H450:I450"/>
    <mergeCell ref="H451:I451"/>
    <mergeCell ref="H452:I452"/>
    <mergeCell ref="H453:I453"/>
    <mergeCell ref="H464:I464"/>
    <mergeCell ref="H465:I465"/>
    <mergeCell ref="H466:I466"/>
    <mergeCell ref="H467:I467"/>
    <mergeCell ref="H468:I468"/>
    <mergeCell ref="H459:I459"/>
    <mergeCell ref="H460:I460"/>
    <mergeCell ref="H461:I461"/>
    <mergeCell ref="H462:I462"/>
    <mergeCell ref="H463:I463"/>
    <mergeCell ref="H479:I479"/>
    <mergeCell ref="H480:I480"/>
    <mergeCell ref="H481:I481"/>
    <mergeCell ref="H474:I474"/>
    <mergeCell ref="H475:I475"/>
    <mergeCell ref="H476:I476"/>
    <mergeCell ref="H477:I477"/>
    <mergeCell ref="H478:I478"/>
    <mergeCell ref="H469:I469"/>
    <mergeCell ref="H470:I470"/>
    <mergeCell ref="H471:I471"/>
    <mergeCell ref="H472:I472"/>
    <mergeCell ref="H473:I473"/>
    <mergeCell ref="A335:B335"/>
    <mergeCell ref="A336:B336"/>
    <mergeCell ref="A337:B337"/>
    <mergeCell ref="A338:B338"/>
    <mergeCell ref="A339:B339"/>
    <mergeCell ref="A340:B340"/>
    <mergeCell ref="A341:B341"/>
    <mergeCell ref="H327:I327"/>
    <mergeCell ref="H328:I328"/>
    <mergeCell ref="H329:I329"/>
    <mergeCell ref="H330:I330"/>
    <mergeCell ref="H331:I331"/>
    <mergeCell ref="H332:I332"/>
    <mergeCell ref="H333:I333"/>
    <mergeCell ref="C335:D335"/>
    <mergeCell ref="C336:D336"/>
    <mergeCell ref="H335:I335"/>
    <mergeCell ref="H336:I336"/>
    <mergeCell ref="A331:B331"/>
    <mergeCell ref="A332:B332"/>
    <mergeCell ref="A333:B333"/>
    <mergeCell ref="C327:D327"/>
    <mergeCell ref="C328:D328"/>
    <mergeCell ref="C329:D329"/>
    <mergeCell ref="H337:I337"/>
    <mergeCell ref="H338:I338"/>
    <mergeCell ref="H339:I339"/>
    <mergeCell ref="H340:I340"/>
    <mergeCell ref="H341:I341"/>
    <mergeCell ref="A343:B343"/>
    <mergeCell ref="A344:B344"/>
    <mergeCell ref="A345:B345"/>
    <mergeCell ref="A346:B346"/>
    <mergeCell ref="C343:D343"/>
    <mergeCell ref="C344:D344"/>
    <mergeCell ref="C345:D345"/>
    <mergeCell ref="C346:D346"/>
    <mergeCell ref="H343:I343"/>
    <mergeCell ref="H344:I344"/>
    <mergeCell ref="H345:I345"/>
    <mergeCell ref="H346:I346"/>
    <mergeCell ref="C337:D337"/>
    <mergeCell ref="C338:D338"/>
    <mergeCell ref="C339:D339"/>
    <mergeCell ref="C340:D340"/>
    <mergeCell ref="C341:D341"/>
    <mergeCell ref="C342:D342"/>
    <mergeCell ref="A354:B354"/>
    <mergeCell ref="A355:B355"/>
    <mergeCell ref="A356:B356"/>
    <mergeCell ref="C351:D351"/>
    <mergeCell ref="C352:D352"/>
    <mergeCell ref="C353:D353"/>
    <mergeCell ref="C354:D354"/>
    <mergeCell ref="C355:D355"/>
    <mergeCell ref="C356:D356"/>
    <mergeCell ref="H357:I357"/>
    <mergeCell ref="H359:I359"/>
    <mergeCell ref="H360:I360"/>
    <mergeCell ref="H361:I361"/>
    <mergeCell ref="H362:I362"/>
    <mergeCell ref="H363:I363"/>
    <mergeCell ref="H364:I364"/>
    <mergeCell ref="H365:I365"/>
    <mergeCell ref="H347:I347"/>
    <mergeCell ref="H348:I348"/>
    <mergeCell ref="H349:I349"/>
    <mergeCell ref="H351:I351"/>
    <mergeCell ref="H352:I352"/>
    <mergeCell ref="H353:I353"/>
    <mergeCell ref="H354:I354"/>
    <mergeCell ref="H355:I355"/>
    <mergeCell ref="H356:I3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F7A5-C6B7-4925-AF2F-B692593CDF35}">
  <dimension ref="A2:BG935"/>
  <sheetViews>
    <sheetView tabSelected="1" topLeftCell="A838" zoomScale="84" zoomScaleNormal="84" workbookViewId="0">
      <selection activeCell="X865" sqref="X865"/>
    </sheetView>
  </sheetViews>
  <sheetFormatPr defaultRowHeight="15" x14ac:dyDescent="0.25"/>
  <cols>
    <col min="1" max="1" width="3.5703125" customWidth="1"/>
    <col min="2" max="2" width="39.28515625" customWidth="1"/>
    <col min="3" max="29" width="8.7109375" customWidth="1"/>
    <col min="30" max="53" width="12" bestFit="1" customWidth="1"/>
    <col min="54" max="54" width="11.140625" bestFit="1" customWidth="1"/>
    <col min="55" max="55" width="17.42578125" customWidth="1"/>
    <col min="56" max="56" width="20.85546875" customWidth="1"/>
    <col min="57" max="57" width="37.140625" customWidth="1"/>
    <col min="58" max="58" width="9.7109375" customWidth="1"/>
    <col min="59" max="59" width="11.85546875" customWidth="1"/>
  </cols>
  <sheetData>
    <row r="2" spans="2:32" x14ac:dyDescent="0.25">
      <c r="B2" s="19" t="s">
        <v>334</v>
      </c>
      <c r="C2" s="35">
        <f>'Client Data'!F107</f>
        <v>7</v>
      </c>
      <c r="D2" s="211" t="s">
        <v>337</v>
      </c>
      <c r="E2" s="211"/>
      <c r="F2" s="211"/>
      <c r="G2" s="211"/>
      <c r="H2" s="35">
        <f>'Client Data'!C107</f>
        <v>8</v>
      </c>
      <c r="I2" s="211" t="s">
        <v>341</v>
      </c>
      <c r="J2" s="211"/>
      <c r="K2" s="211"/>
      <c r="L2" s="211"/>
      <c r="M2" s="35">
        <f>'Client Data'!J107</f>
        <v>0</v>
      </c>
      <c r="N2" s="211" t="s">
        <v>342</v>
      </c>
      <c r="O2" s="211"/>
      <c r="P2" s="211"/>
      <c r="Q2" s="211"/>
      <c r="R2" s="131">
        <f>C6/AE3*60*60</f>
        <v>12.644999999999998</v>
      </c>
      <c r="S2" s="211" t="s">
        <v>382</v>
      </c>
      <c r="T2" s="211"/>
      <c r="U2" s="211"/>
      <c r="V2" s="211"/>
      <c r="W2" s="35">
        <f>'Client Data'!Z106</f>
        <v>0</v>
      </c>
      <c r="X2" s="211"/>
      <c r="Y2" s="211"/>
      <c r="Z2" s="211"/>
      <c r="AA2" s="211"/>
      <c r="AB2" s="19"/>
      <c r="AC2" s="190" t="s">
        <v>347</v>
      </c>
      <c r="AD2" s="190"/>
      <c r="AE2" s="187">
        <f>'Client Data'!AF106</f>
        <v>30</v>
      </c>
      <c r="AF2" s="187"/>
    </row>
    <row r="3" spans="2:32" x14ac:dyDescent="0.25">
      <c r="B3" s="19" t="s">
        <v>335</v>
      </c>
      <c r="C3" s="35">
        <f>'Client Data'!AF107</f>
        <v>52</v>
      </c>
      <c r="D3" s="211" t="s">
        <v>338</v>
      </c>
      <c r="E3" s="211"/>
      <c r="F3" s="211"/>
      <c r="G3" s="211"/>
      <c r="H3" s="35">
        <f>'Client Data'!F106</f>
        <v>3</v>
      </c>
      <c r="I3" s="211" t="s">
        <v>396</v>
      </c>
      <c r="J3" s="211"/>
      <c r="K3" s="211"/>
      <c r="L3" s="211"/>
      <c r="M3" s="147">
        <f>SUM(M10:M29)/AE3</f>
        <v>2.4645547945206179E-4</v>
      </c>
      <c r="N3" s="211" t="s">
        <v>344</v>
      </c>
      <c r="O3" s="211"/>
      <c r="P3" s="211"/>
      <c r="Q3" s="211"/>
      <c r="R3" s="131">
        <f>SUM(N10:N29)</f>
        <v>12</v>
      </c>
      <c r="S3" s="211" t="s">
        <v>391</v>
      </c>
      <c r="T3" s="211"/>
      <c r="U3" s="211"/>
      <c r="V3" s="211"/>
      <c r="W3" s="145">
        <f>BC722/(SUM(BC537:BC544)-SUM(BC698:BC705))</f>
        <v>14.745327583187438</v>
      </c>
      <c r="X3" s="211"/>
      <c r="Y3" s="211"/>
      <c r="Z3" s="211"/>
      <c r="AA3" s="211"/>
      <c r="AB3" s="19"/>
      <c r="AC3" s="190" t="s">
        <v>356</v>
      </c>
      <c r="AD3" s="190"/>
      <c r="AE3" s="188">
        <f>SUM(O10:O17)</f>
        <v>2336000</v>
      </c>
      <c r="AF3" s="188"/>
    </row>
    <row r="4" spans="2:32" x14ac:dyDescent="0.25">
      <c r="B4" s="19" t="s">
        <v>336</v>
      </c>
      <c r="C4" s="131">
        <f>C2*C3</f>
        <v>364</v>
      </c>
      <c r="D4" s="211" t="s">
        <v>343</v>
      </c>
      <c r="E4" s="211"/>
      <c r="F4" s="211"/>
      <c r="G4" s="211"/>
      <c r="H4" s="116">
        <f>'Client Data'!C106</f>
        <v>0.9</v>
      </c>
      <c r="I4" s="211" t="s">
        <v>397</v>
      </c>
      <c r="J4" s="211"/>
      <c r="K4" s="211"/>
      <c r="L4" s="211"/>
      <c r="M4" s="147">
        <f>SUM(L10:L29)/AE3</f>
        <v>4.1862157534246577E-4</v>
      </c>
      <c r="N4" s="211" t="s">
        <v>219</v>
      </c>
      <c r="O4" s="211"/>
      <c r="P4" s="211"/>
      <c r="Q4" s="211"/>
      <c r="R4" s="35">
        <f>'Client Data'!S106</f>
        <v>2</v>
      </c>
      <c r="S4" s="211" t="s">
        <v>400</v>
      </c>
      <c r="T4" s="211"/>
      <c r="U4" s="211"/>
      <c r="V4" s="211"/>
      <c r="W4" s="131">
        <f>BC180/BC162</f>
        <v>2573.6832423362025</v>
      </c>
      <c r="X4" s="211" t="s">
        <v>346</v>
      </c>
      <c r="Y4" s="211"/>
      <c r="Z4" s="211"/>
      <c r="AA4" s="211"/>
      <c r="AB4" s="35">
        <f>'Client Data'!AC107</f>
        <v>12</v>
      </c>
      <c r="AC4" s="190" t="s">
        <v>416</v>
      </c>
      <c r="AD4" s="190"/>
      <c r="AE4" s="189">
        <f>BC311/SUM(BC295:BC302)</f>
        <v>2519.209856612048</v>
      </c>
      <c r="AF4" s="189"/>
    </row>
    <row r="5" spans="2:32" x14ac:dyDescent="0.25">
      <c r="B5" s="19" t="s">
        <v>357</v>
      </c>
      <c r="C5" s="131">
        <f>60*60*H2*H3*C4/(60*60)</f>
        <v>8736</v>
      </c>
      <c r="D5" s="211" t="s">
        <v>360</v>
      </c>
      <c r="E5" s="211"/>
      <c r="F5" s="211"/>
      <c r="G5" s="211"/>
      <c r="H5" s="131">
        <f>C5-H6</f>
        <v>8372.2999999999993</v>
      </c>
      <c r="I5" s="211" t="s">
        <v>358</v>
      </c>
      <c r="J5" s="211"/>
      <c r="K5" s="211"/>
      <c r="L5" s="211"/>
      <c r="M5" s="131">
        <f>BC94</f>
        <v>167.09999999999997</v>
      </c>
      <c r="N5" s="211" t="s">
        <v>392</v>
      </c>
      <c r="O5" s="211"/>
      <c r="P5" s="211"/>
      <c r="Q5" s="211"/>
      <c r="R5" s="131">
        <f>C316</f>
        <v>16.051252426735722</v>
      </c>
      <c r="S5" s="211"/>
      <c r="T5" s="211"/>
      <c r="U5" s="211"/>
      <c r="V5" s="211"/>
      <c r="W5" s="78"/>
      <c r="X5" s="190"/>
      <c r="Y5" s="190"/>
      <c r="Z5" s="190"/>
      <c r="AA5" s="190"/>
      <c r="AB5" s="19"/>
      <c r="AC5" s="190"/>
      <c r="AD5" s="190"/>
      <c r="AE5" s="190"/>
      <c r="AF5" s="190"/>
    </row>
    <row r="6" spans="2:32" x14ac:dyDescent="0.25">
      <c r="B6" s="19" t="s">
        <v>386</v>
      </c>
      <c r="C6" s="131">
        <f>H5-M5</f>
        <v>8205.1999999999989</v>
      </c>
      <c r="D6" s="211" t="s">
        <v>359</v>
      </c>
      <c r="E6" s="211"/>
      <c r="F6" s="211"/>
      <c r="G6" s="211"/>
      <c r="H6" s="131">
        <f>BC93</f>
        <v>363.7</v>
      </c>
      <c r="I6" s="211" t="s">
        <v>380</v>
      </c>
      <c r="J6" s="211"/>
      <c r="K6" s="211"/>
      <c r="L6" s="211"/>
      <c r="M6" s="35">
        <f>'Client Data'!S107</f>
        <v>0</v>
      </c>
      <c r="N6" s="211" t="s">
        <v>405</v>
      </c>
      <c r="O6" s="211"/>
      <c r="P6" s="211"/>
      <c r="Q6" s="211"/>
      <c r="R6" s="191">
        <f>BC88/BC94</f>
        <v>2573.6832423362025</v>
      </c>
      <c r="S6" s="192"/>
      <c r="T6" s="193"/>
      <c r="U6" s="194"/>
      <c r="V6" s="195"/>
      <c r="W6" s="19"/>
      <c r="X6" s="190"/>
      <c r="Y6" s="190"/>
      <c r="Z6" s="190"/>
      <c r="AA6" s="190"/>
      <c r="AB6" s="19"/>
      <c r="AC6" s="190"/>
      <c r="AD6" s="190"/>
      <c r="AE6" s="190"/>
      <c r="AF6" s="190"/>
    </row>
    <row r="9" spans="2:32" ht="90" x14ac:dyDescent="0.25">
      <c r="B9" s="118" t="str">
        <f>'Client Data'!B2</f>
        <v>Product Name</v>
      </c>
      <c r="C9" s="118" t="str">
        <f>'Client Data'!C2</f>
        <v>Standard CT (Seconds)</v>
      </c>
      <c r="D9" s="118" t="str">
        <f>'Client Data'!BD24</f>
        <v>Standard Rework Time (Seconds)</v>
      </c>
      <c r="E9" s="118" t="str">
        <f>'Client Data'!BF2</f>
        <v>Rework Extra Material Cost / Unit (RM)</v>
      </c>
      <c r="F9" s="118" t="str">
        <f>'Client Data'!BG2</f>
        <v>Rework: Extra Utility Cost (RM)</v>
      </c>
      <c r="G9" s="118" t="str">
        <f>'Client Data'!BH2</f>
        <v>Product Price / Unit (RM)</v>
      </c>
      <c r="H9" s="118" t="str">
        <f>'Client Data'!BI2</f>
        <v>Material Cost / Unit (RM)</v>
      </c>
      <c r="I9" s="118" t="str">
        <f>'Client Data'!BJ2</f>
        <v>Utility Cost / Unit (RM)</v>
      </c>
      <c r="J9" s="118" t="str">
        <f>'Client Data'!BK2</f>
        <v>Yeild Target (%)</v>
      </c>
      <c r="K9" s="118" t="s">
        <v>352</v>
      </c>
      <c r="L9" s="118" t="s">
        <v>283</v>
      </c>
      <c r="M9" s="118" t="s">
        <v>285</v>
      </c>
      <c r="N9" s="118" t="str">
        <f>'Client Data'!BL2</f>
        <v>Customer Return</v>
      </c>
      <c r="O9" s="118" t="s">
        <v>353</v>
      </c>
      <c r="P9" s="118" t="s">
        <v>354</v>
      </c>
      <c r="Q9" s="118" t="s">
        <v>355</v>
      </c>
      <c r="R9" s="146"/>
    </row>
    <row r="10" spans="2:32" x14ac:dyDescent="0.25">
      <c r="B10" s="61" t="str">
        <f>'Client Data'!B3</f>
        <v>Product A</v>
      </c>
      <c r="C10" s="79">
        <f>'Client Data'!C3</f>
        <v>9</v>
      </c>
      <c r="D10" s="35">
        <f>SUM('Client Data'!BD25:BD33)</f>
        <v>20.5</v>
      </c>
      <c r="E10" s="35">
        <f>'Client Data'!BF3</f>
        <v>0.24</v>
      </c>
      <c r="F10" s="35">
        <f>'Client Data'!BG3</f>
        <v>0.26</v>
      </c>
      <c r="G10" s="35">
        <f>'Client Data'!BH3</f>
        <v>26</v>
      </c>
      <c r="H10" s="35">
        <f>'Client Data'!BI3</f>
        <v>7</v>
      </c>
      <c r="I10" s="35">
        <f>'Client Data'!BJ3</f>
        <v>8.5</v>
      </c>
      <c r="J10" s="116">
        <f>'Client Data'!BK3</f>
        <v>0.99970000000000003</v>
      </c>
      <c r="K10" s="117">
        <f>1-J10</f>
        <v>2.9999999999996696E-4</v>
      </c>
      <c r="L10" s="43">
        <f>Q10*O10</f>
        <v>75</v>
      </c>
      <c r="M10" s="43">
        <f>K10*O10</f>
        <v>44.99999999999504</v>
      </c>
      <c r="N10" s="35">
        <f>'Client Data'!BL3</f>
        <v>1</v>
      </c>
      <c r="O10" s="43">
        <f>SUM(C763:BB763)</f>
        <v>150000</v>
      </c>
      <c r="P10" s="43">
        <f>C10*O10</f>
        <v>1350000</v>
      </c>
      <c r="Q10" s="116">
        <f>'Client Data'!BE25</f>
        <v>5.0000000000000001E-4</v>
      </c>
    </row>
    <row r="11" spans="2:32" x14ac:dyDescent="0.25">
      <c r="B11" s="61" t="str">
        <f>'Client Data'!B4</f>
        <v>Product B</v>
      </c>
      <c r="C11" s="79">
        <f>'Client Data'!C4</f>
        <v>9.8000000000000007</v>
      </c>
      <c r="D11" s="35">
        <f>SUM('Client Data'!BD35:BD43)</f>
        <v>23</v>
      </c>
      <c r="E11" s="35">
        <f>'Client Data'!BF4</f>
        <v>0.23</v>
      </c>
      <c r="F11" s="35">
        <f>'Client Data'!BG4</f>
        <v>0.23</v>
      </c>
      <c r="G11" s="35">
        <f>'Client Data'!BH4</f>
        <v>25</v>
      </c>
      <c r="H11" s="35">
        <f>'Client Data'!BI4</f>
        <v>8</v>
      </c>
      <c r="I11" s="35">
        <f>'Client Data'!BJ4</f>
        <v>8.9</v>
      </c>
      <c r="J11" s="116">
        <f>'Client Data'!BK4</f>
        <v>0.99970999999999999</v>
      </c>
      <c r="K11" s="117">
        <f t="shared" ref="K11:K29" si="0">1-J11</f>
        <v>2.9000000000001247E-4</v>
      </c>
      <c r="L11" s="43">
        <f t="shared" ref="L11:L17" si="1">Q11*O11</f>
        <v>116</v>
      </c>
      <c r="M11" s="43">
        <f t="shared" ref="M11:M17" si="2">K11*O11</f>
        <v>67.2800000000029</v>
      </c>
      <c r="N11" s="35">
        <f>'Client Data'!BL4</f>
        <v>2</v>
      </c>
      <c r="O11" s="43">
        <f t="shared" ref="O11:O17" si="3">SUM(C764:BB764)</f>
        <v>232000</v>
      </c>
      <c r="P11" s="43">
        <f t="shared" ref="P11:P17" si="4">C11*O11</f>
        <v>2273600</v>
      </c>
      <c r="Q11" s="116">
        <f>'Client Data'!BE35</f>
        <v>5.0000000000000001E-4</v>
      </c>
    </row>
    <row r="12" spans="2:32" x14ac:dyDescent="0.25">
      <c r="B12" s="61" t="str">
        <f>'Client Data'!B5</f>
        <v>Product C</v>
      </c>
      <c r="C12" s="79">
        <f>'Client Data'!C5</f>
        <v>9.6</v>
      </c>
      <c r="D12" s="35">
        <f>SUM('Client Data'!BD45:BD53)</f>
        <v>20</v>
      </c>
      <c r="E12" s="35">
        <f>'Client Data'!BF5</f>
        <v>0.22</v>
      </c>
      <c r="F12" s="35">
        <f>'Client Data'!BG5</f>
        <v>0.25</v>
      </c>
      <c r="G12" s="35">
        <f>'Client Data'!BH5</f>
        <v>24</v>
      </c>
      <c r="H12" s="35">
        <f>'Client Data'!BI5</f>
        <v>6</v>
      </c>
      <c r="I12" s="35">
        <f>'Client Data'!BJ5</f>
        <v>9</v>
      </c>
      <c r="J12" s="116">
        <f>'Client Data'!BK5</f>
        <v>0.99975000000000003</v>
      </c>
      <c r="K12" s="117">
        <f t="shared" si="0"/>
        <v>2.4999999999997247E-4</v>
      </c>
      <c r="L12" s="43">
        <f t="shared" si="1"/>
        <v>105.3</v>
      </c>
      <c r="M12" s="43">
        <f t="shared" si="2"/>
        <v>87.749999999990337</v>
      </c>
      <c r="N12" s="35">
        <f>'Client Data'!BL5</f>
        <v>2</v>
      </c>
      <c r="O12" s="43">
        <f t="shared" si="3"/>
        <v>351000</v>
      </c>
      <c r="P12" s="43">
        <f t="shared" si="4"/>
        <v>3369600</v>
      </c>
      <c r="Q12" s="116">
        <f>'Client Data'!BE45</f>
        <v>2.9999999999999997E-4</v>
      </c>
    </row>
    <row r="13" spans="2:32" x14ac:dyDescent="0.25">
      <c r="B13" s="61" t="str">
        <f>'Client Data'!B6</f>
        <v>Product D</v>
      </c>
      <c r="C13" s="79">
        <f>'Client Data'!C6</f>
        <v>11</v>
      </c>
      <c r="D13" s="35">
        <f>SUM('Client Data'!BD55:BD63)</f>
        <v>18.8</v>
      </c>
      <c r="E13" s="35">
        <f>'Client Data'!BF6</f>
        <v>0.21</v>
      </c>
      <c r="F13" s="35">
        <f>'Client Data'!BG6</f>
        <v>0.22</v>
      </c>
      <c r="G13" s="35">
        <f>'Client Data'!BH6</f>
        <v>21</v>
      </c>
      <c r="H13" s="35">
        <f>'Client Data'!BI6</f>
        <v>8.5</v>
      </c>
      <c r="I13" s="35">
        <f>'Client Data'!BJ6</f>
        <v>8</v>
      </c>
      <c r="J13" s="116">
        <f>'Client Data'!BK6</f>
        <v>0.99978999999999996</v>
      </c>
      <c r="K13" s="117">
        <f t="shared" si="0"/>
        <v>2.1000000000004349E-4</v>
      </c>
      <c r="L13" s="43">
        <f t="shared" si="1"/>
        <v>248</v>
      </c>
      <c r="M13" s="43">
        <f t="shared" si="2"/>
        <v>104.16000000002157</v>
      </c>
      <c r="N13" s="35">
        <f>'Client Data'!BL6</f>
        <v>1</v>
      </c>
      <c r="O13" s="43">
        <f t="shared" si="3"/>
        <v>496000</v>
      </c>
      <c r="P13" s="43">
        <f t="shared" si="4"/>
        <v>5456000</v>
      </c>
      <c r="Q13" s="116">
        <f>'Client Data'!BE55</f>
        <v>5.0000000000000001E-4</v>
      </c>
    </row>
    <row r="14" spans="2:32" x14ac:dyDescent="0.25">
      <c r="B14" s="61" t="str">
        <f>'Client Data'!B7</f>
        <v>Product E</v>
      </c>
      <c r="C14" s="79">
        <f>'Client Data'!C7</f>
        <v>10.8</v>
      </c>
      <c r="D14" s="35">
        <f>SUM('Client Data'!BD65:BD73)</f>
        <v>19.3</v>
      </c>
      <c r="E14" s="35">
        <f>'Client Data'!BF7</f>
        <v>0.23</v>
      </c>
      <c r="F14" s="35">
        <f>'Client Data'!BG7</f>
        <v>0.24</v>
      </c>
      <c r="G14" s="35">
        <f>'Client Data'!BH7</f>
        <v>23</v>
      </c>
      <c r="H14" s="35">
        <f>'Client Data'!BI7</f>
        <v>8</v>
      </c>
      <c r="I14" s="35">
        <f>'Client Data'!BJ7</f>
        <v>7.8</v>
      </c>
      <c r="J14" s="116">
        <f>'Client Data'!BK7</f>
        <v>0.99975999999999998</v>
      </c>
      <c r="K14" s="117">
        <f t="shared" si="0"/>
        <v>2.4000000000001798E-4</v>
      </c>
      <c r="L14" s="43">
        <f t="shared" si="1"/>
        <v>176</v>
      </c>
      <c r="M14" s="43">
        <f t="shared" si="2"/>
        <v>105.60000000000791</v>
      </c>
      <c r="N14" s="35">
        <f>'Client Data'!BL7</f>
        <v>2</v>
      </c>
      <c r="O14" s="43">
        <f t="shared" si="3"/>
        <v>440000</v>
      </c>
      <c r="P14" s="43">
        <f t="shared" si="4"/>
        <v>4752000</v>
      </c>
      <c r="Q14" s="116">
        <f>'Client Data'!BE65</f>
        <v>4.0000000000000002E-4</v>
      </c>
    </row>
    <row r="15" spans="2:32" x14ac:dyDescent="0.25">
      <c r="B15" s="61" t="str">
        <f>'Client Data'!B8</f>
        <v>Product F</v>
      </c>
      <c r="C15" s="79">
        <f>'Client Data'!C8</f>
        <v>10.5</v>
      </c>
      <c r="D15" s="35">
        <f>SUM('Client Data'!BD75:BD83)</f>
        <v>19.8</v>
      </c>
      <c r="E15" s="35">
        <f>'Client Data'!BF8</f>
        <v>0.24</v>
      </c>
      <c r="F15" s="35">
        <f>'Client Data'!BG8</f>
        <v>0.25</v>
      </c>
      <c r="G15" s="35">
        <f>'Client Data'!BH8</f>
        <v>22</v>
      </c>
      <c r="H15" s="35">
        <f>'Client Data'!BI8</f>
        <v>9</v>
      </c>
      <c r="I15" s="35">
        <f>'Client Data'!BJ8</f>
        <v>7.9</v>
      </c>
      <c r="J15" s="116">
        <f>'Client Data'!BK8</f>
        <v>0.99973000000000001</v>
      </c>
      <c r="K15" s="117">
        <f t="shared" si="0"/>
        <v>2.6999999999999247E-4</v>
      </c>
      <c r="L15" s="43">
        <f t="shared" si="1"/>
        <v>138.80000000000001</v>
      </c>
      <c r="M15" s="43">
        <f t="shared" si="2"/>
        <v>93.689999999997383</v>
      </c>
      <c r="N15" s="35">
        <f>'Client Data'!BL8</f>
        <v>1</v>
      </c>
      <c r="O15" s="43">
        <f t="shared" si="3"/>
        <v>347000</v>
      </c>
      <c r="P15" s="43">
        <f t="shared" si="4"/>
        <v>3643500</v>
      </c>
      <c r="Q15" s="116">
        <f>'Client Data'!BE75</f>
        <v>4.0000000000000002E-4</v>
      </c>
    </row>
    <row r="16" spans="2:32" x14ac:dyDescent="0.25">
      <c r="B16" s="61" t="str">
        <f>'Client Data'!B9</f>
        <v>Product G</v>
      </c>
      <c r="C16" s="79">
        <f>'Client Data'!C9</f>
        <v>9</v>
      </c>
      <c r="D16" s="35">
        <f>SUM('Client Data'!BD85:BD93)</f>
        <v>18.399999999999999</v>
      </c>
      <c r="E16" s="35">
        <f>'Client Data'!BF9</f>
        <v>0.22</v>
      </c>
      <c r="F16" s="35">
        <f>'Client Data'!BG9</f>
        <v>0.25</v>
      </c>
      <c r="G16" s="35">
        <f>'Client Data'!BH9</f>
        <v>24</v>
      </c>
      <c r="H16" s="35">
        <f>'Client Data'!BI9</f>
        <v>6.9</v>
      </c>
      <c r="I16" s="35">
        <f>'Client Data'!BJ9</f>
        <v>8</v>
      </c>
      <c r="J16" s="116">
        <f>'Client Data'!BK9</f>
        <v>0.99978</v>
      </c>
      <c r="K16" s="117">
        <f t="shared" si="0"/>
        <v>2.1999999999999797E-4</v>
      </c>
      <c r="L16" s="43">
        <f t="shared" si="1"/>
        <v>91.2</v>
      </c>
      <c r="M16" s="43">
        <f t="shared" si="2"/>
        <v>50.159999999999542</v>
      </c>
      <c r="N16" s="35">
        <f>'Client Data'!BL9</f>
        <v>2</v>
      </c>
      <c r="O16" s="43">
        <f t="shared" si="3"/>
        <v>228000</v>
      </c>
      <c r="P16" s="43">
        <f t="shared" si="4"/>
        <v>2052000</v>
      </c>
      <c r="Q16" s="116">
        <f>'Client Data'!BE85</f>
        <v>4.0000000000000002E-4</v>
      </c>
    </row>
    <row r="17" spans="2:17" x14ac:dyDescent="0.25">
      <c r="B17" s="61" t="str">
        <f>'Client Data'!B10</f>
        <v>Product H</v>
      </c>
      <c r="C17" s="79">
        <f>'Client Data'!C10</f>
        <v>9.1999999999999993</v>
      </c>
      <c r="D17" s="35">
        <f>SUM('Client Data'!BD95:BD103)</f>
        <v>15.7</v>
      </c>
      <c r="E17" s="35">
        <f>'Client Data'!BF10</f>
        <v>0.25</v>
      </c>
      <c r="F17" s="35">
        <f>'Client Data'!BG10</f>
        <v>0.22</v>
      </c>
      <c r="G17" s="35">
        <f>'Client Data'!BH10</f>
        <v>26</v>
      </c>
      <c r="H17" s="35">
        <f>'Client Data'!BI10</f>
        <v>7.8</v>
      </c>
      <c r="I17" s="35">
        <f>'Client Data'!BJ10</f>
        <v>7.5</v>
      </c>
      <c r="J17" s="116">
        <f>'Client Data'!BK10</f>
        <v>0.99975999999999998</v>
      </c>
      <c r="K17" s="117">
        <f t="shared" si="0"/>
        <v>2.4000000000001798E-4</v>
      </c>
      <c r="L17" s="43">
        <f t="shared" si="1"/>
        <v>27.599999999999998</v>
      </c>
      <c r="M17" s="43">
        <f t="shared" si="2"/>
        <v>22.080000000001654</v>
      </c>
      <c r="N17" s="35">
        <f>'Client Data'!BL10</f>
        <v>1</v>
      </c>
      <c r="O17" s="43">
        <f t="shared" si="3"/>
        <v>92000</v>
      </c>
      <c r="P17" s="43">
        <f t="shared" si="4"/>
        <v>846399.99999999988</v>
      </c>
      <c r="Q17" s="116">
        <f>'Client Data'!BE95</f>
        <v>2.9999999999999997E-4</v>
      </c>
    </row>
    <row r="18" spans="2:17" x14ac:dyDescent="0.25">
      <c r="B18" s="61">
        <f>'Client Data'!B11</f>
        <v>0</v>
      </c>
      <c r="C18" s="79">
        <f>'Client Data'!C11</f>
        <v>0</v>
      </c>
      <c r="D18" s="35"/>
      <c r="E18" s="35"/>
      <c r="F18" s="35"/>
      <c r="G18" s="35"/>
      <c r="H18" s="35"/>
      <c r="I18" s="35"/>
      <c r="J18" s="116">
        <v>0</v>
      </c>
      <c r="K18" s="117">
        <f t="shared" si="0"/>
        <v>1</v>
      </c>
      <c r="L18" s="43"/>
      <c r="M18" s="43"/>
      <c r="N18" s="35"/>
      <c r="O18" s="43"/>
      <c r="P18" s="43"/>
      <c r="Q18" s="35"/>
    </row>
    <row r="19" spans="2:17" x14ac:dyDescent="0.25">
      <c r="B19" s="61">
        <f>'Client Data'!B12</f>
        <v>0</v>
      </c>
      <c r="C19" s="79">
        <f>'Client Data'!C12</f>
        <v>0</v>
      </c>
      <c r="D19" s="35"/>
      <c r="E19" s="35"/>
      <c r="F19" s="35"/>
      <c r="G19" s="35"/>
      <c r="H19" s="35"/>
      <c r="I19" s="35"/>
      <c r="J19" s="116">
        <v>0</v>
      </c>
      <c r="K19" s="117">
        <f t="shared" si="0"/>
        <v>1</v>
      </c>
      <c r="L19" s="43"/>
      <c r="M19" s="43"/>
      <c r="N19" s="35"/>
      <c r="O19" s="43"/>
      <c r="P19" s="43"/>
      <c r="Q19" s="35"/>
    </row>
    <row r="20" spans="2:17" x14ac:dyDescent="0.25">
      <c r="B20" s="61">
        <f>'Client Data'!B13</f>
        <v>0</v>
      </c>
      <c r="C20" s="79">
        <f>'Client Data'!C13</f>
        <v>0</v>
      </c>
      <c r="D20" s="35"/>
      <c r="E20" s="35"/>
      <c r="F20" s="35"/>
      <c r="G20" s="35"/>
      <c r="H20" s="35"/>
      <c r="I20" s="35"/>
      <c r="J20" s="116">
        <v>0</v>
      </c>
      <c r="K20" s="117">
        <f t="shared" si="0"/>
        <v>1</v>
      </c>
      <c r="L20" s="43"/>
      <c r="M20" s="43"/>
      <c r="N20" s="35"/>
      <c r="O20" s="43"/>
      <c r="P20" s="43"/>
      <c r="Q20" s="35"/>
    </row>
    <row r="21" spans="2:17" x14ac:dyDescent="0.25">
      <c r="B21" s="61">
        <f>'Client Data'!B14</f>
        <v>0</v>
      </c>
      <c r="C21" s="79">
        <f>'Client Data'!C14</f>
        <v>0</v>
      </c>
      <c r="D21" s="35"/>
      <c r="E21" s="35"/>
      <c r="F21" s="35"/>
      <c r="G21" s="35"/>
      <c r="H21" s="35"/>
      <c r="I21" s="35"/>
      <c r="J21" s="116">
        <v>0</v>
      </c>
      <c r="K21" s="117">
        <f t="shared" si="0"/>
        <v>1</v>
      </c>
      <c r="L21" s="43"/>
      <c r="M21" s="43"/>
      <c r="N21" s="35"/>
      <c r="O21" s="43"/>
      <c r="P21" s="43"/>
      <c r="Q21" s="35"/>
    </row>
    <row r="22" spans="2:17" x14ac:dyDescent="0.25">
      <c r="B22" s="61">
        <f>'Client Data'!B15</f>
        <v>0</v>
      </c>
      <c r="C22" s="79">
        <f>'Client Data'!C15</f>
        <v>0</v>
      </c>
      <c r="D22" s="35"/>
      <c r="E22" s="35"/>
      <c r="F22" s="35"/>
      <c r="G22" s="35"/>
      <c r="H22" s="35"/>
      <c r="I22" s="35"/>
      <c r="J22" s="116">
        <v>0</v>
      </c>
      <c r="K22" s="117">
        <f t="shared" si="0"/>
        <v>1</v>
      </c>
      <c r="L22" s="43"/>
      <c r="M22" s="43"/>
      <c r="N22" s="35"/>
      <c r="O22" s="43"/>
      <c r="P22" s="43"/>
      <c r="Q22" s="35"/>
    </row>
    <row r="23" spans="2:17" x14ac:dyDescent="0.25">
      <c r="B23" s="61">
        <f>'Client Data'!B16</f>
        <v>0</v>
      </c>
      <c r="C23" s="79">
        <f>'Client Data'!C16</f>
        <v>0</v>
      </c>
      <c r="D23" s="35"/>
      <c r="E23" s="35"/>
      <c r="F23" s="35"/>
      <c r="G23" s="35"/>
      <c r="H23" s="35"/>
      <c r="I23" s="35"/>
      <c r="J23" s="116">
        <v>0</v>
      </c>
      <c r="K23" s="117">
        <f t="shared" si="0"/>
        <v>1</v>
      </c>
      <c r="L23" s="43"/>
      <c r="M23" s="43"/>
      <c r="N23" s="35"/>
      <c r="O23" s="43"/>
      <c r="P23" s="43"/>
      <c r="Q23" s="35"/>
    </row>
    <row r="24" spans="2:17" x14ac:dyDescent="0.25">
      <c r="B24" s="61">
        <f>'Client Data'!B17</f>
        <v>0</v>
      </c>
      <c r="C24" s="79">
        <f>'Client Data'!C17</f>
        <v>0</v>
      </c>
      <c r="D24" s="35"/>
      <c r="E24" s="35"/>
      <c r="F24" s="35"/>
      <c r="G24" s="35"/>
      <c r="H24" s="35"/>
      <c r="I24" s="35"/>
      <c r="J24" s="116">
        <v>0</v>
      </c>
      <c r="K24" s="117">
        <f t="shared" si="0"/>
        <v>1</v>
      </c>
      <c r="L24" s="43"/>
      <c r="M24" s="43"/>
      <c r="N24" s="35"/>
      <c r="O24" s="43"/>
      <c r="P24" s="43"/>
      <c r="Q24" s="35"/>
    </row>
    <row r="25" spans="2:17" x14ac:dyDescent="0.25">
      <c r="B25" s="61">
        <f>'Client Data'!B18</f>
        <v>0</v>
      </c>
      <c r="C25" s="79">
        <f>'Client Data'!C18</f>
        <v>0</v>
      </c>
      <c r="D25" s="35"/>
      <c r="E25" s="35"/>
      <c r="F25" s="35"/>
      <c r="G25" s="35"/>
      <c r="H25" s="35"/>
      <c r="I25" s="35"/>
      <c r="J25" s="116">
        <v>0</v>
      </c>
      <c r="K25" s="117">
        <f t="shared" si="0"/>
        <v>1</v>
      </c>
      <c r="L25" s="43"/>
      <c r="M25" s="43"/>
      <c r="N25" s="35"/>
      <c r="O25" s="43"/>
      <c r="P25" s="43"/>
      <c r="Q25" s="35"/>
    </row>
    <row r="26" spans="2:17" x14ac:dyDescent="0.25">
      <c r="B26" s="61">
        <f>'Client Data'!B19</f>
        <v>0</v>
      </c>
      <c r="C26" s="79">
        <f>'Client Data'!C19</f>
        <v>0</v>
      </c>
      <c r="D26" s="35"/>
      <c r="E26" s="35"/>
      <c r="F26" s="35"/>
      <c r="G26" s="35"/>
      <c r="H26" s="35"/>
      <c r="I26" s="35"/>
      <c r="J26" s="116">
        <v>0</v>
      </c>
      <c r="K26" s="117">
        <f t="shared" si="0"/>
        <v>1</v>
      </c>
      <c r="L26" s="43"/>
      <c r="M26" s="43"/>
      <c r="N26" s="35"/>
      <c r="O26" s="43"/>
      <c r="P26" s="43"/>
      <c r="Q26" s="35"/>
    </row>
    <row r="27" spans="2:17" x14ac:dyDescent="0.25">
      <c r="B27" s="61">
        <f>'Client Data'!B20</f>
        <v>0</v>
      </c>
      <c r="C27" s="79">
        <f>'Client Data'!C20</f>
        <v>0</v>
      </c>
      <c r="D27" s="35"/>
      <c r="E27" s="35"/>
      <c r="F27" s="35"/>
      <c r="G27" s="35"/>
      <c r="H27" s="35"/>
      <c r="I27" s="35"/>
      <c r="J27" s="116">
        <v>0</v>
      </c>
      <c r="K27" s="117">
        <f t="shared" si="0"/>
        <v>1</v>
      </c>
      <c r="L27" s="43"/>
      <c r="M27" s="43"/>
      <c r="N27" s="35"/>
      <c r="O27" s="43"/>
      <c r="P27" s="43"/>
      <c r="Q27" s="35"/>
    </row>
    <row r="28" spans="2:17" x14ac:dyDescent="0.25">
      <c r="B28" s="61">
        <f>'Client Data'!B21</f>
        <v>0</v>
      </c>
      <c r="C28" s="79">
        <f>'Client Data'!C21</f>
        <v>0</v>
      </c>
      <c r="D28" s="35"/>
      <c r="E28" s="35"/>
      <c r="F28" s="35"/>
      <c r="G28" s="35"/>
      <c r="H28" s="35"/>
      <c r="I28" s="35"/>
      <c r="J28" s="116">
        <v>0</v>
      </c>
      <c r="K28" s="117">
        <f t="shared" si="0"/>
        <v>1</v>
      </c>
      <c r="L28" s="43"/>
      <c r="M28" s="43"/>
      <c r="N28" s="35"/>
      <c r="O28" s="43"/>
      <c r="P28" s="43"/>
      <c r="Q28" s="35"/>
    </row>
    <row r="29" spans="2:17" x14ac:dyDescent="0.25">
      <c r="B29" s="61">
        <f>'Client Data'!B22</f>
        <v>0</v>
      </c>
      <c r="C29" s="79">
        <f>'Client Data'!C22</f>
        <v>0</v>
      </c>
      <c r="D29" s="35"/>
      <c r="E29" s="35"/>
      <c r="F29" s="35"/>
      <c r="G29" s="35"/>
      <c r="H29" s="35"/>
      <c r="I29" s="35"/>
      <c r="J29" s="116">
        <v>0</v>
      </c>
      <c r="K29" s="117">
        <f t="shared" si="0"/>
        <v>1</v>
      </c>
      <c r="L29" s="43"/>
      <c r="M29" s="43"/>
      <c r="N29" s="35"/>
      <c r="O29" s="43"/>
      <c r="P29" s="43"/>
      <c r="Q29" s="35"/>
    </row>
    <row r="32" spans="2:17" ht="27" thickBot="1" x14ac:dyDescent="0.45">
      <c r="B32" s="32" t="s">
        <v>56</v>
      </c>
    </row>
    <row r="33" spans="2:31" ht="21.75" thickBot="1" x14ac:dyDescent="0.4">
      <c r="B33" s="137" t="s">
        <v>0</v>
      </c>
      <c r="C33" s="196" t="s">
        <v>1</v>
      </c>
      <c r="D33" s="196"/>
      <c r="E33" s="196"/>
      <c r="F33" s="196"/>
      <c r="G33" s="142" t="s">
        <v>2</v>
      </c>
      <c r="H33" s="196" t="s">
        <v>377</v>
      </c>
      <c r="I33" s="196"/>
      <c r="J33" s="196"/>
      <c r="K33" s="196" t="s">
        <v>378</v>
      </c>
      <c r="L33" s="196"/>
      <c r="M33" s="196"/>
      <c r="N33" s="196" t="s">
        <v>5</v>
      </c>
      <c r="O33" s="196"/>
      <c r="P33" s="196"/>
      <c r="Q33" s="142" t="s">
        <v>379</v>
      </c>
      <c r="R33" s="204" t="s">
        <v>387</v>
      </c>
      <c r="S33" s="204"/>
      <c r="T33" s="204"/>
      <c r="U33" s="196" t="s">
        <v>388</v>
      </c>
      <c r="V33" s="196"/>
      <c r="W33" s="196"/>
      <c r="X33" s="196" t="s">
        <v>389</v>
      </c>
      <c r="Y33" s="196"/>
      <c r="Z33" s="196"/>
      <c r="AA33" s="196" t="s">
        <v>390</v>
      </c>
      <c r="AB33" s="196"/>
      <c r="AC33" s="196"/>
      <c r="AD33" s="196" t="s">
        <v>229</v>
      </c>
      <c r="AE33" s="196"/>
    </row>
    <row r="34" spans="2:31" ht="21" x14ac:dyDescent="0.35">
      <c r="B34" s="138" t="s">
        <v>19</v>
      </c>
      <c r="C34" s="205" t="s">
        <v>7</v>
      </c>
      <c r="D34" s="205"/>
      <c r="E34" s="205"/>
      <c r="F34" s="205"/>
      <c r="G34" s="142" t="s">
        <v>375</v>
      </c>
      <c r="H34" s="196">
        <f>M2</f>
        <v>0</v>
      </c>
      <c r="I34" s="196"/>
      <c r="J34" s="196"/>
      <c r="K34" s="196">
        <f>M5</f>
        <v>167.09999999999997</v>
      </c>
      <c r="L34" s="196"/>
      <c r="M34" s="196"/>
      <c r="N34" s="196">
        <f>H34-K34</f>
        <v>-167.09999999999997</v>
      </c>
      <c r="O34" s="196"/>
      <c r="P34" s="196"/>
      <c r="Q34" s="142">
        <f>IF(N34&lt;0,1,0)</f>
        <v>1</v>
      </c>
      <c r="R34" s="196">
        <f>IF(Q34&gt;0,N34*(-1),0)</f>
        <v>167.09999999999997</v>
      </c>
      <c r="S34" s="196"/>
      <c r="T34" s="196"/>
      <c r="U34" s="203">
        <f>R6</f>
        <v>2573.6832423362025</v>
      </c>
      <c r="V34" s="196"/>
      <c r="W34" s="196"/>
      <c r="X34" s="203">
        <f t="shared" ref="X34:X35" si="5">R34*U34</f>
        <v>430062.46979437937</v>
      </c>
      <c r="Y34" s="196"/>
      <c r="Z34" s="196"/>
      <c r="AA34" s="197">
        <f t="shared" ref="AA34:AA35" si="6">C$3/52*5*X34</f>
        <v>2150312.3489718968</v>
      </c>
      <c r="AB34" s="198"/>
      <c r="AC34" s="199"/>
      <c r="AD34" s="196" t="b">
        <f>IF(X34=BC88,TRUE,FALSE)</f>
        <v>1</v>
      </c>
      <c r="AE34" s="196"/>
    </row>
    <row r="35" spans="2:31" ht="21" x14ac:dyDescent="0.35">
      <c r="B35" s="139" t="s">
        <v>362</v>
      </c>
      <c r="C35" s="205" t="s">
        <v>363</v>
      </c>
      <c r="D35" s="205"/>
      <c r="E35" s="205"/>
      <c r="F35" s="205"/>
      <c r="G35" s="142" t="s">
        <v>375</v>
      </c>
      <c r="H35" s="196">
        <f>M6</f>
        <v>0</v>
      </c>
      <c r="I35" s="196"/>
      <c r="J35" s="196"/>
      <c r="K35" s="196">
        <f>H6</f>
        <v>363.7</v>
      </c>
      <c r="L35" s="196"/>
      <c r="M35" s="196"/>
      <c r="N35" s="196">
        <f t="shared" ref="N35:N43" si="7">H35-K35</f>
        <v>-363.7</v>
      </c>
      <c r="O35" s="196"/>
      <c r="P35" s="196"/>
      <c r="Q35" s="142">
        <f t="shared" ref="Q35:Q43" si="8">IF(N35&lt;0,1,0)</f>
        <v>1</v>
      </c>
      <c r="R35" s="196">
        <f t="shared" ref="R35:R43" si="9">IF(Q35&gt;0,N35*(-1),0)</f>
        <v>363.7</v>
      </c>
      <c r="S35" s="196"/>
      <c r="T35" s="196"/>
      <c r="U35" s="203">
        <f>BC265/SUM(BC249:BC256)</f>
        <v>2575.5783723715981</v>
      </c>
      <c r="V35" s="196"/>
      <c r="W35" s="196"/>
      <c r="X35" s="203">
        <f t="shared" si="5"/>
        <v>936737.85403155023</v>
      </c>
      <c r="Y35" s="196"/>
      <c r="Z35" s="196"/>
      <c r="AA35" s="197">
        <f t="shared" si="6"/>
        <v>4683689.2701577507</v>
      </c>
      <c r="AB35" s="198"/>
      <c r="AC35" s="199"/>
      <c r="AD35" s="196" t="b">
        <f>IF(X35=BC91,TRUE,FALSE)</f>
        <v>1</v>
      </c>
      <c r="AE35" s="196"/>
    </row>
    <row r="36" spans="2:31" ht="21" x14ac:dyDescent="0.35">
      <c r="B36" s="139" t="s">
        <v>289</v>
      </c>
      <c r="C36" s="205" t="s">
        <v>364</v>
      </c>
      <c r="D36" s="205"/>
      <c r="E36" s="205"/>
      <c r="F36" s="205"/>
      <c r="G36" s="142" t="s">
        <v>374</v>
      </c>
      <c r="H36" s="206">
        <f>M3</f>
        <v>2.4645547945206179E-4</v>
      </c>
      <c r="I36" s="206"/>
      <c r="J36" s="206"/>
      <c r="K36" s="206">
        <f>BC68/AE3</f>
        <v>4.5034246575342466E-4</v>
      </c>
      <c r="L36" s="206"/>
      <c r="M36" s="206"/>
      <c r="N36" s="206">
        <f t="shared" si="7"/>
        <v>-2.0388698630136287E-4</v>
      </c>
      <c r="O36" s="206"/>
      <c r="P36" s="206"/>
      <c r="Q36" s="142">
        <f t="shared" si="8"/>
        <v>1</v>
      </c>
      <c r="R36" s="196">
        <f>IF(Q36&gt;0,N36*(-1)*AE3,0)</f>
        <v>476.27999999998366</v>
      </c>
      <c r="S36" s="196"/>
      <c r="T36" s="196"/>
      <c r="U36" s="203">
        <f>R5</f>
        <v>16.051252426735722</v>
      </c>
      <c r="V36" s="203"/>
      <c r="W36" s="203"/>
      <c r="X36" s="203">
        <f>R36*U36</f>
        <v>7644.8905058054279</v>
      </c>
      <c r="Y36" s="196"/>
      <c r="Z36" s="196"/>
      <c r="AA36" s="197">
        <f>C$3/52*5*X36</f>
        <v>38224.452529027141</v>
      </c>
      <c r="AB36" s="198"/>
      <c r="AC36" s="199"/>
      <c r="AD36" s="196" t="b">
        <f>IF(X36=BC453,TRUE,FALSE)</f>
        <v>1</v>
      </c>
      <c r="AE36" s="196"/>
    </row>
    <row r="37" spans="2:31" ht="21" x14ac:dyDescent="0.35">
      <c r="B37" s="139" t="s">
        <v>290</v>
      </c>
      <c r="C37" s="205" t="s">
        <v>365</v>
      </c>
      <c r="D37" s="205"/>
      <c r="E37" s="205"/>
      <c r="F37" s="205"/>
      <c r="G37" s="142" t="s">
        <v>374</v>
      </c>
      <c r="H37" s="206">
        <f>M4</f>
        <v>4.1862157534246577E-4</v>
      </c>
      <c r="I37" s="206"/>
      <c r="J37" s="206"/>
      <c r="K37" s="206">
        <f>BC75/AE3</f>
        <v>2.1592465753424656E-3</v>
      </c>
      <c r="L37" s="206"/>
      <c r="M37" s="206"/>
      <c r="N37" s="206">
        <f t="shared" si="7"/>
        <v>-1.7406249999999998E-3</v>
      </c>
      <c r="O37" s="206"/>
      <c r="P37" s="206"/>
      <c r="Q37" s="142">
        <f t="shared" si="8"/>
        <v>1</v>
      </c>
      <c r="R37" s="196">
        <f>IF(Q37&gt;0,N37*(-1)*AE3,0)</f>
        <v>4066.0999999999995</v>
      </c>
      <c r="S37" s="196"/>
      <c r="T37" s="196"/>
      <c r="U37" s="203">
        <f>W3</f>
        <v>14.745327583187438</v>
      </c>
      <c r="V37" s="196"/>
      <c r="W37" s="196"/>
      <c r="X37" s="203">
        <f>R37*U37</f>
        <v>59955.976485998435</v>
      </c>
      <c r="Y37" s="196"/>
      <c r="Z37" s="196"/>
      <c r="AA37" s="197">
        <f>C$3/52*5*X37</f>
        <v>299779.8824299922</v>
      </c>
      <c r="AB37" s="198"/>
      <c r="AC37" s="199"/>
      <c r="AD37" s="196" t="b">
        <f>IF(X37=BC722,TRUE,FALSE)</f>
        <v>1</v>
      </c>
      <c r="AE37" s="196"/>
    </row>
    <row r="38" spans="2:31" ht="21" x14ac:dyDescent="0.35">
      <c r="B38" s="139" t="s">
        <v>44</v>
      </c>
      <c r="C38" s="205" t="s">
        <v>366</v>
      </c>
      <c r="D38" s="205"/>
      <c r="E38" s="205"/>
      <c r="F38" s="205"/>
      <c r="G38" s="142" t="s">
        <v>372</v>
      </c>
      <c r="H38" s="207">
        <f>SUM(P10:P29)/AE3</f>
        <v>10.163998287671232</v>
      </c>
      <c r="I38" s="207"/>
      <c r="J38" s="207"/>
      <c r="K38" s="207">
        <f>C6*60*60/AE3</f>
        <v>12.644999999999998</v>
      </c>
      <c r="L38" s="207"/>
      <c r="M38" s="207"/>
      <c r="N38" s="207">
        <f t="shared" ref="N38" si="10">H38-K38</f>
        <v>-2.4810017123287658</v>
      </c>
      <c r="O38" s="207"/>
      <c r="P38" s="207"/>
      <c r="Q38" s="142">
        <f t="shared" si="8"/>
        <v>1</v>
      </c>
      <c r="R38" s="196">
        <f>IF(Q38&gt;0,N38*(-1)*AE3/(60*60),0)</f>
        <v>1609.8944444444437</v>
      </c>
      <c r="S38" s="196"/>
      <c r="T38" s="196"/>
      <c r="U38" s="203">
        <f>AE4</f>
        <v>2519.209856612048</v>
      </c>
      <c r="V38" s="196"/>
      <c r="W38" s="196"/>
      <c r="X38" s="203">
        <f>R38*U38</f>
        <v>4055661.9525494198</v>
      </c>
      <c r="Y38" s="196"/>
      <c r="Z38" s="196"/>
      <c r="AA38" s="197">
        <f>C$3/52*5*X38</f>
        <v>20278309.762747098</v>
      </c>
      <c r="AB38" s="198"/>
      <c r="AC38" s="199"/>
      <c r="AD38" s="196" t="b">
        <f>IF(X38=BC311,TRUE,FALSE)</f>
        <v>1</v>
      </c>
      <c r="AE38" s="196"/>
    </row>
    <row r="39" spans="2:31" ht="21" x14ac:dyDescent="0.35">
      <c r="B39" s="139" t="s">
        <v>66</v>
      </c>
      <c r="C39" s="205" t="s">
        <v>367</v>
      </c>
      <c r="D39" s="205"/>
      <c r="E39" s="205"/>
      <c r="F39" s="205"/>
      <c r="G39" s="142" t="s">
        <v>375</v>
      </c>
      <c r="H39" s="196">
        <f>SUM(P10:P29)/60/60*R4</f>
        <v>13190.611111111111</v>
      </c>
      <c r="I39" s="196"/>
      <c r="J39" s="196"/>
      <c r="K39" s="196">
        <f>C2*H2*H3*C3*R4</f>
        <v>17472</v>
      </c>
      <c r="L39" s="196"/>
      <c r="M39" s="196"/>
      <c r="N39" s="196">
        <f t="shared" si="7"/>
        <v>-4281.3888888888887</v>
      </c>
      <c r="O39" s="196"/>
      <c r="P39" s="196"/>
      <c r="Q39" s="142">
        <f t="shared" si="8"/>
        <v>1</v>
      </c>
      <c r="R39" s="196">
        <f t="shared" si="9"/>
        <v>4281.3888888888887</v>
      </c>
      <c r="S39" s="196"/>
      <c r="T39" s="196"/>
      <c r="U39" s="196">
        <f>AB4</f>
        <v>12</v>
      </c>
      <c r="V39" s="196"/>
      <c r="W39" s="196"/>
      <c r="X39" s="203">
        <f>R39*U39</f>
        <v>51376.666666666664</v>
      </c>
      <c r="Y39" s="196"/>
      <c r="Z39" s="196"/>
      <c r="AA39" s="197">
        <f>C$3/52*5*X39</f>
        <v>256883.33333333331</v>
      </c>
      <c r="AB39" s="198"/>
      <c r="AC39" s="199"/>
      <c r="AD39" s="196" t="b">
        <f>IF(X39=SUM(C759:BB759),TRUE,FALSE)</f>
        <v>1</v>
      </c>
      <c r="AE39" s="196"/>
    </row>
    <row r="40" spans="2:31" ht="21" x14ac:dyDescent="0.35">
      <c r="B40" s="139" t="s">
        <v>81</v>
      </c>
      <c r="C40" s="205" t="s">
        <v>368</v>
      </c>
      <c r="D40" s="205"/>
      <c r="E40" s="205"/>
      <c r="F40" s="205"/>
      <c r="G40" s="142" t="s">
        <v>82</v>
      </c>
      <c r="H40" s="196"/>
      <c r="I40" s="196"/>
      <c r="J40" s="196"/>
      <c r="K40" s="196"/>
      <c r="L40" s="196"/>
      <c r="M40" s="196"/>
      <c r="N40" s="196">
        <f t="shared" si="7"/>
        <v>0</v>
      </c>
      <c r="O40" s="196"/>
      <c r="P40" s="196"/>
      <c r="Q40" s="142">
        <f t="shared" si="8"/>
        <v>0</v>
      </c>
      <c r="R40" s="196">
        <f t="shared" si="9"/>
        <v>0</v>
      </c>
      <c r="S40" s="196"/>
      <c r="T40" s="196"/>
      <c r="U40" s="196"/>
      <c r="V40" s="196"/>
      <c r="W40" s="196"/>
      <c r="X40" s="196"/>
      <c r="Y40" s="196"/>
      <c r="Z40" s="196"/>
      <c r="AA40" s="200"/>
      <c r="AB40" s="201"/>
      <c r="AC40" s="202"/>
      <c r="AD40" s="196"/>
      <c r="AE40" s="196"/>
    </row>
    <row r="41" spans="2:31" ht="21" x14ac:dyDescent="0.35">
      <c r="B41" s="140" t="s">
        <v>72</v>
      </c>
      <c r="C41" s="205" t="s">
        <v>371</v>
      </c>
      <c r="D41" s="205"/>
      <c r="E41" s="205"/>
      <c r="F41" s="205"/>
      <c r="G41" s="142" t="s">
        <v>376</v>
      </c>
      <c r="H41" s="196">
        <f>W2</f>
        <v>0</v>
      </c>
      <c r="I41" s="196"/>
      <c r="J41" s="196"/>
      <c r="K41" s="196">
        <f>R3</f>
        <v>12</v>
      </c>
      <c r="L41" s="196"/>
      <c r="M41" s="196"/>
      <c r="N41" s="196">
        <f t="shared" si="7"/>
        <v>-12</v>
      </c>
      <c r="O41" s="196"/>
      <c r="P41" s="196"/>
      <c r="Q41" s="142">
        <f t="shared" si="8"/>
        <v>1</v>
      </c>
      <c r="R41" s="196">
        <f t="shared" si="9"/>
        <v>12</v>
      </c>
      <c r="S41" s="196"/>
      <c r="T41" s="196"/>
      <c r="U41" s="196">
        <f>R5</f>
        <v>16.051252426735722</v>
      </c>
      <c r="V41" s="196"/>
      <c r="W41" s="196"/>
      <c r="X41" s="203">
        <f>R41*U41</f>
        <v>192.61502912082867</v>
      </c>
      <c r="Y41" s="196"/>
      <c r="Z41" s="196"/>
      <c r="AA41" s="197">
        <f>C$3/52*5*X41</f>
        <v>963.07514560414336</v>
      </c>
      <c r="AB41" s="198"/>
      <c r="AC41" s="199"/>
      <c r="AD41" s="196" t="b">
        <v>1</v>
      </c>
      <c r="AE41" s="196"/>
    </row>
    <row r="42" spans="2:31" ht="21" x14ac:dyDescent="0.35">
      <c r="B42" s="139" t="s">
        <v>37</v>
      </c>
      <c r="C42" s="205" t="s">
        <v>369</v>
      </c>
      <c r="D42" s="205"/>
      <c r="E42" s="205"/>
      <c r="F42" s="205"/>
      <c r="G42" s="142" t="s">
        <v>82</v>
      </c>
      <c r="H42" s="196"/>
      <c r="I42" s="196"/>
      <c r="J42" s="196"/>
      <c r="K42" s="196"/>
      <c r="L42" s="196"/>
      <c r="M42" s="196"/>
      <c r="N42" s="196">
        <f t="shared" si="7"/>
        <v>0</v>
      </c>
      <c r="O42" s="196"/>
      <c r="P42" s="196"/>
      <c r="Q42" s="142">
        <f t="shared" si="8"/>
        <v>0</v>
      </c>
      <c r="R42" s="196">
        <f t="shared" si="9"/>
        <v>0</v>
      </c>
      <c r="S42" s="196"/>
      <c r="T42" s="196"/>
      <c r="U42" s="196"/>
      <c r="V42" s="196"/>
      <c r="W42" s="196"/>
      <c r="X42" s="196"/>
      <c r="Y42" s="196"/>
      <c r="Z42" s="196"/>
      <c r="AA42" s="200"/>
      <c r="AB42" s="201"/>
      <c r="AC42" s="202"/>
      <c r="AD42" s="196"/>
      <c r="AE42" s="196"/>
    </row>
    <row r="43" spans="2:31" ht="21.75" thickBot="1" x14ac:dyDescent="0.4">
      <c r="B43" s="141" t="s">
        <v>415</v>
      </c>
      <c r="C43" s="205" t="s">
        <v>370</v>
      </c>
      <c r="D43" s="205"/>
      <c r="E43" s="205"/>
      <c r="F43" s="205"/>
      <c r="G43" s="142" t="s">
        <v>82</v>
      </c>
      <c r="H43" s="196"/>
      <c r="I43" s="196"/>
      <c r="J43" s="196"/>
      <c r="K43" s="196"/>
      <c r="L43" s="196"/>
      <c r="M43" s="196"/>
      <c r="N43" s="196">
        <f t="shared" si="7"/>
        <v>0</v>
      </c>
      <c r="O43" s="196"/>
      <c r="P43" s="196"/>
      <c r="Q43" s="142">
        <f t="shared" si="8"/>
        <v>0</v>
      </c>
      <c r="R43" s="196">
        <f t="shared" si="9"/>
        <v>0</v>
      </c>
      <c r="S43" s="196"/>
      <c r="T43" s="196"/>
      <c r="U43" s="196"/>
      <c r="V43" s="196"/>
      <c r="W43" s="196"/>
      <c r="X43" s="196"/>
      <c r="Y43" s="196"/>
      <c r="Z43" s="196"/>
      <c r="AA43" s="200"/>
      <c r="AB43" s="201"/>
      <c r="AC43" s="202"/>
      <c r="AD43" s="196"/>
      <c r="AE43" s="196"/>
    </row>
    <row r="55" spans="2:55" x14ac:dyDescent="0.25">
      <c r="G55" t="s">
        <v>373</v>
      </c>
    </row>
    <row r="56" spans="2:55" s="1" customFormat="1" x14ac:dyDescent="0.25">
      <c r="B56" s="61" t="s">
        <v>89</v>
      </c>
      <c r="C56" s="61">
        <v>1</v>
      </c>
      <c r="D56" s="61">
        <f>C56+1</f>
        <v>2</v>
      </c>
      <c r="E56" s="61">
        <f t="shared" ref="E56:BA56" si="11">D56+1</f>
        <v>3</v>
      </c>
      <c r="F56" s="61">
        <f t="shared" si="11"/>
        <v>4</v>
      </c>
      <c r="G56" s="61">
        <f t="shared" si="11"/>
        <v>5</v>
      </c>
      <c r="H56" s="61">
        <f t="shared" si="11"/>
        <v>6</v>
      </c>
      <c r="I56" s="61">
        <f t="shared" si="11"/>
        <v>7</v>
      </c>
      <c r="J56" s="61">
        <f t="shared" si="11"/>
        <v>8</v>
      </c>
      <c r="K56" s="61">
        <f t="shared" si="11"/>
        <v>9</v>
      </c>
      <c r="L56" s="61">
        <f t="shared" si="11"/>
        <v>10</v>
      </c>
      <c r="M56" s="61">
        <f t="shared" si="11"/>
        <v>11</v>
      </c>
      <c r="N56" s="61">
        <f t="shared" si="11"/>
        <v>12</v>
      </c>
      <c r="O56" s="61">
        <f t="shared" si="11"/>
        <v>13</v>
      </c>
      <c r="P56" s="61">
        <f t="shared" si="11"/>
        <v>14</v>
      </c>
      <c r="Q56" s="61">
        <f t="shared" si="11"/>
        <v>15</v>
      </c>
      <c r="R56" s="61">
        <f t="shared" si="11"/>
        <v>16</v>
      </c>
      <c r="S56" s="61">
        <f t="shared" si="11"/>
        <v>17</v>
      </c>
      <c r="T56" s="61">
        <f t="shared" si="11"/>
        <v>18</v>
      </c>
      <c r="U56" s="61">
        <f t="shared" si="11"/>
        <v>19</v>
      </c>
      <c r="V56" s="61">
        <f t="shared" si="11"/>
        <v>20</v>
      </c>
      <c r="W56" s="61">
        <f t="shared" si="11"/>
        <v>21</v>
      </c>
      <c r="X56" s="61">
        <f t="shared" si="11"/>
        <v>22</v>
      </c>
      <c r="Y56" s="61">
        <f t="shared" si="11"/>
        <v>23</v>
      </c>
      <c r="Z56" s="61">
        <f t="shared" si="11"/>
        <v>24</v>
      </c>
      <c r="AA56" s="61">
        <f t="shared" si="11"/>
        <v>25</v>
      </c>
      <c r="AB56" s="61">
        <f t="shared" si="11"/>
        <v>26</v>
      </c>
      <c r="AC56" s="61">
        <f t="shared" si="11"/>
        <v>27</v>
      </c>
      <c r="AD56" s="61">
        <f t="shared" si="11"/>
        <v>28</v>
      </c>
      <c r="AE56" s="61">
        <f t="shared" si="11"/>
        <v>29</v>
      </c>
      <c r="AF56" s="61">
        <f t="shared" si="11"/>
        <v>30</v>
      </c>
      <c r="AG56" s="61">
        <f t="shared" si="11"/>
        <v>31</v>
      </c>
      <c r="AH56" s="61">
        <f t="shared" si="11"/>
        <v>32</v>
      </c>
      <c r="AI56" s="61">
        <f t="shared" si="11"/>
        <v>33</v>
      </c>
      <c r="AJ56" s="61">
        <f t="shared" si="11"/>
        <v>34</v>
      </c>
      <c r="AK56" s="61">
        <f t="shared" si="11"/>
        <v>35</v>
      </c>
      <c r="AL56" s="61">
        <f t="shared" si="11"/>
        <v>36</v>
      </c>
      <c r="AM56" s="61">
        <f t="shared" si="11"/>
        <v>37</v>
      </c>
      <c r="AN56" s="61">
        <f t="shared" si="11"/>
        <v>38</v>
      </c>
      <c r="AO56" s="61">
        <f t="shared" si="11"/>
        <v>39</v>
      </c>
      <c r="AP56" s="61">
        <f t="shared" si="11"/>
        <v>40</v>
      </c>
      <c r="AQ56" s="61">
        <f t="shared" si="11"/>
        <v>41</v>
      </c>
      <c r="AR56" s="61">
        <f t="shared" si="11"/>
        <v>42</v>
      </c>
      <c r="AS56" s="61">
        <f t="shared" si="11"/>
        <v>43</v>
      </c>
      <c r="AT56" s="61">
        <f t="shared" si="11"/>
        <v>44</v>
      </c>
      <c r="AU56" s="61">
        <f t="shared" si="11"/>
        <v>45</v>
      </c>
      <c r="AV56" s="61">
        <f t="shared" si="11"/>
        <v>46</v>
      </c>
      <c r="AW56" s="61">
        <f t="shared" si="11"/>
        <v>47</v>
      </c>
      <c r="AX56" s="61">
        <f t="shared" si="11"/>
        <v>48</v>
      </c>
      <c r="AY56" s="61">
        <f t="shared" si="11"/>
        <v>49</v>
      </c>
      <c r="AZ56" s="61">
        <f t="shared" si="11"/>
        <v>50</v>
      </c>
      <c r="BA56" s="61">
        <f t="shared" si="11"/>
        <v>51</v>
      </c>
      <c r="BB56" s="61">
        <f>BA56+1</f>
        <v>52</v>
      </c>
      <c r="BC56" s="61" t="s">
        <v>88</v>
      </c>
    </row>
    <row r="57" spans="2:55" x14ac:dyDescent="0.25">
      <c r="B57" s="19" t="s">
        <v>153</v>
      </c>
      <c r="C57" s="50">
        <f t="shared" ref="C57:AR57" si="12">IF(C190&gt;0,SUM(C763:C782),0)</f>
        <v>45000</v>
      </c>
      <c r="D57" s="50">
        <f t="shared" si="12"/>
        <v>48000</v>
      </c>
      <c r="E57" s="50">
        <f t="shared" si="12"/>
        <v>51000</v>
      </c>
      <c r="F57" s="50">
        <f t="shared" si="12"/>
        <v>39000</v>
      </c>
      <c r="G57" s="50">
        <f t="shared" si="12"/>
        <v>41000</v>
      </c>
      <c r="H57" s="50">
        <f t="shared" si="12"/>
        <v>43000</v>
      </c>
      <c r="I57" s="50">
        <f t="shared" si="12"/>
        <v>45000</v>
      </c>
      <c r="J57" s="50">
        <f t="shared" si="12"/>
        <v>48000</v>
      </c>
      <c r="K57" s="50">
        <f t="shared" si="12"/>
        <v>51000</v>
      </c>
      <c r="L57" s="50">
        <f t="shared" si="12"/>
        <v>39000</v>
      </c>
      <c r="M57" s="50">
        <f t="shared" si="12"/>
        <v>41000</v>
      </c>
      <c r="N57" s="50">
        <f t="shared" si="12"/>
        <v>43000</v>
      </c>
      <c r="O57" s="50">
        <f t="shared" si="12"/>
        <v>45000</v>
      </c>
      <c r="P57" s="50">
        <f t="shared" si="12"/>
        <v>48000</v>
      </c>
      <c r="Q57" s="50">
        <f t="shared" si="12"/>
        <v>51000</v>
      </c>
      <c r="R57" s="50">
        <f t="shared" si="12"/>
        <v>39000</v>
      </c>
      <c r="S57" s="50">
        <f t="shared" si="12"/>
        <v>41000</v>
      </c>
      <c r="T57" s="50">
        <f t="shared" si="12"/>
        <v>43000</v>
      </c>
      <c r="U57" s="50">
        <f t="shared" si="12"/>
        <v>45000</v>
      </c>
      <c r="V57" s="50">
        <f t="shared" si="12"/>
        <v>48000</v>
      </c>
      <c r="W57" s="50">
        <f t="shared" si="12"/>
        <v>51000</v>
      </c>
      <c r="X57" s="50">
        <f t="shared" si="12"/>
        <v>39000</v>
      </c>
      <c r="Y57" s="50">
        <f t="shared" si="12"/>
        <v>41000</v>
      </c>
      <c r="Z57" s="50">
        <f t="shared" si="12"/>
        <v>43000</v>
      </c>
      <c r="AA57" s="50">
        <f t="shared" si="12"/>
        <v>45000</v>
      </c>
      <c r="AB57" s="50">
        <f t="shared" si="12"/>
        <v>48000</v>
      </c>
      <c r="AC57" s="50">
        <f t="shared" si="12"/>
        <v>51000</v>
      </c>
      <c r="AD57" s="50">
        <f t="shared" si="12"/>
        <v>39000</v>
      </c>
      <c r="AE57" s="50">
        <f t="shared" si="12"/>
        <v>41000</v>
      </c>
      <c r="AF57" s="50">
        <f t="shared" si="12"/>
        <v>43000</v>
      </c>
      <c r="AG57" s="50">
        <f t="shared" si="12"/>
        <v>45000</v>
      </c>
      <c r="AH57" s="50">
        <f t="shared" si="12"/>
        <v>48000</v>
      </c>
      <c r="AI57" s="50">
        <f t="shared" si="12"/>
        <v>51000</v>
      </c>
      <c r="AJ57" s="50">
        <f t="shared" si="12"/>
        <v>39000</v>
      </c>
      <c r="AK57" s="50">
        <f t="shared" si="12"/>
        <v>41000</v>
      </c>
      <c r="AL57" s="50">
        <f t="shared" si="12"/>
        <v>43000</v>
      </c>
      <c r="AM57" s="50">
        <f t="shared" si="12"/>
        <v>45000</v>
      </c>
      <c r="AN57" s="50">
        <f t="shared" si="12"/>
        <v>48000</v>
      </c>
      <c r="AO57" s="50">
        <f t="shared" si="12"/>
        <v>51000</v>
      </c>
      <c r="AP57" s="50">
        <f t="shared" si="12"/>
        <v>39000</v>
      </c>
      <c r="AQ57" s="50">
        <f t="shared" si="12"/>
        <v>41000</v>
      </c>
      <c r="AR57" s="50">
        <f t="shared" si="12"/>
        <v>43000</v>
      </c>
      <c r="AS57" s="50">
        <f>IF(AS190&gt;0,SUM(AS763:AS770),0)</f>
        <v>50000</v>
      </c>
      <c r="AT57" s="50">
        <f t="shared" ref="AT57:BB57" si="13">IF(AT190&gt;0,SUM(AT763:AT782),0)</f>
        <v>50000</v>
      </c>
      <c r="AU57" s="50">
        <f t="shared" si="13"/>
        <v>50000</v>
      </c>
      <c r="AV57" s="50">
        <f t="shared" si="13"/>
        <v>50000</v>
      </c>
      <c r="AW57" s="50">
        <f t="shared" si="13"/>
        <v>45000</v>
      </c>
      <c r="AX57" s="50">
        <f t="shared" si="13"/>
        <v>48000</v>
      </c>
      <c r="AY57" s="50">
        <f t="shared" si="13"/>
        <v>51000</v>
      </c>
      <c r="AZ57" s="50">
        <f t="shared" si="13"/>
        <v>39000</v>
      </c>
      <c r="BA57" s="50">
        <f t="shared" si="13"/>
        <v>41000</v>
      </c>
      <c r="BB57" s="50">
        <f t="shared" si="13"/>
        <v>43000</v>
      </c>
      <c r="BC57" s="86">
        <f>SUM(C57:BB57)</f>
        <v>2336000</v>
      </c>
    </row>
    <row r="58" spans="2:55" x14ac:dyDescent="0.25">
      <c r="B58" s="19" t="s">
        <v>154</v>
      </c>
      <c r="C58" s="208">
        <f>IF(O190&gt;0,SUM(C57:O57),0)</f>
        <v>579000</v>
      </c>
      <c r="D58" s="208"/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>
        <f>IF(AB190&gt;0,SUM(P57:AB57),0)</f>
        <v>582000</v>
      </c>
      <c r="Q58" s="208"/>
      <c r="R58" s="208"/>
      <c r="S58" s="208"/>
      <c r="T58" s="208"/>
      <c r="U58" s="208"/>
      <c r="V58" s="208"/>
      <c r="W58" s="208"/>
      <c r="X58" s="208"/>
      <c r="Y58" s="208"/>
      <c r="Z58" s="208"/>
      <c r="AA58" s="208"/>
      <c r="AB58" s="208"/>
      <c r="AC58" s="208">
        <f>IF(AO190&gt;0,SUM(AC57:AO57),0)</f>
        <v>585000</v>
      </c>
      <c r="AD58" s="208"/>
      <c r="AE58" s="208"/>
      <c r="AF58" s="208"/>
      <c r="AG58" s="208"/>
      <c r="AH58" s="208"/>
      <c r="AI58" s="208"/>
      <c r="AJ58" s="208"/>
      <c r="AK58" s="208"/>
      <c r="AL58" s="208"/>
      <c r="AM58" s="208"/>
      <c r="AN58" s="208"/>
      <c r="AO58" s="208"/>
      <c r="AP58" s="208">
        <f>IF(BB190&gt;0,SUM(AP57:BB57),0)</f>
        <v>590000</v>
      </c>
      <c r="AQ58" s="208"/>
      <c r="AR58" s="208"/>
      <c r="AS58" s="208"/>
      <c r="AT58" s="208"/>
      <c r="AU58" s="208"/>
      <c r="AV58" s="208"/>
      <c r="AW58" s="208"/>
      <c r="AX58" s="208"/>
      <c r="AY58" s="208"/>
      <c r="AZ58" s="208"/>
      <c r="BA58" s="208"/>
      <c r="BB58" s="208"/>
      <c r="BC58" s="19">
        <f>SUM(C58:BB58)</f>
        <v>2336000</v>
      </c>
    </row>
    <row r="59" spans="2:55" x14ac:dyDescent="0.25">
      <c r="B59" s="19" t="s">
        <v>189</v>
      </c>
      <c r="C59" s="82">
        <f>IF(C190&gt;0,H4,0)</f>
        <v>0.9</v>
      </c>
      <c r="D59" s="82">
        <f t="shared" ref="D59:AI59" si="14">IF(C190&gt;0,C59,0)</f>
        <v>0.9</v>
      </c>
      <c r="E59" s="82">
        <f t="shared" si="14"/>
        <v>0.9</v>
      </c>
      <c r="F59" s="82">
        <f t="shared" si="14"/>
        <v>0.9</v>
      </c>
      <c r="G59" s="82">
        <f t="shared" si="14"/>
        <v>0.9</v>
      </c>
      <c r="H59" s="82">
        <f t="shared" si="14"/>
        <v>0.9</v>
      </c>
      <c r="I59" s="82">
        <f t="shared" si="14"/>
        <v>0.9</v>
      </c>
      <c r="J59" s="82">
        <f t="shared" si="14"/>
        <v>0.9</v>
      </c>
      <c r="K59" s="82">
        <f t="shared" si="14"/>
        <v>0.9</v>
      </c>
      <c r="L59" s="82">
        <f t="shared" si="14"/>
        <v>0.9</v>
      </c>
      <c r="M59" s="82">
        <f t="shared" si="14"/>
        <v>0.9</v>
      </c>
      <c r="N59" s="82">
        <f t="shared" si="14"/>
        <v>0.9</v>
      </c>
      <c r="O59" s="82">
        <f t="shared" si="14"/>
        <v>0.9</v>
      </c>
      <c r="P59" s="82">
        <f t="shared" si="14"/>
        <v>0.9</v>
      </c>
      <c r="Q59" s="82">
        <f t="shared" si="14"/>
        <v>0.9</v>
      </c>
      <c r="R59" s="82">
        <f t="shared" si="14"/>
        <v>0.9</v>
      </c>
      <c r="S59" s="82">
        <f t="shared" si="14"/>
        <v>0.9</v>
      </c>
      <c r="T59" s="82">
        <f t="shared" si="14"/>
        <v>0.9</v>
      </c>
      <c r="U59" s="82">
        <f t="shared" si="14"/>
        <v>0.9</v>
      </c>
      <c r="V59" s="82">
        <f t="shared" si="14"/>
        <v>0.9</v>
      </c>
      <c r="W59" s="82">
        <f t="shared" si="14"/>
        <v>0.9</v>
      </c>
      <c r="X59" s="82">
        <f t="shared" si="14"/>
        <v>0.9</v>
      </c>
      <c r="Y59" s="82">
        <f t="shared" si="14"/>
        <v>0.9</v>
      </c>
      <c r="Z59" s="82">
        <f t="shared" si="14"/>
        <v>0.9</v>
      </c>
      <c r="AA59" s="82">
        <f t="shared" si="14"/>
        <v>0.9</v>
      </c>
      <c r="AB59" s="82">
        <f t="shared" si="14"/>
        <v>0.9</v>
      </c>
      <c r="AC59" s="82">
        <f t="shared" si="14"/>
        <v>0.9</v>
      </c>
      <c r="AD59" s="82">
        <f t="shared" si="14"/>
        <v>0.9</v>
      </c>
      <c r="AE59" s="82">
        <f t="shared" si="14"/>
        <v>0.9</v>
      </c>
      <c r="AF59" s="82">
        <f t="shared" si="14"/>
        <v>0.9</v>
      </c>
      <c r="AG59" s="82">
        <f t="shared" si="14"/>
        <v>0.9</v>
      </c>
      <c r="AH59" s="82">
        <f t="shared" si="14"/>
        <v>0.9</v>
      </c>
      <c r="AI59" s="82">
        <f t="shared" si="14"/>
        <v>0.9</v>
      </c>
      <c r="AJ59" s="82">
        <f t="shared" ref="AJ59:BB59" si="15">IF(AI190&gt;0,AI59,0)</f>
        <v>0.9</v>
      </c>
      <c r="AK59" s="82">
        <f t="shared" si="15"/>
        <v>0.9</v>
      </c>
      <c r="AL59" s="82">
        <f t="shared" si="15"/>
        <v>0.9</v>
      </c>
      <c r="AM59" s="82">
        <f t="shared" si="15"/>
        <v>0.9</v>
      </c>
      <c r="AN59" s="82">
        <f t="shared" si="15"/>
        <v>0.9</v>
      </c>
      <c r="AO59" s="82">
        <f t="shared" si="15"/>
        <v>0.9</v>
      </c>
      <c r="AP59" s="82">
        <f t="shared" si="15"/>
        <v>0.9</v>
      </c>
      <c r="AQ59" s="82">
        <f t="shared" si="15"/>
        <v>0.9</v>
      </c>
      <c r="AR59" s="82">
        <f t="shared" si="15"/>
        <v>0.9</v>
      </c>
      <c r="AS59" s="82">
        <f t="shared" si="15"/>
        <v>0.9</v>
      </c>
      <c r="AT59" s="82">
        <f t="shared" si="15"/>
        <v>0.9</v>
      </c>
      <c r="AU59" s="82">
        <f t="shared" si="15"/>
        <v>0.9</v>
      </c>
      <c r="AV59" s="82">
        <f t="shared" si="15"/>
        <v>0.9</v>
      </c>
      <c r="AW59" s="82">
        <f t="shared" si="15"/>
        <v>0.9</v>
      </c>
      <c r="AX59" s="82">
        <f t="shared" si="15"/>
        <v>0.9</v>
      </c>
      <c r="AY59" s="82">
        <f t="shared" si="15"/>
        <v>0.9</v>
      </c>
      <c r="AZ59" s="82">
        <f t="shared" si="15"/>
        <v>0.9</v>
      </c>
      <c r="BA59" s="82">
        <f t="shared" si="15"/>
        <v>0.9</v>
      </c>
      <c r="BB59" s="82">
        <f t="shared" si="15"/>
        <v>0.9</v>
      </c>
      <c r="BC59" s="83">
        <f>C59</f>
        <v>0.9</v>
      </c>
    </row>
    <row r="60" spans="2:55" x14ac:dyDescent="0.25">
      <c r="B60" s="19" t="s">
        <v>191</v>
      </c>
      <c r="C60" s="208">
        <f>IF(C190&gt;0,SUM(C61:O61),0)</f>
        <v>666393.26456949615</v>
      </c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>
        <f>IF(P190&gt;0,SUM(P61:AB61),0)</f>
        <v>666393.26456949604</v>
      </c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>
        <f>IF(AC190&gt;0,SUM(AC61:AO61),0)</f>
        <v>668146.51161811233</v>
      </c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8"/>
      <c r="AP60" s="208">
        <f>IF(AP190&gt;0,SUM(AP61:BB61),0)</f>
        <v>667923.37108465191</v>
      </c>
      <c r="AQ60" s="208"/>
      <c r="AR60" s="208"/>
      <c r="AS60" s="208"/>
      <c r="AT60" s="208"/>
      <c r="AU60" s="208"/>
      <c r="AV60" s="208"/>
      <c r="AW60" s="208"/>
      <c r="AX60" s="208"/>
      <c r="AY60" s="208"/>
      <c r="AZ60" s="208"/>
      <c r="BA60" s="208"/>
      <c r="BB60" s="208"/>
      <c r="BC60" s="19">
        <f>SUM(C60:BB60)</f>
        <v>2668856.4118417562</v>
      </c>
    </row>
    <row r="61" spans="2:55" x14ac:dyDescent="0.25">
      <c r="B61" s="19" t="s">
        <v>180</v>
      </c>
      <c r="C61" s="81">
        <f t="shared" ref="C61:AH61" si="16">IF(C190&gt;0, C90/C89*C59,0)</f>
        <v>51226.691038659657</v>
      </c>
      <c r="D61" s="81">
        <f t="shared" si="16"/>
        <v>50939.796067067909</v>
      </c>
      <c r="E61" s="81">
        <f t="shared" si="16"/>
        <v>51768.603762777406</v>
      </c>
      <c r="F61" s="81">
        <f t="shared" si="16"/>
        <v>50429.760562015923</v>
      </c>
      <c r="G61" s="81">
        <f t="shared" si="16"/>
        <v>51832.3582009089</v>
      </c>
      <c r="H61" s="81">
        <f t="shared" si="16"/>
        <v>51513.586010251405</v>
      </c>
      <c r="I61" s="81">
        <f t="shared" si="16"/>
        <v>51322.322695856907</v>
      </c>
      <c r="J61" s="81">
        <f t="shared" si="16"/>
        <v>51099.182162396661</v>
      </c>
      <c r="K61" s="81">
        <f t="shared" si="16"/>
        <v>51832.3582009089</v>
      </c>
      <c r="L61" s="81">
        <f t="shared" si="16"/>
        <v>50461.63778108167</v>
      </c>
      <c r="M61" s="81">
        <f t="shared" si="16"/>
        <v>51672.972105580156</v>
      </c>
      <c r="N61" s="81">
        <f t="shared" si="16"/>
        <v>51322.322695856907</v>
      </c>
      <c r="O61" s="81">
        <f t="shared" si="16"/>
        <v>50971.673286133664</v>
      </c>
      <c r="P61" s="81">
        <f t="shared" si="16"/>
        <v>51577.3404483829</v>
      </c>
      <c r="Q61" s="81">
        <f t="shared" si="16"/>
        <v>50684.778314541916</v>
      </c>
      <c r="R61" s="81">
        <f t="shared" si="16"/>
        <v>51800.480981843153</v>
      </c>
      <c r="S61" s="81">
        <f t="shared" si="16"/>
        <v>51481.708791185658</v>
      </c>
      <c r="T61" s="81">
        <f t="shared" si="16"/>
        <v>51386.077133988409</v>
      </c>
      <c r="U61" s="81">
        <f t="shared" si="16"/>
        <v>51067.304943330906</v>
      </c>
      <c r="V61" s="81">
        <f t="shared" si="16"/>
        <v>51704.849324645904</v>
      </c>
      <c r="W61" s="81">
        <f t="shared" si="16"/>
        <v>50589.146657344667</v>
      </c>
      <c r="X61" s="81">
        <f t="shared" si="16"/>
        <v>51736.726543711651</v>
      </c>
      <c r="Y61" s="81">
        <f t="shared" si="16"/>
        <v>51258.568257725412</v>
      </c>
      <c r="Z61" s="81">
        <f t="shared" si="16"/>
        <v>50876.041628936415</v>
      </c>
      <c r="AA61" s="81">
        <f t="shared" si="16"/>
        <v>51768.603762777406</v>
      </c>
      <c r="AB61" s="81">
        <f t="shared" si="16"/>
        <v>50461.63778108167</v>
      </c>
      <c r="AC61" s="81">
        <f t="shared" si="16"/>
        <v>51768.603762777406</v>
      </c>
      <c r="AD61" s="81">
        <f t="shared" si="16"/>
        <v>51545.463229317153</v>
      </c>
      <c r="AE61" s="81">
        <f t="shared" si="16"/>
        <v>51322.322695856907</v>
      </c>
      <c r="AF61" s="81">
        <f t="shared" si="16"/>
        <v>51099.182162396661</v>
      </c>
      <c r="AG61" s="81">
        <f t="shared" si="16"/>
        <v>51832.3582009089</v>
      </c>
      <c r="AH61" s="81">
        <f t="shared" si="16"/>
        <v>50461.63778108167</v>
      </c>
      <c r="AI61" s="81">
        <f t="shared" ref="AI61:BB61" si="17">IF(AI190&gt;0, AI90/AI89*AI59,0)</f>
        <v>51896.112639040402</v>
      </c>
      <c r="AJ61" s="81">
        <f t="shared" si="17"/>
        <v>51386.077133988409</v>
      </c>
      <c r="AK61" s="81">
        <f t="shared" si="17"/>
        <v>51354.199914922661</v>
      </c>
      <c r="AL61" s="81">
        <f t="shared" si="17"/>
        <v>51290.445476791159</v>
      </c>
      <c r="AM61" s="81">
        <f t="shared" si="17"/>
        <v>51067.304943330906</v>
      </c>
      <c r="AN61" s="81">
        <f t="shared" si="17"/>
        <v>51736.726543711651</v>
      </c>
      <c r="AO61" s="81">
        <f t="shared" si="17"/>
        <v>51386.077133988409</v>
      </c>
      <c r="AP61" s="81">
        <f t="shared" si="17"/>
        <v>50971.673286133664</v>
      </c>
      <c r="AQ61" s="81">
        <f t="shared" si="17"/>
        <v>51736.726543711651</v>
      </c>
      <c r="AR61" s="81">
        <f t="shared" si="17"/>
        <v>50621.023876410414</v>
      </c>
      <c r="AS61" s="81">
        <f t="shared" si="17"/>
        <v>51736.726543711651</v>
      </c>
      <c r="AT61" s="81">
        <f t="shared" si="17"/>
        <v>51417.954353054156</v>
      </c>
      <c r="AU61" s="81">
        <f t="shared" si="17"/>
        <v>51354.199914922661</v>
      </c>
      <c r="AV61" s="81">
        <f t="shared" si="17"/>
        <v>50939.796067067909</v>
      </c>
      <c r="AW61" s="81">
        <f t="shared" si="17"/>
        <v>51672.972105580156</v>
      </c>
      <c r="AX61" s="81">
        <f t="shared" si="17"/>
        <v>50493.515000147418</v>
      </c>
      <c r="AY61" s="81">
        <f t="shared" si="17"/>
        <v>51800.480981843153</v>
      </c>
      <c r="AZ61" s="81">
        <f t="shared" si="17"/>
        <v>51386.077133988409</v>
      </c>
      <c r="BA61" s="81">
        <f t="shared" si="17"/>
        <v>51386.077133988409</v>
      </c>
      <c r="BB61" s="81">
        <f t="shared" si="17"/>
        <v>52406.148144092389</v>
      </c>
      <c r="BC61" s="95">
        <f>SUM(C61:BB61)</f>
        <v>2668856.4118417567</v>
      </c>
    </row>
    <row r="62" spans="2:55" x14ac:dyDescent="0.25">
      <c r="B62" s="19" t="s">
        <v>181</v>
      </c>
      <c r="C62" s="208">
        <f>IF(F190&gt;0,SUM(C90:F90)/C89*C59,0)</f>
        <v>204364.85143052088</v>
      </c>
      <c r="D62" s="208"/>
      <c r="E62" s="208"/>
      <c r="F62" s="208"/>
      <c r="G62" s="208">
        <f>IF(J190&gt;0,SUM(G90:J90)/G89*G59,0)</f>
        <v>205767.44906941388</v>
      </c>
      <c r="H62" s="208"/>
      <c r="I62" s="208"/>
      <c r="J62" s="208"/>
      <c r="K62" s="208">
        <f>IF(N190&gt;0,SUM(K90:N90)/K89*K59,0)</f>
        <v>205289.29078342763</v>
      </c>
      <c r="L62" s="208"/>
      <c r="M62" s="208"/>
      <c r="N62" s="208"/>
      <c r="O62" s="208">
        <f>IF(R190&gt;0,SUM(O90:R90)/O89*O59,0)</f>
        <v>205034.27303090165</v>
      </c>
      <c r="P62" s="208"/>
      <c r="Q62" s="208"/>
      <c r="R62" s="208"/>
      <c r="S62" s="208">
        <f>IF(V190&gt;0,SUM(S90:V90)/S89*S59,0)</f>
        <v>205639.94019315089</v>
      </c>
      <c r="T62" s="208"/>
      <c r="U62" s="208"/>
      <c r="V62" s="208"/>
      <c r="W62" s="208">
        <f>IF(Z190&gt;0,SUM(W90:Z90)/W89*W59,0)</f>
        <v>204460.48308771814</v>
      </c>
      <c r="X62" s="208"/>
      <c r="Y62" s="208"/>
      <c r="Z62" s="208"/>
      <c r="AA62" s="208">
        <f>IF(AD190&gt;0,SUM(AA90:AD90)/AA89*AA59,0)</f>
        <v>205544.30853595363</v>
      </c>
      <c r="AB62" s="208"/>
      <c r="AC62" s="208"/>
      <c r="AD62" s="208"/>
      <c r="AE62" s="208">
        <f>IF(AH190&gt;0,SUM(AE90:AH90)/AE89*AE59,0)</f>
        <v>204715.50084024415</v>
      </c>
      <c r="AF62" s="208"/>
      <c r="AG62" s="208"/>
      <c r="AH62" s="208"/>
      <c r="AI62" s="208">
        <f>IF(AL190&gt;0,SUM(AI90:AL90)/AI89*AI59,0)</f>
        <v>205926.83516474263</v>
      </c>
      <c r="AJ62" s="208"/>
      <c r="AK62" s="208"/>
      <c r="AL62" s="208"/>
      <c r="AM62" s="208">
        <f>IF(AP190&gt;0,SUM(AM90:AP90)/AM89*AM59,0)</f>
        <v>205161.78190716464</v>
      </c>
      <c r="AN62" s="208"/>
      <c r="AO62" s="208"/>
      <c r="AP62" s="208"/>
      <c r="AQ62" s="208">
        <f>IF(AT190&gt;0,SUM(AQ90:AT90)/AQ89*AQ59,0)</f>
        <v>205512.43131688787</v>
      </c>
      <c r="AR62" s="208"/>
      <c r="AS62" s="208"/>
      <c r="AT62" s="208"/>
      <c r="AU62" s="208">
        <f>IF(AX190&gt;0,SUM(AU90:AX90)/AU89*AU59,0)</f>
        <v>204460.48308771814</v>
      </c>
      <c r="AV62" s="208"/>
      <c r="AW62" s="208"/>
      <c r="AX62" s="208"/>
      <c r="AY62" s="208">
        <f>IF(BB190&gt;0,SUM(AY90:BB90)/AY89*AY59,0)</f>
        <v>206978.78339391237</v>
      </c>
      <c r="AZ62" s="208"/>
      <c r="BA62" s="208"/>
      <c r="BB62" s="208"/>
      <c r="BC62" s="19">
        <f>SUM(C62:BB62)</f>
        <v>2668856.4118417567</v>
      </c>
    </row>
    <row r="63" spans="2:55" x14ac:dyDescent="0.25">
      <c r="B63" s="19" t="s">
        <v>155</v>
      </c>
      <c r="C63" s="208">
        <f>IF(F190&gt;0,SUM(C57:F57),0)</f>
        <v>183000</v>
      </c>
      <c r="D63" s="208"/>
      <c r="E63" s="208"/>
      <c r="F63" s="208"/>
      <c r="G63" s="208">
        <f>IF(J190&gt;0,SUM(G57:J57),0)</f>
        <v>177000</v>
      </c>
      <c r="H63" s="208"/>
      <c r="I63" s="208"/>
      <c r="J63" s="208"/>
      <c r="K63" s="208">
        <f>IF(N190&gt;0,SUM(K57:N57),0)</f>
        <v>174000</v>
      </c>
      <c r="L63" s="208"/>
      <c r="M63" s="208"/>
      <c r="N63" s="208"/>
      <c r="O63" s="208">
        <f>IF(R190&gt;0,SUM(O57:R57),0)</f>
        <v>183000</v>
      </c>
      <c r="P63" s="208"/>
      <c r="Q63" s="208"/>
      <c r="R63" s="208"/>
      <c r="S63" s="208">
        <f>IF(V190&gt;0,SUM(S57:V57),0)</f>
        <v>177000</v>
      </c>
      <c r="T63" s="208"/>
      <c r="U63" s="208"/>
      <c r="V63" s="208"/>
      <c r="W63" s="208">
        <f>IF(Z190&gt;0,SUM(W57:Z57),0)</f>
        <v>174000</v>
      </c>
      <c r="X63" s="208"/>
      <c r="Y63" s="208"/>
      <c r="Z63" s="208"/>
      <c r="AA63" s="208">
        <f>IF(AD190&gt;0,SUM(AA57:AD57),0)</f>
        <v>183000</v>
      </c>
      <c r="AB63" s="208"/>
      <c r="AC63" s="208"/>
      <c r="AD63" s="208"/>
      <c r="AE63" s="208">
        <f>IF(AH190&gt;0,SUM(AE57:AH57),0)</f>
        <v>177000</v>
      </c>
      <c r="AF63" s="208"/>
      <c r="AG63" s="208"/>
      <c r="AH63" s="208"/>
      <c r="AI63" s="208">
        <f>IF(AL190&gt;0,SUM(AI57:AL57),0)</f>
        <v>174000</v>
      </c>
      <c r="AJ63" s="208"/>
      <c r="AK63" s="208"/>
      <c r="AL63" s="208"/>
      <c r="AM63" s="208">
        <f>IF(AP190&gt;0,SUM(AM57:AP57),0)</f>
        <v>183000</v>
      </c>
      <c r="AN63" s="208"/>
      <c r="AO63" s="208"/>
      <c r="AP63" s="208"/>
      <c r="AQ63" s="208">
        <f>IF(AT190&gt;0,SUM(AQ57:AT57),0)</f>
        <v>184000</v>
      </c>
      <c r="AR63" s="208"/>
      <c r="AS63" s="208"/>
      <c r="AT63" s="208"/>
      <c r="AU63" s="208">
        <f>IF(AX190&gt;0,SUM(AU57:AX57),0)</f>
        <v>193000</v>
      </c>
      <c r="AV63" s="208"/>
      <c r="AW63" s="208"/>
      <c r="AX63" s="208"/>
      <c r="AY63" s="208">
        <f>IF(BB190&gt;0,SUM(AY57:BB57),0)</f>
        <v>174000</v>
      </c>
      <c r="AZ63" s="208"/>
      <c r="BA63" s="208"/>
      <c r="BB63" s="208"/>
      <c r="BC63" s="19">
        <f>SUM(C63:BB63)</f>
        <v>2336000</v>
      </c>
    </row>
    <row r="64" spans="2:55" x14ac:dyDescent="0.25">
      <c r="B64" s="19" t="s">
        <v>90</v>
      </c>
      <c r="C64" s="84">
        <f t="shared" ref="C64:AH64" si="18">IF(C190&gt;0,(C57-C68)/C57,0)</f>
        <v>0.99953333333333338</v>
      </c>
      <c r="D64" s="84">
        <f t="shared" si="18"/>
        <v>0.99958333333333338</v>
      </c>
      <c r="E64" s="84">
        <f t="shared" si="18"/>
        <v>0.99952941176470589</v>
      </c>
      <c r="F64" s="84">
        <f t="shared" si="18"/>
        <v>0.99953846153846149</v>
      </c>
      <c r="G64" s="84">
        <f t="shared" si="18"/>
        <v>0.99953658536585366</v>
      </c>
      <c r="H64" s="84">
        <f t="shared" si="18"/>
        <v>0.99953488372093025</v>
      </c>
      <c r="I64" s="84">
        <f t="shared" si="18"/>
        <v>0.99957777777777779</v>
      </c>
      <c r="J64" s="84">
        <f t="shared" si="18"/>
        <v>0.99954166666666666</v>
      </c>
      <c r="K64" s="84">
        <f t="shared" si="18"/>
        <v>0.99958823529411767</v>
      </c>
      <c r="L64" s="84">
        <f t="shared" si="18"/>
        <v>0.99953846153846149</v>
      </c>
      <c r="M64" s="84">
        <f t="shared" si="18"/>
        <v>0.99953658536585366</v>
      </c>
      <c r="N64" s="84">
        <f t="shared" si="18"/>
        <v>0.99953488372093025</v>
      </c>
      <c r="O64" s="84">
        <f t="shared" si="18"/>
        <v>0.99957777777777779</v>
      </c>
      <c r="P64" s="84">
        <f t="shared" si="18"/>
        <v>0.99954166666666666</v>
      </c>
      <c r="Q64" s="84">
        <f t="shared" si="18"/>
        <v>0.99952941176470589</v>
      </c>
      <c r="R64" s="84">
        <f t="shared" si="18"/>
        <v>0.99953846153846149</v>
      </c>
      <c r="S64" s="84">
        <f t="shared" si="18"/>
        <v>0.99953658536585366</v>
      </c>
      <c r="T64" s="84">
        <f t="shared" si="18"/>
        <v>0.99958139534883717</v>
      </c>
      <c r="U64" s="84">
        <f t="shared" si="18"/>
        <v>0.99960000000000004</v>
      </c>
      <c r="V64" s="84">
        <f t="shared" si="18"/>
        <v>0.99954166666666666</v>
      </c>
      <c r="W64" s="84">
        <f t="shared" si="18"/>
        <v>0.99952941176470589</v>
      </c>
      <c r="X64" s="84">
        <f t="shared" si="18"/>
        <v>0.99953846153846149</v>
      </c>
      <c r="Y64" s="84">
        <f t="shared" si="18"/>
        <v>0.99960975609756098</v>
      </c>
      <c r="Z64" s="84">
        <f t="shared" si="18"/>
        <v>0.99953488372093025</v>
      </c>
      <c r="AA64" s="84">
        <f t="shared" si="18"/>
        <v>0.99953333333333338</v>
      </c>
      <c r="AB64" s="84">
        <f t="shared" si="18"/>
        <v>0.99958333333333338</v>
      </c>
      <c r="AC64" s="84">
        <f t="shared" si="18"/>
        <v>0.99956862745098041</v>
      </c>
      <c r="AD64" s="84">
        <f t="shared" si="18"/>
        <v>0.99956410256410255</v>
      </c>
      <c r="AE64" s="84">
        <f t="shared" si="18"/>
        <v>0.99953658536585366</v>
      </c>
      <c r="AF64" s="84">
        <f t="shared" si="18"/>
        <v>0.99953488372093025</v>
      </c>
      <c r="AG64" s="84">
        <f t="shared" si="18"/>
        <v>0.99953333333333338</v>
      </c>
      <c r="AH64" s="84">
        <f t="shared" si="18"/>
        <v>0.99954166666666666</v>
      </c>
      <c r="AI64" s="84">
        <f t="shared" ref="AI64:BB64" si="19">IF(AI190&gt;0,(AI57-AI68)/AI57,0)</f>
        <v>0.99956862745098041</v>
      </c>
      <c r="AJ64" s="84">
        <f t="shared" si="19"/>
        <v>0.99953846153846149</v>
      </c>
      <c r="AK64" s="84">
        <f t="shared" si="19"/>
        <v>0.99953658536585366</v>
      </c>
      <c r="AL64" s="84">
        <f t="shared" si="19"/>
        <v>0.99953488372093025</v>
      </c>
      <c r="AM64" s="84">
        <f t="shared" si="19"/>
        <v>0.99955555555555553</v>
      </c>
      <c r="AN64" s="84">
        <f t="shared" si="19"/>
        <v>0.99954166666666666</v>
      </c>
      <c r="AO64" s="84">
        <f t="shared" si="19"/>
        <v>0.99952941176470589</v>
      </c>
      <c r="AP64" s="84">
        <f t="shared" si="19"/>
        <v>0.99951282051282053</v>
      </c>
      <c r="AQ64" s="84">
        <f t="shared" si="19"/>
        <v>0.99953658536585366</v>
      </c>
      <c r="AR64" s="84">
        <f t="shared" si="19"/>
        <v>0.99953488372093025</v>
      </c>
      <c r="AS64" s="84">
        <f t="shared" si="19"/>
        <v>0.99953999999999998</v>
      </c>
      <c r="AT64" s="84">
        <f t="shared" si="19"/>
        <v>0.99953999999999998</v>
      </c>
      <c r="AU64" s="84">
        <f t="shared" si="19"/>
        <v>0.99953999999999998</v>
      </c>
      <c r="AV64" s="84">
        <f t="shared" si="19"/>
        <v>0.99958000000000002</v>
      </c>
      <c r="AW64" s="84">
        <f t="shared" si="19"/>
        <v>0.99960000000000004</v>
      </c>
      <c r="AX64" s="84">
        <f t="shared" si="19"/>
        <v>0.99954166666666666</v>
      </c>
      <c r="AY64" s="84">
        <f t="shared" si="19"/>
        <v>0.99952941176470589</v>
      </c>
      <c r="AZ64" s="84">
        <f t="shared" si="19"/>
        <v>0.99953846153846149</v>
      </c>
      <c r="BA64" s="84">
        <f t="shared" si="19"/>
        <v>0.99953658536585366</v>
      </c>
      <c r="BB64" s="84">
        <f t="shared" si="19"/>
        <v>0.99960465116279074</v>
      </c>
      <c r="BC64" s="84">
        <f>1-BC68/BC57</f>
        <v>0.99954965753424663</v>
      </c>
    </row>
    <row r="65" spans="2:59" x14ac:dyDescent="0.25">
      <c r="B65" s="19" t="s">
        <v>91</v>
      </c>
      <c r="C65" s="209">
        <f>IF(O190&gt;0,(C58-C69)/C58,0)</f>
        <v>0.99955094991364424</v>
      </c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09">
        <f>IF(AB190&gt;0,(P58-P69)/P58,0)</f>
        <v>0.99955326460481098</v>
      </c>
      <c r="Q65" s="209"/>
      <c r="R65" s="209"/>
      <c r="S65" s="209"/>
      <c r="T65" s="209"/>
      <c r="U65" s="209"/>
      <c r="V65" s="209"/>
      <c r="W65" s="209"/>
      <c r="X65" s="209"/>
      <c r="Y65" s="209"/>
      <c r="Z65" s="209"/>
      <c r="AA65" s="209"/>
      <c r="AB65" s="209"/>
      <c r="AC65" s="209">
        <f>IF(AO190&gt;0,(AC58-AC69)/AC58,0)</f>
        <v>0.9995452991452991</v>
      </c>
      <c r="AD65" s="209"/>
      <c r="AE65" s="209"/>
      <c r="AF65" s="209"/>
      <c r="AG65" s="209"/>
      <c r="AH65" s="209"/>
      <c r="AI65" s="209"/>
      <c r="AJ65" s="209"/>
      <c r="AK65" s="209"/>
      <c r="AL65" s="209"/>
      <c r="AM65" s="209"/>
      <c r="AN65" s="209"/>
      <c r="AO65" s="209"/>
      <c r="AP65" s="209">
        <f>IF(BB190&gt;0,(AP58-AP69)/AP58,0)</f>
        <v>0.99954915254237287</v>
      </c>
      <c r="AQ65" s="209"/>
      <c r="AR65" s="209"/>
      <c r="AS65" s="209"/>
      <c r="AT65" s="209"/>
      <c r="AU65" s="209"/>
      <c r="AV65" s="209"/>
      <c r="AW65" s="209"/>
      <c r="AX65" s="209"/>
      <c r="AY65" s="209"/>
      <c r="AZ65" s="209"/>
      <c r="BA65" s="209"/>
      <c r="BB65" s="209"/>
      <c r="BC65" s="84">
        <f>(BC58-BC69)/BC58</f>
        <v>0.99954965753424663</v>
      </c>
    </row>
    <row r="66" spans="2:59" x14ac:dyDescent="0.25">
      <c r="B66" s="19" t="s">
        <v>93</v>
      </c>
      <c r="C66" s="209">
        <f>IF(F190&gt;0, (C63-C70)/C63,0)</f>
        <v>0.99954644808743165</v>
      </c>
      <c r="D66" s="209"/>
      <c r="E66" s="209"/>
      <c r="F66" s="209"/>
      <c r="G66" s="209">
        <f>IF(J190&gt;0, (G63-G70)/G63,0)</f>
        <v>0.9995480225988701</v>
      </c>
      <c r="H66" s="209"/>
      <c r="I66" s="209"/>
      <c r="J66" s="209"/>
      <c r="K66" s="209">
        <f>IF(N190&gt;0, (K63-K70)/K63,0)</f>
        <v>0.99955172413793103</v>
      </c>
      <c r="L66" s="209"/>
      <c r="M66" s="209"/>
      <c r="N66" s="209"/>
      <c r="O66" s="209">
        <f>IF(R190&gt;0, (O63-O70)/O63,0)</f>
        <v>0.99954644808743165</v>
      </c>
      <c r="P66" s="209"/>
      <c r="Q66" s="209"/>
      <c r="R66" s="209"/>
      <c r="S66" s="209">
        <f>IF(V190&gt;0, (S63-S70)/S63,0)</f>
        <v>0.99956497175141246</v>
      </c>
      <c r="T66" s="209"/>
      <c r="U66" s="209"/>
      <c r="V66" s="209"/>
      <c r="W66" s="209">
        <f>IF(Z190&gt;0, (W63-W70)/W63,0)</f>
        <v>0.99955172413793103</v>
      </c>
      <c r="X66" s="209"/>
      <c r="Y66" s="209"/>
      <c r="Z66" s="209"/>
      <c r="AA66" s="209">
        <f>IF(AD190&gt;0, (AA63-AA70)/AA63,0)</f>
        <v>0.99956284153005459</v>
      </c>
      <c r="AB66" s="209"/>
      <c r="AC66" s="209"/>
      <c r="AD66" s="209"/>
      <c r="AE66" s="209">
        <f>IF(AH190&gt;0, (AE63-AE70)/AE63,0)</f>
        <v>0.99953672316384179</v>
      </c>
      <c r="AF66" s="209"/>
      <c r="AG66" s="209"/>
      <c r="AH66" s="209"/>
      <c r="AI66" s="209">
        <f>IF(AL190&gt;0, (AI63-AI70)/AI63,0)</f>
        <v>0.99954597701149428</v>
      </c>
      <c r="AJ66" s="209"/>
      <c r="AK66" s="209"/>
      <c r="AL66" s="209"/>
      <c r="AM66" s="209">
        <f>IF(AP190&gt;0, (AM63-AM70)/AM63,0)</f>
        <v>0.99953551912568306</v>
      </c>
      <c r="AN66" s="209"/>
      <c r="AO66" s="209"/>
      <c r="AP66" s="209"/>
      <c r="AQ66" s="209">
        <f>IF(AT190&gt;0, (AQ63-AQ70)/AQ63,0)</f>
        <v>0.99953804347826092</v>
      </c>
      <c r="AR66" s="209"/>
      <c r="AS66" s="209"/>
      <c r="AT66" s="209"/>
      <c r="AU66" s="209">
        <f>IF(AX190&gt;0, (AU63-AU70)/AU63,0)</f>
        <v>0.99956476683937823</v>
      </c>
      <c r="AV66" s="209"/>
      <c r="AW66" s="209"/>
      <c r="AX66" s="209"/>
      <c r="AY66" s="209">
        <f>IF(BB190&gt;0, (AY63-AY70)/AY63,0)</f>
        <v>0.99955172413793103</v>
      </c>
      <c r="AZ66" s="209"/>
      <c r="BA66" s="209"/>
      <c r="BB66" s="209"/>
      <c r="BC66" s="84">
        <f>(BC63-BC70)/BC63</f>
        <v>0.99954965753424663</v>
      </c>
    </row>
    <row r="67" spans="2:59" x14ac:dyDescent="0.25">
      <c r="B67" s="19" t="s">
        <v>138</v>
      </c>
      <c r="C67" s="209">
        <f>IF(F190&gt;0,M3,0)</f>
        <v>2.4645547945206179E-4</v>
      </c>
      <c r="D67" s="209"/>
      <c r="E67" s="209"/>
      <c r="F67" s="209"/>
      <c r="G67" s="209">
        <f>IF(J190&gt;0,C67,0)</f>
        <v>2.4645547945206179E-4</v>
      </c>
      <c r="H67" s="209"/>
      <c r="I67" s="209"/>
      <c r="J67" s="209"/>
      <c r="K67" s="209">
        <f>IF(N190&gt;0,G67,0)</f>
        <v>2.4645547945206179E-4</v>
      </c>
      <c r="L67" s="209"/>
      <c r="M67" s="209"/>
      <c r="N67" s="209"/>
      <c r="O67" s="209">
        <f>IF(R190&gt;0,K67,0)</f>
        <v>2.4645547945206179E-4</v>
      </c>
      <c r="P67" s="209"/>
      <c r="Q67" s="209"/>
      <c r="R67" s="209"/>
      <c r="S67" s="209">
        <f>IF(V190&gt;0,O67,0)</f>
        <v>2.4645547945206179E-4</v>
      </c>
      <c r="T67" s="209"/>
      <c r="U67" s="209"/>
      <c r="V67" s="209"/>
      <c r="W67" s="209">
        <f>IF(Z190&gt;0,S67,0)</f>
        <v>2.4645547945206179E-4</v>
      </c>
      <c r="X67" s="209"/>
      <c r="Y67" s="209"/>
      <c r="Z67" s="209"/>
      <c r="AA67" s="209">
        <f>IF(AD190&gt;0,W67,0)</f>
        <v>2.4645547945206179E-4</v>
      </c>
      <c r="AB67" s="209"/>
      <c r="AC67" s="209"/>
      <c r="AD67" s="209"/>
      <c r="AE67" s="209">
        <f>IF(AH190&gt;0,AA67,0)</f>
        <v>2.4645547945206179E-4</v>
      </c>
      <c r="AF67" s="209"/>
      <c r="AG67" s="209"/>
      <c r="AH67" s="209"/>
      <c r="AI67" s="209">
        <f>IF(AL190&gt;0,AE67,0)</f>
        <v>2.4645547945206179E-4</v>
      </c>
      <c r="AJ67" s="209"/>
      <c r="AK67" s="209"/>
      <c r="AL67" s="209"/>
      <c r="AM67" s="209">
        <f>IF(AP190&gt;0,AI67,0)</f>
        <v>2.4645547945206179E-4</v>
      </c>
      <c r="AN67" s="209"/>
      <c r="AO67" s="209"/>
      <c r="AP67" s="209"/>
      <c r="AQ67" s="209">
        <f>IF(AT190&gt;0,AM67,0)</f>
        <v>2.4645547945206179E-4</v>
      </c>
      <c r="AR67" s="209"/>
      <c r="AS67" s="209"/>
      <c r="AT67" s="209"/>
      <c r="AU67" s="209">
        <f>IF(AX190&gt;0,AQ67,0)</f>
        <v>2.4645547945206179E-4</v>
      </c>
      <c r="AV67" s="209"/>
      <c r="AW67" s="209"/>
      <c r="AX67" s="209"/>
      <c r="AY67" s="209">
        <f>IF(BB190&gt;0,AU67,0)</f>
        <v>2.4645547945206179E-4</v>
      </c>
      <c r="AZ67" s="209"/>
      <c r="BA67" s="209"/>
      <c r="BB67" s="209"/>
      <c r="BC67" s="84">
        <f>C67</f>
        <v>2.4645547945206179E-4</v>
      </c>
    </row>
    <row r="68" spans="2:59" x14ac:dyDescent="0.25">
      <c r="B68" s="19" t="s">
        <v>156</v>
      </c>
      <c r="C68" s="50">
        <f t="shared" ref="C68:AH68" si="20">IF(C190&gt;0,SUM(C321,C330,C339,C348,C357,C366,C375,C384),0)</f>
        <v>21</v>
      </c>
      <c r="D68" s="50">
        <f t="shared" si="20"/>
        <v>20</v>
      </c>
      <c r="E68" s="50">
        <f t="shared" si="20"/>
        <v>24</v>
      </c>
      <c r="F68" s="50">
        <f t="shared" si="20"/>
        <v>18</v>
      </c>
      <c r="G68" s="50">
        <f t="shared" si="20"/>
        <v>19</v>
      </c>
      <c r="H68" s="50">
        <f t="shared" si="20"/>
        <v>20</v>
      </c>
      <c r="I68" s="50">
        <f t="shared" si="20"/>
        <v>19</v>
      </c>
      <c r="J68" s="50">
        <f t="shared" si="20"/>
        <v>22</v>
      </c>
      <c r="K68" s="50">
        <f t="shared" si="20"/>
        <v>21</v>
      </c>
      <c r="L68" s="50">
        <f t="shared" si="20"/>
        <v>18</v>
      </c>
      <c r="M68" s="50">
        <f t="shared" si="20"/>
        <v>19</v>
      </c>
      <c r="N68" s="50">
        <f t="shared" si="20"/>
        <v>20</v>
      </c>
      <c r="O68" s="50">
        <f t="shared" si="20"/>
        <v>19</v>
      </c>
      <c r="P68" s="50">
        <f t="shared" si="20"/>
        <v>22</v>
      </c>
      <c r="Q68" s="50">
        <f t="shared" si="20"/>
        <v>24</v>
      </c>
      <c r="R68" s="50">
        <f t="shared" si="20"/>
        <v>18</v>
      </c>
      <c r="S68" s="50">
        <f t="shared" si="20"/>
        <v>19</v>
      </c>
      <c r="T68" s="50">
        <f t="shared" si="20"/>
        <v>18</v>
      </c>
      <c r="U68" s="50">
        <f t="shared" si="20"/>
        <v>18</v>
      </c>
      <c r="V68" s="50">
        <f t="shared" si="20"/>
        <v>22</v>
      </c>
      <c r="W68" s="50">
        <f t="shared" si="20"/>
        <v>24</v>
      </c>
      <c r="X68" s="50">
        <f t="shared" si="20"/>
        <v>18</v>
      </c>
      <c r="Y68" s="50">
        <f t="shared" si="20"/>
        <v>16</v>
      </c>
      <c r="Z68" s="50">
        <f t="shared" si="20"/>
        <v>20</v>
      </c>
      <c r="AA68" s="50">
        <f t="shared" si="20"/>
        <v>21</v>
      </c>
      <c r="AB68" s="50">
        <f t="shared" si="20"/>
        <v>20</v>
      </c>
      <c r="AC68" s="50">
        <f t="shared" si="20"/>
        <v>22</v>
      </c>
      <c r="AD68" s="50">
        <f t="shared" si="20"/>
        <v>17</v>
      </c>
      <c r="AE68" s="50">
        <f t="shared" si="20"/>
        <v>19</v>
      </c>
      <c r="AF68" s="50">
        <f t="shared" si="20"/>
        <v>20</v>
      </c>
      <c r="AG68" s="50">
        <f t="shared" si="20"/>
        <v>21</v>
      </c>
      <c r="AH68" s="50">
        <f t="shared" si="20"/>
        <v>22</v>
      </c>
      <c r="AI68" s="50">
        <f t="shared" ref="AI68:BB68" si="21">IF(AI190&gt;0,SUM(AI321,AI330,AI339,AI348,AI357,AI366,AI375,AI384),0)</f>
        <v>22</v>
      </c>
      <c r="AJ68" s="50">
        <f t="shared" si="21"/>
        <v>18</v>
      </c>
      <c r="AK68" s="50">
        <f t="shared" si="21"/>
        <v>19</v>
      </c>
      <c r="AL68" s="50">
        <f t="shared" si="21"/>
        <v>20</v>
      </c>
      <c r="AM68" s="50">
        <f t="shared" si="21"/>
        <v>20</v>
      </c>
      <c r="AN68" s="50">
        <f t="shared" si="21"/>
        <v>22</v>
      </c>
      <c r="AO68" s="50">
        <f t="shared" si="21"/>
        <v>24</v>
      </c>
      <c r="AP68" s="50">
        <f t="shared" si="21"/>
        <v>19</v>
      </c>
      <c r="AQ68" s="50">
        <f t="shared" si="21"/>
        <v>19</v>
      </c>
      <c r="AR68" s="50">
        <f t="shared" si="21"/>
        <v>20</v>
      </c>
      <c r="AS68" s="50">
        <f t="shared" si="21"/>
        <v>23</v>
      </c>
      <c r="AT68" s="50">
        <f t="shared" si="21"/>
        <v>23</v>
      </c>
      <c r="AU68" s="50">
        <f t="shared" si="21"/>
        <v>23</v>
      </c>
      <c r="AV68" s="50">
        <f t="shared" si="21"/>
        <v>21</v>
      </c>
      <c r="AW68" s="50">
        <f t="shared" si="21"/>
        <v>18</v>
      </c>
      <c r="AX68" s="50">
        <f t="shared" si="21"/>
        <v>22</v>
      </c>
      <c r="AY68" s="50">
        <f t="shared" si="21"/>
        <v>24</v>
      </c>
      <c r="AZ68" s="50">
        <f t="shared" si="21"/>
        <v>18</v>
      </c>
      <c r="BA68" s="50">
        <f t="shared" si="21"/>
        <v>19</v>
      </c>
      <c r="BB68" s="50">
        <f t="shared" si="21"/>
        <v>17</v>
      </c>
      <c r="BC68" s="19">
        <f t="shared" ref="BC68:BC80" si="22">SUM(C68:BB68)</f>
        <v>1052</v>
      </c>
    </row>
    <row r="69" spans="2:59" x14ac:dyDescent="0.25">
      <c r="B69" s="19" t="s">
        <v>157</v>
      </c>
      <c r="C69" s="208">
        <f>IF(O190&gt;0,SUM(C68:O68),0)</f>
        <v>260</v>
      </c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>
        <f>IF(AB190&gt;0,SUM(P68:AB68),0)</f>
        <v>260</v>
      </c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  <c r="AB69" s="208"/>
      <c r="AC69" s="208">
        <f>IF(AO190&gt;0,SUM(AC68:AO68),0)</f>
        <v>266</v>
      </c>
      <c r="AD69" s="208"/>
      <c r="AE69" s="208"/>
      <c r="AF69" s="208"/>
      <c r="AG69" s="208"/>
      <c r="AH69" s="208"/>
      <c r="AI69" s="208"/>
      <c r="AJ69" s="208"/>
      <c r="AK69" s="208"/>
      <c r="AL69" s="208"/>
      <c r="AM69" s="208"/>
      <c r="AN69" s="208"/>
      <c r="AO69" s="208"/>
      <c r="AP69" s="208">
        <f>IF(BB190&gt;0,SUM(AP68:BB68),0)</f>
        <v>266</v>
      </c>
      <c r="AQ69" s="208"/>
      <c r="AR69" s="208"/>
      <c r="AS69" s="208"/>
      <c r="AT69" s="208"/>
      <c r="AU69" s="208"/>
      <c r="AV69" s="208"/>
      <c r="AW69" s="208"/>
      <c r="AX69" s="208"/>
      <c r="AY69" s="208"/>
      <c r="AZ69" s="208"/>
      <c r="BA69" s="208"/>
      <c r="BB69" s="208"/>
      <c r="BC69" s="19">
        <f t="shared" si="22"/>
        <v>1052</v>
      </c>
    </row>
    <row r="70" spans="2:59" x14ac:dyDescent="0.25">
      <c r="B70" s="19" t="s">
        <v>158</v>
      </c>
      <c r="C70" s="208">
        <f>IF(F190&gt;0,SUM(C68:F68),0)</f>
        <v>83</v>
      </c>
      <c r="D70" s="208"/>
      <c r="E70" s="208"/>
      <c r="F70" s="208"/>
      <c r="G70" s="208">
        <f>IF(J190&gt;0,SUM(G68:J68),0)</f>
        <v>80</v>
      </c>
      <c r="H70" s="208"/>
      <c r="I70" s="208"/>
      <c r="J70" s="208"/>
      <c r="K70" s="208">
        <f>IF(N190&gt;0,SUM(K68:N68),0)</f>
        <v>78</v>
      </c>
      <c r="L70" s="208"/>
      <c r="M70" s="208"/>
      <c r="N70" s="208"/>
      <c r="O70" s="208">
        <f>IF(R190&gt;0,SUM(O68:R68),0)</f>
        <v>83</v>
      </c>
      <c r="P70" s="208"/>
      <c r="Q70" s="208"/>
      <c r="R70" s="208"/>
      <c r="S70" s="208">
        <f>IF(V190&gt;0,SUM(S68:V68),0)</f>
        <v>77</v>
      </c>
      <c r="T70" s="208"/>
      <c r="U70" s="208"/>
      <c r="V70" s="208"/>
      <c r="W70" s="208">
        <f>IF(Z190&gt;0,SUM(W68:Z68),0)</f>
        <v>78</v>
      </c>
      <c r="X70" s="208"/>
      <c r="Y70" s="208"/>
      <c r="Z70" s="208"/>
      <c r="AA70" s="208">
        <f>IF(AD190&gt;0,SUM(AA68:AD68),0)</f>
        <v>80</v>
      </c>
      <c r="AB70" s="208"/>
      <c r="AC70" s="208"/>
      <c r="AD70" s="208"/>
      <c r="AE70" s="208">
        <f>IF(AH190&gt;0,SUM(AE68:AH68),0)</f>
        <v>82</v>
      </c>
      <c r="AF70" s="208"/>
      <c r="AG70" s="208"/>
      <c r="AH70" s="208"/>
      <c r="AI70" s="208">
        <f>IF(AL190&gt;0,SUM(AI68:AL68),0)</f>
        <v>79</v>
      </c>
      <c r="AJ70" s="208"/>
      <c r="AK70" s="208"/>
      <c r="AL70" s="208"/>
      <c r="AM70" s="208">
        <f>IF(AP190&gt;0,SUM(AM68:AP68),0)</f>
        <v>85</v>
      </c>
      <c r="AN70" s="208"/>
      <c r="AO70" s="208"/>
      <c r="AP70" s="208"/>
      <c r="AQ70" s="208">
        <f>IF(AT190&gt;0,SUM(AQ68:AT68),0)</f>
        <v>85</v>
      </c>
      <c r="AR70" s="208"/>
      <c r="AS70" s="208"/>
      <c r="AT70" s="208"/>
      <c r="AU70" s="208">
        <f>IF(AX190&gt;0,SUM(AU68:AX68),0)</f>
        <v>84</v>
      </c>
      <c r="AV70" s="208"/>
      <c r="AW70" s="208"/>
      <c r="AX70" s="208"/>
      <c r="AY70" s="208">
        <f>IF(BB190&gt;0,SUM(AY68:BB68),0)</f>
        <v>78</v>
      </c>
      <c r="AZ70" s="208"/>
      <c r="BA70" s="208"/>
      <c r="BB70" s="208"/>
      <c r="BC70" s="19">
        <f t="shared" si="22"/>
        <v>1052</v>
      </c>
    </row>
    <row r="71" spans="2:59" x14ac:dyDescent="0.25">
      <c r="B71" s="19" t="s">
        <v>159</v>
      </c>
      <c r="C71" s="85">
        <f>C68*C74</f>
        <v>336.06092307692307</v>
      </c>
      <c r="D71" s="85">
        <f t="shared" ref="D71:BB71" si="23">D68*D74</f>
        <v>323.67667326732669</v>
      </c>
      <c r="E71" s="85">
        <f t="shared" si="23"/>
        <v>384.00272407800742</v>
      </c>
      <c r="F71" s="85">
        <f t="shared" si="23"/>
        <v>286.86474820143889</v>
      </c>
      <c r="G71" s="85">
        <f t="shared" si="23"/>
        <v>304.06396082272283</v>
      </c>
      <c r="H71" s="85">
        <f t="shared" si="23"/>
        <v>324.77551691687205</v>
      </c>
      <c r="I71" s="85">
        <f t="shared" si="23"/>
        <v>304.10701616727744</v>
      </c>
      <c r="J71" s="85">
        <f t="shared" si="23"/>
        <v>352.45314995857501</v>
      </c>
      <c r="K71" s="85">
        <f t="shared" si="23"/>
        <v>341.05926891734578</v>
      </c>
      <c r="L71" s="85">
        <f t="shared" si="23"/>
        <v>293.16046142396425</v>
      </c>
      <c r="M71" s="85">
        <f t="shared" si="23"/>
        <v>306.47655241264556</v>
      </c>
      <c r="N71" s="85">
        <f t="shared" si="23"/>
        <v>320.68079742765281</v>
      </c>
      <c r="O71" s="85">
        <f t="shared" si="23"/>
        <v>306.90762864721484</v>
      </c>
      <c r="P71" s="85">
        <f t="shared" si="23"/>
        <v>356.05265063649222</v>
      </c>
      <c r="Q71" s="85">
        <f t="shared" si="23"/>
        <v>384.00298593719901</v>
      </c>
      <c r="R71" s="85">
        <f t="shared" si="23"/>
        <v>290.86861091637456</v>
      </c>
      <c r="S71" s="85">
        <f t="shared" si="23"/>
        <v>304.06396082272283</v>
      </c>
      <c r="T71" s="85">
        <f t="shared" si="23"/>
        <v>292.28007535321819</v>
      </c>
      <c r="U71" s="85">
        <f t="shared" si="23"/>
        <v>287.11575511963787</v>
      </c>
      <c r="V71" s="85">
        <f t="shared" si="23"/>
        <v>351.05569358867615</v>
      </c>
      <c r="W71" s="85">
        <f t="shared" si="23"/>
        <v>382.99367375886527</v>
      </c>
      <c r="X71" s="85">
        <f t="shared" si="23"/>
        <v>293.16046142396425</v>
      </c>
      <c r="Y71" s="85">
        <f t="shared" si="23"/>
        <v>256.56730978904955</v>
      </c>
      <c r="Z71" s="85">
        <f t="shared" si="23"/>
        <v>319.07954381084841</v>
      </c>
      <c r="AA71" s="85">
        <f t="shared" si="23"/>
        <v>337.07874801061007</v>
      </c>
      <c r="AB71" s="85">
        <f t="shared" si="23"/>
        <v>324.07627043390517</v>
      </c>
      <c r="AC71" s="85">
        <f t="shared" si="23"/>
        <v>351.7368974705542</v>
      </c>
      <c r="AD71" s="85">
        <f t="shared" si="23"/>
        <v>268.25160655737704</v>
      </c>
      <c r="AE71" s="85">
        <f t="shared" si="23"/>
        <v>304.06396082272283</v>
      </c>
      <c r="AF71" s="85">
        <f t="shared" si="23"/>
        <v>324.77551691687205</v>
      </c>
      <c r="AG71" s="85">
        <f t="shared" si="23"/>
        <v>338.08953826255663</v>
      </c>
      <c r="AH71" s="85">
        <f t="shared" si="23"/>
        <v>351.05569358867615</v>
      </c>
      <c r="AI71" s="85">
        <f t="shared" si="23"/>
        <v>349.81892198581568</v>
      </c>
      <c r="AJ71" s="85">
        <f t="shared" si="23"/>
        <v>293.16046142396425</v>
      </c>
      <c r="AK71" s="85">
        <f t="shared" si="23"/>
        <v>304.27694904005688</v>
      </c>
      <c r="AL71" s="85">
        <f t="shared" si="23"/>
        <v>319.07954381084841</v>
      </c>
      <c r="AM71" s="85">
        <f t="shared" si="23"/>
        <v>320.48071087533162</v>
      </c>
      <c r="AN71" s="85">
        <f t="shared" si="23"/>
        <v>356.05265063649222</v>
      </c>
      <c r="AO71" s="85">
        <f t="shared" si="23"/>
        <v>384.00298593719901</v>
      </c>
      <c r="AP71" s="85">
        <f t="shared" si="23"/>
        <v>300.26022950819674</v>
      </c>
      <c r="AQ71" s="85">
        <f t="shared" si="23"/>
        <v>304.06396082272283</v>
      </c>
      <c r="AR71" s="85">
        <f t="shared" si="23"/>
        <v>324.77551691687205</v>
      </c>
      <c r="AS71" s="85">
        <f t="shared" si="23"/>
        <v>369.0650674002751</v>
      </c>
      <c r="AT71" s="85">
        <f t="shared" si="23"/>
        <v>369.35950318471345</v>
      </c>
      <c r="AU71" s="85">
        <f t="shared" si="23"/>
        <v>370.85109447415334</v>
      </c>
      <c r="AV71" s="85">
        <f t="shared" si="23"/>
        <v>339.08700955351924</v>
      </c>
      <c r="AW71" s="85">
        <f t="shared" si="23"/>
        <v>289.31054020262991</v>
      </c>
      <c r="AX71" s="85">
        <f t="shared" si="23"/>
        <v>352.45314995857501</v>
      </c>
      <c r="AY71" s="85">
        <f t="shared" si="23"/>
        <v>387.7955250291036</v>
      </c>
      <c r="AZ71" s="85">
        <f t="shared" si="23"/>
        <v>289.86274260571992</v>
      </c>
      <c r="BA71" s="85">
        <f t="shared" si="23"/>
        <v>304.27694904005688</v>
      </c>
      <c r="BB71" s="85">
        <f t="shared" si="23"/>
        <v>274.12719332406118</v>
      </c>
      <c r="BC71" s="78">
        <f t="shared" si="22"/>
        <v>16902.819080268593</v>
      </c>
    </row>
    <row r="72" spans="2:59" x14ac:dyDescent="0.25">
      <c r="B72" s="19" t="s">
        <v>160</v>
      </c>
      <c r="C72" s="210">
        <f>IF(O190&gt;0,SUM(C71:O71),0)</f>
        <v>4184.289421317967</v>
      </c>
      <c r="D72" s="210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>
        <f>IF(AB190&gt;0,SUM(P71:AB71),0)</f>
        <v>4178.3957396015639</v>
      </c>
      <c r="Q72" s="210"/>
      <c r="R72" s="210"/>
      <c r="S72" s="210"/>
      <c r="T72" s="210"/>
      <c r="U72" s="210"/>
      <c r="V72" s="210"/>
      <c r="W72" s="210"/>
      <c r="X72" s="210"/>
      <c r="Y72" s="210"/>
      <c r="Z72" s="210"/>
      <c r="AA72" s="210"/>
      <c r="AB72" s="210"/>
      <c r="AC72" s="210">
        <f>IF(AO190&gt;0,SUM(AC71:AO71),0)</f>
        <v>4264.8454373284667</v>
      </c>
      <c r="AD72" s="210"/>
      <c r="AE72" s="210"/>
      <c r="AF72" s="210"/>
      <c r="AG72" s="210"/>
      <c r="AH72" s="210"/>
      <c r="AI72" s="210"/>
      <c r="AJ72" s="210"/>
      <c r="AK72" s="210"/>
      <c r="AL72" s="210"/>
      <c r="AM72" s="210"/>
      <c r="AN72" s="210"/>
      <c r="AO72" s="210"/>
      <c r="AP72" s="210">
        <f>IF(BB190&gt;0,SUM(AP71:BB71),0)</f>
        <v>4275.2884820206</v>
      </c>
      <c r="AQ72" s="210"/>
      <c r="AR72" s="210"/>
      <c r="AS72" s="210"/>
      <c r="AT72" s="210"/>
      <c r="AU72" s="210"/>
      <c r="AV72" s="210"/>
      <c r="AW72" s="210"/>
      <c r="AX72" s="210"/>
      <c r="AY72" s="210"/>
      <c r="AZ72" s="210"/>
      <c r="BA72" s="210"/>
      <c r="BB72" s="210"/>
      <c r="BC72" s="78">
        <f t="shared" si="22"/>
        <v>16902.8190802686</v>
      </c>
    </row>
    <row r="73" spans="2:59" x14ac:dyDescent="0.25">
      <c r="B73" s="19" t="s">
        <v>161</v>
      </c>
      <c r="C73" s="210">
        <f>IF(F190&gt;0,SUM(C71:F71),0)</f>
        <v>1330.6050686236963</v>
      </c>
      <c r="D73" s="210"/>
      <c r="E73" s="210"/>
      <c r="F73" s="210"/>
      <c r="G73" s="210">
        <f>IF(J190&gt;0,SUM(G71:J71),0)</f>
        <v>1285.3996438654474</v>
      </c>
      <c r="H73" s="210"/>
      <c r="I73" s="210"/>
      <c r="J73" s="210"/>
      <c r="K73" s="210">
        <f>IF(N190&gt;0,SUM(K71:N71),0)</f>
        <v>1261.3770801816083</v>
      </c>
      <c r="L73" s="210"/>
      <c r="M73" s="210"/>
      <c r="N73" s="210"/>
      <c r="O73" s="210">
        <f>IF(R190&gt;0,SUM(O71:R71),0)</f>
        <v>1337.8318761372807</v>
      </c>
      <c r="P73" s="210"/>
      <c r="Q73" s="210"/>
      <c r="R73" s="210"/>
      <c r="S73" s="210">
        <f>IF(V190&gt;0,SUM(S71:V71),0)</f>
        <v>1234.5154848842551</v>
      </c>
      <c r="T73" s="210"/>
      <c r="U73" s="210"/>
      <c r="V73" s="210"/>
      <c r="W73" s="210">
        <f>IF(Z190&gt;0,SUM(W71:Z71),0)</f>
        <v>1251.8009887827275</v>
      </c>
      <c r="X73" s="210"/>
      <c r="Y73" s="210"/>
      <c r="Z73" s="210"/>
      <c r="AA73" s="210">
        <f>IF(AD190&gt;0,SUM(AA71:AD71),0)</f>
        <v>1281.1435224724464</v>
      </c>
      <c r="AB73" s="210"/>
      <c r="AC73" s="210"/>
      <c r="AD73" s="210"/>
      <c r="AE73" s="210">
        <f>IF(AH190&gt;0,SUM(AE71:AH71),0)</f>
        <v>1317.9847095908276</v>
      </c>
      <c r="AF73" s="210"/>
      <c r="AG73" s="210"/>
      <c r="AH73" s="210"/>
      <c r="AI73" s="210">
        <f>IF(AL190&gt;0,SUM(AI71:AL71),0)</f>
        <v>1266.3358762606854</v>
      </c>
      <c r="AJ73" s="210"/>
      <c r="AK73" s="210"/>
      <c r="AL73" s="210"/>
      <c r="AM73" s="210">
        <f>IF(AP190&gt;0,SUM(AM71:AP71),0)</f>
        <v>1360.7965769572195</v>
      </c>
      <c r="AN73" s="210"/>
      <c r="AO73" s="210"/>
      <c r="AP73" s="210"/>
      <c r="AQ73" s="210">
        <f>IF(AT190&gt;0,SUM(AQ71:AT71),0)</f>
        <v>1367.2640483245834</v>
      </c>
      <c r="AR73" s="210"/>
      <c r="AS73" s="210"/>
      <c r="AT73" s="210"/>
      <c r="AU73" s="210">
        <f>IF(AX190&gt;0,SUM(AU71:AX71),0)</f>
        <v>1351.7017941888776</v>
      </c>
      <c r="AV73" s="210"/>
      <c r="AW73" s="210"/>
      <c r="AX73" s="210"/>
      <c r="AY73" s="210">
        <f>IF(BB190&gt;0,SUM(AY71:BB71),0)</f>
        <v>1256.0624099989416</v>
      </c>
      <c r="AZ73" s="210"/>
      <c r="BA73" s="210"/>
      <c r="BB73" s="210"/>
      <c r="BC73" s="78">
        <f t="shared" si="22"/>
        <v>16902.819080268597</v>
      </c>
    </row>
    <row r="74" spans="2:59" x14ac:dyDescent="0.25">
      <c r="B74" s="19" t="s">
        <v>402</v>
      </c>
      <c r="C74" s="93">
        <f>C427</f>
        <v>16.002901098901098</v>
      </c>
      <c r="D74" s="93">
        <f t="shared" ref="D74:BB74" si="24">D427</f>
        <v>16.183833663366336</v>
      </c>
      <c r="E74" s="93">
        <f t="shared" si="24"/>
        <v>16.000113503250308</v>
      </c>
      <c r="F74" s="93">
        <f t="shared" si="24"/>
        <v>15.936930455635494</v>
      </c>
      <c r="G74" s="93">
        <f t="shared" si="24"/>
        <v>16.003366359090677</v>
      </c>
      <c r="H74" s="93">
        <f t="shared" si="24"/>
        <v>16.238775845843602</v>
      </c>
      <c r="I74" s="93">
        <f t="shared" si="24"/>
        <v>16.005632429856707</v>
      </c>
      <c r="J74" s="93">
        <f t="shared" si="24"/>
        <v>16.020597725389774</v>
      </c>
      <c r="K74" s="93">
        <f t="shared" si="24"/>
        <v>16.240917567492655</v>
      </c>
      <c r="L74" s="93">
        <f t="shared" si="24"/>
        <v>16.286692301331346</v>
      </c>
      <c r="M74" s="93">
        <f t="shared" si="24"/>
        <v>16.130344863823449</v>
      </c>
      <c r="N74" s="93">
        <f t="shared" si="24"/>
        <v>16.034039871382639</v>
      </c>
      <c r="O74" s="93">
        <f t="shared" si="24"/>
        <v>16.153033086695519</v>
      </c>
      <c r="P74" s="93">
        <f t="shared" si="24"/>
        <v>16.184211392567828</v>
      </c>
      <c r="Q74" s="93">
        <f t="shared" si="24"/>
        <v>16.00012441404996</v>
      </c>
      <c r="R74" s="93">
        <f t="shared" si="24"/>
        <v>16.15936727313192</v>
      </c>
      <c r="S74" s="93">
        <f t="shared" si="24"/>
        <v>16.003366359090677</v>
      </c>
      <c r="T74" s="93">
        <f t="shared" si="24"/>
        <v>16.237781964067679</v>
      </c>
      <c r="U74" s="93">
        <f t="shared" si="24"/>
        <v>15.950875284424326</v>
      </c>
      <c r="V74" s="93">
        <f t="shared" si="24"/>
        <v>15.957076981303461</v>
      </c>
      <c r="W74" s="93">
        <f t="shared" si="24"/>
        <v>15.95806973995272</v>
      </c>
      <c r="X74" s="93">
        <f t="shared" si="24"/>
        <v>16.286692301331346</v>
      </c>
      <c r="Y74" s="93">
        <f t="shared" si="24"/>
        <v>16.035456861815597</v>
      </c>
      <c r="Z74" s="93">
        <f t="shared" si="24"/>
        <v>15.953977190542421</v>
      </c>
      <c r="AA74" s="93">
        <f t="shared" si="24"/>
        <v>16.051368952886193</v>
      </c>
      <c r="AB74" s="93">
        <f t="shared" si="24"/>
        <v>16.20381352169526</v>
      </c>
      <c r="AC74" s="93">
        <f t="shared" si="24"/>
        <v>15.988040794116101</v>
      </c>
      <c r="AD74" s="93">
        <f t="shared" si="24"/>
        <v>15.779506268081002</v>
      </c>
      <c r="AE74" s="93">
        <f t="shared" si="24"/>
        <v>16.003366359090677</v>
      </c>
      <c r="AF74" s="93">
        <f t="shared" si="24"/>
        <v>16.238775845843602</v>
      </c>
      <c r="AG74" s="93">
        <f t="shared" si="24"/>
        <v>16.099501822026507</v>
      </c>
      <c r="AH74" s="93">
        <f t="shared" si="24"/>
        <v>15.957076981303461</v>
      </c>
      <c r="AI74" s="93">
        <f t="shared" si="24"/>
        <v>15.900860090264349</v>
      </c>
      <c r="AJ74" s="93">
        <f t="shared" si="24"/>
        <v>16.286692301331346</v>
      </c>
      <c r="AK74" s="93">
        <f t="shared" si="24"/>
        <v>16.01457626526615</v>
      </c>
      <c r="AL74" s="93">
        <f t="shared" si="24"/>
        <v>15.953977190542421</v>
      </c>
      <c r="AM74" s="93">
        <f t="shared" si="24"/>
        <v>16.02403554376658</v>
      </c>
      <c r="AN74" s="93">
        <f t="shared" si="24"/>
        <v>16.184211392567828</v>
      </c>
      <c r="AO74" s="93">
        <f t="shared" si="24"/>
        <v>16.00012441404996</v>
      </c>
      <c r="AP74" s="93">
        <f t="shared" si="24"/>
        <v>15.803169974115619</v>
      </c>
      <c r="AQ74" s="93">
        <f t="shared" si="24"/>
        <v>16.003366359090677</v>
      </c>
      <c r="AR74" s="93">
        <f t="shared" si="24"/>
        <v>16.238775845843602</v>
      </c>
      <c r="AS74" s="93">
        <f t="shared" si="24"/>
        <v>16.046307278272831</v>
      </c>
      <c r="AT74" s="93">
        <f t="shared" si="24"/>
        <v>16.059108834117975</v>
      </c>
      <c r="AU74" s="93">
        <f t="shared" si="24"/>
        <v>16.123960629311014</v>
      </c>
      <c r="AV74" s="93">
        <f t="shared" si="24"/>
        <v>16.147000454929486</v>
      </c>
      <c r="AW74" s="93">
        <f t="shared" si="24"/>
        <v>16.072807789034997</v>
      </c>
      <c r="AX74" s="93">
        <f t="shared" si="24"/>
        <v>16.020597725389774</v>
      </c>
      <c r="AY74" s="93">
        <f t="shared" si="24"/>
        <v>16.158146876212651</v>
      </c>
      <c r="AZ74" s="93">
        <f t="shared" si="24"/>
        <v>16.103485700317773</v>
      </c>
      <c r="BA74" s="93">
        <f t="shared" si="24"/>
        <v>16.01457626526615</v>
      </c>
      <c r="BB74" s="93">
        <f t="shared" si="24"/>
        <v>16.125129019062424</v>
      </c>
      <c r="BC74" s="78"/>
    </row>
    <row r="75" spans="2:59" x14ac:dyDescent="0.25">
      <c r="B75" s="19" t="s">
        <v>163</v>
      </c>
      <c r="C75" s="50">
        <f t="shared" ref="C75:AH75" si="25">IF(C190&gt;0,SUM(C456,C465,C474,C483,C492,C501,C510,C519,C528),0)</f>
        <v>97</v>
      </c>
      <c r="D75" s="50">
        <f t="shared" si="25"/>
        <v>105</v>
      </c>
      <c r="E75" s="50">
        <f t="shared" si="25"/>
        <v>110</v>
      </c>
      <c r="F75" s="50">
        <f t="shared" si="25"/>
        <v>84</v>
      </c>
      <c r="G75" s="50">
        <f t="shared" si="25"/>
        <v>88</v>
      </c>
      <c r="H75" s="50">
        <f t="shared" si="25"/>
        <v>93</v>
      </c>
      <c r="I75" s="50">
        <f t="shared" si="25"/>
        <v>99</v>
      </c>
      <c r="J75" s="50">
        <f t="shared" si="25"/>
        <v>103</v>
      </c>
      <c r="K75" s="50">
        <f t="shared" si="25"/>
        <v>110</v>
      </c>
      <c r="L75" s="50">
        <f t="shared" si="25"/>
        <v>84</v>
      </c>
      <c r="M75" s="50">
        <f t="shared" si="25"/>
        <v>88</v>
      </c>
      <c r="N75" s="50">
        <f t="shared" si="25"/>
        <v>93</v>
      </c>
      <c r="O75" s="50">
        <f t="shared" si="25"/>
        <v>97</v>
      </c>
      <c r="P75" s="50">
        <f t="shared" si="25"/>
        <v>105</v>
      </c>
      <c r="Q75" s="50">
        <f t="shared" si="25"/>
        <v>110</v>
      </c>
      <c r="R75" s="50">
        <f t="shared" si="25"/>
        <v>84</v>
      </c>
      <c r="S75" s="50">
        <f t="shared" si="25"/>
        <v>88</v>
      </c>
      <c r="T75" s="50">
        <f t="shared" si="25"/>
        <v>92</v>
      </c>
      <c r="U75" s="50">
        <f t="shared" si="25"/>
        <v>98</v>
      </c>
      <c r="V75" s="50">
        <f t="shared" si="25"/>
        <v>103</v>
      </c>
      <c r="W75" s="50">
        <f t="shared" si="25"/>
        <v>110</v>
      </c>
      <c r="X75" s="50">
        <f t="shared" si="25"/>
        <v>84</v>
      </c>
      <c r="Y75" s="50">
        <f t="shared" si="25"/>
        <v>90</v>
      </c>
      <c r="Z75" s="50">
        <f t="shared" si="25"/>
        <v>93</v>
      </c>
      <c r="AA75" s="50">
        <f t="shared" si="25"/>
        <v>97</v>
      </c>
      <c r="AB75" s="50">
        <f t="shared" si="25"/>
        <v>105</v>
      </c>
      <c r="AC75" s="50">
        <f t="shared" si="25"/>
        <v>110</v>
      </c>
      <c r="AD75" s="50">
        <f t="shared" si="25"/>
        <v>84</v>
      </c>
      <c r="AE75" s="50">
        <f t="shared" si="25"/>
        <v>87</v>
      </c>
      <c r="AF75" s="50">
        <f t="shared" si="25"/>
        <v>92</v>
      </c>
      <c r="AG75" s="50">
        <f t="shared" si="25"/>
        <v>97</v>
      </c>
      <c r="AH75" s="50">
        <f t="shared" si="25"/>
        <v>103</v>
      </c>
      <c r="AI75" s="50">
        <f t="shared" ref="AI75:BB75" si="26">IF(AI190&gt;0,SUM(AI456,AI465,AI474,AI483,AI492,AI501,AI510,AI519,AI528),0)</f>
        <v>111</v>
      </c>
      <c r="AJ75" s="50">
        <f t="shared" si="26"/>
        <v>84</v>
      </c>
      <c r="AK75" s="50">
        <f t="shared" si="26"/>
        <v>87</v>
      </c>
      <c r="AL75" s="50">
        <f t="shared" si="26"/>
        <v>92</v>
      </c>
      <c r="AM75" s="50">
        <f t="shared" si="26"/>
        <v>97</v>
      </c>
      <c r="AN75" s="50">
        <f t="shared" si="26"/>
        <v>103</v>
      </c>
      <c r="AO75" s="50">
        <f t="shared" si="26"/>
        <v>111</v>
      </c>
      <c r="AP75" s="50">
        <f t="shared" si="26"/>
        <v>84</v>
      </c>
      <c r="AQ75" s="50">
        <f t="shared" si="26"/>
        <v>89</v>
      </c>
      <c r="AR75" s="50">
        <f t="shared" si="26"/>
        <v>93</v>
      </c>
      <c r="AS75" s="50">
        <f t="shared" si="26"/>
        <v>107</v>
      </c>
      <c r="AT75" s="50">
        <f t="shared" si="26"/>
        <v>107</v>
      </c>
      <c r="AU75" s="50">
        <f t="shared" si="26"/>
        <v>108</v>
      </c>
      <c r="AV75" s="50">
        <f t="shared" si="26"/>
        <v>109</v>
      </c>
      <c r="AW75" s="50">
        <f t="shared" si="26"/>
        <v>97</v>
      </c>
      <c r="AX75" s="50">
        <f t="shared" si="26"/>
        <v>105</v>
      </c>
      <c r="AY75" s="50">
        <f t="shared" si="26"/>
        <v>110</v>
      </c>
      <c r="AZ75" s="50">
        <f t="shared" si="26"/>
        <v>86</v>
      </c>
      <c r="BA75" s="50">
        <f t="shared" si="26"/>
        <v>88</v>
      </c>
      <c r="BB75" s="50">
        <f t="shared" si="26"/>
        <v>93</v>
      </c>
      <c r="BC75" s="19">
        <f t="shared" si="22"/>
        <v>5044</v>
      </c>
      <c r="BE75" t="s">
        <v>228</v>
      </c>
      <c r="BF75" s="72">
        <f>1-'Val Size'!L4</f>
        <v>0.1962041686301913</v>
      </c>
      <c r="BG75" s="73" t="b">
        <f>IF(SUM(D847:BC847)/BC96=BF75,TRUE,FALSE)</f>
        <v>1</v>
      </c>
    </row>
    <row r="76" spans="2:59" x14ac:dyDescent="0.25">
      <c r="B76" s="19" t="s">
        <v>164</v>
      </c>
      <c r="C76" s="208">
        <f>IF(O190&gt;0,SUM(C75:O75),0)</f>
        <v>1251</v>
      </c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>
        <f>IF(AB190&gt;0,SUM(P75:AB75),0)</f>
        <v>1259</v>
      </c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  <c r="AB76" s="208"/>
      <c r="AC76" s="208">
        <f>IF(AO190&gt;0,SUM(AC75:AO75),0)</f>
        <v>1258</v>
      </c>
      <c r="AD76" s="208"/>
      <c r="AE76" s="208"/>
      <c r="AF76" s="208"/>
      <c r="AG76" s="208"/>
      <c r="AH76" s="208"/>
      <c r="AI76" s="208"/>
      <c r="AJ76" s="208"/>
      <c r="AK76" s="208"/>
      <c r="AL76" s="208"/>
      <c r="AM76" s="208"/>
      <c r="AN76" s="208"/>
      <c r="AO76" s="208"/>
      <c r="AP76" s="208">
        <f>IF(BB190&gt;0,SUM(AP75:BB75),0)</f>
        <v>1276</v>
      </c>
      <c r="AQ76" s="208"/>
      <c r="AR76" s="208"/>
      <c r="AS76" s="208"/>
      <c r="AT76" s="208"/>
      <c r="AU76" s="208"/>
      <c r="AV76" s="208"/>
      <c r="AW76" s="208"/>
      <c r="AX76" s="208"/>
      <c r="AY76" s="208"/>
      <c r="AZ76" s="208"/>
      <c r="BA76" s="208"/>
      <c r="BB76" s="208"/>
      <c r="BC76" s="19">
        <f t="shared" si="22"/>
        <v>5044</v>
      </c>
      <c r="BE76" t="s">
        <v>166</v>
      </c>
      <c r="BF76" s="72">
        <f>(BC57-BC68)/BC57</f>
        <v>0.99954965753424663</v>
      </c>
      <c r="BG76" s="73" t="b">
        <f>IF(BF76=1-(SUM(BC321,BC330,BC339,BC348,BC357,BC366,BC375,BC384)/BC57),TRUE,FALSE)</f>
        <v>1</v>
      </c>
    </row>
    <row r="77" spans="2:59" x14ac:dyDescent="0.25">
      <c r="B77" s="19" t="s">
        <v>165</v>
      </c>
      <c r="C77" s="208">
        <f>IF(F190&gt;0,SUM(C75:F75),0)</f>
        <v>396</v>
      </c>
      <c r="D77" s="208"/>
      <c r="E77" s="208"/>
      <c r="F77" s="208"/>
      <c r="G77" s="208">
        <f>IF(J190&gt;0,SUM(G75:J75),0)</f>
        <v>383</v>
      </c>
      <c r="H77" s="208"/>
      <c r="I77" s="208"/>
      <c r="J77" s="208"/>
      <c r="K77" s="208">
        <f>IF(N190&gt;0,SUM(K75:N75),0)</f>
        <v>375</v>
      </c>
      <c r="L77" s="208"/>
      <c r="M77" s="208"/>
      <c r="N77" s="208"/>
      <c r="O77" s="208">
        <f>IF(R190&gt;0,SUM(O75:R75),0)</f>
        <v>396</v>
      </c>
      <c r="P77" s="208"/>
      <c r="Q77" s="208"/>
      <c r="R77" s="208"/>
      <c r="S77" s="208">
        <f>IF(V190&gt;0,SUM(S75:V75),0)</f>
        <v>381</v>
      </c>
      <c r="T77" s="208"/>
      <c r="U77" s="208"/>
      <c r="V77" s="208"/>
      <c r="W77" s="208">
        <f>IF(Z190&gt;0,SUM(W75:Z75),0)</f>
        <v>377</v>
      </c>
      <c r="X77" s="208"/>
      <c r="Y77" s="208"/>
      <c r="Z77" s="208"/>
      <c r="AA77" s="208">
        <f>IF(AD190&gt;0,SUM(AA75:AD75),0)</f>
        <v>396</v>
      </c>
      <c r="AB77" s="208"/>
      <c r="AC77" s="208"/>
      <c r="AD77" s="208"/>
      <c r="AE77" s="208">
        <f>IF(AH190&gt;0,SUM(AE75:AH75),0)</f>
        <v>379</v>
      </c>
      <c r="AF77" s="208"/>
      <c r="AG77" s="208"/>
      <c r="AH77" s="208"/>
      <c r="AI77" s="208">
        <f>IF(AL190&gt;0,SUM(AI75:AL75),0)</f>
        <v>374</v>
      </c>
      <c r="AJ77" s="208"/>
      <c r="AK77" s="208"/>
      <c r="AL77" s="208"/>
      <c r="AM77" s="208">
        <f>IF(AP190&gt;0,SUM(AM75:AP75),0)</f>
        <v>395</v>
      </c>
      <c r="AN77" s="208"/>
      <c r="AO77" s="208"/>
      <c r="AP77" s="208"/>
      <c r="AQ77" s="208">
        <f>IF(AT190&gt;0,SUM(AQ75:AT75),0)</f>
        <v>396</v>
      </c>
      <c r="AR77" s="208"/>
      <c r="AS77" s="208"/>
      <c r="AT77" s="208"/>
      <c r="AU77" s="208">
        <f>IF(AX190&gt;0,SUM(AU75:AX75),0)</f>
        <v>419</v>
      </c>
      <c r="AV77" s="208"/>
      <c r="AW77" s="208"/>
      <c r="AX77" s="208"/>
      <c r="AY77" s="208">
        <f>IF(BB190&gt;0,SUM(AY75:BB75),0)</f>
        <v>377</v>
      </c>
      <c r="AZ77" s="208"/>
      <c r="BA77" s="208"/>
      <c r="BB77" s="208"/>
      <c r="BC77" s="19">
        <f t="shared" si="22"/>
        <v>5044</v>
      </c>
      <c r="BE77" t="s">
        <v>167</v>
      </c>
      <c r="BF77" s="72">
        <f>BC75/BC57</f>
        <v>2.1592465753424656E-3</v>
      </c>
      <c r="BG77" s="73" t="b">
        <f>IF(BF77=SUM(BC456,BC465,BC474,BC483,BC492,BC501,BC510,BC519,BC528)/BC57,TRUE,FALSE)</f>
        <v>1</v>
      </c>
    </row>
    <row r="78" spans="2:59" x14ac:dyDescent="0.25">
      <c r="B78" s="19" t="s">
        <v>168</v>
      </c>
      <c r="C78" s="85">
        <f t="shared" ref="C78:AH78" si="27">IF(C190&gt;0,C81*C75,0)</f>
        <v>1587.4389522267547</v>
      </c>
      <c r="D78" s="85">
        <f t="shared" si="27"/>
        <v>1514.6466994046343</v>
      </c>
      <c r="E78" s="85">
        <f t="shared" si="27"/>
        <v>1593.7956939310072</v>
      </c>
      <c r="F78" s="85">
        <f t="shared" si="27"/>
        <v>1292.0438318462595</v>
      </c>
      <c r="G78" s="85">
        <f t="shared" si="27"/>
        <v>1513.0119892583512</v>
      </c>
      <c r="H78" s="85">
        <f t="shared" si="27"/>
        <v>1302.1612203590821</v>
      </c>
      <c r="I78" s="85">
        <f t="shared" si="27"/>
        <v>1303.802137568211</v>
      </c>
      <c r="J78" s="85">
        <f t="shared" si="27"/>
        <v>1466.3890836296291</v>
      </c>
      <c r="K78" s="85">
        <f t="shared" si="27"/>
        <v>1720.6685416503778</v>
      </c>
      <c r="L78" s="85">
        <f t="shared" si="27"/>
        <v>1180.898570206748</v>
      </c>
      <c r="M78" s="85">
        <f t="shared" si="27"/>
        <v>1164.4502014487639</v>
      </c>
      <c r="N78" s="85">
        <f t="shared" si="27"/>
        <v>1252.0743769144783</v>
      </c>
      <c r="O78" s="85">
        <f t="shared" si="27"/>
        <v>1587.6824189078573</v>
      </c>
      <c r="P78" s="85">
        <f t="shared" si="27"/>
        <v>1552.1445885364046</v>
      </c>
      <c r="Q78" s="85">
        <f t="shared" si="27"/>
        <v>1530.6532752617261</v>
      </c>
      <c r="R78" s="85">
        <f t="shared" si="27"/>
        <v>1090.1406882760618</v>
      </c>
      <c r="S78" s="85">
        <f t="shared" si="27"/>
        <v>1513.0119892583512</v>
      </c>
      <c r="T78" s="85">
        <f t="shared" si="27"/>
        <v>1314.9280856286571</v>
      </c>
      <c r="U78" s="85">
        <f t="shared" si="27"/>
        <v>1304.8317480474066</v>
      </c>
      <c r="V78" s="85">
        <f t="shared" si="27"/>
        <v>1486.6548600650617</v>
      </c>
      <c r="W78" s="85">
        <f t="shared" si="27"/>
        <v>1832.5644382717849</v>
      </c>
      <c r="X78" s="85">
        <f t="shared" si="27"/>
        <v>1180.898570206748</v>
      </c>
      <c r="Y78" s="85">
        <f t="shared" si="27"/>
        <v>1222.7875783918487</v>
      </c>
      <c r="Z78" s="85">
        <f t="shared" si="27"/>
        <v>1306.3607285129387</v>
      </c>
      <c r="AA78" s="85">
        <f t="shared" si="27"/>
        <v>1587.4389522267547</v>
      </c>
      <c r="AB78" s="85">
        <f t="shared" si="27"/>
        <v>1506.7268293244347</v>
      </c>
      <c r="AC78" s="85">
        <f t="shared" si="27"/>
        <v>1604.4754401711648</v>
      </c>
      <c r="AD78" s="85">
        <f t="shared" si="27"/>
        <v>1206.4169558439503</v>
      </c>
      <c r="AE78" s="85">
        <f t="shared" si="27"/>
        <v>1499.7371985303068</v>
      </c>
      <c r="AF78" s="85">
        <f t="shared" si="27"/>
        <v>1299.9664984367446</v>
      </c>
      <c r="AG78" s="85">
        <f t="shared" si="27"/>
        <v>1285.6522452810059</v>
      </c>
      <c r="AH78" s="85">
        <f t="shared" si="27"/>
        <v>1486.6548600650617</v>
      </c>
      <c r="AI78" s="85">
        <f t="shared" ref="AI78:BB78" si="28">IF(AI190&gt;0,AI81*AI75,0)</f>
        <v>1857.2013090200842</v>
      </c>
      <c r="AJ78" s="85">
        <f t="shared" si="28"/>
        <v>1180.898570206748</v>
      </c>
      <c r="AK78" s="85">
        <f t="shared" si="28"/>
        <v>1180.4355051931293</v>
      </c>
      <c r="AL78" s="85">
        <f t="shared" si="28"/>
        <v>1296.3066426794398</v>
      </c>
      <c r="AM78" s="85">
        <f t="shared" si="28"/>
        <v>1587.4389522267547</v>
      </c>
      <c r="AN78" s="85">
        <f t="shared" si="28"/>
        <v>1503.3719529871355</v>
      </c>
      <c r="AO78" s="85">
        <f t="shared" si="28"/>
        <v>1549.8512628042677</v>
      </c>
      <c r="AP78" s="85">
        <f t="shared" si="28"/>
        <v>1206.4169558439503</v>
      </c>
      <c r="AQ78" s="85">
        <f t="shared" si="28"/>
        <v>1521.0726254142292</v>
      </c>
      <c r="AR78" s="85">
        <f t="shared" si="28"/>
        <v>1302.1612203590821</v>
      </c>
      <c r="AS78" s="85">
        <f t="shared" si="28"/>
        <v>1542.0855181248523</v>
      </c>
      <c r="AT78" s="85">
        <f t="shared" si="28"/>
        <v>1530.0234912633532</v>
      </c>
      <c r="AU78" s="85">
        <f t="shared" si="28"/>
        <v>1695.1961129906506</v>
      </c>
      <c r="AV78" s="85">
        <f t="shared" si="28"/>
        <v>1645.3679455808835</v>
      </c>
      <c r="AW78" s="85">
        <f t="shared" si="28"/>
        <v>1285.6522452810059</v>
      </c>
      <c r="AX78" s="85">
        <f t="shared" si="28"/>
        <v>1507.2365485362063</v>
      </c>
      <c r="AY78" s="85">
        <f t="shared" si="28"/>
        <v>1720.6685416503778</v>
      </c>
      <c r="AZ78" s="85">
        <f t="shared" si="28"/>
        <v>1140.3587706912635</v>
      </c>
      <c r="BA78" s="85">
        <f t="shared" si="28"/>
        <v>1199.4567717913228</v>
      </c>
      <c r="BB78" s="85">
        <f t="shared" si="28"/>
        <v>1306.3607285129387</v>
      </c>
      <c r="BC78" s="78">
        <f t="shared" si="22"/>
        <v>74048.670918846241</v>
      </c>
      <c r="BD78" s="130"/>
    </row>
    <row r="79" spans="2:59" x14ac:dyDescent="0.25">
      <c r="B79" s="19" t="s">
        <v>169</v>
      </c>
      <c r="C79" s="210">
        <f>IF(O190&gt;0,SUM(C78:O78),0)</f>
        <v>18479.063717352154</v>
      </c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>
        <f>IF(AB190&gt;0,SUM(P78:AB78),0)</f>
        <v>18429.142332008178</v>
      </c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10"/>
      <c r="AB79" s="210"/>
      <c r="AC79" s="210">
        <f>IF(AO190&gt;0,SUM(AC78:AO78),0)</f>
        <v>18538.407393445788</v>
      </c>
      <c r="AD79" s="210"/>
      <c r="AE79" s="210"/>
      <c r="AF79" s="210"/>
      <c r="AG79" s="210"/>
      <c r="AH79" s="210"/>
      <c r="AI79" s="210"/>
      <c r="AJ79" s="210"/>
      <c r="AK79" s="210"/>
      <c r="AL79" s="210"/>
      <c r="AM79" s="210"/>
      <c r="AN79" s="210"/>
      <c r="AO79" s="210"/>
      <c r="AP79" s="210">
        <f>IF(BB190&gt;0,SUM(AP78:BB78),0)</f>
        <v>18602.057476040118</v>
      </c>
      <c r="AQ79" s="210"/>
      <c r="AR79" s="210"/>
      <c r="AS79" s="210"/>
      <c r="AT79" s="210"/>
      <c r="AU79" s="210"/>
      <c r="AV79" s="210"/>
      <c r="AW79" s="210"/>
      <c r="AX79" s="210"/>
      <c r="AY79" s="210"/>
      <c r="AZ79" s="210"/>
      <c r="BA79" s="210"/>
      <c r="BB79" s="210"/>
      <c r="BC79" s="78">
        <f t="shared" si="22"/>
        <v>74048.670918846241</v>
      </c>
    </row>
    <row r="80" spans="2:59" x14ac:dyDescent="0.25">
      <c r="B80" s="19" t="s">
        <v>170</v>
      </c>
      <c r="C80" s="210">
        <f>IF(F190&gt;0,SUM(C78:F78),0)</f>
        <v>5987.9251774086551</v>
      </c>
      <c r="D80" s="210"/>
      <c r="E80" s="210"/>
      <c r="F80" s="210"/>
      <c r="G80" s="210">
        <f>IF(J190&gt;0,SUM(G78:J78),0)</f>
        <v>5585.3644308152725</v>
      </c>
      <c r="H80" s="210"/>
      <c r="I80" s="210"/>
      <c r="J80" s="210"/>
      <c r="K80" s="210">
        <f>IF(N190&gt;0,SUM(K78:N78),0)</f>
        <v>5318.091690220368</v>
      </c>
      <c r="L80" s="210"/>
      <c r="M80" s="210"/>
      <c r="N80" s="210"/>
      <c r="O80" s="210">
        <f>IF(R190&gt;0,SUM(O78:R78),0)</f>
        <v>5760.6209709820496</v>
      </c>
      <c r="P80" s="210"/>
      <c r="Q80" s="210"/>
      <c r="R80" s="210"/>
      <c r="S80" s="210">
        <f>IF(V190&gt;0,SUM(S78:V78),0)</f>
        <v>5619.4266829994776</v>
      </c>
      <c r="T80" s="210"/>
      <c r="U80" s="210"/>
      <c r="V80" s="210"/>
      <c r="W80" s="210">
        <f>IF(Z190&gt;0,SUM(W78:Z78),0)</f>
        <v>5542.6113153833212</v>
      </c>
      <c r="X80" s="210"/>
      <c r="Y80" s="210"/>
      <c r="Z80" s="210"/>
      <c r="AA80" s="210">
        <f>IF(AD190&gt;0,SUM(AA78:AD78),0)</f>
        <v>5905.0581775663049</v>
      </c>
      <c r="AB80" s="210"/>
      <c r="AC80" s="210"/>
      <c r="AD80" s="210"/>
      <c r="AE80" s="210">
        <f>IF(AH190&gt;0,SUM(AE78:AH78),0)</f>
        <v>5572.0108023131197</v>
      </c>
      <c r="AF80" s="210"/>
      <c r="AG80" s="210"/>
      <c r="AH80" s="210"/>
      <c r="AI80" s="210">
        <f>IF(AL190&gt;0,SUM(AI78:AL78),0)</f>
        <v>5514.8420270994011</v>
      </c>
      <c r="AJ80" s="210"/>
      <c r="AK80" s="210"/>
      <c r="AL80" s="210"/>
      <c r="AM80" s="210">
        <f>IF(AP190&gt;0,SUM(AM78:AP78),0)</f>
        <v>5847.0791238621077</v>
      </c>
      <c r="AN80" s="210"/>
      <c r="AO80" s="210"/>
      <c r="AP80" s="210"/>
      <c r="AQ80" s="210">
        <f>IF(AT190&gt;0,SUM(AQ78:AT78),0)</f>
        <v>5895.342855161517</v>
      </c>
      <c r="AR80" s="210"/>
      <c r="AS80" s="210"/>
      <c r="AT80" s="210"/>
      <c r="AU80" s="210">
        <f>IF(AX190&gt;0,SUM(AU78:AX78),0)</f>
        <v>6133.4528523887457</v>
      </c>
      <c r="AV80" s="210"/>
      <c r="AW80" s="210"/>
      <c r="AX80" s="210"/>
      <c r="AY80" s="210">
        <f>IF(BB190&gt;0,SUM(AY78:BB78),0)</f>
        <v>5366.8448126459025</v>
      </c>
      <c r="AZ80" s="210"/>
      <c r="BA80" s="210"/>
      <c r="BB80" s="210"/>
      <c r="BC80" s="78">
        <f t="shared" si="22"/>
        <v>74048.670918846241</v>
      </c>
    </row>
    <row r="81" spans="2:56" x14ac:dyDescent="0.25">
      <c r="B81" s="19" t="s">
        <v>401</v>
      </c>
      <c r="C81" s="150">
        <f t="shared" ref="C81:AH81" si="29">SUM(C690:C697)/SUM(C537:C544)</f>
        <v>16.365350022956235</v>
      </c>
      <c r="D81" s="150">
        <f t="shared" si="29"/>
        <v>14.425206660996517</v>
      </c>
      <c r="E81" s="150">
        <f t="shared" si="29"/>
        <v>14.489051763009156</v>
      </c>
      <c r="F81" s="150">
        <f t="shared" si="29"/>
        <v>15.381474188645948</v>
      </c>
      <c r="G81" s="150">
        <f t="shared" si="29"/>
        <v>17.193318059753992</v>
      </c>
      <c r="H81" s="150">
        <f t="shared" si="29"/>
        <v>14.001733552248195</v>
      </c>
      <c r="I81" s="150">
        <f t="shared" si="29"/>
        <v>13.169718561295062</v>
      </c>
      <c r="J81" s="150">
        <f t="shared" si="29"/>
        <v>14.236787219705137</v>
      </c>
      <c r="K81" s="150">
        <f t="shared" si="29"/>
        <v>15.642441287730708</v>
      </c>
      <c r="L81" s="150">
        <f t="shared" si="29"/>
        <v>14.058316311985095</v>
      </c>
      <c r="M81" s="150">
        <f t="shared" si="29"/>
        <v>13.232388652826863</v>
      </c>
      <c r="N81" s="150">
        <f t="shared" si="29"/>
        <v>13.463165343166434</v>
      </c>
      <c r="O81" s="150">
        <f t="shared" si="29"/>
        <v>16.367859988740797</v>
      </c>
      <c r="P81" s="150">
        <f t="shared" si="29"/>
        <v>14.782329414632425</v>
      </c>
      <c r="Q81" s="150">
        <f t="shared" si="29"/>
        <v>13.915029775106602</v>
      </c>
      <c r="R81" s="150">
        <f t="shared" si="29"/>
        <v>12.977865336619784</v>
      </c>
      <c r="S81" s="150">
        <f t="shared" si="29"/>
        <v>17.193318059753992</v>
      </c>
      <c r="T81" s="150">
        <f t="shared" si="29"/>
        <v>14.292696582920186</v>
      </c>
      <c r="U81" s="150">
        <f t="shared" si="29"/>
        <v>13.314609673953129</v>
      </c>
      <c r="V81" s="150">
        <f t="shared" si="29"/>
        <v>14.433542330728754</v>
      </c>
      <c r="W81" s="150">
        <f t="shared" si="29"/>
        <v>16.65967671156168</v>
      </c>
      <c r="X81" s="150">
        <f t="shared" si="29"/>
        <v>14.058316311985095</v>
      </c>
      <c r="Y81" s="150">
        <f t="shared" si="29"/>
        <v>13.586528648798319</v>
      </c>
      <c r="Z81" s="150">
        <f t="shared" si="29"/>
        <v>14.046889553902567</v>
      </c>
      <c r="AA81" s="150">
        <f t="shared" si="29"/>
        <v>16.365350022956235</v>
      </c>
      <c r="AB81" s="150">
        <f t="shared" si="29"/>
        <v>14.349779326899379</v>
      </c>
      <c r="AC81" s="150">
        <f t="shared" si="29"/>
        <v>14.586140365192406</v>
      </c>
      <c r="AD81" s="150">
        <f t="shared" si="29"/>
        <v>14.362106617189884</v>
      </c>
      <c r="AE81" s="150">
        <f t="shared" si="29"/>
        <v>17.23835860379663</v>
      </c>
      <c r="AF81" s="150">
        <f t="shared" si="29"/>
        <v>14.130070635182006</v>
      </c>
      <c r="AG81" s="150">
        <f t="shared" si="29"/>
        <v>13.25414685856707</v>
      </c>
      <c r="AH81" s="150">
        <f t="shared" si="29"/>
        <v>14.433542330728754</v>
      </c>
      <c r="AI81" s="150">
        <f t="shared" ref="AI81:BB81" si="30">SUM(AI690:AI697)/SUM(AI537:AI544)</f>
        <v>16.731543324505264</v>
      </c>
      <c r="AJ81" s="150">
        <f t="shared" si="30"/>
        <v>14.058316311985095</v>
      </c>
      <c r="AK81" s="150">
        <f t="shared" si="30"/>
        <v>13.568224197622175</v>
      </c>
      <c r="AL81" s="150">
        <f t="shared" si="30"/>
        <v>14.090289594341737</v>
      </c>
      <c r="AM81" s="150">
        <f t="shared" si="30"/>
        <v>16.365350022956235</v>
      </c>
      <c r="AN81" s="150">
        <f t="shared" si="30"/>
        <v>14.595844203758597</v>
      </c>
      <c r="AO81" s="150">
        <f t="shared" si="30"/>
        <v>13.962623989227637</v>
      </c>
      <c r="AP81" s="150">
        <f t="shared" si="30"/>
        <v>14.362106617189884</v>
      </c>
      <c r="AQ81" s="150">
        <f t="shared" si="30"/>
        <v>17.090703656339652</v>
      </c>
      <c r="AR81" s="150">
        <f t="shared" si="30"/>
        <v>14.001733552248195</v>
      </c>
      <c r="AS81" s="150">
        <f t="shared" si="30"/>
        <v>14.412014188082733</v>
      </c>
      <c r="AT81" s="150">
        <f t="shared" si="30"/>
        <v>14.299284965078067</v>
      </c>
      <c r="AU81" s="150">
        <f t="shared" si="30"/>
        <v>15.696260305468988</v>
      </c>
      <c r="AV81" s="150">
        <f t="shared" si="30"/>
        <v>15.095118766797096</v>
      </c>
      <c r="AW81" s="150">
        <f t="shared" si="30"/>
        <v>13.25414685856707</v>
      </c>
      <c r="AX81" s="150">
        <f t="shared" si="30"/>
        <v>14.354633795582917</v>
      </c>
      <c r="AY81" s="150">
        <f t="shared" si="30"/>
        <v>15.642441287730708</v>
      </c>
      <c r="AZ81" s="150">
        <f t="shared" si="30"/>
        <v>13.259985705712367</v>
      </c>
      <c r="BA81" s="150">
        <f t="shared" si="30"/>
        <v>13.63019058853776</v>
      </c>
      <c r="BB81" s="150">
        <f t="shared" si="30"/>
        <v>14.046889553902567</v>
      </c>
      <c r="BC81" s="150"/>
    </row>
    <row r="82" spans="2:56" x14ac:dyDescent="0.25">
      <c r="B82" s="19" t="s">
        <v>398</v>
      </c>
      <c r="C82" s="93" t="b">
        <f t="shared" ref="C82:AH82" si="31">IF(C78=SUM(C690:C697),TRUE,FALSE)</f>
        <v>1</v>
      </c>
      <c r="D82" s="93" t="b">
        <f t="shared" si="31"/>
        <v>1</v>
      </c>
      <c r="E82" s="93" t="b">
        <f t="shared" si="31"/>
        <v>1</v>
      </c>
      <c r="F82" s="93" t="b">
        <f t="shared" si="31"/>
        <v>1</v>
      </c>
      <c r="G82" s="93" t="b">
        <f t="shared" si="31"/>
        <v>1</v>
      </c>
      <c r="H82" s="93" t="b">
        <f t="shared" si="31"/>
        <v>1</v>
      </c>
      <c r="I82" s="93" t="b">
        <f t="shared" si="31"/>
        <v>1</v>
      </c>
      <c r="J82" s="93" t="b">
        <f t="shared" si="31"/>
        <v>1</v>
      </c>
      <c r="K82" s="93" t="b">
        <f t="shared" si="31"/>
        <v>1</v>
      </c>
      <c r="L82" s="93" t="b">
        <f t="shared" si="31"/>
        <v>1</v>
      </c>
      <c r="M82" s="93" t="b">
        <f t="shared" si="31"/>
        <v>1</v>
      </c>
      <c r="N82" s="93" t="b">
        <f t="shared" si="31"/>
        <v>1</v>
      </c>
      <c r="O82" s="93" t="b">
        <f t="shared" si="31"/>
        <v>1</v>
      </c>
      <c r="P82" s="93" t="b">
        <f t="shared" si="31"/>
        <v>1</v>
      </c>
      <c r="Q82" s="93" t="b">
        <f t="shared" si="31"/>
        <v>1</v>
      </c>
      <c r="R82" s="93" t="b">
        <f t="shared" si="31"/>
        <v>1</v>
      </c>
      <c r="S82" s="93" t="b">
        <f t="shared" si="31"/>
        <v>1</v>
      </c>
      <c r="T82" s="93" t="b">
        <f t="shared" si="31"/>
        <v>1</v>
      </c>
      <c r="U82" s="93" t="b">
        <f t="shared" si="31"/>
        <v>1</v>
      </c>
      <c r="V82" s="93" t="b">
        <f t="shared" si="31"/>
        <v>1</v>
      </c>
      <c r="W82" s="93" t="b">
        <f t="shared" si="31"/>
        <v>1</v>
      </c>
      <c r="X82" s="93" t="b">
        <f t="shared" si="31"/>
        <v>1</v>
      </c>
      <c r="Y82" s="93" t="b">
        <f t="shared" si="31"/>
        <v>1</v>
      </c>
      <c r="Z82" s="93" t="b">
        <f t="shared" si="31"/>
        <v>1</v>
      </c>
      <c r="AA82" s="93" t="b">
        <f t="shared" si="31"/>
        <v>1</v>
      </c>
      <c r="AB82" s="93" t="b">
        <f t="shared" si="31"/>
        <v>1</v>
      </c>
      <c r="AC82" s="93" t="b">
        <f t="shared" si="31"/>
        <v>1</v>
      </c>
      <c r="AD82" s="93" t="b">
        <f t="shared" si="31"/>
        <v>1</v>
      </c>
      <c r="AE82" s="93" t="b">
        <f t="shared" si="31"/>
        <v>1</v>
      </c>
      <c r="AF82" s="93" t="b">
        <f t="shared" si="31"/>
        <v>1</v>
      </c>
      <c r="AG82" s="93" t="b">
        <f t="shared" si="31"/>
        <v>1</v>
      </c>
      <c r="AH82" s="93" t="b">
        <f t="shared" si="31"/>
        <v>1</v>
      </c>
      <c r="AI82" s="93" t="b">
        <f t="shared" ref="AI82:BB82" si="32">IF(AI78=SUM(AI690:AI697),TRUE,FALSE)</f>
        <v>1</v>
      </c>
      <c r="AJ82" s="93" t="b">
        <f t="shared" si="32"/>
        <v>1</v>
      </c>
      <c r="AK82" s="93" t="b">
        <f t="shared" si="32"/>
        <v>1</v>
      </c>
      <c r="AL82" s="93" t="b">
        <f t="shared" si="32"/>
        <v>1</v>
      </c>
      <c r="AM82" s="93" t="b">
        <f t="shared" si="32"/>
        <v>1</v>
      </c>
      <c r="AN82" s="93" t="b">
        <f t="shared" si="32"/>
        <v>1</v>
      </c>
      <c r="AO82" s="93" t="b">
        <f t="shared" si="32"/>
        <v>1</v>
      </c>
      <c r="AP82" s="93" t="b">
        <f t="shared" si="32"/>
        <v>1</v>
      </c>
      <c r="AQ82" s="93" t="b">
        <f t="shared" si="32"/>
        <v>1</v>
      </c>
      <c r="AR82" s="93" t="b">
        <f t="shared" si="32"/>
        <v>1</v>
      </c>
      <c r="AS82" s="93" t="b">
        <f t="shared" si="32"/>
        <v>1</v>
      </c>
      <c r="AT82" s="93" t="b">
        <f t="shared" si="32"/>
        <v>1</v>
      </c>
      <c r="AU82" s="93" t="b">
        <f t="shared" si="32"/>
        <v>1</v>
      </c>
      <c r="AV82" s="93" t="b">
        <f t="shared" si="32"/>
        <v>1</v>
      </c>
      <c r="AW82" s="93" t="b">
        <f t="shared" si="32"/>
        <v>1</v>
      </c>
      <c r="AX82" s="93" t="b">
        <f t="shared" si="32"/>
        <v>1</v>
      </c>
      <c r="AY82" s="93" t="b">
        <f t="shared" si="32"/>
        <v>1</v>
      </c>
      <c r="AZ82" s="93" t="b">
        <f t="shared" si="32"/>
        <v>1</v>
      </c>
      <c r="BA82" s="93" t="b">
        <f t="shared" si="32"/>
        <v>1</v>
      </c>
      <c r="BB82" s="93" t="b">
        <f t="shared" si="32"/>
        <v>1</v>
      </c>
      <c r="BC82" s="93"/>
    </row>
    <row r="83" spans="2:56" x14ac:dyDescent="0.25">
      <c r="B83" s="78" t="s">
        <v>399</v>
      </c>
      <c r="C83" s="19" t="b">
        <f t="shared" ref="C83:AH83" si="33">IF(C71=SUM(C411:C418),TRUE,FALSE)</f>
        <v>1</v>
      </c>
      <c r="D83" s="19" t="b">
        <f t="shared" si="33"/>
        <v>1</v>
      </c>
      <c r="E83" s="19" t="b">
        <f t="shared" si="33"/>
        <v>1</v>
      </c>
      <c r="F83" s="19" t="b">
        <f t="shared" si="33"/>
        <v>1</v>
      </c>
      <c r="G83" s="19" t="b">
        <f t="shared" si="33"/>
        <v>1</v>
      </c>
      <c r="H83" s="19" t="b">
        <f t="shared" si="33"/>
        <v>1</v>
      </c>
      <c r="I83" s="19" t="b">
        <f t="shared" si="33"/>
        <v>1</v>
      </c>
      <c r="J83" s="19" t="b">
        <f t="shared" si="33"/>
        <v>1</v>
      </c>
      <c r="K83" s="19" t="b">
        <f t="shared" si="33"/>
        <v>1</v>
      </c>
      <c r="L83" s="19" t="b">
        <f t="shared" si="33"/>
        <v>1</v>
      </c>
      <c r="M83" s="19" t="b">
        <f t="shared" si="33"/>
        <v>1</v>
      </c>
      <c r="N83" s="19" t="b">
        <f t="shared" si="33"/>
        <v>1</v>
      </c>
      <c r="O83" s="19" t="b">
        <f t="shared" si="33"/>
        <v>1</v>
      </c>
      <c r="P83" s="19" t="b">
        <f t="shared" si="33"/>
        <v>1</v>
      </c>
      <c r="Q83" s="19" t="b">
        <f t="shared" si="33"/>
        <v>1</v>
      </c>
      <c r="R83" s="19" t="b">
        <f t="shared" si="33"/>
        <v>1</v>
      </c>
      <c r="S83" s="19" t="b">
        <f t="shared" si="33"/>
        <v>1</v>
      </c>
      <c r="T83" s="19" t="b">
        <f t="shared" si="33"/>
        <v>1</v>
      </c>
      <c r="U83" s="19" t="b">
        <f t="shared" si="33"/>
        <v>1</v>
      </c>
      <c r="V83" s="19" t="b">
        <f t="shared" si="33"/>
        <v>1</v>
      </c>
      <c r="W83" s="19" t="b">
        <f t="shared" si="33"/>
        <v>1</v>
      </c>
      <c r="X83" s="19" t="b">
        <f t="shared" si="33"/>
        <v>1</v>
      </c>
      <c r="Y83" s="19" t="b">
        <f t="shared" si="33"/>
        <v>1</v>
      </c>
      <c r="Z83" s="19" t="b">
        <f t="shared" si="33"/>
        <v>1</v>
      </c>
      <c r="AA83" s="19" t="b">
        <f t="shared" si="33"/>
        <v>1</v>
      </c>
      <c r="AB83" s="19" t="b">
        <f t="shared" si="33"/>
        <v>1</v>
      </c>
      <c r="AC83" s="19" t="b">
        <f t="shared" si="33"/>
        <v>1</v>
      </c>
      <c r="AD83" s="19" t="b">
        <f t="shared" si="33"/>
        <v>1</v>
      </c>
      <c r="AE83" s="19" t="b">
        <f t="shared" si="33"/>
        <v>1</v>
      </c>
      <c r="AF83" s="19" t="b">
        <f t="shared" si="33"/>
        <v>1</v>
      </c>
      <c r="AG83" s="19" t="b">
        <f t="shared" si="33"/>
        <v>1</v>
      </c>
      <c r="AH83" s="19" t="b">
        <f t="shared" si="33"/>
        <v>1</v>
      </c>
      <c r="AI83" s="19" t="b">
        <f t="shared" ref="AI83:BB83" si="34">IF(AI71=SUM(AI411:AI418),TRUE,FALSE)</f>
        <v>1</v>
      </c>
      <c r="AJ83" s="19" t="b">
        <f t="shared" si="34"/>
        <v>1</v>
      </c>
      <c r="AK83" s="19" t="b">
        <f t="shared" si="34"/>
        <v>1</v>
      </c>
      <c r="AL83" s="19" t="b">
        <f t="shared" si="34"/>
        <v>1</v>
      </c>
      <c r="AM83" s="19" t="b">
        <f t="shared" si="34"/>
        <v>1</v>
      </c>
      <c r="AN83" s="19" t="b">
        <f t="shared" si="34"/>
        <v>1</v>
      </c>
      <c r="AO83" s="19" t="b">
        <f t="shared" si="34"/>
        <v>1</v>
      </c>
      <c r="AP83" s="19" t="b">
        <f t="shared" si="34"/>
        <v>1</v>
      </c>
      <c r="AQ83" s="19" t="b">
        <f t="shared" si="34"/>
        <v>1</v>
      </c>
      <c r="AR83" s="19" t="b">
        <f t="shared" si="34"/>
        <v>1</v>
      </c>
      <c r="AS83" s="19" t="b">
        <f t="shared" si="34"/>
        <v>1</v>
      </c>
      <c r="AT83" s="19" t="b">
        <f t="shared" si="34"/>
        <v>1</v>
      </c>
      <c r="AU83" s="19" t="b">
        <f t="shared" si="34"/>
        <v>1</v>
      </c>
      <c r="AV83" s="19" t="b">
        <f t="shared" si="34"/>
        <v>1</v>
      </c>
      <c r="AW83" s="19" t="b">
        <f t="shared" si="34"/>
        <v>1</v>
      </c>
      <c r="AX83" s="19" t="b">
        <f t="shared" si="34"/>
        <v>1</v>
      </c>
      <c r="AY83" s="19" t="b">
        <f t="shared" si="34"/>
        <v>1</v>
      </c>
      <c r="AZ83" s="19" t="b">
        <f t="shared" si="34"/>
        <v>1</v>
      </c>
      <c r="BA83" s="19" t="b">
        <f t="shared" si="34"/>
        <v>1</v>
      </c>
      <c r="BB83" s="19" t="b">
        <f t="shared" si="34"/>
        <v>1</v>
      </c>
      <c r="BC83" s="19"/>
    </row>
    <row r="84" spans="2:56" x14ac:dyDescent="0.25">
      <c r="B84" s="130"/>
    </row>
    <row r="85" spans="2:56" x14ac:dyDescent="0.25">
      <c r="B85" s="130">
        <f>C91</f>
        <v>20131.38620689655</v>
      </c>
      <c r="C85" s="130"/>
    </row>
    <row r="86" spans="2:56" x14ac:dyDescent="0.25">
      <c r="B86" s="19" t="s">
        <v>127</v>
      </c>
      <c r="C86" s="210">
        <f>IF(F190&gt;0,SUM(C88:F88),0)</f>
        <v>38106.461108435804</v>
      </c>
      <c r="D86" s="210"/>
      <c r="E86" s="210"/>
      <c r="F86" s="210"/>
      <c r="G86" s="210">
        <f>IF(J190&gt;0,SUM(G88:J88),0)</f>
        <v>28525.804190724513</v>
      </c>
      <c r="H86" s="210"/>
      <c r="I86" s="210"/>
      <c r="J86" s="210"/>
      <c r="K86" s="210">
        <f>IF(N190&gt;0,SUM(K88:N88),0)</f>
        <v>33300.095413447547</v>
      </c>
      <c r="L86" s="210"/>
      <c r="M86" s="210"/>
      <c r="N86" s="210"/>
      <c r="O86" s="210">
        <f>IF(R190&gt;0,SUM(O88:R88),0)</f>
        <v>33597.91560377858</v>
      </c>
      <c r="P86" s="210"/>
      <c r="Q86" s="210"/>
      <c r="R86" s="210"/>
      <c r="S86" s="210">
        <f>IF(V190&gt;0,SUM(S88:V88),0)</f>
        <v>30801.874265106722</v>
      </c>
      <c r="T86" s="210"/>
      <c r="U86" s="210"/>
      <c r="V86" s="210"/>
      <c r="W86" s="210">
        <f>IF(Z190&gt;0,SUM(W88:Z88),0)</f>
        <v>35069.09402521787</v>
      </c>
      <c r="X86" s="210"/>
      <c r="Y86" s="210"/>
      <c r="Z86" s="210"/>
      <c r="AA86" s="210">
        <f>IF(AD190&gt;0,SUM(AA88:AD88),0)</f>
        <v>33364.966644961554</v>
      </c>
      <c r="AB86" s="210"/>
      <c r="AC86" s="210"/>
      <c r="AD86" s="210"/>
      <c r="AE86" s="210">
        <f>IF(AH190&gt;0,SUM(AE88:AH88),0)</f>
        <v>32474.934044265876</v>
      </c>
      <c r="AF86" s="210"/>
      <c r="AG86" s="210"/>
      <c r="AH86" s="210"/>
      <c r="AI86" s="210">
        <f>IF(AL190&gt;0,SUM(AI88:AL88),0)</f>
        <v>32354.841693249462</v>
      </c>
      <c r="AJ86" s="210"/>
      <c r="AK86" s="210"/>
      <c r="AL86" s="210"/>
      <c r="AM86" s="210">
        <f>IF(AP190&gt;0,SUM(AM88:AP88),0)</f>
        <v>33901.735759944087</v>
      </c>
      <c r="AN86" s="210"/>
      <c r="AO86" s="210"/>
      <c r="AP86" s="210"/>
      <c r="AQ86" s="210">
        <f>IF(AT190&gt;0,SUM(AQ88:AT88),0)</f>
        <v>33862.979877499463</v>
      </c>
      <c r="AR86" s="210"/>
      <c r="AS86" s="210"/>
      <c r="AT86" s="210"/>
      <c r="AU86" s="210">
        <f>IF(AX190&gt;0,SUM(AU88:AX88),0)</f>
        <v>35629.289267654152</v>
      </c>
      <c r="AV86" s="210"/>
      <c r="AW86" s="210"/>
      <c r="AX86" s="210"/>
      <c r="AY86" s="210">
        <f>IF(BB190&gt;0,SUM(AY88:BB88),0)</f>
        <v>29072.477900093669</v>
      </c>
      <c r="AZ86" s="210"/>
      <c r="BA86" s="210"/>
      <c r="BB86" s="210"/>
      <c r="BC86" s="78">
        <f>SUM(C86:BB86)</f>
        <v>430062.46979437931</v>
      </c>
      <c r="BD86" s="130"/>
    </row>
    <row r="87" spans="2:56" x14ac:dyDescent="0.25">
      <c r="B87" s="19" t="s">
        <v>126</v>
      </c>
      <c r="C87" s="210">
        <f>IF(O190&gt;0,SUM(C88:O88),0)</f>
        <v>109860.1676091596</v>
      </c>
      <c r="D87" s="210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>
        <f>IF(AB190&gt;0,SUM(P88:AB88),0)</f>
        <v>108479.43178512235</v>
      </c>
      <c r="Q87" s="210"/>
      <c r="R87" s="210"/>
      <c r="S87" s="210"/>
      <c r="T87" s="210"/>
      <c r="U87" s="210"/>
      <c r="V87" s="210"/>
      <c r="W87" s="210"/>
      <c r="X87" s="210"/>
      <c r="Y87" s="210"/>
      <c r="Z87" s="210"/>
      <c r="AA87" s="210"/>
      <c r="AB87" s="210"/>
      <c r="AC87" s="210">
        <f>IF(AO190&gt;0,SUM(AC88:AO88),0)</f>
        <v>103999.31761714516</v>
      </c>
      <c r="AD87" s="210"/>
      <c r="AE87" s="210"/>
      <c r="AF87" s="210"/>
      <c r="AG87" s="210"/>
      <c r="AH87" s="210"/>
      <c r="AI87" s="210"/>
      <c r="AJ87" s="210"/>
      <c r="AK87" s="210"/>
      <c r="AL87" s="210"/>
      <c r="AM87" s="210"/>
      <c r="AN87" s="210"/>
      <c r="AO87" s="210"/>
      <c r="AP87" s="210">
        <f>IF(BB190&gt;0,SUM(AP88:BB88),0)</f>
        <v>107723.55278295222</v>
      </c>
      <c r="AQ87" s="210"/>
      <c r="AR87" s="210"/>
      <c r="AS87" s="210"/>
      <c r="AT87" s="210"/>
      <c r="AU87" s="210"/>
      <c r="AV87" s="210"/>
      <c r="AW87" s="210"/>
      <c r="AX87" s="210"/>
      <c r="AY87" s="210"/>
      <c r="AZ87" s="210"/>
      <c r="BA87" s="210"/>
      <c r="BB87" s="210"/>
      <c r="BC87" s="78">
        <f>SUM(C87:BB87)</f>
        <v>430062.46979437931</v>
      </c>
    </row>
    <row r="88" spans="2:56" x14ac:dyDescent="0.25">
      <c r="B88" s="19" t="s">
        <v>125</v>
      </c>
      <c r="C88" s="85">
        <f>IF(C190&gt;0,C181*C94,0)</f>
        <v>10203.579310344823</v>
      </c>
      <c r="D88" s="85">
        <f t="shared" ref="D88:BB88" si="35">IF(D190&gt;0,D181*D94,0)</f>
        <v>8401.3416043645175</v>
      </c>
      <c r="E88" s="85">
        <f t="shared" si="35"/>
        <v>9162.2495462444458</v>
      </c>
      <c r="F88" s="85">
        <f t="shared" si="35"/>
        <v>10339.290647482014</v>
      </c>
      <c r="G88" s="85">
        <f t="shared" si="35"/>
        <v>7514.9065621939271</v>
      </c>
      <c r="H88" s="85">
        <f t="shared" si="35"/>
        <v>6713.8830383150344</v>
      </c>
      <c r="I88" s="85">
        <f t="shared" si="35"/>
        <v>7542.4213839189479</v>
      </c>
      <c r="J88" s="85">
        <f t="shared" si="35"/>
        <v>6754.593206296604</v>
      </c>
      <c r="K88" s="85">
        <f t="shared" si="35"/>
        <v>7394.7185098952268</v>
      </c>
      <c r="L88" s="85">
        <f t="shared" si="35"/>
        <v>9327.996973455718</v>
      </c>
      <c r="M88" s="85">
        <f t="shared" si="35"/>
        <v>7745.2545281673401</v>
      </c>
      <c r="N88" s="85">
        <f t="shared" si="35"/>
        <v>8832.1254019292592</v>
      </c>
      <c r="O88" s="85">
        <f t="shared" si="35"/>
        <v>9927.806896551725</v>
      </c>
      <c r="P88" s="85">
        <f t="shared" si="35"/>
        <v>9255.6774701960003</v>
      </c>
      <c r="Q88" s="85">
        <f t="shared" si="35"/>
        <v>7160.5574263147773</v>
      </c>
      <c r="R88" s="85">
        <f t="shared" si="35"/>
        <v>7253.8738107160752</v>
      </c>
      <c r="S88" s="85">
        <f t="shared" si="35"/>
        <v>7514.906562193928</v>
      </c>
      <c r="T88" s="85">
        <f t="shared" si="35"/>
        <v>7330.5454137699035</v>
      </c>
      <c r="U88" s="85">
        <f t="shared" si="35"/>
        <v>6363.918042681612</v>
      </c>
      <c r="V88" s="85">
        <f t="shared" si="35"/>
        <v>9592.5042464612798</v>
      </c>
      <c r="W88" s="85">
        <f t="shared" si="35"/>
        <v>9048.965957446806</v>
      </c>
      <c r="X88" s="85">
        <f t="shared" si="35"/>
        <v>7892.9205160009897</v>
      </c>
      <c r="Y88" s="85">
        <f t="shared" si="35"/>
        <v>8683.9218772220902</v>
      </c>
      <c r="Z88" s="85">
        <f t="shared" si="35"/>
        <v>9443.2856745479803</v>
      </c>
      <c r="AA88" s="85">
        <f t="shared" si="35"/>
        <v>9927.8068965517232</v>
      </c>
      <c r="AB88" s="85">
        <f t="shared" si="35"/>
        <v>9010.5478910191741</v>
      </c>
      <c r="AC88" s="85">
        <f t="shared" si="35"/>
        <v>7153.4425950955792</v>
      </c>
      <c r="AD88" s="85">
        <f t="shared" si="35"/>
        <v>7273.1692622950823</v>
      </c>
      <c r="AE88" s="85">
        <f t="shared" si="35"/>
        <v>9249.1157688540661</v>
      </c>
      <c r="AF88" s="85">
        <f t="shared" si="35"/>
        <v>6234.3199641496767</v>
      </c>
      <c r="AG88" s="85">
        <f t="shared" si="35"/>
        <v>6599.6187109290786</v>
      </c>
      <c r="AH88" s="85">
        <f t="shared" si="35"/>
        <v>10391.879600333054</v>
      </c>
      <c r="AI88" s="85">
        <f t="shared" si="35"/>
        <v>7297.5531914893636</v>
      </c>
      <c r="AJ88" s="85">
        <f t="shared" si="35"/>
        <v>7653.7411064252019</v>
      </c>
      <c r="AK88" s="85">
        <f t="shared" si="35"/>
        <v>7960.2617207869152</v>
      </c>
      <c r="AL88" s="85">
        <f t="shared" si="35"/>
        <v>9443.2856745479803</v>
      </c>
      <c r="AM88" s="85">
        <f t="shared" si="35"/>
        <v>8548.9448275862087</v>
      </c>
      <c r="AN88" s="85">
        <f t="shared" si="35"/>
        <v>7754.7567993534039</v>
      </c>
      <c r="AO88" s="85">
        <f t="shared" si="35"/>
        <v>8439.2283952995585</v>
      </c>
      <c r="AP88" s="85">
        <f t="shared" si="35"/>
        <v>9158.8057377049172</v>
      </c>
      <c r="AQ88" s="85">
        <f t="shared" si="35"/>
        <v>9538.1506366307531</v>
      </c>
      <c r="AR88" s="85">
        <f t="shared" si="35"/>
        <v>8392.3537978937948</v>
      </c>
      <c r="AS88" s="85">
        <f t="shared" si="35"/>
        <v>7826.7257614462551</v>
      </c>
      <c r="AT88" s="85">
        <f t="shared" si="35"/>
        <v>8105.7496815286631</v>
      </c>
      <c r="AU88" s="85">
        <f t="shared" si="35"/>
        <v>8772.7411764705848</v>
      </c>
      <c r="AV88" s="85">
        <f t="shared" si="35"/>
        <v>8970.6276077208004</v>
      </c>
      <c r="AW88" s="85">
        <f t="shared" si="35"/>
        <v>8013.8227204138811</v>
      </c>
      <c r="AX88" s="85">
        <f t="shared" si="35"/>
        <v>9872.0977630488815</v>
      </c>
      <c r="AY88" s="85">
        <f t="shared" si="35"/>
        <v>8715.203958090804</v>
      </c>
      <c r="AZ88" s="85">
        <f t="shared" si="35"/>
        <v>7391.9624541676849</v>
      </c>
      <c r="BA88" s="85">
        <f t="shared" si="35"/>
        <v>7719.0416686418594</v>
      </c>
      <c r="BB88" s="85">
        <f t="shared" si="35"/>
        <v>5246.2698191933241</v>
      </c>
      <c r="BC88" s="85">
        <f>SUM(C88:BB88)</f>
        <v>430062.46979437931</v>
      </c>
    </row>
    <row r="89" spans="2:56" x14ac:dyDescent="0.25">
      <c r="B89" s="19" t="s">
        <v>99</v>
      </c>
      <c r="C89" s="94">
        <f>IF(C190&gt;0,'Val Size'!F16,0)</f>
        <v>10.163998287671232</v>
      </c>
      <c r="D89" s="94">
        <f t="shared" ref="D89:AI89" si="36">IF(D190&gt;0,C89,0)</f>
        <v>10.163998287671232</v>
      </c>
      <c r="E89" s="94">
        <f t="shared" si="36"/>
        <v>10.163998287671232</v>
      </c>
      <c r="F89" s="94">
        <f t="shared" si="36"/>
        <v>10.163998287671232</v>
      </c>
      <c r="G89" s="94">
        <f t="shared" si="36"/>
        <v>10.163998287671232</v>
      </c>
      <c r="H89" s="94">
        <f t="shared" si="36"/>
        <v>10.163998287671232</v>
      </c>
      <c r="I89" s="94">
        <f t="shared" si="36"/>
        <v>10.163998287671232</v>
      </c>
      <c r="J89" s="94">
        <f t="shared" si="36"/>
        <v>10.163998287671232</v>
      </c>
      <c r="K89" s="94">
        <f t="shared" si="36"/>
        <v>10.163998287671232</v>
      </c>
      <c r="L89" s="94">
        <f t="shared" si="36"/>
        <v>10.163998287671232</v>
      </c>
      <c r="M89" s="94">
        <f t="shared" si="36"/>
        <v>10.163998287671232</v>
      </c>
      <c r="N89" s="94">
        <f t="shared" si="36"/>
        <v>10.163998287671232</v>
      </c>
      <c r="O89" s="94">
        <f t="shared" si="36"/>
        <v>10.163998287671232</v>
      </c>
      <c r="P89" s="94">
        <f t="shared" si="36"/>
        <v>10.163998287671232</v>
      </c>
      <c r="Q89" s="94">
        <f t="shared" si="36"/>
        <v>10.163998287671232</v>
      </c>
      <c r="R89" s="94">
        <f t="shared" si="36"/>
        <v>10.163998287671232</v>
      </c>
      <c r="S89" s="94">
        <f t="shared" si="36"/>
        <v>10.163998287671232</v>
      </c>
      <c r="T89" s="94">
        <f t="shared" si="36"/>
        <v>10.163998287671232</v>
      </c>
      <c r="U89" s="94">
        <f t="shared" si="36"/>
        <v>10.163998287671232</v>
      </c>
      <c r="V89" s="94">
        <f t="shared" si="36"/>
        <v>10.163998287671232</v>
      </c>
      <c r="W89" s="94">
        <f t="shared" si="36"/>
        <v>10.163998287671232</v>
      </c>
      <c r="X89" s="94">
        <f t="shared" si="36"/>
        <v>10.163998287671232</v>
      </c>
      <c r="Y89" s="94">
        <f t="shared" si="36"/>
        <v>10.163998287671232</v>
      </c>
      <c r="Z89" s="94">
        <f t="shared" si="36"/>
        <v>10.163998287671232</v>
      </c>
      <c r="AA89" s="94">
        <f t="shared" si="36"/>
        <v>10.163998287671232</v>
      </c>
      <c r="AB89" s="94">
        <f t="shared" si="36"/>
        <v>10.163998287671232</v>
      </c>
      <c r="AC89" s="94">
        <f t="shared" si="36"/>
        <v>10.163998287671232</v>
      </c>
      <c r="AD89" s="94">
        <f t="shared" si="36"/>
        <v>10.163998287671232</v>
      </c>
      <c r="AE89" s="94">
        <f t="shared" si="36"/>
        <v>10.163998287671232</v>
      </c>
      <c r="AF89" s="94">
        <f t="shared" si="36"/>
        <v>10.163998287671232</v>
      </c>
      <c r="AG89" s="94">
        <f t="shared" si="36"/>
        <v>10.163998287671232</v>
      </c>
      <c r="AH89" s="94">
        <f t="shared" si="36"/>
        <v>10.163998287671232</v>
      </c>
      <c r="AI89" s="94">
        <f t="shared" si="36"/>
        <v>10.163998287671232</v>
      </c>
      <c r="AJ89" s="94">
        <f t="shared" ref="AJ89:BB89" si="37">IF(AJ190&gt;0,AI89,0)</f>
        <v>10.163998287671232</v>
      </c>
      <c r="AK89" s="94">
        <f t="shared" si="37"/>
        <v>10.163998287671232</v>
      </c>
      <c r="AL89" s="94">
        <f t="shared" si="37"/>
        <v>10.163998287671232</v>
      </c>
      <c r="AM89" s="94">
        <f t="shared" si="37"/>
        <v>10.163998287671232</v>
      </c>
      <c r="AN89" s="94">
        <f t="shared" si="37"/>
        <v>10.163998287671232</v>
      </c>
      <c r="AO89" s="94">
        <f t="shared" si="37"/>
        <v>10.163998287671232</v>
      </c>
      <c r="AP89" s="94">
        <f t="shared" si="37"/>
        <v>10.163998287671232</v>
      </c>
      <c r="AQ89" s="94">
        <f t="shared" si="37"/>
        <v>10.163998287671232</v>
      </c>
      <c r="AR89" s="94">
        <f t="shared" si="37"/>
        <v>10.163998287671232</v>
      </c>
      <c r="AS89" s="94">
        <f t="shared" si="37"/>
        <v>10.163998287671232</v>
      </c>
      <c r="AT89" s="94">
        <f t="shared" si="37"/>
        <v>10.163998287671232</v>
      </c>
      <c r="AU89" s="94">
        <f t="shared" si="37"/>
        <v>10.163998287671232</v>
      </c>
      <c r="AV89" s="94">
        <f t="shared" si="37"/>
        <v>10.163998287671232</v>
      </c>
      <c r="AW89" s="94">
        <f t="shared" si="37"/>
        <v>10.163998287671232</v>
      </c>
      <c r="AX89" s="94">
        <f t="shared" si="37"/>
        <v>10.163998287671232</v>
      </c>
      <c r="AY89" s="94">
        <f t="shared" si="37"/>
        <v>10.163998287671232</v>
      </c>
      <c r="AZ89" s="94">
        <f t="shared" si="37"/>
        <v>10.163998287671232</v>
      </c>
      <c r="BA89" s="94">
        <f t="shared" si="37"/>
        <v>10.163998287671232</v>
      </c>
      <c r="BB89" s="94">
        <f t="shared" si="37"/>
        <v>10.163998287671232</v>
      </c>
      <c r="BC89" s="44">
        <f>C89</f>
        <v>10.163998287671232</v>
      </c>
    </row>
    <row r="90" spans="2:56" x14ac:dyDescent="0.25">
      <c r="B90" s="19" t="s">
        <v>98</v>
      </c>
      <c r="C90" s="50">
        <f t="shared" ref="C90:AH90" si="38">IF(C190&gt;0,C190*60*60*(C186*C187*C188)-C92,0)</f>
        <v>578520</v>
      </c>
      <c r="D90" s="50">
        <f t="shared" si="38"/>
        <v>575280</v>
      </c>
      <c r="E90" s="50">
        <f t="shared" si="38"/>
        <v>584640</v>
      </c>
      <c r="F90" s="50">
        <f t="shared" si="38"/>
        <v>569520</v>
      </c>
      <c r="G90" s="50">
        <f t="shared" si="38"/>
        <v>585360</v>
      </c>
      <c r="H90" s="50">
        <f t="shared" si="38"/>
        <v>581760</v>
      </c>
      <c r="I90" s="50">
        <f t="shared" si="38"/>
        <v>579600</v>
      </c>
      <c r="J90" s="50">
        <f t="shared" si="38"/>
        <v>577080</v>
      </c>
      <c r="K90" s="50">
        <f t="shared" si="38"/>
        <v>585360</v>
      </c>
      <c r="L90" s="50">
        <f t="shared" si="38"/>
        <v>569880</v>
      </c>
      <c r="M90" s="50">
        <f t="shared" si="38"/>
        <v>583560</v>
      </c>
      <c r="N90" s="50">
        <f t="shared" si="38"/>
        <v>579600</v>
      </c>
      <c r="O90" s="50">
        <f t="shared" si="38"/>
        <v>575640</v>
      </c>
      <c r="P90" s="50">
        <f t="shared" si="38"/>
        <v>582480</v>
      </c>
      <c r="Q90" s="50">
        <f t="shared" si="38"/>
        <v>572400</v>
      </c>
      <c r="R90" s="50">
        <f t="shared" si="38"/>
        <v>585000</v>
      </c>
      <c r="S90" s="50">
        <f t="shared" si="38"/>
        <v>581400</v>
      </c>
      <c r="T90" s="50">
        <f t="shared" si="38"/>
        <v>580320</v>
      </c>
      <c r="U90" s="50">
        <f t="shared" si="38"/>
        <v>576720</v>
      </c>
      <c r="V90" s="50">
        <f t="shared" si="38"/>
        <v>583920</v>
      </c>
      <c r="W90" s="50">
        <f t="shared" si="38"/>
        <v>571320</v>
      </c>
      <c r="X90" s="50">
        <f t="shared" si="38"/>
        <v>584280</v>
      </c>
      <c r="Y90" s="50">
        <f t="shared" si="38"/>
        <v>578880</v>
      </c>
      <c r="Z90" s="50">
        <f t="shared" si="38"/>
        <v>574560</v>
      </c>
      <c r="AA90" s="50">
        <f t="shared" si="38"/>
        <v>584640</v>
      </c>
      <c r="AB90" s="50">
        <f t="shared" si="38"/>
        <v>569880</v>
      </c>
      <c r="AC90" s="50">
        <f t="shared" si="38"/>
        <v>584640</v>
      </c>
      <c r="AD90" s="50">
        <f t="shared" si="38"/>
        <v>582120</v>
      </c>
      <c r="AE90" s="50">
        <f t="shared" si="38"/>
        <v>579600</v>
      </c>
      <c r="AF90" s="50">
        <f t="shared" si="38"/>
        <v>577080</v>
      </c>
      <c r="AG90" s="50">
        <f t="shared" si="38"/>
        <v>585360</v>
      </c>
      <c r="AH90" s="50">
        <f t="shared" si="38"/>
        <v>569880</v>
      </c>
      <c r="AI90" s="50">
        <f t="shared" ref="AI90:BB90" si="39">IF(AI190&gt;0,AI190*60*60*(AI186*AI187*AI188)-AI92,0)</f>
        <v>586080</v>
      </c>
      <c r="AJ90" s="50">
        <f t="shared" si="39"/>
        <v>580320</v>
      </c>
      <c r="AK90" s="50">
        <f t="shared" si="39"/>
        <v>579960</v>
      </c>
      <c r="AL90" s="50">
        <f t="shared" si="39"/>
        <v>579240</v>
      </c>
      <c r="AM90" s="50">
        <f t="shared" si="39"/>
        <v>576720</v>
      </c>
      <c r="AN90" s="50">
        <f t="shared" si="39"/>
        <v>584280</v>
      </c>
      <c r="AO90" s="50">
        <f t="shared" si="39"/>
        <v>580320</v>
      </c>
      <c r="AP90" s="50">
        <f t="shared" si="39"/>
        <v>575640</v>
      </c>
      <c r="AQ90" s="50">
        <f t="shared" si="39"/>
        <v>584280</v>
      </c>
      <c r="AR90" s="50">
        <f t="shared" si="39"/>
        <v>571680</v>
      </c>
      <c r="AS90" s="50">
        <f t="shared" si="39"/>
        <v>584280</v>
      </c>
      <c r="AT90" s="50">
        <f t="shared" si="39"/>
        <v>580680</v>
      </c>
      <c r="AU90" s="50">
        <f t="shared" si="39"/>
        <v>579960</v>
      </c>
      <c r="AV90" s="50">
        <f t="shared" si="39"/>
        <v>575280</v>
      </c>
      <c r="AW90" s="50">
        <f t="shared" si="39"/>
        <v>583560</v>
      </c>
      <c r="AX90" s="50">
        <f t="shared" si="39"/>
        <v>570240</v>
      </c>
      <c r="AY90" s="50">
        <f t="shared" si="39"/>
        <v>585000</v>
      </c>
      <c r="AZ90" s="50">
        <f t="shared" si="39"/>
        <v>580320</v>
      </c>
      <c r="BA90" s="50">
        <f t="shared" si="39"/>
        <v>580320</v>
      </c>
      <c r="BB90" s="50">
        <f t="shared" si="39"/>
        <v>591840</v>
      </c>
      <c r="BC90" s="19">
        <f t="shared" ref="BC90:BC96" si="40">SUM(C90:BB90)</f>
        <v>30140280</v>
      </c>
    </row>
    <row r="91" spans="2:56" x14ac:dyDescent="0.25">
      <c r="B91" s="19" t="s">
        <v>404</v>
      </c>
      <c r="C91" s="85">
        <f>C93*C266</f>
        <v>20131.38620689655</v>
      </c>
      <c r="D91" s="85">
        <f t="shared" ref="D91:BB91" si="41">D93*D266</f>
        <v>20262.059163467373</v>
      </c>
      <c r="E91" s="85">
        <f t="shared" si="41"/>
        <v>14252.388183046922</v>
      </c>
      <c r="F91" s="85">
        <f t="shared" si="41"/>
        <v>27385.148201438849</v>
      </c>
      <c r="G91" s="85">
        <f t="shared" si="41"/>
        <v>15607.882859941239</v>
      </c>
      <c r="H91" s="85">
        <f t="shared" si="41"/>
        <v>15346.018373291507</v>
      </c>
      <c r="I91" s="85">
        <f t="shared" si="41"/>
        <v>16499.046777322696</v>
      </c>
      <c r="J91" s="85">
        <f t="shared" si="41"/>
        <v>20003.987572493785</v>
      </c>
      <c r="K91" s="85">
        <f t="shared" si="41"/>
        <v>14261.242840512225</v>
      </c>
      <c r="L91" s="85">
        <f t="shared" si="41"/>
        <v>23200.402728851397</v>
      </c>
      <c r="M91" s="85">
        <f t="shared" si="41"/>
        <v>13847.576277632519</v>
      </c>
      <c r="N91" s="85">
        <f t="shared" si="41"/>
        <v>17664.250803858518</v>
      </c>
      <c r="O91" s="85">
        <f t="shared" si="41"/>
        <v>22337.565517241375</v>
      </c>
      <c r="P91" s="85">
        <f t="shared" si="41"/>
        <v>15509.513598706808</v>
      </c>
      <c r="Q91" s="85">
        <f t="shared" si="41"/>
        <v>23016.077441726065</v>
      </c>
      <c r="R91" s="85">
        <f t="shared" si="41"/>
        <v>13298.76865297947</v>
      </c>
      <c r="S91" s="85">
        <f t="shared" si="41"/>
        <v>18787.266405484814</v>
      </c>
      <c r="T91" s="85">
        <f t="shared" si="41"/>
        <v>16615.902937878447</v>
      </c>
      <c r="U91" s="85">
        <f t="shared" si="41"/>
        <v>18384.652123302432</v>
      </c>
      <c r="V91" s="85">
        <f t="shared" si="41"/>
        <v>15454.590174854282</v>
      </c>
      <c r="W91" s="85">
        <f t="shared" si="41"/>
        <v>27146.897872340425</v>
      </c>
      <c r="X91" s="85">
        <f t="shared" si="41"/>
        <v>13633.226345819892</v>
      </c>
      <c r="Y91" s="85">
        <f t="shared" si="41"/>
        <v>17367.843754444184</v>
      </c>
      <c r="Z91" s="85">
        <f t="shared" si="41"/>
        <v>22034.333240611955</v>
      </c>
      <c r="AA91" s="85">
        <f t="shared" si="41"/>
        <v>15443.255172413788</v>
      </c>
      <c r="AB91" s="85">
        <f t="shared" si="41"/>
        <v>24278.420706357218</v>
      </c>
      <c r="AC91" s="85">
        <f t="shared" si="41"/>
        <v>14306.885190191153</v>
      </c>
      <c r="AD91" s="85">
        <f t="shared" si="41"/>
        <v>16970.728278688526</v>
      </c>
      <c r="AE91" s="85">
        <f t="shared" si="41"/>
        <v>20232.440744368265</v>
      </c>
      <c r="AF91" s="85">
        <f t="shared" si="41"/>
        <v>18463.178355366348</v>
      </c>
      <c r="AG91" s="85">
        <f t="shared" si="41"/>
        <v>12727.836085363222</v>
      </c>
      <c r="AH91" s="85">
        <f t="shared" si="41"/>
        <v>25846.469775187343</v>
      </c>
      <c r="AI91" s="85">
        <f t="shared" si="41"/>
        <v>15178.910638297872</v>
      </c>
      <c r="AJ91" s="85">
        <f t="shared" si="41"/>
        <v>16264.199851153558</v>
      </c>
      <c r="AK91" s="85">
        <f t="shared" si="41"/>
        <v>16644.183598009011</v>
      </c>
      <c r="AL91" s="85">
        <f t="shared" si="41"/>
        <v>18624.257858136301</v>
      </c>
      <c r="AM91" s="85">
        <f t="shared" si="41"/>
        <v>21510.248275862068</v>
      </c>
      <c r="AN91" s="85">
        <f t="shared" si="41"/>
        <v>14258.746373004646</v>
      </c>
      <c r="AO91" s="85">
        <f t="shared" si="41"/>
        <v>17389.925178193025</v>
      </c>
      <c r="AP91" s="85">
        <f t="shared" si="41"/>
        <v>21819.507786885246</v>
      </c>
      <c r="AQ91" s="85">
        <f t="shared" si="41"/>
        <v>16474.987463271304</v>
      </c>
      <c r="AR91" s="85">
        <f t="shared" si="41"/>
        <v>22059.901411606541</v>
      </c>
      <c r="AS91" s="85">
        <f t="shared" si="41"/>
        <v>14391.076400078602</v>
      </c>
      <c r="AT91" s="85">
        <f t="shared" si="41"/>
        <v>17518.878343949043</v>
      </c>
      <c r="AU91" s="85">
        <f t="shared" si="41"/>
        <v>18343.004278074866</v>
      </c>
      <c r="AV91" s="85">
        <f t="shared" si="41"/>
        <v>21016.898966660163</v>
      </c>
      <c r="AW91" s="85">
        <f t="shared" si="41"/>
        <v>13906.339426600558</v>
      </c>
      <c r="AX91" s="85">
        <f t="shared" si="41"/>
        <v>24940.036454018224</v>
      </c>
      <c r="AY91" s="85">
        <f t="shared" si="41"/>
        <v>14525.339930151342</v>
      </c>
      <c r="AZ91" s="85">
        <f t="shared" si="41"/>
        <v>15707.920215106331</v>
      </c>
      <c r="BA91" s="85">
        <f t="shared" si="41"/>
        <v>16402.963545863953</v>
      </c>
      <c r="BB91" s="85">
        <f t="shared" si="41"/>
        <v>9443.2856745479803</v>
      </c>
      <c r="BC91" s="78">
        <f t="shared" si="40"/>
        <v>936737.85403155035</v>
      </c>
      <c r="BD91" s="130"/>
    </row>
    <row r="92" spans="2:56" x14ac:dyDescent="0.25">
      <c r="B92" s="19" t="s">
        <v>119</v>
      </c>
      <c r="C92" s="50">
        <f t="shared" ref="C92:AH92" si="42">IF(C190&gt;0,C93*60*60,0)</f>
        <v>26280</v>
      </c>
      <c r="D92" s="50">
        <f t="shared" si="42"/>
        <v>29520.000000000004</v>
      </c>
      <c r="E92" s="50">
        <f t="shared" si="42"/>
        <v>20160.000000000004</v>
      </c>
      <c r="F92" s="50">
        <f t="shared" si="42"/>
        <v>35280</v>
      </c>
      <c r="G92" s="50">
        <f t="shared" si="42"/>
        <v>19440</v>
      </c>
      <c r="H92" s="50">
        <f t="shared" si="42"/>
        <v>23039.999999999996</v>
      </c>
      <c r="I92" s="50">
        <f t="shared" si="42"/>
        <v>25200</v>
      </c>
      <c r="J92" s="50">
        <f t="shared" si="42"/>
        <v>27719.999999999996</v>
      </c>
      <c r="K92" s="50">
        <f t="shared" si="42"/>
        <v>19439.999999999996</v>
      </c>
      <c r="L92" s="50">
        <f t="shared" si="42"/>
        <v>34920</v>
      </c>
      <c r="M92" s="50">
        <f t="shared" si="42"/>
        <v>21240</v>
      </c>
      <c r="N92" s="50">
        <f t="shared" si="42"/>
        <v>25199.999999999996</v>
      </c>
      <c r="O92" s="50">
        <f t="shared" si="42"/>
        <v>29160</v>
      </c>
      <c r="P92" s="50">
        <f t="shared" si="42"/>
        <v>22319.999999999993</v>
      </c>
      <c r="Q92" s="50">
        <f t="shared" si="42"/>
        <v>32400</v>
      </c>
      <c r="R92" s="50">
        <f t="shared" si="42"/>
        <v>19800</v>
      </c>
      <c r="S92" s="50">
        <f t="shared" si="42"/>
        <v>23400</v>
      </c>
      <c r="T92" s="50">
        <f t="shared" si="42"/>
        <v>24480</v>
      </c>
      <c r="U92" s="50">
        <f t="shared" si="42"/>
        <v>28080</v>
      </c>
      <c r="V92" s="50">
        <f t="shared" si="42"/>
        <v>20879.999999999996</v>
      </c>
      <c r="W92" s="50">
        <f t="shared" si="42"/>
        <v>33479.999999999993</v>
      </c>
      <c r="X92" s="50">
        <f t="shared" si="42"/>
        <v>20519.999999999996</v>
      </c>
      <c r="Y92" s="50">
        <f t="shared" si="42"/>
        <v>25920</v>
      </c>
      <c r="Z92" s="50">
        <f t="shared" si="42"/>
        <v>30240</v>
      </c>
      <c r="AA92" s="50">
        <f t="shared" si="42"/>
        <v>20160</v>
      </c>
      <c r="AB92" s="50">
        <f t="shared" si="42"/>
        <v>34920.000000000007</v>
      </c>
      <c r="AC92" s="50">
        <f t="shared" si="42"/>
        <v>20160</v>
      </c>
      <c r="AD92" s="50">
        <f t="shared" si="42"/>
        <v>22680</v>
      </c>
      <c r="AE92" s="50">
        <f t="shared" si="42"/>
        <v>25200</v>
      </c>
      <c r="AF92" s="50">
        <f t="shared" si="42"/>
        <v>27719.999999999996</v>
      </c>
      <c r="AG92" s="50">
        <f t="shared" si="42"/>
        <v>19439.999999999996</v>
      </c>
      <c r="AH92" s="50">
        <f t="shared" si="42"/>
        <v>34920</v>
      </c>
      <c r="AI92" s="50">
        <f t="shared" ref="AI92:BB92" si="43">IF(AI190&gt;0,AI93*60*60,0)</f>
        <v>18719.999999999996</v>
      </c>
      <c r="AJ92" s="50">
        <f t="shared" si="43"/>
        <v>24480</v>
      </c>
      <c r="AK92" s="50">
        <f t="shared" si="43"/>
        <v>24840</v>
      </c>
      <c r="AL92" s="50">
        <f t="shared" si="43"/>
        <v>25560</v>
      </c>
      <c r="AM92" s="50">
        <f t="shared" si="43"/>
        <v>28080</v>
      </c>
      <c r="AN92" s="50">
        <f t="shared" si="43"/>
        <v>20519.999999999996</v>
      </c>
      <c r="AO92" s="50">
        <f t="shared" si="43"/>
        <v>24480.000000000004</v>
      </c>
      <c r="AP92" s="50">
        <f t="shared" si="43"/>
        <v>29160</v>
      </c>
      <c r="AQ92" s="50">
        <f t="shared" si="43"/>
        <v>20520</v>
      </c>
      <c r="AR92" s="50">
        <f t="shared" si="43"/>
        <v>33120</v>
      </c>
      <c r="AS92" s="50">
        <f t="shared" si="43"/>
        <v>20520</v>
      </c>
      <c r="AT92" s="50">
        <f t="shared" si="43"/>
        <v>24120</v>
      </c>
      <c r="AU92" s="50">
        <f t="shared" si="43"/>
        <v>24840</v>
      </c>
      <c r="AV92" s="50">
        <f t="shared" si="43"/>
        <v>29519.999999999996</v>
      </c>
      <c r="AW92" s="50">
        <f t="shared" si="43"/>
        <v>21239.999999999996</v>
      </c>
      <c r="AX92" s="50">
        <f t="shared" si="43"/>
        <v>34560</v>
      </c>
      <c r="AY92" s="50">
        <f t="shared" si="43"/>
        <v>19800</v>
      </c>
      <c r="AZ92" s="50">
        <f t="shared" si="43"/>
        <v>24480</v>
      </c>
      <c r="BA92" s="50">
        <f t="shared" si="43"/>
        <v>24480</v>
      </c>
      <c r="BB92" s="50">
        <f t="shared" si="43"/>
        <v>12960</v>
      </c>
      <c r="BC92" s="50">
        <f t="shared" si="40"/>
        <v>1309320</v>
      </c>
    </row>
    <row r="93" spans="2:56" x14ac:dyDescent="0.25">
      <c r="B93" s="19" t="s">
        <v>129</v>
      </c>
      <c r="C93" s="50">
        <f>IF(C190&gt;0,SUM(C191,C198,C205,C212,C219,C226,C233,C240),0)</f>
        <v>7.3</v>
      </c>
      <c r="D93" s="50">
        <f t="shared" ref="D93:BB93" si="44">IF(D190&gt;0,SUM(D191,D198,D205,D212,D219,D226,D233,D240),0)</f>
        <v>8.2000000000000011</v>
      </c>
      <c r="E93" s="50">
        <f t="shared" si="44"/>
        <v>5.6000000000000005</v>
      </c>
      <c r="F93" s="50">
        <f t="shared" si="44"/>
        <v>9.8000000000000007</v>
      </c>
      <c r="G93" s="50">
        <f t="shared" si="44"/>
        <v>5.4</v>
      </c>
      <c r="H93" s="50">
        <f t="shared" si="44"/>
        <v>6.3999999999999995</v>
      </c>
      <c r="I93" s="50">
        <f t="shared" si="44"/>
        <v>7</v>
      </c>
      <c r="J93" s="50">
        <f t="shared" si="44"/>
        <v>7.6999999999999993</v>
      </c>
      <c r="K93" s="50">
        <f t="shared" si="44"/>
        <v>5.3999999999999995</v>
      </c>
      <c r="L93" s="50">
        <f t="shared" si="44"/>
        <v>9.6999999999999993</v>
      </c>
      <c r="M93" s="50">
        <f t="shared" si="44"/>
        <v>5.9</v>
      </c>
      <c r="N93" s="50">
        <f t="shared" si="44"/>
        <v>6.9999999999999991</v>
      </c>
      <c r="O93" s="50">
        <f t="shared" si="44"/>
        <v>8.1</v>
      </c>
      <c r="P93" s="50">
        <f t="shared" si="44"/>
        <v>6.1999999999999984</v>
      </c>
      <c r="Q93" s="50">
        <f t="shared" si="44"/>
        <v>9</v>
      </c>
      <c r="R93" s="50">
        <f t="shared" si="44"/>
        <v>5.5</v>
      </c>
      <c r="S93" s="50">
        <f t="shared" si="44"/>
        <v>6.5</v>
      </c>
      <c r="T93" s="50">
        <f t="shared" si="44"/>
        <v>6.8</v>
      </c>
      <c r="U93" s="50">
        <f t="shared" si="44"/>
        <v>7.8</v>
      </c>
      <c r="V93" s="50">
        <f t="shared" si="44"/>
        <v>5.7999999999999989</v>
      </c>
      <c r="W93" s="50">
        <f t="shared" si="44"/>
        <v>9.2999999999999989</v>
      </c>
      <c r="X93" s="50">
        <f t="shared" si="44"/>
        <v>5.6999999999999993</v>
      </c>
      <c r="Y93" s="50">
        <f t="shared" si="44"/>
        <v>7.2</v>
      </c>
      <c r="Z93" s="50">
        <f t="shared" si="44"/>
        <v>8.4</v>
      </c>
      <c r="AA93" s="50">
        <f t="shared" si="44"/>
        <v>5.6</v>
      </c>
      <c r="AB93" s="50">
        <f t="shared" si="44"/>
        <v>9.7000000000000011</v>
      </c>
      <c r="AC93" s="50">
        <f t="shared" si="44"/>
        <v>5.6</v>
      </c>
      <c r="AD93" s="50">
        <f t="shared" si="44"/>
        <v>6.3</v>
      </c>
      <c r="AE93" s="50">
        <f t="shared" si="44"/>
        <v>7</v>
      </c>
      <c r="AF93" s="50">
        <f t="shared" si="44"/>
        <v>7.6999999999999993</v>
      </c>
      <c r="AG93" s="50">
        <f t="shared" si="44"/>
        <v>5.3999999999999995</v>
      </c>
      <c r="AH93" s="50">
        <f t="shared" si="44"/>
        <v>9.6999999999999993</v>
      </c>
      <c r="AI93" s="50">
        <f t="shared" si="44"/>
        <v>5.1999999999999993</v>
      </c>
      <c r="AJ93" s="50">
        <f t="shared" si="44"/>
        <v>6.8</v>
      </c>
      <c r="AK93" s="50">
        <f t="shared" si="44"/>
        <v>6.9</v>
      </c>
      <c r="AL93" s="50">
        <f t="shared" si="44"/>
        <v>7.1</v>
      </c>
      <c r="AM93" s="50">
        <f t="shared" si="44"/>
        <v>7.8</v>
      </c>
      <c r="AN93" s="50">
        <f t="shared" si="44"/>
        <v>5.6999999999999993</v>
      </c>
      <c r="AO93" s="50">
        <f t="shared" si="44"/>
        <v>6.8000000000000007</v>
      </c>
      <c r="AP93" s="50">
        <f t="shared" si="44"/>
        <v>8.1</v>
      </c>
      <c r="AQ93" s="50">
        <f t="shared" si="44"/>
        <v>5.7</v>
      </c>
      <c r="AR93" s="50">
        <f t="shared" si="44"/>
        <v>9.1999999999999993</v>
      </c>
      <c r="AS93" s="50">
        <f t="shared" si="44"/>
        <v>5.7</v>
      </c>
      <c r="AT93" s="50">
        <f t="shared" si="44"/>
        <v>6.7</v>
      </c>
      <c r="AU93" s="50">
        <f t="shared" si="44"/>
        <v>6.9</v>
      </c>
      <c r="AV93" s="50">
        <f t="shared" si="44"/>
        <v>8.1999999999999993</v>
      </c>
      <c r="AW93" s="50">
        <f t="shared" si="44"/>
        <v>5.8999999999999995</v>
      </c>
      <c r="AX93" s="50">
        <f t="shared" si="44"/>
        <v>9.6</v>
      </c>
      <c r="AY93" s="50">
        <f t="shared" si="44"/>
        <v>5.5</v>
      </c>
      <c r="AZ93" s="50">
        <f t="shared" si="44"/>
        <v>6.8</v>
      </c>
      <c r="BA93" s="50">
        <f t="shared" si="44"/>
        <v>6.8</v>
      </c>
      <c r="BB93" s="50">
        <f t="shared" si="44"/>
        <v>3.6</v>
      </c>
      <c r="BC93" s="50">
        <f t="shared" si="40"/>
        <v>363.7</v>
      </c>
      <c r="BD93" s="124"/>
    </row>
    <row r="94" spans="2:56" x14ac:dyDescent="0.25">
      <c r="B94" s="19" t="s">
        <v>128</v>
      </c>
      <c r="C94" s="50">
        <f t="shared" ref="C94:AH94" si="45">IF(C190&gt;0,SUM(C106,C113,C120,C127,C134,C141,C148,C155),0)</f>
        <v>3.6999999999999997</v>
      </c>
      <c r="D94" s="50">
        <f t="shared" si="45"/>
        <v>3.4</v>
      </c>
      <c r="E94" s="50">
        <f t="shared" si="45"/>
        <v>3.5999999999999992</v>
      </c>
      <c r="F94" s="50">
        <f t="shared" si="45"/>
        <v>3.7</v>
      </c>
      <c r="G94" s="50">
        <f t="shared" si="45"/>
        <v>2.6</v>
      </c>
      <c r="H94" s="50">
        <f t="shared" si="45"/>
        <v>2.8</v>
      </c>
      <c r="I94" s="50">
        <f t="shared" si="45"/>
        <v>3.1999999999999997</v>
      </c>
      <c r="J94" s="50">
        <f t="shared" si="45"/>
        <v>2.6000000000000005</v>
      </c>
      <c r="K94" s="50">
        <f t="shared" si="45"/>
        <v>2.8</v>
      </c>
      <c r="L94" s="50">
        <f t="shared" si="45"/>
        <v>3.9</v>
      </c>
      <c r="M94" s="50">
        <f t="shared" si="45"/>
        <v>3.3</v>
      </c>
      <c r="N94" s="50">
        <f t="shared" si="45"/>
        <v>3.4999999999999996</v>
      </c>
      <c r="O94" s="50">
        <f t="shared" si="45"/>
        <v>3.6</v>
      </c>
      <c r="P94" s="50">
        <f t="shared" si="45"/>
        <v>3.6999999999999997</v>
      </c>
      <c r="Q94" s="50">
        <f t="shared" si="45"/>
        <v>2.8</v>
      </c>
      <c r="R94" s="50">
        <f t="shared" si="45"/>
        <v>3</v>
      </c>
      <c r="S94" s="50">
        <f t="shared" si="45"/>
        <v>2.6</v>
      </c>
      <c r="T94" s="50">
        <f t="shared" si="45"/>
        <v>3</v>
      </c>
      <c r="U94" s="50">
        <f t="shared" si="45"/>
        <v>2.7</v>
      </c>
      <c r="V94" s="50">
        <f t="shared" si="45"/>
        <v>3.5999999999999996</v>
      </c>
      <c r="W94" s="50">
        <f t="shared" si="45"/>
        <v>3.1</v>
      </c>
      <c r="X94" s="50">
        <f t="shared" si="45"/>
        <v>3.3</v>
      </c>
      <c r="Y94" s="50">
        <f t="shared" si="45"/>
        <v>3.5999999999999996</v>
      </c>
      <c r="Z94" s="50">
        <f t="shared" si="45"/>
        <v>3.5999999999999996</v>
      </c>
      <c r="AA94" s="50">
        <f t="shared" si="45"/>
        <v>3.5999999999999996</v>
      </c>
      <c r="AB94" s="50">
        <f t="shared" si="45"/>
        <v>3.6</v>
      </c>
      <c r="AC94" s="50">
        <f t="shared" si="45"/>
        <v>2.8000000000000003</v>
      </c>
      <c r="AD94" s="50">
        <f t="shared" si="45"/>
        <v>2.6999999999999997</v>
      </c>
      <c r="AE94" s="50">
        <f t="shared" si="45"/>
        <v>3.1999999999999997</v>
      </c>
      <c r="AF94" s="50">
        <f t="shared" si="45"/>
        <v>2.6000000000000005</v>
      </c>
      <c r="AG94" s="50">
        <f t="shared" si="45"/>
        <v>2.8</v>
      </c>
      <c r="AH94" s="50">
        <f t="shared" si="45"/>
        <v>3.9</v>
      </c>
      <c r="AI94" s="50">
        <f t="shared" ref="AI94:BB94" si="46">IF(AI190&gt;0,SUM(AI106,AI113,AI120,AI127,AI134,AI141,AI148,AI155),0)</f>
        <v>2.5</v>
      </c>
      <c r="AJ94" s="50">
        <f t="shared" si="46"/>
        <v>3.1999999999999997</v>
      </c>
      <c r="AK94" s="50">
        <f t="shared" si="46"/>
        <v>3.2999999999999994</v>
      </c>
      <c r="AL94" s="50">
        <f t="shared" si="46"/>
        <v>3.5999999999999996</v>
      </c>
      <c r="AM94" s="50">
        <f t="shared" si="46"/>
        <v>3.1</v>
      </c>
      <c r="AN94" s="50">
        <f t="shared" si="46"/>
        <v>3.0999999999999996</v>
      </c>
      <c r="AO94" s="50">
        <f t="shared" si="46"/>
        <v>3.3</v>
      </c>
      <c r="AP94" s="50">
        <f t="shared" si="46"/>
        <v>3.4</v>
      </c>
      <c r="AQ94" s="50">
        <f t="shared" si="46"/>
        <v>3.2999999999999994</v>
      </c>
      <c r="AR94" s="50">
        <f t="shared" si="46"/>
        <v>3.5</v>
      </c>
      <c r="AS94" s="50">
        <f t="shared" si="46"/>
        <v>3.0999999999999996</v>
      </c>
      <c r="AT94" s="50">
        <f t="shared" si="46"/>
        <v>3.0999999999999996</v>
      </c>
      <c r="AU94" s="50">
        <f t="shared" si="46"/>
        <v>3.2999999999999994</v>
      </c>
      <c r="AV94" s="50">
        <f t="shared" si="46"/>
        <v>3.5</v>
      </c>
      <c r="AW94" s="50">
        <f t="shared" si="46"/>
        <v>3.4</v>
      </c>
      <c r="AX94" s="50">
        <f t="shared" si="46"/>
        <v>3.8</v>
      </c>
      <c r="AY94" s="50">
        <f t="shared" si="46"/>
        <v>3.2999999999999994</v>
      </c>
      <c r="AZ94" s="50">
        <f t="shared" si="46"/>
        <v>3.1999999999999997</v>
      </c>
      <c r="BA94" s="50">
        <f t="shared" si="46"/>
        <v>3.1999999999999997</v>
      </c>
      <c r="BB94" s="50">
        <f t="shared" si="46"/>
        <v>2</v>
      </c>
      <c r="BC94" s="19">
        <f t="shared" si="40"/>
        <v>167.09999999999997</v>
      </c>
    </row>
    <row r="95" spans="2:56" x14ac:dyDescent="0.25">
      <c r="B95" s="19" t="s">
        <v>131</v>
      </c>
      <c r="C95" s="50">
        <f t="shared" ref="C95:AH95" si="47">IF(C190&gt;0,C94*60*60,0)</f>
        <v>13319.999999999998</v>
      </c>
      <c r="D95" s="50">
        <f t="shared" si="47"/>
        <v>12240</v>
      </c>
      <c r="E95" s="50">
        <f t="shared" si="47"/>
        <v>12959.999999999996</v>
      </c>
      <c r="F95" s="50">
        <f t="shared" si="47"/>
        <v>13320</v>
      </c>
      <c r="G95" s="50">
        <f t="shared" si="47"/>
        <v>9360</v>
      </c>
      <c r="H95" s="50">
        <f t="shared" si="47"/>
        <v>10080</v>
      </c>
      <c r="I95" s="50">
        <f t="shared" si="47"/>
        <v>11519.999999999998</v>
      </c>
      <c r="J95" s="50">
        <f t="shared" si="47"/>
        <v>9360.0000000000018</v>
      </c>
      <c r="K95" s="50">
        <f t="shared" si="47"/>
        <v>10080</v>
      </c>
      <c r="L95" s="50">
        <f t="shared" si="47"/>
        <v>14040</v>
      </c>
      <c r="M95" s="50">
        <f t="shared" si="47"/>
        <v>11880</v>
      </c>
      <c r="N95" s="50">
        <f t="shared" si="47"/>
        <v>12599.999999999998</v>
      </c>
      <c r="O95" s="50">
        <f t="shared" si="47"/>
        <v>12960</v>
      </c>
      <c r="P95" s="50">
        <f t="shared" si="47"/>
        <v>13319.999999999998</v>
      </c>
      <c r="Q95" s="50">
        <f t="shared" si="47"/>
        <v>10080</v>
      </c>
      <c r="R95" s="50">
        <f t="shared" si="47"/>
        <v>10800</v>
      </c>
      <c r="S95" s="50">
        <f t="shared" si="47"/>
        <v>9360</v>
      </c>
      <c r="T95" s="50">
        <f t="shared" si="47"/>
        <v>10800</v>
      </c>
      <c r="U95" s="50">
        <f t="shared" si="47"/>
        <v>9720</v>
      </c>
      <c r="V95" s="50">
        <f t="shared" si="47"/>
        <v>12959.999999999998</v>
      </c>
      <c r="W95" s="50">
        <f t="shared" si="47"/>
        <v>11160</v>
      </c>
      <c r="X95" s="50">
        <f t="shared" si="47"/>
        <v>11880</v>
      </c>
      <c r="Y95" s="50">
        <f t="shared" si="47"/>
        <v>12959.999999999998</v>
      </c>
      <c r="Z95" s="50">
        <f t="shared" si="47"/>
        <v>12959.999999999998</v>
      </c>
      <c r="AA95" s="50">
        <f t="shared" si="47"/>
        <v>12959.999999999998</v>
      </c>
      <c r="AB95" s="50">
        <f t="shared" si="47"/>
        <v>12960</v>
      </c>
      <c r="AC95" s="50">
        <f t="shared" si="47"/>
        <v>10080.000000000002</v>
      </c>
      <c r="AD95" s="50">
        <f t="shared" si="47"/>
        <v>9719.9999999999982</v>
      </c>
      <c r="AE95" s="50">
        <f t="shared" si="47"/>
        <v>11519.999999999998</v>
      </c>
      <c r="AF95" s="50">
        <f t="shared" si="47"/>
        <v>9360.0000000000018</v>
      </c>
      <c r="AG95" s="50">
        <f t="shared" si="47"/>
        <v>10080</v>
      </c>
      <c r="AH95" s="50">
        <f t="shared" si="47"/>
        <v>14040</v>
      </c>
      <c r="AI95" s="50">
        <f t="shared" ref="AI95:BB95" si="48">IF(AI190&gt;0,AI94*60*60,0)</f>
        <v>9000</v>
      </c>
      <c r="AJ95" s="50">
        <f t="shared" si="48"/>
        <v>11519.999999999998</v>
      </c>
      <c r="AK95" s="50">
        <f t="shared" si="48"/>
        <v>11879.999999999998</v>
      </c>
      <c r="AL95" s="50">
        <f t="shared" si="48"/>
        <v>12959.999999999998</v>
      </c>
      <c r="AM95" s="50">
        <f t="shared" si="48"/>
        <v>11160</v>
      </c>
      <c r="AN95" s="50">
        <f t="shared" si="48"/>
        <v>11159.999999999998</v>
      </c>
      <c r="AO95" s="50">
        <f t="shared" si="48"/>
        <v>11880</v>
      </c>
      <c r="AP95" s="50">
        <f t="shared" si="48"/>
        <v>12240</v>
      </c>
      <c r="AQ95" s="50">
        <f t="shared" si="48"/>
        <v>11879.999999999998</v>
      </c>
      <c r="AR95" s="50">
        <f t="shared" si="48"/>
        <v>12600</v>
      </c>
      <c r="AS95" s="50">
        <f t="shared" si="48"/>
        <v>11159.999999999998</v>
      </c>
      <c r="AT95" s="50">
        <f t="shared" si="48"/>
        <v>11159.999999999998</v>
      </c>
      <c r="AU95" s="50">
        <f t="shared" si="48"/>
        <v>11879.999999999998</v>
      </c>
      <c r="AV95" s="50">
        <f t="shared" si="48"/>
        <v>12600</v>
      </c>
      <c r="AW95" s="50">
        <f t="shared" si="48"/>
        <v>12240</v>
      </c>
      <c r="AX95" s="50">
        <f t="shared" si="48"/>
        <v>13680</v>
      </c>
      <c r="AY95" s="50">
        <f t="shared" si="48"/>
        <v>11879.999999999998</v>
      </c>
      <c r="AZ95" s="50">
        <f t="shared" si="48"/>
        <v>11519.999999999998</v>
      </c>
      <c r="BA95" s="50">
        <f t="shared" si="48"/>
        <v>11519.999999999998</v>
      </c>
      <c r="BB95" s="50">
        <f t="shared" si="48"/>
        <v>7200</v>
      </c>
      <c r="BC95" s="19">
        <f t="shared" si="40"/>
        <v>601560</v>
      </c>
    </row>
    <row r="96" spans="2:56" x14ac:dyDescent="0.25">
      <c r="B96" s="19" t="s">
        <v>162</v>
      </c>
      <c r="C96" s="50">
        <f t="shared" ref="C96:AH96" si="49">IF(C190&gt;0,C90-C95,0)</f>
        <v>565200</v>
      </c>
      <c r="D96" s="50">
        <f t="shared" si="49"/>
        <v>563040</v>
      </c>
      <c r="E96" s="50">
        <f t="shared" si="49"/>
        <v>571680</v>
      </c>
      <c r="F96" s="50">
        <f t="shared" si="49"/>
        <v>556200</v>
      </c>
      <c r="G96" s="50">
        <f t="shared" si="49"/>
        <v>576000</v>
      </c>
      <c r="H96" s="50">
        <f t="shared" si="49"/>
        <v>571680</v>
      </c>
      <c r="I96" s="50">
        <f t="shared" si="49"/>
        <v>568080</v>
      </c>
      <c r="J96" s="50">
        <f t="shared" si="49"/>
        <v>567720</v>
      </c>
      <c r="K96" s="50">
        <f t="shared" si="49"/>
        <v>575280</v>
      </c>
      <c r="L96" s="50">
        <f t="shared" si="49"/>
        <v>555840</v>
      </c>
      <c r="M96" s="50">
        <f t="shared" si="49"/>
        <v>571680</v>
      </c>
      <c r="N96" s="50">
        <f t="shared" si="49"/>
        <v>567000</v>
      </c>
      <c r="O96" s="50">
        <f t="shared" si="49"/>
        <v>562680</v>
      </c>
      <c r="P96" s="50">
        <f t="shared" si="49"/>
        <v>569160</v>
      </c>
      <c r="Q96" s="50">
        <f t="shared" si="49"/>
        <v>562320</v>
      </c>
      <c r="R96" s="50">
        <f t="shared" si="49"/>
        <v>574200</v>
      </c>
      <c r="S96" s="50">
        <f t="shared" si="49"/>
        <v>572040</v>
      </c>
      <c r="T96" s="50">
        <f t="shared" si="49"/>
        <v>569520</v>
      </c>
      <c r="U96" s="50">
        <f t="shared" si="49"/>
        <v>567000</v>
      </c>
      <c r="V96" s="50">
        <f t="shared" si="49"/>
        <v>570960</v>
      </c>
      <c r="W96" s="50">
        <f t="shared" si="49"/>
        <v>560160</v>
      </c>
      <c r="X96" s="50">
        <f t="shared" si="49"/>
        <v>572400</v>
      </c>
      <c r="Y96" s="50">
        <f t="shared" si="49"/>
        <v>565920</v>
      </c>
      <c r="Z96" s="50">
        <f t="shared" si="49"/>
        <v>561600</v>
      </c>
      <c r="AA96" s="50">
        <f t="shared" si="49"/>
        <v>571680</v>
      </c>
      <c r="AB96" s="50">
        <f t="shared" si="49"/>
        <v>556920</v>
      </c>
      <c r="AC96" s="50">
        <f t="shared" si="49"/>
        <v>574560</v>
      </c>
      <c r="AD96" s="50">
        <f t="shared" si="49"/>
        <v>572400</v>
      </c>
      <c r="AE96" s="50">
        <f t="shared" si="49"/>
        <v>568080</v>
      </c>
      <c r="AF96" s="50">
        <f t="shared" si="49"/>
        <v>567720</v>
      </c>
      <c r="AG96" s="50">
        <f t="shared" si="49"/>
        <v>575280</v>
      </c>
      <c r="AH96" s="50">
        <f t="shared" si="49"/>
        <v>555840</v>
      </c>
      <c r="AI96" s="50">
        <f t="shared" ref="AI96:BB96" si="50">IF(AI190&gt;0,AI90-AI95,0)</f>
        <v>577080</v>
      </c>
      <c r="AJ96" s="50">
        <f t="shared" si="50"/>
        <v>568800</v>
      </c>
      <c r="AK96" s="50">
        <f t="shared" si="50"/>
        <v>568080</v>
      </c>
      <c r="AL96" s="50">
        <f t="shared" si="50"/>
        <v>566280</v>
      </c>
      <c r="AM96" s="50">
        <f t="shared" si="50"/>
        <v>565560</v>
      </c>
      <c r="AN96" s="50">
        <f t="shared" si="50"/>
        <v>573120</v>
      </c>
      <c r="AO96" s="50">
        <f t="shared" si="50"/>
        <v>568440</v>
      </c>
      <c r="AP96" s="50">
        <f t="shared" si="50"/>
        <v>563400</v>
      </c>
      <c r="AQ96" s="50">
        <f t="shared" si="50"/>
        <v>572400</v>
      </c>
      <c r="AR96" s="50">
        <f t="shared" si="50"/>
        <v>559080</v>
      </c>
      <c r="AS96" s="50">
        <f t="shared" si="50"/>
        <v>573120</v>
      </c>
      <c r="AT96" s="50">
        <f t="shared" si="50"/>
        <v>569520</v>
      </c>
      <c r="AU96" s="50">
        <f t="shared" si="50"/>
        <v>568080</v>
      </c>
      <c r="AV96" s="50">
        <f t="shared" si="50"/>
        <v>562680</v>
      </c>
      <c r="AW96" s="50">
        <f t="shared" si="50"/>
        <v>571320</v>
      </c>
      <c r="AX96" s="50">
        <f t="shared" si="50"/>
        <v>556560</v>
      </c>
      <c r="AY96" s="50">
        <f t="shared" si="50"/>
        <v>573120</v>
      </c>
      <c r="AZ96" s="50">
        <f t="shared" si="50"/>
        <v>568800</v>
      </c>
      <c r="BA96" s="50">
        <f t="shared" si="50"/>
        <v>568800</v>
      </c>
      <c r="BB96" s="50">
        <f t="shared" si="50"/>
        <v>584640</v>
      </c>
      <c r="BC96" s="19">
        <f t="shared" si="40"/>
        <v>29538720</v>
      </c>
    </row>
    <row r="97" spans="1:56" x14ac:dyDescent="0.25">
      <c r="B97" s="19" t="s">
        <v>108</v>
      </c>
      <c r="C97" s="84">
        <f t="shared" ref="C97:AH97" si="51">IF(C190&gt;0,C89*C57/C96,0)</f>
        <v>0.80923553245790059</v>
      </c>
      <c r="D97" s="84">
        <f t="shared" si="51"/>
        <v>0.86649601770428242</v>
      </c>
      <c r="E97" s="84">
        <f t="shared" si="51"/>
        <v>0.90673788250635468</v>
      </c>
      <c r="F97" s="84">
        <f t="shared" si="51"/>
        <v>0.71268596407619211</v>
      </c>
      <c r="G97" s="84">
        <f t="shared" si="51"/>
        <v>0.72347904478215364</v>
      </c>
      <c r="H97" s="84">
        <f t="shared" si="51"/>
        <v>0.76450448917202452</v>
      </c>
      <c r="I97" s="84">
        <f t="shared" si="51"/>
        <v>0.80513294420716341</v>
      </c>
      <c r="J97" s="84">
        <f t="shared" si="51"/>
        <v>0.85935305750760793</v>
      </c>
      <c r="K97" s="84">
        <f t="shared" si="51"/>
        <v>0.90106367798503828</v>
      </c>
      <c r="L97" s="84">
        <f t="shared" si="51"/>
        <v>0.71314754824981663</v>
      </c>
      <c r="M97" s="84">
        <f t="shared" si="51"/>
        <v>0.72894614083844189</v>
      </c>
      <c r="N97" s="84">
        <f t="shared" si="51"/>
        <v>0.77081468495566663</v>
      </c>
      <c r="O97" s="84">
        <f t="shared" si="51"/>
        <v>0.81285974789437232</v>
      </c>
      <c r="P97" s="84">
        <f t="shared" si="51"/>
        <v>0.85717885622359113</v>
      </c>
      <c r="Q97" s="84">
        <f t="shared" si="51"/>
        <v>0.92183083061465509</v>
      </c>
      <c r="R97" s="84">
        <f t="shared" si="51"/>
        <v>0.69034471128383501</v>
      </c>
      <c r="S97" s="84">
        <f t="shared" si="51"/>
        <v>0.72848739562708986</v>
      </c>
      <c r="T97" s="84">
        <f t="shared" si="51"/>
        <v>0.76740400050896018</v>
      </c>
      <c r="U97" s="84">
        <f t="shared" si="51"/>
        <v>0.80666653076755801</v>
      </c>
      <c r="V97" s="84">
        <f t="shared" si="51"/>
        <v>0.85447652691645504</v>
      </c>
      <c r="W97" s="84">
        <f t="shared" si="51"/>
        <v>0.92538544821342616</v>
      </c>
      <c r="X97" s="84">
        <f t="shared" si="51"/>
        <v>0.69251560660233757</v>
      </c>
      <c r="Y97" s="84">
        <f t="shared" si="51"/>
        <v>0.73636543998183579</v>
      </c>
      <c r="Z97" s="84">
        <f t="shared" si="51"/>
        <v>0.77822636461870187</v>
      </c>
      <c r="AA97" s="84">
        <f t="shared" si="51"/>
        <v>0.80006283750560703</v>
      </c>
      <c r="AB97" s="84">
        <f t="shared" si="51"/>
        <v>0.87601795196476895</v>
      </c>
      <c r="AC97" s="84">
        <f t="shared" si="51"/>
        <v>0.90219283046371623</v>
      </c>
      <c r="AD97" s="84">
        <f t="shared" si="51"/>
        <v>0.69251560660233757</v>
      </c>
      <c r="AE97" s="84">
        <f t="shared" si="51"/>
        <v>0.73356557138874889</v>
      </c>
      <c r="AF97" s="84">
        <f t="shared" si="51"/>
        <v>0.76983711401723209</v>
      </c>
      <c r="AG97" s="84">
        <f t="shared" si="51"/>
        <v>0.79505618645738674</v>
      </c>
      <c r="AH97" s="84">
        <f t="shared" si="51"/>
        <v>0.87772005938438968</v>
      </c>
      <c r="AI97" s="84">
        <f t="shared" ref="AI97:BB97" si="52">IF(AI190&gt;0,AI89*AI57/AI96,0)</f>
        <v>0.89825312378046862</v>
      </c>
      <c r="AJ97" s="84">
        <f t="shared" si="52"/>
        <v>0.69689861677070686</v>
      </c>
      <c r="AK97" s="84">
        <f t="shared" si="52"/>
        <v>0.73356557138874889</v>
      </c>
      <c r="AL97" s="84">
        <f t="shared" si="52"/>
        <v>0.77179474177061347</v>
      </c>
      <c r="AM97" s="84">
        <f t="shared" si="52"/>
        <v>0.80872042390764098</v>
      </c>
      <c r="AN97" s="84">
        <f t="shared" si="52"/>
        <v>0.8512561379959156</v>
      </c>
      <c r="AO97" s="84">
        <f t="shared" si="52"/>
        <v>0.91190611616218564</v>
      </c>
      <c r="AP97" s="84">
        <f t="shared" si="52"/>
        <v>0.703578156228573</v>
      </c>
      <c r="AQ97" s="84">
        <f t="shared" si="52"/>
        <v>0.72802922745373955</v>
      </c>
      <c r="AR97" s="84">
        <f t="shared" si="52"/>
        <v>0.78173414604325497</v>
      </c>
      <c r="AS97" s="84">
        <f t="shared" si="52"/>
        <v>0.8867251437457454</v>
      </c>
      <c r="AT97" s="84">
        <f t="shared" si="52"/>
        <v>0.89233023314995363</v>
      </c>
      <c r="AU97" s="84">
        <f t="shared" si="52"/>
        <v>0.89459216023018162</v>
      </c>
      <c r="AV97" s="84">
        <f t="shared" si="52"/>
        <v>0.90317749766041366</v>
      </c>
      <c r="AW97" s="84">
        <f t="shared" si="52"/>
        <v>0.80056697287895651</v>
      </c>
      <c r="AX97" s="84">
        <f t="shared" si="52"/>
        <v>0.87658458712127918</v>
      </c>
      <c r="AY97" s="84">
        <f t="shared" si="52"/>
        <v>0.90445964662066025</v>
      </c>
      <c r="AZ97" s="84">
        <f t="shared" si="52"/>
        <v>0.69689861677070686</v>
      </c>
      <c r="BA97" s="84">
        <f t="shared" si="52"/>
        <v>0.73263700737433279</v>
      </c>
      <c r="BB97" s="84">
        <f t="shared" si="52"/>
        <v>0.74755734532338358</v>
      </c>
      <c r="BC97" s="84">
        <f>BC89*BC57/BC96</f>
        <v>0.8037958313698087</v>
      </c>
    </row>
    <row r="98" spans="1:56" x14ac:dyDescent="0.25">
      <c r="B98" s="19" t="s">
        <v>109</v>
      </c>
      <c r="C98" s="209">
        <f>IF(O190&gt;0,C89*C58/(SUM(C96:O96)),0)</f>
        <v>0.79827606436197707</v>
      </c>
      <c r="D98" s="209"/>
      <c r="E98" s="209"/>
      <c r="F98" s="209"/>
      <c r="G98" s="209"/>
      <c r="H98" s="209"/>
      <c r="I98" s="209"/>
      <c r="J98" s="209"/>
      <c r="K98" s="209"/>
      <c r="L98" s="209"/>
      <c r="M98" s="209"/>
      <c r="N98" s="209"/>
      <c r="O98" s="209"/>
      <c r="P98" s="209">
        <f>IF(AB190&gt;0,P89*P58/(SUM(P96:AB96)),0)</f>
        <v>0.80221633704707118</v>
      </c>
      <c r="Q98" s="209"/>
      <c r="R98" s="209"/>
      <c r="S98" s="209"/>
      <c r="T98" s="209"/>
      <c r="U98" s="209"/>
      <c r="V98" s="209"/>
      <c r="W98" s="209"/>
      <c r="X98" s="209"/>
      <c r="Y98" s="209"/>
      <c r="Z98" s="209"/>
      <c r="AA98" s="209"/>
      <c r="AB98" s="209"/>
      <c r="AC98" s="209">
        <f>IF(AO190&gt;0,AC89*AC58/(SUM(AC96:AO96)),0)</f>
        <v>0.8033706511730021</v>
      </c>
      <c r="AD98" s="209"/>
      <c r="AE98" s="209"/>
      <c r="AF98" s="209"/>
      <c r="AG98" s="209"/>
      <c r="AH98" s="209"/>
      <c r="AI98" s="209"/>
      <c r="AJ98" s="209"/>
      <c r="AK98" s="209"/>
      <c r="AL98" s="209"/>
      <c r="AM98" s="209"/>
      <c r="AN98" s="209"/>
      <c r="AO98" s="209"/>
      <c r="AP98" s="209">
        <f>IF(BB190&gt;0,AP89*AP58/(SUM(AP96:BB96)),0)</f>
        <v>0.81130254531219914</v>
      </c>
      <c r="AQ98" s="209"/>
      <c r="AR98" s="209"/>
      <c r="AS98" s="209"/>
      <c r="AT98" s="209"/>
      <c r="AU98" s="209"/>
      <c r="AV98" s="209"/>
      <c r="AW98" s="209"/>
      <c r="AX98" s="209"/>
      <c r="AY98" s="209"/>
      <c r="AZ98" s="209"/>
      <c r="BA98" s="209"/>
      <c r="BB98" s="209"/>
      <c r="BC98" s="83">
        <f>BC58*BC89/BC96</f>
        <v>0.8037958313698087</v>
      </c>
    </row>
    <row r="99" spans="1:56" x14ac:dyDescent="0.25">
      <c r="B99" s="19" t="s">
        <v>110</v>
      </c>
      <c r="C99" s="209">
        <f>IF(F190&gt;0,C89*C63/SUM(C96:F96),0)</f>
        <v>0.82442941272797343</v>
      </c>
      <c r="D99" s="209"/>
      <c r="E99" s="209"/>
      <c r="F99" s="209"/>
      <c r="G99" s="209">
        <f>IF(J190&gt;0,G89*G63/SUM(G96:J96),0)</f>
        <v>0.78784473563061996</v>
      </c>
      <c r="H99" s="209"/>
      <c r="I99" s="209"/>
      <c r="J99" s="209"/>
      <c r="K99" s="209">
        <f>IF(N190&gt;0,K89*K63/SUM(K96:N96),0)</f>
        <v>0.77915926603876751</v>
      </c>
      <c r="L99" s="209"/>
      <c r="M99" s="209"/>
      <c r="N99" s="209"/>
      <c r="O99" s="209">
        <f>IF(R190&gt;0,O89*O63/SUM(O96:R96),0)</f>
        <v>0.81998081726173777</v>
      </c>
      <c r="P99" s="209"/>
      <c r="Q99" s="209"/>
      <c r="R99" s="209"/>
      <c r="S99" s="209">
        <f>IF(V190&gt;0,S89*S63/SUM(S96:V96),0)</f>
        <v>0.78921338567672494</v>
      </c>
      <c r="T99" s="209"/>
      <c r="U99" s="209"/>
      <c r="V99" s="209"/>
      <c r="W99" s="209">
        <f>IF(Z190&gt;0,W89*W63/SUM(W96:Z96),0)</f>
        <v>0.78251022178630603</v>
      </c>
      <c r="X99" s="209"/>
      <c r="Y99" s="209"/>
      <c r="Z99" s="209"/>
      <c r="AA99" s="209">
        <f>IF(AD190&gt;0,AA89*AA63/SUM(AA96:AD96),0)</f>
        <v>0.81738635177443586</v>
      </c>
      <c r="AB99" s="209"/>
      <c r="AC99" s="209"/>
      <c r="AD99" s="209"/>
      <c r="AE99" s="209">
        <f>IF(AH190&gt;0,AE89*AE63/SUM(AE96:AH96),0)</f>
        <v>0.7935999933468354</v>
      </c>
      <c r="AF99" s="209"/>
      <c r="AG99" s="209"/>
      <c r="AH99" s="209"/>
      <c r="AI99" s="209">
        <f>IF(AL190&gt;0,AI89*AI63/SUM(AI96:AL96),0)</f>
        <v>0.77559191227888047</v>
      </c>
      <c r="AJ99" s="209"/>
      <c r="AK99" s="209"/>
      <c r="AL99" s="209"/>
      <c r="AM99" s="209">
        <f>IF(AP190&gt;0,AM89*AM63/SUM(AM96:AP96),0)</f>
        <v>0.81920074989158231</v>
      </c>
      <c r="AN99" s="209"/>
      <c r="AO99" s="209"/>
      <c r="AP99" s="209"/>
      <c r="AQ99" s="209">
        <f>IF(AT190&gt;0,AQ89*AQ63/SUM(AQ96:AT96),0)</f>
        <v>0.82237335098038211</v>
      </c>
      <c r="AR99" s="209"/>
      <c r="AS99" s="209"/>
      <c r="AT99" s="209"/>
      <c r="AU99" s="209">
        <f>IF(AX190&gt;0,AU89*AU63/SUM(AU96:AX96),0)</f>
        <v>0.86851010764023828</v>
      </c>
      <c r="AV99" s="209"/>
      <c r="AW99" s="209"/>
      <c r="AX99" s="209"/>
      <c r="AY99" s="209">
        <f>IF(BB190&gt;0,AY89*AY63/SUM(AY96:BB96),0)</f>
        <v>0.77048293167729442</v>
      </c>
      <c r="AZ99" s="209"/>
      <c r="BA99" s="209"/>
      <c r="BB99" s="209"/>
      <c r="BC99" s="83">
        <f>BC89*BC57/BC96</f>
        <v>0.8037958313698087</v>
      </c>
      <c r="BD99" s="72"/>
    </row>
    <row r="100" spans="1:56" x14ac:dyDescent="0.25">
      <c r="B100" s="19" t="s">
        <v>111</v>
      </c>
      <c r="C100" s="84">
        <f t="shared" ref="C100:AH100" si="53">IF(C190&gt;0,C96/C90,0)</f>
        <v>0.97697573117610459</v>
      </c>
      <c r="D100" s="84">
        <f t="shared" si="53"/>
        <v>0.97872340425531912</v>
      </c>
      <c r="E100" s="84">
        <f t="shared" si="53"/>
        <v>0.97783251231527091</v>
      </c>
      <c r="F100" s="84">
        <f t="shared" si="53"/>
        <v>0.97661188369152974</v>
      </c>
      <c r="G100" s="84">
        <f t="shared" si="53"/>
        <v>0.98400984009840098</v>
      </c>
      <c r="H100" s="84">
        <f t="shared" si="53"/>
        <v>0.98267326732673266</v>
      </c>
      <c r="I100" s="84">
        <f t="shared" si="53"/>
        <v>0.98012422360248452</v>
      </c>
      <c r="J100" s="84">
        <f t="shared" si="53"/>
        <v>0.98378041172801001</v>
      </c>
      <c r="K100" s="84">
        <f t="shared" si="53"/>
        <v>0.98277982779827799</v>
      </c>
      <c r="L100" s="84">
        <f t="shared" si="53"/>
        <v>0.97536323436512951</v>
      </c>
      <c r="M100" s="84">
        <f t="shared" si="53"/>
        <v>0.97964219617520054</v>
      </c>
      <c r="N100" s="84">
        <f t="shared" si="53"/>
        <v>0.97826086956521741</v>
      </c>
      <c r="O100" s="84">
        <f t="shared" si="53"/>
        <v>0.97748592870544093</v>
      </c>
      <c r="P100" s="84">
        <f t="shared" si="53"/>
        <v>0.97713226205191595</v>
      </c>
      <c r="Q100" s="84">
        <f t="shared" si="53"/>
        <v>0.98238993710691824</v>
      </c>
      <c r="R100" s="84">
        <f t="shared" si="53"/>
        <v>0.98153846153846158</v>
      </c>
      <c r="S100" s="84">
        <f t="shared" si="53"/>
        <v>0.98390092879256963</v>
      </c>
      <c r="T100" s="84">
        <f t="shared" si="53"/>
        <v>0.9813895781637717</v>
      </c>
      <c r="U100" s="84">
        <f t="shared" si="53"/>
        <v>0.9831460674157303</v>
      </c>
      <c r="V100" s="84">
        <f t="shared" si="53"/>
        <v>0.97780517879161533</v>
      </c>
      <c r="W100" s="84">
        <f t="shared" si="53"/>
        <v>0.98046628859483298</v>
      </c>
      <c r="X100" s="84">
        <f t="shared" si="53"/>
        <v>0.97966728280961179</v>
      </c>
      <c r="Y100" s="84">
        <f t="shared" si="53"/>
        <v>0.97761194029850751</v>
      </c>
      <c r="Z100" s="84">
        <f t="shared" si="53"/>
        <v>0.97744360902255634</v>
      </c>
      <c r="AA100" s="84">
        <f t="shared" si="53"/>
        <v>0.97783251231527091</v>
      </c>
      <c r="AB100" s="84">
        <f t="shared" si="53"/>
        <v>0.9772583701831965</v>
      </c>
      <c r="AC100" s="84">
        <f t="shared" si="53"/>
        <v>0.98275862068965514</v>
      </c>
      <c r="AD100" s="84">
        <f t="shared" si="53"/>
        <v>0.98330241187384049</v>
      </c>
      <c r="AE100" s="84">
        <f t="shared" si="53"/>
        <v>0.98012422360248452</v>
      </c>
      <c r="AF100" s="84">
        <f t="shared" si="53"/>
        <v>0.98378041172801001</v>
      </c>
      <c r="AG100" s="84">
        <f t="shared" si="53"/>
        <v>0.98277982779827799</v>
      </c>
      <c r="AH100" s="84">
        <f t="shared" si="53"/>
        <v>0.97536323436512951</v>
      </c>
      <c r="AI100" s="84">
        <f t="shared" ref="AI100:BB100" si="54">IF(AI190&gt;0,AI96/AI90,0)</f>
        <v>0.98464373464373467</v>
      </c>
      <c r="AJ100" s="84">
        <f t="shared" si="54"/>
        <v>0.98014888337468986</v>
      </c>
      <c r="AK100" s="84">
        <f t="shared" si="54"/>
        <v>0.97951582867783982</v>
      </c>
      <c r="AL100" s="84">
        <f t="shared" si="54"/>
        <v>0.97762585456805473</v>
      </c>
      <c r="AM100" s="84">
        <f t="shared" si="54"/>
        <v>0.98064918851435701</v>
      </c>
      <c r="AN100" s="84">
        <f t="shared" si="54"/>
        <v>0.98089956869993844</v>
      </c>
      <c r="AO100" s="84">
        <f t="shared" si="54"/>
        <v>0.97952853598014888</v>
      </c>
      <c r="AP100" s="84">
        <f t="shared" si="54"/>
        <v>0.97873671044402755</v>
      </c>
      <c r="AQ100" s="84">
        <f t="shared" si="54"/>
        <v>0.97966728280961179</v>
      </c>
      <c r="AR100" s="84">
        <f t="shared" si="54"/>
        <v>0.97795969773299751</v>
      </c>
      <c r="AS100" s="84">
        <f t="shared" si="54"/>
        <v>0.98089956869993844</v>
      </c>
      <c r="AT100" s="84">
        <f t="shared" si="54"/>
        <v>0.98078115313081216</v>
      </c>
      <c r="AU100" s="84">
        <f t="shared" si="54"/>
        <v>0.97951582867783982</v>
      </c>
      <c r="AV100" s="84">
        <f t="shared" si="54"/>
        <v>0.97809762202753436</v>
      </c>
      <c r="AW100" s="84">
        <f t="shared" si="54"/>
        <v>0.97902529302899444</v>
      </c>
      <c r="AX100" s="84">
        <f t="shared" si="54"/>
        <v>0.97601010101010099</v>
      </c>
      <c r="AY100" s="84">
        <f t="shared" si="54"/>
        <v>0.97969230769230764</v>
      </c>
      <c r="AZ100" s="84">
        <f t="shared" si="54"/>
        <v>0.98014888337468986</v>
      </c>
      <c r="BA100" s="84">
        <f t="shared" si="54"/>
        <v>0.98014888337468986</v>
      </c>
      <c r="BB100" s="84">
        <f t="shared" si="54"/>
        <v>0.98783454987834551</v>
      </c>
      <c r="BC100" s="83">
        <f>BC96/BC90</f>
        <v>0.98004132675608857</v>
      </c>
    </row>
    <row r="101" spans="1:56" x14ac:dyDescent="0.25">
      <c r="B101" s="19" t="s">
        <v>112</v>
      </c>
      <c r="C101" s="209">
        <f>IF(O190&gt;0,SUM(C96:O96)/SUM(C90:O90),0)</f>
        <v>0.97957426453001673</v>
      </c>
      <c r="D101" s="209"/>
      <c r="E101" s="209"/>
      <c r="F101" s="209"/>
      <c r="G101" s="209"/>
      <c r="H101" s="209"/>
      <c r="I101" s="209"/>
      <c r="J101" s="209"/>
      <c r="K101" s="209"/>
      <c r="L101" s="209"/>
      <c r="M101" s="209"/>
      <c r="N101" s="209"/>
      <c r="O101" s="209"/>
      <c r="P101" s="209">
        <f>IF(AB190&gt;0,SUM(P96:AB96)/SUM(P90:AB90),0)</f>
        <v>0.97981344176034446</v>
      </c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  <c r="AA101" s="209"/>
      <c r="AB101" s="209"/>
      <c r="AC101" s="209">
        <f>IF(AO190&gt;0,SUM(AC96:AO96)/SUM(AC90:AO90),0)</f>
        <v>0.98086832061068707</v>
      </c>
      <c r="AD101" s="209"/>
      <c r="AE101" s="209"/>
      <c r="AF101" s="209"/>
      <c r="AG101" s="209"/>
      <c r="AH101" s="209"/>
      <c r="AI101" s="209"/>
      <c r="AJ101" s="209"/>
      <c r="AK101" s="209"/>
      <c r="AL101" s="209"/>
      <c r="AM101" s="209"/>
      <c r="AN101" s="209"/>
      <c r="AO101" s="209"/>
      <c r="AP101" s="209">
        <f>IF(BB190&gt;0,SUM(AP96:BB96)/SUM(AP90:BB90),0)</f>
        <v>0.97990741182646879</v>
      </c>
      <c r="AQ101" s="209"/>
      <c r="AR101" s="209"/>
      <c r="AS101" s="209"/>
      <c r="AT101" s="209"/>
      <c r="AU101" s="209"/>
      <c r="AV101" s="209"/>
      <c r="AW101" s="209"/>
      <c r="AX101" s="209"/>
      <c r="AY101" s="209"/>
      <c r="AZ101" s="209"/>
      <c r="BA101" s="209"/>
      <c r="BB101" s="209"/>
      <c r="BC101" s="83">
        <f>BC96/BC90</f>
        <v>0.98004132675608857</v>
      </c>
    </row>
    <row r="102" spans="1:56" x14ac:dyDescent="0.25">
      <c r="B102" s="19" t="s">
        <v>113</v>
      </c>
      <c r="C102" s="209">
        <f>IF(F190&gt;0,SUM(C96:F96)/SUM(C90:F90),0)</f>
        <v>0.97753860552175953</v>
      </c>
      <c r="D102" s="209"/>
      <c r="E102" s="209"/>
      <c r="F102" s="209"/>
      <c r="G102" s="209">
        <f>IF(J190&gt;0,SUM(G96:J96)/SUM(G90:J90),0)</f>
        <v>0.98264910921766069</v>
      </c>
      <c r="H102" s="209"/>
      <c r="I102" s="209"/>
      <c r="J102" s="209"/>
      <c r="K102" s="209">
        <f>IF(N190&gt;0,SUM(K96:N96)/SUM(K90:N90),0)</f>
        <v>0.97903726708074534</v>
      </c>
      <c r="L102" s="209"/>
      <c r="M102" s="209"/>
      <c r="N102" s="209"/>
      <c r="O102" s="209">
        <f>IF(R190&gt;0,SUM(O96:R96)/SUM(O90:R90),0)</f>
        <v>0.9796330845771144</v>
      </c>
      <c r="P102" s="209"/>
      <c r="Q102" s="209"/>
      <c r="R102" s="209"/>
      <c r="S102" s="209">
        <f>IF(V190&gt;0,SUM(S96:V96)/SUM(S90:V90),0)</f>
        <v>0.98155324755851803</v>
      </c>
      <c r="T102" s="209"/>
      <c r="U102" s="209"/>
      <c r="V102" s="209"/>
      <c r="W102" s="209">
        <f>IF(Z190&gt;0,SUM(W96:Z96)/SUM(W90:Z90),0)</f>
        <v>0.97879638291237914</v>
      </c>
      <c r="X102" s="209"/>
      <c r="Y102" s="209"/>
      <c r="Z102" s="209"/>
      <c r="AA102" s="209">
        <f>IF(AD190&gt;0,SUM(AA96:AD96)/SUM(AA90:AD90),0)</f>
        <v>0.98030397022332505</v>
      </c>
      <c r="AB102" s="209"/>
      <c r="AC102" s="209"/>
      <c r="AD102" s="209"/>
      <c r="AE102" s="209">
        <f>IF(AH190&gt;0,SUM(AE96:AH96)/SUM(AE90:AH90),0)</f>
        <v>0.9805356586733105</v>
      </c>
      <c r="AF102" s="209"/>
      <c r="AG102" s="209"/>
      <c r="AH102" s="209"/>
      <c r="AI102" s="209">
        <f>IF(AL190&gt;0,SUM(AI96:AL96)/SUM(AI90:AL90),0)</f>
        <v>0.98049535603715166</v>
      </c>
      <c r="AJ102" s="209"/>
      <c r="AK102" s="209"/>
      <c r="AL102" s="209"/>
      <c r="AM102" s="209">
        <f>IF(AP190&gt;0,SUM(AM96:AP96)/SUM(AM90:AP90),0)</f>
        <v>0.97995649471721569</v>
      </c>
      <c r="AN102" s="209"/>
      <c r="AO102" s="209"/>
      <c r="AP102" s="209"/>
      <c r="AQ102" s="209">
        <f>IF(AT190&gt;0,SUM(AQ96:AT96)/SUM(AQ90:AT90),0)</f>
        <v>0.97983558244144564</v>
      </c>
      <c r="AR102" s="209"/>
      <c r="AS102" s="209"/>
      <c r="AT102" s="209"/>
      <c r="AU102" s="209">
        <f>IF(AX190&gt;0,SUM(AU96:AX96)/SUM(AU90:AX90),0)</f>
        <v>0.97817274711568447</v>
      </c>
      <c r="AV102" s="209"/>
      <c r="AW102" s="209"/>
      <c r="AX102" s="209"/>
      <c r="AY102" s="209">
        <f>IF(BB190&gt;0,SUM(AY96:BB96)/SUM(AY90:BB90),0)</f>
        <v>0.98198059448636998</v>
      </c>
      <c r="AZ102" s="209"/>
      <c r="BA102" s="209"/>
      <c r="BB102" s="209"/>
      <c r="BC102" s="83">
        <f>BC96/BC90</f>
        <v>0.98004132675608857</v>
      </c>
    </row>
    <row r="103" spans="1:56" x14ac:dyDescent="0.25">
      <c r="B103" s="19" t="s">
        <v>105</v>
      </c>
      <c r="C103" s="84">
        <f t="shared" ref="C103:AH103" si="55">IF(C190&gt;0,C64*C100*C97,0)</f>
        <v>0.79023452772793401</v>
      </c>
      <c r="D103" s="84">
        <f t="shared" si="55"/>
        <v>0.84770657391612048</v>
      </c>
      <c r="E103" s="84">
        <f t="shared" si="55"/>
        <v>0.88622054035359998</v>
      </c>
      <c r="F103" s="84">
        <f t="shared" si="55"/>
        <v>0.69569634297302985</v>
      </c>
      <c r="G103" s="84">
        <f t="shared" si="55"/>
        <v>0.71158058942711278</v>
      </c>
      <c r="H103" s="84">
        <f t="shared" si="55"/>
        <v>0.75090870187725101</v>
      </c>
      <c r="I103" s="84">
        <f t="shared" si="55"/>
        <v>0.78879711348816373</v>
      </c>
      <c r="J103" s="84">
        <f t="shared" si="55"/>
        <v>0.84502722299488875</v>
      </c>
      <c r="K103" s="84">
        <f t="shared" si="55"/>
        <v>0.88518256920047789</v>
      </c>
      <c r="L103" s="84">
        <f t="shared" si="55"/>
        <v>0.69525686328700775</v>
      </c>
      <c r="M103" s="84">
        <f t="shared" si="55"/>
        <v>0.71377547094909644</v>
      </c>
      <c r="N103" s="84">
        <f t="shared" si="55"/>
        <v>0.75370711939977497</v>
      </c>
      <c r="O103" s="84">
        <f t="shared" si="55"/>
        <v>0.79422348512566832</v>
      </c>
      <c r="P103" s="84">
        <f t="shared" si="55"/>
        <v>0.83719322525389772</v>
      </c>
      <c r="Q103" s="84">
        <f t="shared" si="55"/>
        <v>0.90517116826053234</v>
      </c>
      <c r="R103" s="84">
        <f t="shared" si="55"/>
        <v>0.67728714743589746</v>
      </c>
      <c r="S103" s="84">
        <f t="shared" si="55"/>
        <v>0.71642726836438719</v>
      </c>
      <c r="T103" s="84">
        <f t="shared" si="55"/>
        <v>0.75280702784788545</v>
      </c>
      <c r="U103" s="84">
        <f t="shared" si="55"/>
        <v>0.79275379902903886</v>
      </c>
      <c r="V103" s="84">
        <f t="shared" si="55"/>
        <v>0.83512863037041096</v>
      </c>
      <c r="W103" s="84">
        <f t="shared" si="55"/>
        <v>0.90688226687728191</v>
      </c>
      <c r="X103" s="84">
        <f t="shared" si="55"/>
        <v>0.67812175883138204</v>
      </c>
      <c r="Y103" s="84">
        <f t="shared" si="55"/>
        <v>0.71959871790685082</v>
      </c>
      <c r="Z103" s="84">
        <f t="shared" si="55"/>
        <v>0.76031858535942209</v>
      </c>
      <c r="AA103" s="84">
        <f t="shared" si="55"/>
        <v>0.78196236826280163</v>
      </c>
      <c r="AB103" s="84">
        <f t="shared" si="55"/>
        <v>0.85573916937331673</v>
      </c>
      <c r="AC103" s="84">
        <f t="shared" si="55"/>
        <v>0.88625531046268469</v>
      </c>
      <c r="AD103" s="84">
        <f t="shared" si="55"/>
        <v>0.68065544088553498</v>
      </c>
      <c r="AE103" s="84">
        <f t="shared" si="55"/>
        <v>0.7186521977692456</v>
      </c>
      <c r="AF103" s="84">
        <f t="shared" si="55"/>
        <v>0.75699841686440283</v>
      </c>
      <c r="AG103" s="84">
        <f t="shared" si="55"/>
        <v>0.78100054493160509</v>
      </c>
      <c r="AH103" s="84">
        <f t="shared" si="55"/>
        <v>0.85570349871181717</v>
      </c>
      <c r="AI103" s="84">
        <f t="shared" ref="AI103:BB103" si="56">IF(AI190&gt;0,AI64*AI100*AI97,0)</f>
        <v>0.88407777898734652</v>
      </c>
      <c r="AJ103" s="84">
        <f t="shared" si="56"/>
        <v>0.68274914056038039</v>
      </c>
      <c r="AK103" s="84">
        <f t="shared" si="56"/>
        <v>0.7182061070195439</v>
      </c>
      <c r="AL103" s="84">
        <f t="shared" si="56"/>
        <v>0.75417555141929005</v>
      </c>
      <c r="AM103" s="84">
        <f t="shared" si="56"/>
        <v>0.79271855142781933</v>
      </c>
      <c r="AN103" s="84">
        <f t="shared" si="56"/>
        <v>0.83461407175650448</v>
      </c>
      <c r="AO103" s="84">
        <f t="shared" si="56"/>
        <v>0.89281771559196421</v>
      </c>
      <c r="AP103" s="84">
        <f t="shared" si="56"/>
        <v>0.68828228971529481</v>
      </c>
      <c r="AQ103" s="84">
        <f t="shared" si="56"/>
        <v>0.71289589550738475</v>
      </c>
      <c r="AR103" s="84">
        <f t="shared" si="56"/>
        <v>0.76414890568868876</v>
      </c>
      <c r="AS103" s="84">
        <f t="shared" si="56"/>
        <v>0.86938820843250697</v>
      </c>
      <c r="AT103" s="84">
        <f t="shared" si="56"/>
        <v>0.87477809193177858</v>
      </c>
      <c r="AU103" s="84">
        <f t="shared" si="56"/>
        <v>0.87586409825323319</v>
      </c>
      <c r="AV103" s="84">
        <f t="shared" si="56"/>
        <v>0.88302473651008284</v>
      </c>
      <c r="AW103" s="84">
        <f t="shared" si="56"/>
        <v>0.78346180508607055</v>
      </c>
      <c r="AX103" s="84">
        <f t="shared" si="56"/>
        <v>0.85516328185656987</v>
      </c>
      <c r="AY103" s="84">
        <f t="shared" si="56"/>
        <v>0.88567517386722849</v>
      </c>
      <c r="AZ103" s="84">
        <f t="shared" si="56"/>
        <v>0.68274914056038039</v>
      </c>
      <c r="BA103" s="84">
        <f t="shared" si="56"/>
        <v>0.71776056973231106</v>
      </c>
      <c r="BB103" s="84">
        <f t="shared" si="56"/>
        <v>0.73817102324779094</v>
      </c>
      <c r="BC103" s="83">
        <f>BC64*BC97*BC100</f>
        <v>0.78739837432835291</v>
      </c>
    </row>
    <row r="104" spans="1:56" x14ac:dyDescent="0.25">
      <c r="B104" s="19" t="s">
        <v>106</v>
      </c>
      <c r="C104" s="209">
        <f>IF(O190&gt;0,C101*C98*C65,0)</f>
        <v>0.78161954463403882</v>
      </c>
      <c r="D104" s="209"/>
      <c r="E104" s="209"/>
      <c r="F104" s="209"/>
      <c r="G104" s="209"/>
      <c r="H104" s="209"/>
      <c r="I104" s="209"/>
      <c r="J104" s="209"/>
      <c r="K104" s="209"/>
      <c r="L104" s="209"/>
      <c r="M104" s="209"/>
      <c r="N104" s="209"/>
      <c r="O104" s="209"/>
      <c r="P104" s="209">
        <f>IF(AB190&gt;0,P101*P98*P65,0)</f>
        <v>0.78567120623320619</v>
      </c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  <c r="AA104" s="209"/>
      <c r="AB104" s="209"/>
      <c r="AC104" s="209">
        <f>IF(AO190&gt;0,AC101*AC98*AC65,0)</f>
        <v>0.78764251679696107</v>
      </c>
      <c r="AD104" s="209"/>
      <c r="AE104" s="209"/>
      <c r="AF104" s="209"/>
      <c r="AG104" s="209"/>
      <c r="AH104" s="209"/>
      <c r="AI104" s="209"/>
      <c r="AJ104" s="209"/>
      <c r="AK104" s="209"/>
      <c r="AL104" s="209"/>
      <c r="AM104" s="209"/>
      <c r="AN104" s="209"/>
      <c r="AO104" s="209"/>
      <c r="AP104" s="209">
        <f>IF(BB190&gt;0,AP101*AP98*AP65,0)</f>
        <v>0.7946429530352993</v>
      </c>
      <c r="AQ104" s="209"/>
      <c r="AR104" s="209"/>
      <c r="AS104" s="209"/>
      <c r="AT104" s="209"/>
      <c r="AU104" s="209"/>
      <c r="AV104" s="209"/>
      <c r="AW104" s="209"/>
      <c r="AX104" s="209"/>
      <c r="AY104" s="209"/>
      <c r="AZ104" s="209"/>
      <c r="BA104" s="209"/>
      <c r="BB104" s="209"/>
      <c r="BC104" s="83">
        <f>BC101*BC98*AP65</f>
        <v>0.78739797651942223</v>
      </c>
    </row>
    <row r="105" spans="1:56" x14ac:dyDescent="0.25">
      <c r="B105" s="19" t="s">
        <v>107</v>
      </c>
      <c r="C105" s="209">
        <f>IF(F190&gt;0,C102*C99*C66,0)</f>
        <v>0.80554605573145066</v>
      </c>
      <c r="D105" s="209"/>
      <c r="E105" s="209"/>
      <c r="F105" s="209"/>
      <c r="G105" s="209">
        <f>IF(J190&gt;0,G102*G99*G66,0)</f>
        <v>0.77382501809742421</v>
      </c>
      <c r="H105" s="209"/>
      <c r="I105" s="209"/>
      <c r="J105" s="209"/>
      <c r="K105" s="209">
        <f>IF(N190&gt;0,K102*K99*K66,0)</f>
        <v>0.7624840019791046</v>
      </c>
      <c r="L105" s="209"/>
      <c r="M105" s="209"/>
      <c r="N105" s="209"/>
      <c r="O105" s="209">
        <f>IF(R190&gt;0,O102*O99*O66,0)</f>
        <v>0.80291600797486473</v>
      </c>
      <c r="P105" s="209"/>
      <c r="Q105" s="209"/>
      <c r="R105" s="209"/>
      <c r="S105" s="209">
        <f>IF(V190&gt;0,S102*S99*S66,0)</f>
        <v>0.77431796493638261</v>
      </c>
      <c r="T105" s="209"/>
      <c r="U105" s="209"/>
      <c r="V105" s="209"/>
      <c r="W105" s="209">
        <f>IF(Z190&gt;0,W102*W99*W66,0)</f>
        <v>0.76557483204637256</v>
      </c>
      <c r="X105" s="209"/>
      <c r="Y105" s="209"/>
      <c r="Z105" s="209"/>
      <c r="AA105" s="209">
        <f>IF(AD190&gt;0,AA102*AA99*AA66,0)</f>
        <v>0.8009367964144013</v>
      </c>
      <c r="AB105" s="209"/>
      <c r="AC105" s="209"/>
      <c r="AD105" s="209"/>
      <c r="AE105" s="209">
        <f>IF(AH190&gt;0,AE102*AE99*AE66,0)</f>
        <v>0.77779259189687311</v>
      </c>
      <c r="AF105" s="209"/>
      <c r="AG105" s="209"/>
      <c r="AH105" s="209"/>
      <c r="AI105" s="209">
        <f>IF(AL190&gt;0,AI102*AI99*AI66,0)</f>
        <v>0.76011899990973009</v>
      </c>
      <c r="AJ105" s="209"/>
      <c r="AK105" s="209"/>
      <c r="AL105" s="209"/>
      <c r="AM105" s="209">
        <f>IF(AP190&gt;0,AM102*AM99*AM66,0)</f>
        <v>0.80240821886842395</v>
      </c>
      <c r="AN105" s="209"/>
      <c r="AO105" s="209"/>
      <c r="AP105" s="209"/>
      <c r="AQ105" s="209">
        <f>IF(AT190&gt;0,AQ102*AQ99*AQ66,0)</f>
        <v>0.80541843108640299</v>
      </c>
      <c r="AR105" s="209"/>
      <c r="AS105" s="209"/>
      <c r="AT105" s="209"/>
      <c r="AU105" s="209">
        <f>IF(AX190&gt;0,AU102*AU99*AU66,0)</f>
        <v>0.84918316428662277</v>
      </c>
      <c r="AV105" s="209"/>
      <c r="AW105" s="209"/>
      <c r="AX105" s="209"/>
      <c r="AY105" s="209">
        <f>IF(BB190&gt;0,AY102*AY99*AY66,0)</f>
        <v>0.75626012209232008</v>
      </c>
      <c r="AZ105" s="209"/>
      <c r="BA105" s="209"/>
      <c r="BB105" s="209"/>
      <c r="BC105" s="83">
        <f>BC102*BC99*BC66</f>
        <v>0.78739837432835291</v>
      </c>
    </row>
    <row r="106" spans="1:56" s="103" customFormat="1" x14ac:dyDescent="0.25">
      <c r="A106" s="101">
        <f>'Client Data'!A184</f>
        <v>8</v>
      </c>
      <c r="B106" s="105" t="str">
        <f>'Client Data'!B184</f>
        <v>Tool USDT A (Hour)</v>
      </c>
      <c r="C106" s="105">
        <f t="shared" ref="C106:AH106" si="57">IF(OR(C$190&gt;0,$A106),SUM(C107:C112),0)</f>
        <v>0.4</v>
      </c>
      <c r="D106" s="105">
        <f t="shared" si="57"/>
        <v>0.5</v>
      </c>
      <c r="E106" s="105">
        <f t="shared" si="57"/>
        <v>0.3</v>
      </c>
      <c r="F106" s="105">
        <f t="shared" si="57"/>
        <v>0.6</v>
      </c>
      <c r="G106" s="105">
        <f t="shared" si="57"/>
        <v>0.3</v>
      </c>
      <c r="H106" s="105">
        <f t="shared" si="57"/>
        <v>0.4</v>
      </c>
      <c r="I106" s="105">
        <f t="shared" si="57"/>
        <v>0.4</v>
      </c>
      <c r="J106" s="105">
        <f t="shared" si="57"/>
        <v>0.5</v>
      </c>
      <c r="K106" s="105">
        <f t="shared" si="57"/>
        <v>0.3</v>
      </c>
      <c r="L106" s="105">
        <f t="shared" si="57"/>
        <v>0.6</v>
      </c>
      <c r="M106" s="105">
        <f t="shared" si="57"/>
        <v>0.3</v>
      </c>
      <c r="N106" s="105">
        <f t="shared" si="57"/>
        <v>0.4</v>
      </c>
      <c r="O106" s="105">
        <f t="shared" si="57"/>
        <v>0.5</v>
      </c>
      <c r="P106" s="105">
        <f t="shared" si="57"/>
        <v>0.3</v>
      </c>
      <c r="Q106" s="105">
        <f t="shared" si="57"/>
        <v>0.6</v>
      </c>
      <c r="R106" s="105">
        <f t="shared" si="57"/>
        <v>0.3</v>
      </c>
      <c r="S106" s="105">
        <f t="shared" si="57"/>
        <v>0.4</v>
      </c>
      <c r="T106" s="105">
        <f t="shared" si="57"/>
        <v>0.4</v>
      </c>
      <c r="U106" s="105">
        <f t="shared" si="57"/>
        <v>0.5</v>
      </c>
      <c r="V106" s="105">
        <f t="shared" si="57"/>
        <v>0.3</v>
      </c>
      <c r="W106" s="105">
        <f t="shared" si="57"/>
        <v>0.6</v>
      </c>
      <c r="X106" s="105">
        <f t="shared" si="57"/>
        <v>0.3</v>
      </c>
      <c r="Y106" s="105">
        <f t="shared" si="57"/>
        <v>0.4</v>
      </c>
      <c r="Z106" s="105">
        <f t="shared" si="57"/>
        <v>0.5</v>
      </c>
      <c r="AA106" s="105">
        <f t="shared" si="57"/>
        <v>0.3</v>
      </c>
      <c r="AB106" s="105">
        <f t="shared" si="57"/>
        <v>0.6</v>
      </c>
      <c r="AC106" s="105">
        <f t="shared" si="57"/>
        <v>0.3</v>
      </c>
      <c r="AD106" s="105">
        <f t="shared" si="57"/>
        <v>0.4</v>
      </c>
      <c r="AE106" s="105">
        <f t="shared" si="57"/>
        <v>0.4</v>
      </c>
      <c r="AF106" s="105">
        <f t="shared" si="57"/>
        <v>0.5</v>
      </c>
      <c r="AG106" s="105">
        <f t="shared" si="57"/>
        <v>0.3</v>
      </c>
      <c r="AH106" s="105">
        <f t="shared" si="57"/>
        <v>0.6</v>
      </c>
      <c r="AI106" s="105">
        <f t="shared" ref="AI106:BB106" si="58">IF(OR(AI$190&gt;0,$A106),SUM(AI107:AI112),0)</f>
        <v>0.3</v>
      </c>
      <c r="AJ106" s="105">
        <f t="shared" si="58"/>
        <v>0.4</v>
      </c>
      <c r="AK106" s="105">
        <f t="shared" si="58"/>
        <v>0.4</v>
      </c>
      <c r="AL106" s="105">
        <f t="shared" si="58"/>
        <v>0.4</v>
      </c>
      <c r="AM106" s="105">
        <f t="shared" si="58"/>
        <v>0.5</v>
      </c>
      <c r="AN106" s="105">
        <f t="shared" si="58"/>
        <v>0.3</v>
      </c>
      <c r="AO106" s="105">
        <f t="shared" si="58"/>
        <v>0.4</v>
      </c>
      <c r="AP106" s="105">
        <f t="shared" si="58"/>
        <v>0.5</v>
      </c>
      <c r="AQ106" s="105">
        <f t="shared" si="58"/>
        <v>0.3</v>
      </c>
      <c r="AR106" s="105">
        <f t="shared" si="58"/>
        <v>0.6</v>
      </c>
      <c r="AS106" s="105">
        <f t="shared" si="58"/>
        <v>0.3</v>
      </c>
      <c r="AT106" s="105">
        <f t="shared" si="58"/>
        <v>0.4</v>
      </c>
      <c r="AU106" s="105">
        <f t="shared" si="58"/>
        <v>0.4</v>
      </c>
      <c r="AV106" s="105">
        <f t="shared" si="58"/>
        <v>0.5</v>
      </c>
      <c r="AW106" s="105">
        <f t="shared" si="58"/>
        <v>0.3</v>
      </c>
      <c r="AX106" s="105">
        <f t="shared" si="58"/>
        <v>0.6</v>
      </c>
      <c r="AY106" s="105">
        <f t="shared" si="58"/>
        <v>0.3</v>
      </c>
      <c r="AZ106" s="105">
        <f t="shared" si="58"/>
        <v>0.4</v>
      </c>
      <c r="BA106" s="105">
        <f t="shared" si="58"/>
        <v>0.4</v>
      </c>
      <c r="BB106" s="105">
        <f t="shared" si="58"/>
        <v>0.2</v>
      </c>
      <c r="BC106" s="105">
        <f>SUM(C106:BB106)</f>
        <v>21.400000000000002</v>
      </c>
    </row>
    <row r="107" spans="1:56" x14ac:dyDescent="0.25">
      <c r="A107" s="64">
        <f>IF(A$106&gt;0,'Client Data'!A185,0)</f>
        <v>6</v>
      </c>
      <c r="B107" s="104" t="str">
        <f>'Client Data'!B185</f>
        <v>DownTime A</v>
      </c>
      <c r="C107" s="106">
        <f>IF(OR(C$190,$A107),'Client Data'!C185,0)</f>
        <v>0.4</v>
      </c>
      <c r="D107" s="106">
        <f>IF(OR(D$190,$A107),'Client Data'!D185,0)</f>
        <v>0.5</v>
      </c>
      <c r="E107" s="106">
        <f>IF(OR(E$190,$A107),'Client Data'!E185,0)</f>
        <v>0.3</v>
      </c>
      <c r="F107" s="106">
        <f>IF(OR(F$190,$A107),'Client Data'!F185,0)</f>
        <v>0.6</v>
      </c>
      <c r="G107" s="106">
        <f>IF(OR(G$190,$A107),'Client Data'!G185,0)</f>
        <v>0.3</v>
      </c>
      <c r="H107" s="106">
        <f>IF(OR(H$190,$A107),'Client Data'!H185,0)</f>
        <v>0.4</v>
      </c>
      <c r="I107" s="106">
        <f>IF(OR(I$190,$A107),'Client Data'!I185,0)</f>
        <v>0.4</v>
      </c>
      <c r="J107" s="106">
        <f>IF(OR(J$190,$A107),'Client Data'!J185,0)</f>
        <v>0.5</v>
      </c>
      <c r="K107" s="106">
        <f>IF(OR(K$190,$A107),'Client Data'!K185,0)</f>
        <v>0.3</v>
      </c>
      <c r="L107" s="106">
        <f>IF(OR(L$190,$A107),'Client Data'!L185,0)</f>
        <v>0.6</v>
      </c>
      <c r="M107" s="106">
        <f>IF(OR(M$190,$A107),'Client Data'!M185,0)</f>
        <v>0.3</v>
      </c>
      <c r="N107" s="106">
        <f>IF(OR(N$190,$A107),'Client Data'!N185,0)</f>
        <v>0.4</v>
      </c>
      <c r="O107" s="106">
        <f>IF(OR(O$190,$A107),'Client Data'!O185,0)</f>
        <v>0.5</v>
      </c>
      <c r="P107" s="106">
        <f>IF(OR(P$190,$A107),'Client Data'!P185,0)</f>
        <v>0.3</v>
      </c>
      <c r="Q107" s="106">
        <f>IF(OR(Q$190,$A107),'Client Data'!Q185,0)</f>
        <v>0.6</v>
      </c>
      <c r="R107" s="106">
        <f>IF(OR(R$190,$A107),'Client Data'!R185,0)</f>
        <v>0.3</v>
      </c>
      <c r="S107" s="106">
        <f>IF(OR(S$190,$A107),'Client Data'!S185,0)</f>
        <v>0.4</v>
      </c>
      <c r="T107" s="106">
        <f>IF(OR(T$190,$A107),'Client Data'!T185,0)</f>
        <v>0.4</v>
      </c>
      <c r="U107" s="106">
        <f>IF(OR(U$190,$A107),'Client Data'!U185,0)</f>
        <v>0.5</v>
      </c>
      <c r="V107" s="106">
        <f>IF(OR(V$190,$A107),'Client Data'!V185,0)</f>
        <v>0.3</v>
      </c>
      <c r="W107" s="106">
        <f>IF(OR(W$190,$A107),'Client Data'!W185,0)</f>
        <v>0.6</v>
      </c>
      <c r="X107" s="106">
        <f>IF(OR(X$190,$A107),'Client Data'!X185,0)</f>
        <v>0.3</v>
      </c>
      <c r="Y107" s="106">
        <f>IF(OR(Y$190,$A107),'Client Data'!Y185,0)</f>
        <v>0.4</v>
      </c>
      <c r="Z107" s="106">
        <f>IF(OR(Z$190,$A107),'Client Data'!Z185,0)</f>
        <v>0.5</v>
      </c>
      <c r="AA107" s="106">
        <f>IF(OR(AA$190,$A107),'Client Data'!AA185,0)</f>
        <v>0.3</v>
      </c>
      <c r="AB107" s="106">
        <f>IF(OR(AB$190,$A107),'Client Data'!AB185,0)</f>
        <v>0.6</v>
      </c>
      <c r="AC107" s="106">
        <f>IF(OR(AC$190,$A107),'Client Data'!AC185,0)</f>
        <v>0.3</v>
      </c>
      <c r="AD107" s="106">
        <f>IF(OR(AD$190,$A107),'Client Data'!AD185,0)</f>
        <v>0.4</v>
      </c>
      <c r="AE107" s="106">
        <f>IF(OR(AE$190,$A107),'Client Data'!AE185,0)</f>
        <v>0.4</v>
      </c>
      <c r="AF107" s="106">
        <f>IF(OR(AF$190,$A107),'Client Data'!AF185,0)</f>
        <v>0.5</v>
      </c>
      <c r="AG107" s="106">
        <f>IF(OR(AG$190,$A107),'Client Data'!AG185,0)</f>
        <v>0.3</v>
      </c>
      <c r="AH107" s="106">
        <f>IF(OR(AH$190,$A107),'Client Data'!AH185,0)</f>
        <v>0.6</v>
      </c>
      <c r="AI107" s="106">
        <f>IF(OR(AI$190,$A107),'Client Data'!AI185,0)</f>
        <v>0.3</v>
      </c>
      <c r="AJ107" s="106">
        <f>IF(OR(AJ$190,$A107),'Client Data'!AJ185,0)</f>
        <v>0.4</v>
      </c>
      <c r="AK107" s="106">
        <f>IF(OR(AK$190,$A107),'Client Data'!AK185,0)</f>
        <v>0.4</v>
      </c>
      <c r="AL107" s="106">
        <f>IF(OR(AL$190,$A107),'Client Data'!AL185,0)</f>
        <v>0.4</v>
      </c>
      <c r="AM107" s="106">
        <f>IF(OR(AM$190,$A107),'Client Data'!AM185,0)</f>
        <v>0.5</v>
      </c>
      <c r="AN107" s="106">
        <f>IF(OR(AN$190,$A107),'Client Data'!AN185,0)</f>
        <v>0.3</v>
      </c>
      <c r="AO107" s="106">
        <f>IF(OR(AO$190,$A107),'Client Data'!AO185,0)</f>
        <v>0.4</v>
      </c>
      <c r="AP107" s="106">
        <f>IF(OR(AP$190,$A107),'Client Data'!AP185,0)</f>
        <v>0.5</v>
      </c>
      <c r="AQ107" s="106">
        <f>IF(OR(AQ$190,$A107),'Client Data'!AQ185,0)</f>
        <v>0.3</v>
      </c>
      <c r="AR107" s="106">
        <f>IF(OR(AR$190,$A107),'Client Data'!AR185,0)</f>
        <v>0.6</v>
      </c>
      <c r="AS107" s="106">
        <f>IF(OR(AS$190,$A107),'Client Data'!AS185,0)</f>
        <v>0.3</v>
      </c>
      <c r="AT107" s="106">
        <f>IF(OR(AT$190,$A107),'Client Data'!AT185,0)</f>
        <v>0.4</v>
      </c>
      <c r="AU107" s="106">
        <f>IF(OR(AU$190,$A107),'Client Data'!AU185,0)</f>
        <v>0.4</v>
      </c>
      <c r="AV107" s="106">
        <f>IF(OR(AV$190,$A107),'Client Data'!AV185,0)</f>
        <v>0.5</v>
      </c>
      <c r="AW107" s="106">
        <f>IF(OR(AW$190,$A107),'Client Data'!AW185,0)</f>
        <v>0.3</v>
      </c>
      <c r="AX107" s="106">
        <f>IF(OR(AX$190,$A107),'Client Data'!AX185,0)</f>
        <v>0.6</v>
      </c>
      <c r="AY107" s="106">
        <f>IF(OR(AY$190,$A107),'Client Data'!AY185,0)</f>
        <v>0.3</v>
      </c>
      <c r="AZ107" s="106">
        <f>IF(OR(AZ$190,$A107),'Client Data'!AZ185,0)</f>
        <v>0.4</v>
      </c>
      <c r="BA107" s="106">
        <f>IF(OR(BA$190,$A107),'Client Data'!BA185,0)</f>
        <v>0.4</v>
      </c>
      <c r="BB107" s="106">
        <f>IF(OR(BB$190,$A107),'Client Data'!BB185,0)</f>
        <v>0.2</v>
      </c>
      <c r="BC107" s="104">
        <f t="shared" ref="BC107:BC161" si="59">SUM(C107:BB107)</f>
        <v>21.400000000000002</v>
      </c>
    </row>
    <row r="108" spans="1:56" x14ac:dyDescent="0.25">
      <c r="A108">
        <f>IF(A$106&gt;0,A107-1,0)</f>
        <v>5</v>
      </c>
      <c r="B108" s="104" t="str">
        <f>'Client Data'!B186</f>
        <v>DownTime B</v>
      </c>
      <c r="C108" s="106">
        <f>IF(OR(C$190,$A108),'Client Data'!C186,0)</f>
        <v>0</v>
      </c>
      <c r="D108" s="106">
        <f>IF(OR(D$190,$A108),'Client Data'!D186,0)</f>
        <v>0</v>
      </c>
      <c r="E108" s="106">
        <f>IF(OR(E$190,$A108),'Client Data'!E186,0)</f>
        <v>0</v>
      </c>
      <c r="F108" s="106">
        <f>IF(OR(F$190,$A108),'Client Data'!F186,0)</f>
        <v>0</v>
      </c>
      <c r="G108" s="106">
        <f>IF(OR(G$190,$A108),'Client Data'!G186,0)</f>
        <v>0</v>
      </c>
      <c r="H108" s="106">
        <f>IF(OR(H$190,$A108),'Client Data'!H186,0)</f>
        <v>0</v>
      </c>
      <c r="I108" s="106">
        <f>IF(OR(I$190,$A108),'Client Data'!I186,0)</f>
        <v>0</v>
      </c>
      <c r="J108" s="106">
        <f>IF(OR(J$190,$A108),'Client Data'!J186,0)</f>
        <v>0</v>
      </c>
      <c r="K108" s="106">
        <f>IF(OR(K$190,$A108),'Client Data'!K186,0)</f>
        <v>0</v>
      </c>
      <c r="L108" s="106">
        <f>IF(OR(L$190,$A108),'Client Data'!L186,0)</f>
        <v>0</v>
      </c>
      <c r="M108" s="106">
        <f>IF(OR(M$190,$A108),'Client Data'!M186,0)</f>
        <v>0</v>
      </c>
      <c r="N108" s="106">
        <f>IF(OR(N$190,$A108),'Client Data'!N186,0)</f>
        <v>0</v>
      </c>
      <c r="O108" s="106">
        <f>IF(OR(O$190,$A108),'Client Data'!O186,0)</f>
        <v>0</v>
      </c>
      <c r="P108" s="106">
        <f>IF(OR(P$190,$A108),'Client Data'!P186,0)</f>
        <v>0</v>
      </c>
      <c r="Q108" s="106">
        <f>IF(OR(Q$190,$A108),'Client Data'!Q186,0)</f>
        <v>0</v>
      </c>
      <c r="R108" s="106">
        <f>IF(OR(R$190,$A108),'Client Data'!R186,0)</f>
        <v>0</v>
      </c>
      <c r="S108" s="106">
        <f>IF(OR(S$190,$A108),'Client Data'!S186,0)</f>
        <v>0</v>
      </c>
      <c r="T108" s="106">
        <f>IF(OR(T$190,$A108),'Client Data'!T186,0)</f>
        <v>0</v>
      </c>
      <c r="U108" s="106">
        <f>IF(OR(U$190,$A108),'Client Data'!U186,0)</f>
        <v>0</v>
      </c>
      <c r="V108" s="106">
        <f>IF(OR(V$190,$A108),'Client Data'!V186,0)</f>
        <v>0</v>
      </c>
      <c r="W108" s="106">
        <f>IF(OR(W$190,$A108),'Client Data'!W186,0)</f>
        <v>0</v>
      </c>
      <c r="X108" s="106">
        <f>IF(OR(X$190,$A108),'Client Data'!X186,0)</f>
        <v>0</v>
      </c>
      <c r="Y108" s="106">
        <f>IF(OR(Y$190,$A108),'Client Data'!Y186,0)</f>
        <v>0</v>
      </c>
      <c r="Z108" s="106">
        <f>IF(OR(Z$190,$A108),'Client Data'!Z186,0)</f>
        <v>0</v>
      </c>
      <c r="AA108" s="106">
        <f>IF(OR(AA$190,$A108),'Client Data'!AA186,0)</f>
        <v>0</v>
      </c>
      <c r="AB108" s="106">
        <f>IF(OR(AB$190,$A108),'Client Data'!AB186,0)</f>
        <v>0</v>
      </c>
      <c r="AC108" s="106">
        <f>IF(OR(AC$190,$A108),'Client Data'!AC186,0)</f>
        <v>0</v>
      </c>
      <c r="AD108" s="106">
        <f>IF(OR(AD$190,$A108),'Client Data'!AD186,0)</f>
        <v>0</v>
      </c>
      <c r="AE108" s="106">
        <f>IF(OR(AE$190,$A108),'Client Data'!AE186,0)</f>
        <v>0</v>
      </c>
      <c r="AF108" s="106">
        <f>IF(OR(AF$190,$A108),'Client Data'!AF186,0)</f>
        <v>0</v>
      </c>
      <c r="AG108" s="106">
        <f>IF(OR(AG$190,$A108),'Client Data'!AG186,0)</f>
        <v>0</v>
      </c>
      <c r="AH108" s="106">
        <f>IF(OR(AH$190,$A108),'Client Data'!AH186,0)</f>
        <v>0</v>
      </c>
      <c r="AI108" s="106">
        <f>IF(OR(AI$190,$A108),'Client Data'!AI186,0)</f>
        <v>0</v>
      </c>
      <c r="AJ108" s="106">
        <f>IF(OR(AJ$190,$A108),'Client Data'!AJ186,0)</f>
        <v>0</v>
      </c>
      <c r="AK108" s="106">
        <f>IF(OR(AK$190,$A108),'Client Data'!AK186,0)</f>
        <v>0</v>
      </c>
      <c r="AL108" s="106">
        <f>IF(OR(AL$190,$A108),'Client Data'!AL186,0)</f>
        <v>0</v>
      </c>
      <c r="AM108" s="106">
        <f>IF(OR(AM$190,$A108),'Client Data'!AM186,0)</f>
        <v>0</v>
      </c>
      <c r="AN108" s="106">
        <f>IF(OR(AN$190,$A108),'Client Data'!AN186,0)</f>
        <v>0</v>
      </c>
      <c r="AO108" s="106">
        <f>IF(OR(AO$190,$A108),'Client Data'!AO186,0)</f>
        <v>0</v>
      </c>
      <c r="AP108" s="106">
        <f>IF(OR(AP$190,$A108),'Client Data'!AP186,0)</f>
        <v>0</v>
      </c>
      <c r="AQ108" s="106">
        <f>IF(OR(AQ$190,$A108),'Client Data'!AQ186,0)</f>
        <v>0</v>
      </c>
      <c r="AR108" s="106">
        <f>IF(OR(AR$190,$A108),'Client Data'!AR186,0)</f>
        <v>0</v>
      </c>
      <c r="AS108" s="106">
        <f>IF(OR(AS$190,$A108),'Client Data'!AS186,0)</f>
        <v>0</v>
      </c>
      <c r="AT108" s="106">
        <f>IF(OR(AT$190,$A108),'Client Data'!AT186,0)</f>
        <v>0</v>
      </c>
      <c r="AU108" s="106">
        <f>IF(OR(AU$190,$A108),'Client Data'!AU186,0)</f>
        <v>0</v>
      </c>
      <c r="AV108" s="106">
        <f>IF(OR(AV$190,$A108),'Client Data'!AV186,0)</f>
        <v>0</v>
      </c>
      <c r="AW108" s="106">
        <f>IF(OR(AW$190,$A108),'Client Data'!AW186,0)</f>
        <v>0</v>
      </c>
      <c r="AX108" s="106">
        <f>IF(OR(AX$190,$A108),'Client Data'!AX186,0)</f>
        <v>0</v>
      </c>
      <c r="AY108" s="106">
        <f>IF(OR(AY$190,$A108),'Client Data'!AY186,0)</f>
        <v>0</v>
      </c>
      <c r="AZ108" s="106">
        <f>IF(OR(AZ$190,$A108),'Client Data'!AZ186,0)</f>
        <v>0</v>
      </c>
      <c r="BA108" s="106">
        <f>IF(OR(BA$190,$A108),'Client Data'!BA186,0)</f>
        <v>0</v>
      </c>
      <c r="BB108" s="106">
        <f>IF(OR(BB$190,$A108),'Client Data'!BB186,0)</f>
        <v>0</v>
      </c>
      <c r="BC108" s="104">
        <f t="shared" si="59"/>
        <v>0</v>
      </c>
    </row>
    <row r="109" spans="1:56" x14ac:dyDescent="0.25">
      <c r="A109">
        <f t="shared" ref="A109:A112" si="60">IF(A$106&gt;0,A108-1,0)</f>
        <v>4</v>
      </c>
      <c r="B109" s="104" t="str">
        <f>'Client Data'!B187</f>
        <v>DownTime C</v>
      </c>
      <c r="C109" s="106">
        <f>IF(OR(C$190,$A109),'Client Data'!C187,0)</f>
        <v>0</v>
      </c>
      <c r="D109" s="106">
        <f>IF(OR(D$190,$A109),'Client Data'!D187,0)</f>
        <v>0</v>
      </c>
      <c r="E109" s="106">
        <f>IF(OR(E$190,$A109),'Client Data'!E187,0)</f>
        <v>0</v>
      </c>
      <c r="F109" s="106">
        <f>IF(OR(F$190,$A109),'Client Data'!F187,0)</f>
        <v>0</v>
      </c>
      <c r="G109" s="106">
        <f>IF(OR(G$190,$A109),'Client Data'!G187,0)</f>
        <v>0</v>
      </c>
      <c r="H109" s="106">
        <f>IF(OR(H$190,$A109),'Client Data'!H187,0)</f>
        <v>0</v>
      </c>
      <c r="I109" s="106">
        <f>IF(OR(I$190,$A109),'Client Data'!I187,0)</f>
        <v>0</v>
      </c>
      <c r="J109" s="106">
        <f>IF(OR(J$190,$A109),'Client Data'!J187,0)</f>
        <v>0</v>
      </c>
      <c r="K109" s="106">
        <f>IF(OR(K$190,$A109),'Client Data'!K187,0)</f>
        <v>0</v>
      </c>
      <c r="L109" s="106">
        <f>IF(OR(L$190,$A109),'Client Data'!L187,0)</f>
        <v>0</v>
      </c>
      <c r="M109" s="106">
        <f>IF(OR(M$190,$A109),'Client Data'!M187,0)</f>
        <v>0</v>
      </c>
      <c r="N109" s="106">
        <f>IF(OR(N$190,$A109),'Client Data'!N187,0)</f>
        <v>0</v>
      </c>
      <c r="O109" s="106">
        <f>IF(OR(O$190,$A109),'Client Data'!O187,0)</f>
        <v>0</v>
      </c>
      <c r="P109" s="106">
        <f>IF(OR(P$190,$A109),'Client Data'!P187,0)</f>
        <v>0</v>
      </c>
      <c r="Q109" s="106">
        <f>IF(OR(Q$190,$A109),'Client Data'!Q187,0)</f>
        <v>0</v>
      </c>
      <c r="R109" s="106">
        <f>IF(OR(R$190,$A109),'Client Data'!R187,0)</f>
        <v>0</v>
      </c>
      <c r="S109" s="106">
        <f>IF(OR(S$190,$A109),'Client Data'!S187,0)</f>
        <v>0</v>
      </c>
      <c r="T109" s="106">
        <f>IF(OR(T$190,$A109),'Client Data'!T187,0)</f>
        <v>0</v>
      </c>
      <c r="U109" s="106">
        <f>IF(OR(U$190,$A109),'Client Data'!U187,0)</f>
        <v>0</v>
      </c>
      <c r="V109" s="106">
        <f>IF(OR(V$190,$A109),'Client Data'!V187,0)</f>
        <v>0</v>
      </c>
      <c r="W109" s="106">
        <f>IF(OR(W$190,$A109),'Client Data'!W187,0)</f>
        <v>0</v>
      </c>
      <c r="X109" s="106">
        <f>IF(OR(X$190,$A109),'Client Data'!X187,0)</f>
        <v>0</v>
      </c>
      <c r="Y109" s="106">
        <f>IF(OR(Y$190,$A109),'Client Data'!Y187,0)</f>
        <v>0</v>
      </c>
      <c r="Z109" s="106">
        <f>IF(OR(Z$190,$A109),'Client Data'!Z187,0)</f>
        <v>0</v>
      </c>
      <c r="AA109" s="106">
        <f>IF(OR(AA$190,$A109),'Client Data'!AA187,0)</f>
        <v>0</v>
      </c>
      <c r="AB109" s="106">
        <f>IF(OR(AB$190,$A109),'Client Data'!AB187,0)</f>
        <v>0</v>
      </c>
      <c r="AC109" s="106">
        <f>IF(OR(AC$190,$A109),'Client Data'!AC187,0)</f>
        <v>0</v>
      </c>
      <c r="AD109" s="106">
        <f>IF(OR(AD$190,$A109),'Client Data'!AD187,0)</f>
        <v>0</v>
      </c>
      <c r="AE109" s="106">
        <f>IF(OR(AE$190,$A109),'Client Data'!AE187,0)</f>
        <v>0</v>
      </c>
      <c r="AF109" s="106">
        <f>IF(OR(AF$190,$A109),'Client Data'!AF187,0)</f>
        <v>0</v>
      </c>
      <c r="AG109" s="106">
        <f>IF(OR(AG$190,$A109),'Client Data'!AG187,0)</f>
        <v>0</v>
      </c>
      <c r="AH109" s="106">
        <f>IF(OR(AH$190,$A109),'Client Data'!AH187,0)</f>
        <v>0</v>
      </c>
      <c r="AI109" s="106">
        <f>IF(OR(AI$190,$A109),'Client Data'!AI187,0)</f>
        <v>0</v>
      </c>
      <c r="AJ109" s="106">
        <f>IF(OR(AJ$190,$A109),'Client Data'!AJ187,0)</f>
        <v>0</v>
      </c>
      <c r="AK109" s="106">
        <f>IF(OR(AK$190,$A109),'Client Data'!AK187,0)</f>
        <v>0</v>
      </c>
      <c r="AL109" s="106">
        <f>IF(OR(AL$190,$A109),'Client Data'!AL187,0)</f>
        <v>0</v>
      </c>
      <c r="AM109" s="106">
        <f>IF(OR(AM$190,$A109),'Client Data'!AM187,0)</f>
        <v>0</v>
      </c>
      <c r="AN109" s="106">
        <f>IF(OR(AN$190,$A109),'Client Data'!AN187,0)</f>
        <v>0</v>
      </c>
      <c r="AO109" s="106">
        <f>IF(OR(AO$190,$A109),'Client Data'!AO187,0)</f>
        <v>0</v>
      </c>
      <c r="AP109" s="106">
        <f>IF(OR(AP$190,$A109),'Client Data'!AP187,0)</f>
        <v>0</v>
      </c>
      <c r="AQ109" s="106">
        <f>IF(OR(AQ$190,$A109),'Client Data'!AQ187,0)</f>
        <v>0</v>
      </c>
      <c r="AR109" s="106">
        <f>IF(OR(AR$190,$A109),'Client Data'!AR187,0)</f>
        <v>0</v>
      </c>
      <c r="AS109" s="106">
        <f>IF(OR(AS$190,$A109),'Client Data'!AS187,0)</f>
        <v>0</v>
      </c>
      <c r="AT109" s="106">
        <f>IF(OR(AT$190,$A109),'Client Data'!AT187,0)</f>
        <v>0</v>
      </c>
      <c r="AU109" s="106">
        <f>IF(OR(AU$190,$A109),'Client Data'!AU187,0)</f>
        <v>0</v>
      </c>
      <c r="AV109" s="106">
        <f>IF(OR(AV$190,$A109),'Client Data'!AV187,0)</f>
        <v>0</v>
      </c>
      <c r="AW109" s="106">
        <f>IF(OR(AW$190,$A109),'Client Data'!AW187,0)</f>
        <v>0</v>
      </c>
      <c r="AX109" s="106">
        <f>IF(OR(AX$190,$A109),'Client Data'!AX187,0)</f>
        <v>0</v>
      </c>
      <c r="AY109" s="106">
        <f>IF(OR(AY$190,$A109),'Client Data'!AY187,0)</f>
        <v>0</v>
      </c>
      <c r="AZ109" s="106">
        <f>IF(OR(AZ$190,$A109),'Client Data'!AZ187,0)</f>
        <v>0</v>
      </c>
      <c r="BA109" s="106">
        <f>IF(OR(BA$190,$A109),'Client Data'!BA187,0)</f>
        <v>0</v>
      </c>
      <c r="BB109" s="106">
        <f>IF(OR(BB$190,$A109),'Client Data'!BB187,0)</f>
        <v>0</v>
      </c>
      <c r="BC109" s="104">
        <f t="shared" si="59"/>
        <v>0</v>
      </c>
    </row>
    <row r="110" spans="1:56" x14ac:dyDescent="0.25">
      <c r="A110">
        <f t="shared" si="60"/>
        <v>3</v>
      </c>
      <c r="B110" s="104" t="str">
        <f>'Client Data'!B188</f>
        <v>DownTime D</v>
      </c>
      <c r="C110" s="106">
        <f>IF(OR(C$190,$A110),'Client Data'!C188,0)</f>
        <v>0</v>
      </c>
      <c r="D110" s="106">
        <f>IF(OR(D$190,$A110),'Client Data'!D188,0)</f>
        <v>0</v>
      </c>
      <c r="E110" s="106">
        <f>IF(OR(E$190,$A110),'Client Data'!E188,0)</f>
        <v>0</v>
      </c>
      <c r="F110" s="106">
        <f>IF(OR(F$190,$A110),'Client Data'!F188,0)</f>
        <v>0</v>
      </c>
      <c r="G110" s="106">
        <f>IF(OR(G$190,$A110),'Client Data'!G188,0)</f>
        <v>0</v>
      </c>
      <c r="H110" s="106">
        <f>IF(OR(H$190,$A110),'Client Data'!H188,0)</f>
        <v>0</v>
      </c>
      <c r="I110" s="106">
        <f>IF(OR(I$190,$A110),'Client Data'!I188,0)</f>
        <v>0</v>
      </c>
      <c r="J110" s="106">
        <f>IF(OR(J$190,$A110),'Client Data'!J188,0)</f>
        <v>0</v>
      </c>
      <c r="K110" s="106">
        <f>IF(OR(K$190,$A110),'Client Data'!K188,0)</f>
        <v>0</v>
      </c>
      <c r="L110" s="106">
        <f>IF(OR(L$190,$A110),'Client Data'!L188,0)</f>
        <v>0</v>
      </c>
      <c r="M110" s="106">
        <f>IF(OR(M$190,$A110),'Client Data'!M188,0)</f>
        <v>0</v>
      </c>
      <c r="N110" s="106">
        <f>IF(OR(N$190,$A110),'Client Data'!N188,0)</f>
        <v>0</v>
      </c>
      <c r="O110" s="106">
        <f>IF(OR(O$190,$A110),'Client Data'!O188,0)</f>
        <v>0</v>
      </c>
      <c r="P110" s="106">
        <f>IF(OR(P$190,$A110),'Client Data'!P188,0)</f>
        <v>0</v>
      </c>
      <c r="Q110" s="106">
        <f>IF(OR(Q$190,$A110),'Client Data'!Q188,0)</f>
        <v>0</v>
      </c>
      <c r="R110" s="106">
        <f>IF(OR(R$190,$A110),'Client Data'!R188,0)</f>
        <v>0</v>
      </c>
      <c r="S110" s="106">
        <f>IF(OR(S$190,$A110),'Client Data'!S188,0)</f>
        <v>0</v>
      </c>
      <c r="T110" s="106">
        <f>IF(OR(T$190,$A110),'Client Data'!T188,0)</f>
        <v>0</v>
      </c>
      <c r="U110" s="106">
        <f>IF(OR(U$190,$A110),'Client Data'!U188,0)</f>
        <v>0</v>
      </c>
      <c r="V110" s="106">
        <f>IF(OR(V$190,$A110),'Client Data'!V188,0)</f>
        <v>0</v>
      </c>
      <c r="W110" s="106">
        <f>IF(OR(W$190,$A110),'Client Data'!W188,0)</f>
        <v>0</v>
      </c>
      <c r="X110" s="106">
        <f>IF(OR(X$190,$A110),'Client Data'!X188,0)</f>
        <v>0</v>
      </c>
      <c r="Y110" s="106">
        <f>IF(OR(Y$190,$A110),'Client Data'!Y188,0)</f>
        <v>0</v>
      </c>
      <c r="Z110" s="106">
        <f>IF(OR(Z$190,$A110),'Client Data'!Z188,0)</f>
        <v>0</v>
      </c>
      <c r="AA110" s="106">
        <f>IF(OR(AA$190,$A110),'Client Data'!AA188,0)</f>
        <v>0</v>
      </c>
      <c r="AB110" s="106">
        <f>IF(OR(AB$190,$A110),'Client Data'!AB188,0)</f>
        <v>0</v>
      </c>
      <c r="AC110" s="106">
        <f>IF(OR(AC$190,$A110),'Client Data'!AC188,0)</f>
        <v>0</v>
      </c>
      <c r="AD110" s="106">
        <f>IF(OR(AD$190,$A110),'Client Data'!AD188,0)</f>
        <v>0</v>
      </c>
      <c r="AE110" s="106">
        <f>IF(OR(AE$190,$A110),'Client Data'!AE188,0)</f>
        <v>0</v>
      </c>
      <c r="AF110" s="106">
        <f>IF(OR(AF$190,$A110),'Client Data'!AF188,0)</f>
        <v>0</v>
      </c>
      <c r="AG110" s="106">
        <f>IF(OR(AG$190,$A110),'Client Data'!AG188,0)</f>
        <v>0</v>
      </c>
      <c r="AH110" s="106">
        <f>IF(OR(AH$190,$A110),'Client Data'!AH188,0)</f>
        <v>0</v>
      </c>
      <c r="AI110" s="106">
        <f>IF(OR(AI$190,$A110),'Client Data'!AI188,0)</f>
        <v>0</v>
      </c>
      <c r="AJ110" s="106">
        <f>IF(OR(AJ$190,$A110),'Client Data'!AJ188,0)</f>
        <v>0</v>
      </c>
      <c r="AK110" s="106">
        <f>IF(OR(AK$190,$A110),'Client Data'!AK188,0)</f>
        <v>0</v>
      </c>
      <c r="AL110" s="106">
        <f>IF(OR(AL$190,$A110),'Client Data'!AL188,0)</f>
        <v>0</v>
      </c>
      <c r="AM110" s="106">
        <f>IF(OR(AM$190,$A110),'Client Data'!AM188,0)</f>
        <v>0</v>
      </c>
      <c r="AN110" s="106">
        <f>IF(OR(AN$190,$A110),'Client Data'!AN188,0)</f>
        <v>0</v>
      </c>
      <c r="AO110" s="106">
        <f>IF(OR(AO$190,$A110),'Client Data'!AO188,0)</f>
        <v>0</v>
      </c>
      <c r="AP110" s="106">
        <f>IF(OR(AP$190,$A110),'Client Data'!AP188,0)</f>
        <v>0</v>
      </c>
      <c r="AQ110" s="106">
        <f>IF(OR(AQ$190,$A110),'Client Data'!AQ188,0)</f>
        <v>0</v>
      </c>
      <c r="AR110" s="106">
        <f>IF(OR(AR$190,$A110),'Client Data'!AR188,0)</f>
        <v>0</v>
      </c>
      <c r="AS110" s="106">
        <f>IF(OR(AS$190,$A110),'Client Data'!AS188,0)</f>
        <v>0</v>
      </c>
      <c r="AT110" s="106">
        <f>IF(OR(AT$190,$A110),'Client Data'!AT188,0)</f>
        <v>0</v>
      </c>
      <c r="AU110" s="106">
        <f>IF(OR(AU$190,$A110),'Client Data'!AU188,0)</f>
        <v>0</v>
      </c>
      <c r="AV110" s="106">
        <f>IF(OR(AV$190,$A110),'Client Data'!AV188,0)</f>
        <v>0</v>
      </c>
      <c r="AW110" s="106">
        <f>IF(OR(AW$190,$A110),'Client Data'!AW188,0)</f>
        <v>0</v>
      </c>
      <c r="AX110" s="106">
        <f>IF(OR(AX$190,$A110),'Client Data'!AX188,0)</f>
        <v>0</v>
      </c>
      <c r="AY110" s="106">
        <f>IF(OR(AY$190,$A110),'Client Data'!AY188,0)</f>
        <v>0</v>
      </c>
      <c r="AZ110" s="106">
        <f>IF(OR(AZ$190,$A110),'Client Data'!AZ188,0)</f>
        <v>0</v>
      </c>
      <c r="BA110" s="106">
        <f>IF(OR(BA$190,$A110),'Client Data'!BA188,0)</f>
        <v>0</v>
      </c>
      <c r="BB110" s="106">
        <f>IF(OR(BB$190,$A110),'Client Data'!BB188,0)</f>
        <v>0</v>
      </c>
      <c r="BC110" s="104">
        <f t="shared" si="59"/>
        <v>0</v>
      </c>
    </row>
    <row r="111" spans="1:56" x14ac:dyDescent="0.25">
      <c r="A111">
        <f t="shared" si="60"/>
        <v>2</v>
      </c>
      <c r="B111" s="104" t="str">
        <f>'Client Data'!B189</f>
        <v>DownTime E</v>
      </c>
      <c r="C111" s="106">
        <f>IF(OR(C$190,$A111),'Client Data'!C189,0)</f>
        <v>0</v>
      </c>
      <c r="D111" s="106">
        <f>IF(OR(D$190,$A111),'Client Data'!D189,0)</f>
        <v>0</v>
      </c>
      <c r="E111" s="106">
        <f>IF(OR(E$190,$A111),'Client Data'!E189,0)</f>
        <v>0</v>
      </c>
      <c r="F111" s="106">
        <f>IF(OR(F$190,$A111),'Client Data'!F189,0)</f>
        <v>0</v>
      </c>
      <c r="G111" s="106">
        <f>IF(OR(G$190,$A111),'Client Data'!G189,0)</f>
        <v>0</v>
      </c>
      <c r="H111" s="106">
        <f>IF(OR(H$190,$A111),'Client Data'!H189,0)</f>
        <v>0</v>
      </c>
      <c r="I111" s="106">
        <f>IF(OR(I$190,$A111),'Client Data'!I189,0)</f>
        <v>0</v>
      </c>
      <c r="J111" s="106">
        <f>IF(OR(J$190,$A111),'Client Data'!J189,0)</f>
        <v>0</v>
      </c>
      <c r="K111" s="106">
        <f>IF(OR(K$190,$A111),'Client Data'!K189,0)</f>
        <v>0</v>
      </c>
      <c r="L111" s="106">
        <f>IF(OR(L$190,$A111),'Client Data'!L189,0)</f>
        <v>0</v>
      </c>
      <c r="M111" s="106">
        <f>IF(OR(M$190,$A111),'Client Data'!M189,0)</f>
        <v>0</v>
      </c>
      <c r="N111" s="106">
        <f>IF(OR(N$190,$A111),'Client Data'!N189,0)</f>
        <v>0</v>
      </c>
      <c r="O111" s="106">
        <f>IF(OR(O$190,$A111),'Client Data'!O189,0)</f>
        <v>0</v>
      </c>
      <c r="P111" s="106">
        <f>IF(OR(P$190,$A111),'Client Data'!P189,0)</f>
        <v>0</v>
      </c>
      <c r="Q111" s="106">
        <f>IF(OR(Q$190,$A111),'Client Data'!Q189,0)</f>
        <v>0</v>
      </c>
      <c r="R111" s="106">
        <f>IF(OR(R$190,$A111),'Client Data'!R189,0)</f>
        <v>0</v>
      </c>
      <c r="S111" s="106">
        <f>IF(OR(S$190,$A111),'Client Data'!S189,0)</f>
        <v>0</v>
      </c>
      <c r="T111" s="106">
        <f>IF(OR(T$190,$A111),'Client Data'!T189,0)</f>
        <v>0</v>
      </c>
      <c r="U111" s="106">
        <f>IF(OR(U$190,$A111),'Client Data'!U189,0)</f>
        <v>0</v>
      </c>
      <c r="V111" s="106">
        <f>IF(OR(V$190,$A111),'Client Data'!V189,0)</f>
        <v>0</v>
      </c>
      <c r="W111" s="106">
        <f>IF(OR(W$190,$A111),'Client Data'!W189,0)</f>
        <v>0</v>
      </c>
      <c r="X111" s="106">
        <f>IF(OR(X$190,$A111),'Client Data'!X189,0)</f>
        <v>0</v>
      </c>
      <c r="Y111" s="106">
        <f>IF(OR(Y$190,$A111),'Client Data'!Y189,0)</f>
        <v>0</v>
      </c>
      <c r="Z111" s="106">
        <f>IF(OR(Z$190,$A111),'Client Data'!Z189,0)</f>
        <v>0</v>
      </c>
      <c r="AA111" s="106">
        <f>IF(OR(AA$190,$A111),'Client Data'!AA189,0)</f>
        <v>0</v>
      </c>
      <c r="AB111" s="106">
        <f>IF(OR(AB$190,$A111),'Client Data'!AB189,0)</f>
        <v>0</v>
      </c>
      <c r="AC111" s="106">
        <f>IF(OR(AC$190,$A111),'Client Data'!AC189,0)</f>
        <v>0</v>
      </c>
      <c r="AD111" s="106">
        <f>IF(OR(AD$190,$A111),'Client Data'!AD189,0)</f>
        <v>0</v>
      </c>
      <c r="AE111" s="106">
        <f>IF(OR(AE$190,$A111),'Client Data'!AE189,0)</f>
        <v>0</v>
      </c>
      <c r="AF111" s="106">
        <f>IF(OR(AF$190,$A111),'Client Data'!AF189,0)</f>
        <v>0</v>
      </c>
      <c r="AG111" s="106">
        <f>IF(OR(AG$190,$A111),'Client Data'!AG189,0)</f>
        <v>0</v>
      </c>
      <c r="AH111" s="106">
        <f>IF(OR(AH$190,$A111),'Client Data'!AH189,0)</f>
        <v>0</v>
      </c>
      <c r="AI111" s="106">
        <f>IF(OR(AI$190,$A111),'Client Data'!AI189,0)</f>
        <v>0</v>
      </c>
      <c r="AJ111" s="106">
        <f>IF(OR(AJ$190,$A111),'Client Data'!AJ189,0)</f>
        <v>0</v>
      </c>
      <c r="AK111" s="106">
        <f>IF(OR(AK$190,$A111),'Client Data'!AK189,0)</f>
        <v>0</v>
      </c>
      <c r="AL111" s="106">
        <f>IF(OR(AL$190,$A111),'Client Data'!AL189,0)</f>
        <v>0</v>
      </c>
      <c r="AM111" s="106">
        <f>IF(OR(AM$190,$A111),'Client Data'!AM189,0)</f>
        <v>0</v>
      </c>
      <c r="AN111" s="106">
        <f>IF(OR(AN$190,$A111),'Client Data'!AN189,0)</f>
        <v>0</v>
      </c>
      <c r="AO111" s="106">
        <f>IF(OR(AO$190,$A111),'Client Data'!AO189,0)</f>
        <v>0</v>
      </c>
      <c r="AP111" s="106">
        <f>IF(OR(AP$190,$A111),'Client Data'!AP189,0)</f>
        <v>0</v>
      </c>
      <c r="AQ111" s="106">
        <f>IF(OR(AQ$190,$A111),'Client Data'!AQ189,0)</f>
        <v>0</v>
      </c>
      <c r="AR111" s="106">
        <f>IF(OR(AR$190,$A111),'Client Data'!AR189,0)</f>
        <v>0</v>
      </c>
      <c r="AS111" s="106">
        <f>IF(OR(AS$190,$A111),'Client Data'!AS189,0)</f>
        <v>0</v>
      </c>
      <c r="AT111" s="106">
        <f>IF(OR(AT$190,$A111),'Client Data'!AT189,0)</f>
        <v>0</v>
      </c>
      <c r="AU111" s="106">
        <f>IF(OR(AU$190,$A111),'Client Data'!AU189,0)</f>
        <v>0</v>
      </c>
      <c r="AV111" s="106">
        <f>IF(OR(AV$190,$A111),'Client Data'!AV189,0)</f>
        <v>0</v>
      </c>
      <c r="AW111" s="106">
        <f>IF(OR(AW$190,$A111),'Client Data'!AW189,0)</f>
        <v>0</v>
      </c>
      <c r="AX111" s="106">
        <f>IF(OR(AX$190,$A111),'Client Data'!AX189,0)</f>
        <v>0</v>
      </c>
      <c r="AY111" s="106">
        <f>IF(OR(AY$190,$A111),'Client Data'!AY189,0)</f>
        <v>0</v>
      </c>
      <c r="AZ111" s="106">
        <f>IF(OR(AZ$190,$A111),'Client Data'!AZ189,0)</f>
        <v>0</v>
      </c>
      <c r="BA111" s="106">
        <f>IF(OR(BA$190,$A111),'Client Data'!BA189,0)</f>
        <v>0</v>
      </c>
      <c r="BB111" s="106">
        <f>IF(OR(BB$190,$A111),'Client Data'!BB189,0)</f>
        <v>0</v>
      </c>
      <c r="BC111" s="104">
        <f t="shared" si="59"/>
        <v>0</v>
      </c>
    </row>
    <row r="112" spans="1:56" x14ac:dyDescent="0.25">
      <c r="A112">
        <f t="shared" si="60"/>
        <v>1</v>
      </c>
      <c r="B112" s="104" t="str">
        <f>'Client Data'!B190</f>
        <v>DownTime F</v>
      </c>
      <c r="C112" s="106">
        <f>IF(OR(C$190,$A112),'Client Data'!C190,0)</f>
        <v>0</v>
      </c>
      <c r="D112" s="106">
        <f>IF(OR(D$190,$A112),'Client Data'!D190,0)</f>
        <v>0</v>
      </c>
      <c r="E112" s="106">
        <f>IF(OR(E$190,$A112),'Client Data'!E190,0)</f>
        <v>0</v>
      </c>
      <c r="F112" s="106">
        <f>IF(OR(F$190,$A112),'Client Data'!F190,0)</f>
        <v>0</v>
      </c>
      <c r="G112" s="106">
        <f>IF(OR(G$190,$A112),'Client Data'!G190,0)</f>
        <v>0</v>
      </c>
      <c r="H112" s="106">
        <f>IF(OR(H$190,$A112),'Client Data'!H190,0)</f>
        <v>0</v>
      </c>
      <c r="I112" s="106">
        <f>IF(OR(I$190,$A112),'Client Data'!I190,0)</f>
        <v>0</v>
      </c>
      <c r="J112" s="106">
        <f>IF(OR(J$190,$A112),'Client Data'!J190,0)</f>
        <v>0</v>
      </c>
      <c r="K112" s="106">
        <f>IF(OR(K$190,$A112),'Client Data'!K190,0)</f>
        <v>0</v>
      </c>
      <c r="L112" s="106">
        <f>IF(OR(L$190,$A112),'Client Data'!L190,0)</f>
        <v>0</v>
      </c>
      <c r="M112" s="106">
        <f>IF(OR(M$190,$A112),'Client Data'!M190,0)</f>
        <v>0</v>
      </c>
      <c r="N112" s="106">
        <f>IF(OR(N$190,$A112),'Client Data'!N190,0)</f>
        <v>0</v>
      </c>
      <c r="O112" s="106">
        <f>IF(OR(O$190,$A112),'Client Data'!O190,0)</f>
        <v>0</v>
      </c>
      <c r="P112" s="106">
        <f>IF(OR(P$190,$A112),'Client Data'!P190,0)</f>
        <v>0</v>
      </c>
      <c r="Q112" s="106">
        <f>IF(OR(Q$190,$A112),'Client Data'!Q190,0)</f>
        <v>0</v>
      </c>
      <c r="R112" s="106">
        <f>IF(OR(R$190,$A112),'Client Data'!R190,0)</f>
        <v>0</v>
      </c>
      <c r="S112" s="106">
        <f>IF(OR(S$190,$A112),'Client Data'!S190,0)</f>
        <v>0</v>
      </c>
      <c r="T112" s="106">
        <f>IF(OR(T$190,$A112),'Client Data'!T190,0)</f>
        <v>0</v>
      </c>
      <c r="U112" s="106">
        <f>IF(OR(U$190,$A112),'Client Data'!U190,0)</f>
        <v>0</v>
      </c>
      <c r="V112" s="106">
        <f>IF(OR(V$190,$A112),'Client Data'!V190,0)</f>
        <v>0</v>
      </c>
      <c r="W112" s="106">
        <f>IF(OR(W$190,$A112),'Client Data'!W190,0)</f>
        <v>0</v>
      </c>
      <c r="X112" s="106">
        <f>IF(OR(X$190,$A112),'Client Data'!X190,0)</f>
        <v>0</v>
      </c>
      <c r="Y112" s="106">
        <f>IF(OR(Y$190,$A112),'Client Data'!Y190,0)</f>
        <v>0</v>
      </c>
      <c r="Z112" s="106">
        <f>IF(OR(Z$190,$A112),'Client Data'!Z190,0)</f>
        <v>0</v>
      </c>
      <c r="AA112" s="106">
        <f>IF(OR(AA$190,$A112),'Client Data'!AA190,0)</f>
        <v>0</v>
      </c>
      <c r="AB112" s="106">
        <f>IF(OR(AB$190,$A112),'Client Data'!AB190,0)</f>
        <v>0</v>
      </c>
      <c r="AC112" s="106">
        <f>IF(OR(AC$190,$A112),'Client Data'!AC190,0)</f>
        <v>0</v>
      </c>
      <c r="AD112" s="106">
        <f>IF(OR(AD$190,$A112),'Client Data'!AD190,0)</f>
        <v>0</v>
      </c>
      <c r="AE112" s="106">
        <f>IF(OR(AE$190,$A112),'Client Data'!AE190,0)</f>
        <v>0</v>
      </c>
      <c r="AF112" s="106">
        <f>IF(OR(AF$190,$A112),'Client Data'!AF190,0)</f>
        <v>0</v>
      </c>
      <c r="AG112" s="106">
        <f>IF(OR(AG$190,$A112),'Client Data'!AG190,0)</f>
        <v>0</v>
      </c>
      <c r="AH112" s="106">
        <f>IF(OR(AH$190,$A112),'Client Data'!AH190,0)</f>
        <v>0</v>
      </c>
      <c r="AI112" s="106">
        <f>IF(OR(AI$190,$A112),'Client Data'!AI190,0)</f>
        <v>0</v>
      </c>
      <c r="AJ112" s="106">
        <f>IF(OR(AJ$190,$A112),'Client Data'!AJ190,0)</f>
        <v>0</v>
      </c>
      <c r="AK112" s="106">
        <f>IF(OR(AK$190,$A112),'Client Data'!AK190,0)</f>
        <v>0</v>
      </c>
      <c r="AL112" s="106">
        <f>IF(OR(AL$190,$A112),'Client Data'!AL190,0)</f>
        <v>0</v>
      </c>
      <c r="AM112" s="106">
        <f>IF(OR(AM$190,$A112),'Client Data'!AM190,0)</f>
        <v>0</v>
      </c>
      <c r="AN112" s="106">
        <f>IF(OR(AN$190,$A112),'Client Data'!AN190,0)</f>
        <v>0</v>
      </c>
      <c r="AO112" s="106">
        <f>IF(OR(AO$190,$A112),'Client Data'!AO190,0)</f>
        <v>0</v>
      </c>
      <c r="AP112" s="106">
        <f>IF(OR(AP$190,$A112),'Client Data'!AP190,0)</f>
        <v>0</v>
      </c>
      <c r="AQ112" s="106">
        <f>IF(OR(AQ$190,$A112),'Client Data'!AQ190,0)</f>
        <v>0</v>
      </c>
      <c r="AR112" s="106">
        <f>IF(OR(AR$190,$A112),'Client Data'!AR190,0)</f>
        <v>0</v>
      </c>
      <c r="AS112" s="106">
        <f>IF(OR(AS$190,$A112),'Client Data'!AS190,0)</f>
        <v>0</v>
      </c>
      <c r="AT112" s="106">
        <f>IF(OR(AT$190,$A112),'Client Data'!AT190,0)</f>
        <v>0</v>
      </c>
      <c r="AU112" s="106">
        <f>IF(OR(AU$190,$A112),'Client Data'!AU190,0)</f>
        <v>0</v>
      </c>
      <c r="AV112" s="106">
        <f>IF(OR(AV$190,$A112),'Client Data'!AV190,0)</f>
        <v>0</v>
      </c>
      <c r="AW112" s="106">
        <f>IF(OR(AW$190,$A112),'Client Data'!AW190,0)</f>
        <v>0</v>
      </c>
      <c r="AX112" s="106">
        <f>IF(OR(AX$190,$A112),'Client Data'!AX190,0)</f>
        <v>0</v>
      </c>
      <c r="AY112" s="106">
        <f>IF(OR(AY$190,$A112),'Client Data'!AY190,0)</f>
        <v>0</v>
      </c>
      <c r="AZ112" s="106">
        <f>IF(OR(AZ$190,$A112),'Client Data'!AZ190,0)</f>
        <v>0</v>
      </c>
      <c r="BA112" s="106">
        <f>IF(OR(BA$190,$A112),'Client Data'!BA190,0)</f>
        <v>0</v>
      </c>
      <c r="BB112" s="106">
        <f>IF(OR(BB$190,$A112),'Client Data'!BB190,0)</f>
        <v>0</v>
      </c>
      <c r="BC112" s="104">
        <f t="shared" si="59"/>
        <v>0</v>
      </c>
    </row>
    <row r="113" spans="1:55" x14ac:dyDescent="0.25">
      <c r="A113">
        <f>A106-1</f>
        <v>7</v>
      </c>
      <c r="B113" s="105" t="str">
        <f>'Client Data'!B191</f>
        <v>Tool USDT B (Hour)</v>
      </c>
      <c r="C113" s="105">
        <f t="shared" ref="C113:AH113" si="61">IF(OR(C$190&gt;0,$A113),SUM(C114:C119),0)</f>
        <v>0.5</v>
      </c>
      <c r="D113" s="105">
        <f t="shared" si="61"/>
        <v>0.3</v>
      </c>
      <c r="E113" s="105">
        <f t="shared" si="61"/>
        <v>0.6</v>
      </c>
      <c r="F113" s="105">
        <f t="shared" si="61"/>
        <v>0.3</v>
      </c>
      <c r="G113" s="105">
        <f t="shared" si="61"/>
        <v>0.4</v>
      </c>
      <c r="H113" s="105">
        <f t="shared" si="61"/>
        <v>0.4</v>
      </c>
      <c r="I113" s="105">
        <f t="shared" si="61"/>
        <v>0.5</v>
      </c>
      <c r="J113" s="105">
        <f t="shared" si="61"/>
        <v>0.3</v>
      </c>
      <c r="K113" s="105">
        <f t="shared" si="61"/>
        <v>0.6</v>
      </c>
      <c r="L113" s="105">
        <f t="shared" si="61"/>
        <v>0.3</v>
      </c>
      <c r="M113" s="105">
        <f t="shared" si="61"/>
        <v>0.4</v>
      </c>
      <c r="N113" s="105">
        <f t="shared" si="61"/>
        <v>0.5</v>
      </c>
      <c r="O113" s="105">
        <f t="shared" si="61"/>
        <v>0.3</v>
      </c>
      <c r="P113" s="105">
        <f t="shared" si="61"/>
        <v>0.6</v>
      </c>
      <c r="Q113" s="105">
        <f t="shared" si="61"/>
        <v>0.3</v>
      </c>
      <c r="R113" s="105">
        <f t="shared" si="61"/>
        <v>0.4</v>
      </c>
      <c r="S113" s="105">
        <f t="shared" si="61"/>
        <v>0.4</v>
      </c>
      <c r="T113" s="105">
        <f t="shared" si="61"/>
        <v>0.5</v>
      </c>
      <c r="U113" s="105">
        <f t="shared" si="61"/>
        <v>0.3</v>
      </c>
      <c r="V113" s="105">
        <f t="shared" si="61"/>
        <v>0.6</v>
      </c>
      <c r="W113" s="105">
        <f t="shared" si="61"/>
        <v>0.3</v>
      </c>
      <c r="X113" s="105">
        <f t="shared" si="61"/>
        <v>0.4</v>
      </c>
      <c r="Y113" s="105">
        <f t="shared" si="61"/>
        <v>0.5</v>
      </c>
      <c r="Z113" s="105">
        <f t="shared" si="61"/>
        <v>0.3</v>
      </c>
      <c r="AA113" s="105">
        <f t="shared" si="61"/>
        <v>0.6</v>
      </c>
      <c r="AB113" s="105">
        <f t="shared" si="61"/>
        <v>0.3</v>
      </c>
      <c r="AC113" s="105">
        <f t="shared" si="61"/>
        <v>0.4</v>
      </c>
      <c r="AD113" s="105">
        <f t="shared" si="61"/>
        <v>0.4</v>
      </c>
      <c r="AE113" s="105">
        <f t="shared" si="61"/>
        <v>0.5</v>
      </c>
      <c r="AF113" s="105">
        <f t="shared" si="61"/>
        <v>0.3</v>
      </c>
      <c r="AG113" s="105">
        <f t="shared" si="61"/>
        <v>0.6</v>
      </c>
      <c r="AH113" s="105">
        <f t="shared" si="61"/>
        <v>0.3</v>
      </c>
      <c r="AI113" s="105">
        <f t="shared" ref="AI113:BB113" si="62">IF(OR(AI$190&gt;0,$A113),SUM(AI114:AI119),0)</f>
        <v>0.4</v>
      </c>
      <c r="AJ113" s="105">
        <f t="shared" si="62"/>
        <v>0.4</v>
      </c>
      <c r="AK113" s="105">
        <f t="shared" si="62"/>
        <v>0.4</v>
      </c>
      <c r="AL113" s="105">
        <f t="shared" si="62"/>
        <v>0.5</v>
      </c>
      <c r="AM113" s="105">
        <f t="shared" si="62"/>
        <v>0.3</v>
      </c>
      <c r="AN113" s="105">
        <f t="shared" si="62"/>
        <v>0.4</v>
      </c>
      <c r="AO113" s="105">
        <f t="shared" si="62"/>
        <v>0.5</v>
      </c>
      <c r="AP113" s="105">
        <f t="shared" si="62"/>
        <v>0.3</v>
      </c>
      <c r="AQ113" s="105">
        <f t="shared" si="62"/>
        <v>0.6</v>
      </c>
      <c r="AR113" s="105">
        <f t="shared" si="62"/>
        <v>0.3</v>
      </c>
      <c r="AS113" s="105">
        <f t="shared" si="62"/>
        <v>0.4</v>
      </c>
      <c r="AT113" s="105">
        <f t="shared" si="62"/>
        <v>0.4</v>
      </c>
      <c r="AU113" s="105">
        <f t="shared" si="62"/>
        <v>0.4</v>
      </c>
      <c r="AV113" s="105">
        <f t="shared" si="62"/>
        <v>0.4</v>
      </c>
      <c r="AW113" s="105">
        <f t="shared" si="62"/>
        <v>0.4</v>
      </c>
      <c r="AX113" s="105">
        <f t="shared" si="62"/>
        <v>0.4</v>
      </c>
      <c r="AY113" s="105">
        <f t="shared" si="62"/>
        <v>0.7</v>
      </c>
      <c r="AZ113" s="105">
        <f t="shared" si="62"/>
        <v>0.4</v>
      </c>
      <c r="BA113" s="105">
        <f t="shared" si="62"/>
        <v>0.4</v>
      </c>
      <c r="BB113" s="105">
        <f t="shared" si="62"/>
        <v>0.2</v>
      </c>
      <c r="BC113" s="105">
        <f t="shared" si="59"/>
        <v>21.599999999999994</v>
      </c>
    </row>
    <row r="114" spans="1:55" x14ac:dyDescent="0.25">
      <c r="A114">
        <f>IF(A$113&gt;0,A107,0)</f>
        <v>6</v>
      </c>
      <c r="B114" s="104" t="str">
        <f>'Client Data'!B192</f>
        <v>DownTime A</v>
      </c>
      <c r="C114" s="106">
        <f>IF(OR(C$190,$A114),'Client Data'!C192,0)</f>
        <v>0</v>
      </c>
      <c r="D114" s="106">
        <f>IF(OR(D$190,$A114),'Client Data'!D192,0)</f>
        <v>0</v>
      </c>
      <c r="E114" s="106">
        <f>IF(OR(E$190,$A114),'Client Data'!E192,0)</f>
        <v>0</v>
      </c>
      <c r="F114" s="106">
        <f>IF(OR(F$190,$A114),'Client Data'!F192,0)</f>
        <v>0</v>
      </c>
      <c r="G114" s="106">
        <f>IF(OR(G$190,$A114),'Client Data'!G192,0)</f>
        <v>0</v>
      </c>
      <c r="H114" s="106">
        <f>IF(OR(H$190,$A114),'Client Data'!H192,0)</f>
        <v>0</v>
      </c>
      <c r="I114" s="106">
        <f>IF(OR(I$190,$A114),'Client Data'!I192,0)</f>
        <v>0</v>
      </c>
      <c r="J114" s="106">
        <f>IF(OR(J$190,$A114),'Client Data'!J192,0)</f>
        <v>0</v>
      </c>
      <c r="K114" s="106">
        <f>IF(OR(K$190,$A114),'Client Data'!K192,0)</f>
        <v>0</v>
      </c>
      <c r="L114" s="106">
        <f>IF(OR(L$190,$A114),'Client Data'!L192,0)</f>
        <v>0</v>
      </c>
      <c r="M114" s="106">
        <f>IF(OR(M$190,$A114),'Client Data'!M192,0)</f>
        <v>0</v>
      </c>
      <c r="N114" s="106">
        <f>IF(OR(N$190,$A114),'Client Data'!N192,0)</f>
        <v>0</v>
      </c>
      <c r="O114" s="106">
        <f>IF(OR(O$190,$A114),'Client Data'!O192,0)</f>
        <v>0</v>
      </c>
      <c r="P114" s="106">
        <f>IF(OR(P$190,$A114),'Client Data'!P192,0)</f>
        <v>0</v>
      </c>
      <c r="Q114" s="106">
        <f>IF(OR(Q$190,$A114),'Client Data'!Q192,0)</f>
        <v>0</v>
      </c>
      <c r="R114" s="106">
        <f>IF(OR(R$190,$A114),'Client Data'!R192,0)</f>
        <v>0</v>
      </c>
      <c r="S114" s="106">
        <f>IF(OR(S$190,$A114),'Client Data'!S192,0)</f>
        <v>0</v>
      </c>
      <c r="T114" s="106">
        <f>IF(OR(T$190,$A114),'Client Data'!T192,0)</f>
        <v>0</v>
      </c>
      <c r="U114" s="106">
        <f>IF(OR(U$190,$A114),'Client Data'!U192,0)</f>
        <v>0</v>
      </c>
      <c r="V114" s="106">
        <f>IF(OR(V$190,$A114),'Client Data'!V192,0)</f>
        <v>0</v>
      </c>
      <c r="W114" s="106">
        <f>IF(OR(W$190,$A114),'Client Data'!W192,0)</f>
        <v>0</v>
      </c>
      <c r="X114" s="106">
        <f>IF(OR(X$190,$A114),'Client Data'!X192,0)</f>
        <v>0</v>
      </c>
      <c r="Y114" s="106">
        <f>IF(OR(Y$190,$A114),'Client Data'!Y192,0)</f>
        <v>0</v>
      </c>
      <c r="Z114" s="106">
        <f>IF(OR(Z$190,$A114),'Client Data'!Z192,0)</f>
        <v>0</v>
      </c>
      <c r="AA114" s="106">
        <f>IF(OR(AA$190,$A114),'Client Data'!AA192,0)</f>
        <v>0</v>
      </c>
      <c r="AB114" s="106">
        <f>IF(OR(AB$190,$A114),'Client Data'!AB192,0)</f>
        <v>0</v>
      </c>
      <c r="AC114" s="106">
        <f>IF(OR(AC$190,$A114),'Client Data'!AC192,0)</f>
        <v>0</v>
      </c>
      <c r="AD114" s="106">
        <f>IF(OR(AD$190,$A114),'Client Data'!AD192,0)</f>
        <v>0</v>
      </c>
      <c r="AE114" s="106">
        <f>IF(OR(AE$190,$A114),'Client Data'!AE192,0)</f>
        <v>0</v>
      </c>
      <c r="AF114" s="106">
        <f>IF(OR(AF$190,$A114),'Client Data'!AF192,0)</f>
        <v>0</v>
      </c>
      <c r="AG114" s="106">
        <f>IF(OR(AG$190,$A114),'Client Data'!AG192,0)</f>
        <v>0</v>
      </c>
      <c r="AH114" s="106">
        <f>IF(OR(AH$190,$A114),'Client Data'!AH192,0)</f>
        <v>0</v>
      </c>
      <c r="AI114" s="106">
        <f>IF(OR(AI$190,$A114),'Client Data'!AI192,0)</f>
        <v>0</v>
      </c>
      <c r="AJ114" s="106">
        <f>IF(OR(AJ$190,$A114),'Client Data'!AJ192,0)</f>
        <v>0</v>
      </c>
      <c r="AK114" s="106">
        <f>IF(OR(AK$190,$A114),'Client Data'!AK192,0)</f>
        <v>0</v>
      </c>
      <c r="AL114" s="106">
        <f>IF(OR(AL$190,$A114),'Client Data'!AL192,0)</f>
        <v>0</v>
      </c>
      <c r="AM114" s="106">
        <f>IF(OR(AM$190,$A114),'Client Data'!AM192,0)</f>
        <v>0</v>
      </c>
      <c r="AN114" s="106">
        <f>IF(OR(AN$190,$A114),'Client Data'!AN192,0)</f>
        <v>0</v>
      </c>
      <c r="AO114" s="106">
        <f>IF(OR(AO$190,$A114),'Client Data'!AO192,0)</f>
        <v>0</v>
      </c>
      <c r="AP114" s="106">
        <f>IF(OR(AP$190,$A114),'Client Data'!AP192,0)</f>
        <v>0</v>
      </c>
      <c r="AQ114" s="106">
        <f>IF(OR(AQ$190,$A114),'Client Data'!AQ192,0)</f>
        <v>0</v>
      </c>
      <c r="AR114" s="106">
        <f>'Client Data'!AR192</f>
        <v>0</v>
      </c>
      <c r="AS114" s="106">
        <f>IF(OR(AS$190,$A114),'Client Data'!AS192,0)</f>
        <v>0</v>
      </c>
      <c r="AT114" s="106">
        <f>IF(OR(AT$190,$A114),'Client Data'!AT192,0)</f>
        <v>0</v>
      </c>
      <c r="AU114" s="106">
        <f>IF(OR(AU$190,$A114),'Client Data'!AU192,0)</f>
        <v>0</v>
      </c>
      <c r="AV114" s="106">
        <f>IF(OR(AV$190,$A114),'Client Data'!AV192,0)</f>
        <v>0</v>
      </c>
      <c r="AW114" s="106">
        <f>IF(OR(AW$190,$A114),'Client Data'!AW192,0)</f>
        <v>0</v>
      </c>
      <c r="AX114" s="106">
        <f>IF(OR(AX$190,$A114),'Client Data'!AX192,0)</f>
        <v>0</v>
      </c>
      <c r="AY114" s="106">
        <f>IF(OR(AY$190,$A114),'Client Data'!AY192,0)</f>
        <v>0</v>
      </c>
      <c r="AZ114" s="106">
        <f>IF(OR(AZ$190,$A114),'Client Data'!AZ192,0)</f>
        <v>0</v>
      </c>
      <c r="BA114" s="106">
        <f>IF(OR(BA$190,$A114),'Client Data'!BA192,0)</f>
        <v>0</v>
      </c>
      <c r="BB114" s="106">
        <f>IF(OR(BB$190,$A114),'Client Data'!BB192,0)</f>
        <v>0</v>
      </c>
      <c r="BC114" s="104">
        <f t="shared" si="59"/>
        <v>0</v>
      </c>
    </row>
    <row r="115" spans="1:55" x14ac:dyDescent="0.25">
      <c r="A115">
        <f>IF(A$113&gt;0,A114-1,0)</f>
        <v>5</v>
      </c>
      <c r="B115" s="104" t="str">
        <f>'Client Data'!B193</f>
        <v>DownTime B</v>
      </c>
      <c r="C115" s="106">
        <f>IF(OR(C$190,$A115),'Client Data'!C193,0)</f>
        <v>0.5</v>
      </c>
      <c r="D115" s="106">
        <f>IF(OR(D$190,$A115),'Client Data'!D193,0)</f>
        <v>0.3</v>
      </c>
      <c r="E115" s="106">
        <f>IF(OR(E$190,$A115),'Client Data'!E193,0)</f>
        <v>0.6</v>
      </c>
      <c r="F115" s="106">
        <f>IF(OR(F$190,$A115),'Client Data'!F193,0)</f>
        <v>0.3</v>
      </c>
      <c r="G115" s="106">
        <f>IF(OR(G$190,$A115),'Client Data'!G193,0)</f>
        <v>0.4</v>
      </c>
      <c r="H115" s="106">
        <f>IF(OR(H$190,$A115),'Client Data'!H193,0)</f>
        <v>0.4</v>
      </c>
      <c r="I115" s="106">
        <f>IF(OR(I$190,$A115),'Client Data'!I193,0)</f>
        <v>0.5</v>
      </c>
      <c r="J115" s="106">
        <f>IF(OR(J$190,$A115),'Client Data'!J193,0)</f>
        <v>0.3</v>
      </c>
      <c r="K115" s="106">
        <f>IF(OR(K$190,$A115),'Client Data'!K193,0)</f>
        <v>0.6</v>
      </c>
      <c r="L115" s="106">
        <f>IF(OR(L$190,$A115),'Client Data'!L193,0)</f>
        <v>0.3</v>
      </c>
      <c r="M115" s="106">
        <f>IF(OR(M$190,$A115),'Client Data'!M193,0)</f>
        <v>0.4</v>
      </c>
      <c r="N115" s="106">
        <f>IF(OR(N$190,$A115),'Client Data'!N193,0)</f>
        <v>0.5</v>
      </c>
      <c r="O115" s="106">
        <f>IF(OR(O$190,$A115),'Client Data'!O193,0)</f>
        <v>0.3</v>
      </c>
      <c r="P115" s="106">
        <f>IF(OR(P$190,$A115),'Client Data'!P193,0)</f>
        <v>0.6</v>
      </c>
      <c r="Q115" s="106">
        <f>IF(OR(Q$190,$A115),'Client Data'!Q193,0)</f>
        <v>0.3</v>
      </c>
      <c r="R115" s="106">
        <f>IF(OR(R$190,$A115),'Client Data'!R193,0)</f>
        <v>0.4</v>
      </c>
      <c r="S115" s="106">
        <f>IF(OR(S$190,$A115),'Client Data'!S193,0)</f>
        <v>0.4</v>
      </c>
      <c r="T115" s="106">
        <f>IF(OR(T$190,$A115),'Client Data'!T193,0)</f>
        <v>0.5</v>
      </c>
      <c r="U115" s="106">
        <f>IF(OR(U$190,$A115),'Client Data'!U193,0)</f>
        <v>0.3</v>
      </c>
      <c r="V115" s="106">
        <f>IF(OR(V$190,$A115),'Client Data'!V193,0)</f>
        <v>0.6</v>
      </c>
      <c r="W115" s="106">
        <f>IF(OR(W$190,$A115),'Client Data'!W193,0)</f>
        <v>0.3</v>
      </c>
      <c r="X115" s="106">
        <f>IF(OR(X$190,$A115),'Client Data'!X193,0)</f>
        <v>0.4</v>
      </c>
      <c r="Y115" s="106">
        <f>IF(OR(Y$190,$A115),'Client Data'!Y193,0)</f>
        <v>0.5</v>
      </c>
      <c r="Z115" s="106">
        <f>IF(OR(Z$190,$A115),'Client Data'!Z193,0)</f>
        <v>0.3</v>
      </c>
      <c r="AA115" s="106">
        <f>IF(OR(AA$190,$A115),'Client Data'!AA193,0)</f>
        <v>0.6</v>
      </c>
      <c r="AB115" s="106">
        <f>IF(OR(AB$190,$A115),'Client Data'!AB193,0)</f>
        <v>0.3</v>
      </c>
      <c r="AC115" s="106">
        <f>IF(OR(AC$190,$A115),'Client Data'!AC193,0)</f>
        <v>0.4</v>
      </c>
      <c r="AD115" s="106">
        <f>IF(OR(AD$190,$A115),'Client Data'!AD193,0)</f>
        <v>0.4</v>
      </c>
      <c r="AE115" s="106">
        <f>IF(OR(AE$190,$A115),'Client Data'!AE193,0)</f>
        <v>0.5</v>
      </c>
      <c r="AF115" s="106">
        <f>IF(OR(AF$190,$A115),'Client Data'!AF193,0)</f>
        <v>0.3</v>
      </c>
      <c r="AG115" s="106">
        <f>IF(OR(AG$190,$A115),'Client Data'!AG193,0)</f>
        <v>0.6</v>
      </c>
      <c r="AH115" s="106">
        <f>IF(OR(AH$190,$A115),'Client Data'!AH193,0)</f>
        <v>0.3</v>
      </c>
      <c r="AI115" s="106">
        <f>IF(OR(AI$190,$A115),'Client Data'!AI193,0)</f>
        <v>0.4</v>
      </c>
      <c r="AJ115" s="106">
        <f>IF(OR(AJ$190,$A115),'Client Data'!AJ193,0)</f>
        <v>0.4</v>
      </c>
      <c r="AK115" s="106">
        <f>IF(OR(AK$190,$A115),'Client Data'!AK193,0)</f>
        <v>0.4</v>
      </c>
      <c r="AL115" s="106">
        <f>IF(OR(AL$190,$A115),'Client Data'!AL193,0)</f>
        <v>0.5</v>
      </c>
      <c r="AM115" s="106">
        <f>IF(OR(AM$190,$A115),'Client Data'!AM193,0)</f>
        <v>0.3</v>
      </c>
      <c r="AN115" s="106">
        <f>IF(OR(AN$190,$A115),'Client Data'!AN193,0)</f>
        <v>0.4</v>
      </c>
      <c r="AO115" s="106">
        <f>IF(OR(AO$190,$A115),'Client Data'!AO193,0)</f>
        <v>0.5</v>
      </c>
      <c r="AP115" s="106">
        <f>IF(OR(AP$190,$A115),'Client Data'!AP193,0)</f>
        <v>0.3</v>
      </c>
      <c r="AQ115" s="106">
        <f>IF(OR(AQ$190,$A115),'Client Data'!AQ193,0)</f>
        <v>0.6</v>
      </c>
      <c r="AR115" s="106">
        <f>IF(OR(AR$190,$A115),'Client Data'!AR193,0)</f>
        <v>0.3</v>
      </c>
      <c r="AS115" s="106">
        <f>IF(OR(AS$190,$A115),'Client Data'!AS193,0)</f>
        <v>0.4</v>
      </c>
      <c r="AT115" s="106">
        <f>IF(OR(AT$190,$A115),'Client Data'!AT193,0)</f>
        <v>0.4</v>
      </c>
      <c r="AU115" s="106">
        <f>IF(OR(AU$190,$A115),'Client Data'!AU193,0)</f>
        <v>0.4</v>
      </c>
      <c r="AV115" s="106">
        <f>IF(OR(AV$190,$A115),'Client Data'!AV193,0)</f>
        <v>0.4</v>
      </c>
      <c r="AW115" s="106">
        <f>IF(OR(AW$190,$A115),'Client Data'!AW193,0)</f>
        <v>0.4</v>
      </c>
      <c r="AX115" s="106">
        <f>IF(OR(AX$190,$A115),'Client Data'!AX193,0)</f>
        <v>0.4</v>
      </c>
      <c r="AY115" s="106">
        <f>IF(OR(AY$190,$A115),'Client Data'!AY193,0)</f>
        <v>0.7</v>
      </c>
      <c r="AZ115" s="106">
        <f>IF(OR(AZ$190,$A115),'Client Data'!AZ193,0)</f>
        <v>0.4</v>
      </c>
      <c r="BA115" s="106">
        <f>IF(OR(BA$190,$A115),'Client Data'!BA193,0)</f>
        <v>0.4</v>
      </c>
      <c r="BB115" s="106">
        <f>IF(OR(BB$190,$A115),'Client Data'!BB193,0)</f>
        <v>0.2</v>
      </c>
      <c r="BC115" s="104">
        <f t="shared" si="59"/>
        <v>21.599999999999994</v>
      </c>
    </row>
    <row r="116" spans="1:55" x14ac:dyDescent="0.25">
      <c r="A116">
        <f t="shared" ref="A116:A119" si="63">IF(A$113&gt;0,A115-1,0)</f>
        <v>4</v>
      </c>
      <c r="B116" s="104" t="str">
        <f>'Client Data'!B194</f>
        <v>DownTime C</v>
      </c>
      <c r="C116" s="106">
        <f>IF(OR(C$190,$A116),'Client Data'!C194,0)</f>
        <v>0</v>
      </c>
      <c r="D116" s="106">
        <f>IF(OR(D$190,$A116),'Client Data'!D194,0)</f>
        <v>0</v>
      </c>
      <c r="E116" s="106">
        <f>IF(OR(E$190,$A116),'Client Data'!E194,0)</f>
        <v>0</v>
      </c>
      <c r="F116" s="106">
        <f>IF(OR(F$190,$A116),'Client Data'!F194,0)</f>
        <v>0</v>
      </c>
      <c r="G116" s="106">
        <f>IF(OR(G$190,$A116),'Client Data'!G194,0)</f>
        <v>0</v>
      </c>
      <c r="H116" s="106">
        <f>IF(OR(H$190,$A116),'Client Data'!H194,0)</f>
        <v>0</v>
      </c>
      <c r="I116" s="106">
        <f>IF(OR(I$190,$A116),'Client Data'!I194,0)</f>
        <v>0</v>
      </c>
      <c r="J116" s="106">
        <f>IF(OR(J$190,$A116),'Client Data'!J194,0)</f>
        <v>0</v>
      </c>
      <c r="K116" s="106">
        <f>IF(OR(K$190,$A116),'Client Data'!K194,0)</f>
        <v>0</v>
      </c>
      <c r="L116" s="106">
        <f>IF(OR(L$190,$A116),'Client Data'!L194,0)</f>
        <v>0</v>
      </c>
      <c r="M116" s="106">
        <f>IF(OR(M$190,$A116),'Client Data'!M194,0)</f>
        <v>0</v>
      </c>
      <c r="N116" s="106">
        <f>IF(OR(N$190,$A116),'Client Data'!N194,0)</f>
        <v>0</v>
      </c>
      <c r="O116" s="106">
        <f>IF(OR(O$190,$A116),'Client Data'!O194,0)</f>
        <v>0</v>
      </c>
      <c r="P116" s="106">
        <f>IF(OR(P$190,$A116),'Client Data'!P194,0)</f>
        <v>0</v>
      </c>
      <c r="Q116" s="106">
        <f>IF(OR(Q$190,$A116),'Client Data'!Q194,0)</f>
        <v>0</v>
      </c>
      <c r="R116" s="106">
        <f>IF(OR(R$190,$A116),'Client Data'!R194,0)</f>
        <v>0</v>
      </c>
      <c r="S116" s="106">
        <f>IF(OR(S$190,$A116),'Client Data'!S194,0)</f>
        <v>0</v>
      </c>
      <c r="T116" s="106">
        <f>IF(OR(T$190,$A116),'Client Data'!T194,0)</f>
        <v>0</v>
      </c>
      <c r="U116" s="106">
        <f>IF(OR(U$190,$A116),'Client Data'!U194,0)</f>
        <v>0</v>
      </c>
      <c r="V116" s="106">
        <f>IF(OR(V$190,$A116),'Client Data'!V194,0)</f>
        <v>0</v>
      </c>
      <c r="W116" s="106">
        <f>IF(OR(W$190,$A116),'Client Data'!W194,0)</f>
        <v>0</v>
      </c>
      <c r="X116" s="106">
        <f>IF(OR(X$190,$A116),'Client Data'!X194,0)</f>
        <v>0</v>
      </c>
      <c r="Y116" s="106">
        <f>IF(OR(Y$190,$A116),'Client Data'!Y194,0)</f>
        <v>0</v>
      </c>
      <c r="Z116" s="106">
        <f>IF(OR(Z$190,$A116),'Client Data'!Z194,0)</f>
        <v>0</v>
      </c>
      <c r="AA116" s="106">
        <f>IF(OR(AA$190,$A116),'Client Data'!AA194,0)</f>
        <v>0</v>
      </c>
      <c r="AB116" s="106">
        <f>IF(OR(AB$190,$A116),'Client Data'!AB194,0)</f>
        <v>0</v>
      </c>
      <c r="AC116" s="106">
        <f>IF(OR(AC$190,$A116),'Client Data'!AC194,0)</f>
        <v>0</v>
      </c>
      <c r="AD116" s="106">
        <f>IF(OR(AD$190,$A116),'Client Data'!AD194,0)</f>
        <v>0</v>
      </c>
      <c r="AE116" s="106">
        <f>IF(OR(AE$190,$A116),'Client Data'!AE194,0)</f>
        <v>0</v>
      </c>
      <c r="AF116" s="106">
        <f>IF(OR(AF$190,$A116),'Client Data'!AF194,0)</f>
        <v>0</v>
      </c>
      <c r="AG116" s="106">
        <f>IF(OR(AG$190,$A116),'Client Data'!AG194,0)</f>
        <v>0</v>
      </c>
      <c r="AH116" s="106">
        <f>IF(OR(AH$190,$A116),'Client Data'!AH194,0)</f>
        <v>0</v>
      </c>
      <c r="AI116" s="106">
        <f>IF(OR(AI$190,$A116),'Client Data'!AI194,0)</f>
        <v>0</v>
      </c>
      <c r="AJ116" s="106">
        <f>IF(OR(AJ$190,$A116),'Client Data'!AJ194,0)</f>
        <v>0</v>
      </c>
      <c r="AK116" s="106">
        <f>IF(OR(AK$190,$A116),'Client Data'!AK194,0)</f>
        <v>0</v>
      </c>
      <c r="AL116" s="106">
        <f>IF(OR(AL$190,$A116),'Client Data'!AL194,0)</f>
        <v>0</v>
      </c>
      <c r="AM116" s="106">
        <f>IF(OR(AM$190,$A116),'Client Data'!AM194,0)</f>
        <v>0</v>
      </c>
      <c r="AN116" s="106">
        <f>IF(OR(AN$190,$A116),'Client Data'!AN194,0)</f>
        <v>0</v>
      </c>
      <c r="AO116" s="106">
        <f>IF(OR(AO$190,$A116),'Client Data'!AO194,0)</f>
        <v>0</v>
      </c>
      <c r="AP116" s="106">
        <f>IF(OR(AP$190,$A116),'Client Data'!AP194,0)</f>
        <v>0</v>
      </c>
      <c r="AQ116" s="106">
        <f>IF(OR(AQ$190,$A116),'Client Data'!AQ194,0)</f>
        <v>0</v>
      </c>
      <c r="AR116" s="106">
        <f>IF(OR(AR$190,$A116),'Client Data'!AR194,0)</f>
        <v>0</v>
      </c>
      <c r="AS116" s="106">
        <f>IF(OR(AS$190,$A116),'Client Data'!AS194,0)</f>
        <v>0</v>
      </c>
      <c r="AT116" s="106">
        <f>IF(OR(AT$190,$A116),'Client Data'!AT194,0)</f>
        <v>0</v>
      </c>
      <c r="AU116" s="106">
        <f>IF(OR(AU$190,$A116),'Client Data'!AU194,0)</f>
        <v>0</v>
      </c>
      <c r="AV116" s="106">
        <f>IF(OR(AV$190,$A116),'Client Data'!AV194,0)</f>
        <v>0</v>
      </c>
      <c r="AW116" s="106">
        <f>IF(OR(AW$190,$A116),'Client Data'!AW194,0)</f>
        <v>0</v>
      </c>
      <c r="AX116" s="106">
        <f>IF(OR(AX$190,$A116),'Client Data'!AX194,0)</f>
        <v>0</v>
      </c>
      <c r="AY116" s="106">
        <f>IF(OR(AY$190,$A116),'Client Data'!AY194,0)</f>
        <v>0</v>
      </c>
      <c r="AZ116" s="106">
        <f>IF(OR(AZ$190,$A116),'Client Data'!AZ194,0)</f>
        <v>0</v>
      </c>
      <c r="BA116" s="106">
        <f>IF(OR(BA$190,$A116),'Client Data'!BA194,0)</f>
        <v>0</v>
      </c>
      <c r="BB116" s="106">
        <f>IF(OR(BB$190,$A116),'Client Data'!BB194,0)</f>
        <v>0</v>
      </c>
      <c r="BC116" s="104">
        <f t="shared" si="59"/>
        <v>0</v>
      </c>
    </row>
    <row r="117" spans="1:55" x14ac:dyDescent="0.25">
      <c r="A117">
        <f t="shared" si="63"/>
        <v>3</v>
      </c>
      <c r="B117" s="104" t="str">
        <f>'Client Data'!B195</f>
        <v>DownTime D</v>
      </c>
      <c r="C117" s="106">
        <f>IF(OR(C$190,$A117),'Client Data'!C195,0)</f>
        <v>0</v>
      </c>
      <c r="D117" s="106">
        <f>IF(OR(D$190,$A117),'Client Data'!D195,0)</f>
        <v>0</v>
      </c>
      <c r="E117" s="106">
        <f>IF(OR(E$190,$A117),'Client Data'!E195,0)</f>
        <v>0</v>
      </c>
      <c r="F117" s="106">
        <f>IF(OR(F$190,$A117),'Client Data'!F195,0)</f>
        <v>0</v>
      </c>
      <c r="G117" s="106">
        <f>IF(OR(G$190,$A117),'Client Data'!G195,0)</f>
        <v>0</v>
      </c>
      <c r="H117" s="106">
        <f>IF(OR(H$190,$A117),'Client Data'!H195,0)</f>
        <v>0</v>
      </c>
      <c r="I117" s="106">
        <f>IF(OR(I$190,$A117),'Client Data'!I195,0)</f>
        <v>0</v>
      </c>
      <c r="J117" s="106">
        <f>IF(OR(J$190,$A117),'Client Data'!J195,0)</f>
        <v>0</v>
      </c>
      <c r="K117" s="106">
        <f>IF(OR(K$190,$A117),'Client Data'!K195,0)</f>
        <v>0</v>
      </c>
      <c r="L117" s="106">
        <f>IF(OR(L$190,$A117),'Client Data'!L195,0)</f>
        <v>0</v>
      </c>
      <c r="M117" s="106">
        <f>IF(OR(M$190,$A117),'Client Data'!M195,0)</f>
        <v>0</v>
      </c>
      <c r="N117" s="106">
        <f>IF(OR(N$190,$A117),'Client Data'!N195,0)</f>
        <v>0</v>
      </c>
      <c r="O117" s="106">
        <f>IF(OR(O$190,$A117),'Client Data'!O195,0)</f>
        <v>0</v>
      </c>
      <c r="P117" s="106">
        <f>IF(OR(P$190,$A117),'Client Data'!P195,0)</f>
        <v>0</v>
      </c>
      <c r="Q117" s="106">
        <f>IF(OR(Q$190,$A117),'Client Data'!Q195,0)</f>
        <v>0</v>
      </c>
      <c r="R117" s="106">
        <f>IF(OR(R$190,$A117),'Client Data'!R195,0)</f>
        <v>0</v>
      </c>
      <c r="S117" s="106">
        <f>IF(OR(S$190,$A117),'Client Data'!S195,0)</f>
        <v>0</v>
      </c>
      <c r="T117" s="106">
        <f>IF(OR(T$190,$A117),'Client Data'!T195,0)</f>
        <v>0</v>
      </c>
      <c r="U117" s="106">
        <f>IF(OR(U$190,$A117),'Client Data'!U195,0)</f>
        <v>0</v>
      </c>
      <c r="V117" s="106">
        <f>IF(OR(V$190,$A117),'Client Data'!V195,0)</f>
        <v>0</v>
      </c>
      <c r="W117" s="106">
        <f>IF(OR(W$190,$A117),'Client Data'!W195,0)</f>
        <v>0</v>
      </c>
      <c r="X117" s="106">
        <f>IF(OR(X$190,$A117),'Client Data'!X195,0)</f>
        <v>0</v>
      </c>
      <c r="Y117" s="106">
        <f>IF(OR(Y$190,$A117),'Client Data'!Y195,0)</f>
        <v>0</v>
      </c>
      <c r="Z117" s="106">
        <f>IF(OR(Z$190,$A117),'Client Data'!Z195,0)</f>
        <v>0</v>
      </c>
      <c r="AA117" s="106">
        <f>IF(OR(AA$190,$A117),'Client Data'!AA195,0)</f>
        <v>0</v>
      </c>
      <c r="AB117" s="106">
        <f>IF(OR(AB$190,$A117),'Client Data'!AB195,0)</f>
        <v>0</v>
      </c>
      <c r="AC117" s="106">
        <f>IF(OR(AC$190,$A117),'Client Data'!AC195,0)</f>
        <v>0</v>
      </c>
      <c r="AD117" s="106">
        <f>IF(OR(AD$190,$A117),'Client Data'!AD195,0)</f>
        <v>0</v>
      </c>
      <c r="AE117" s="106">
        <f>IF(OR(AE$190,$A117),'Client Data'!AE195,0)</f>
        <v>0</v>
      </c>
      <c r="AF117" s="106">
        <f>IF(OR(AF$190,$A117),'Client Data'!AF195,0)</f>
        <v>0</v>
      </c>
      <c r="AG117" s="106">
        <f>IF(OR(AG$190,$A117),'Client Data'!AG195,0)</f>
        <v>0</v>
      </c>
      <c r="AH117" s="106">
        <f>IF(OR(AH$190,$A117),'Client Data'!AH195,0)</f>
        <v>0</v>
      </c>
      <c r="AI117" s="106">
        <f>IF(OR(AI$190,$A117),'Client Data'!AI195,0)</f>
        <v>0</v>
      </c>
      <c r="AJ117" s="106">
        <f>IF(OR(AJ$190,$A117),'Client Data'!AJ195,0)</f>
        <v>0</v>
      </c>
      <c r="AK117" s="106">
        <f>IF(OR(AK$190,$A117),'Client Data'!AK195,0)</f>
        <v>0</v>
      </c>
      <c r="AL117" s="106">
        <f>IF(OR(AL$190,$A117),'Client Data'!AL195,0)</f>
        <v>0</v>
      </c>
      <c r="AM117" s="106">
        <f>IF(OR(AM$190,$A117),'Client Data'!AM195,0)</f>
        <v>0</v>
      </c>
      <c r="AN117" s="106">
        <f>IF(OR(AN$190,$A117),'Client Data'!AN195,0)</f>
        <v>0</v>
      </c>
      <c r="AO117" s="106">
        <f>IF(OR(AO$190,$A117),'Client Data'!AO195,0)</f>
        <v>0</v>
      </c>
      <c r="AP117" s="106">
        <f>IF(OR(AP$190,$A117),'Client Data'!AP195,0)</f>
        <v>0</v>
      </c>
      <c r="AQ117" s="106">
        <f>IF(OR(AQ$190,$A117),'Client Data'!AQ195,0)</f>
        <v>0</v>
      </c>
      <c r="AR117" s="106">
        <f>IF(OR(AR$190,$A117),'Client Data'!AR195,0)</f>
        <v>0</v>
      </c>
      <c r="AS117" s="106">
        <f>IF(OR(AS$190,$A117),'Client Data'!AS195,0)</f>
        <v>0</v>
      </c>
      <c r="AT117" s="106">
        <f>IF(OR(AT$190,$A117),'Client Data'!AT195,0)</f>
        <v>0</v>
      </c>
      <c r="AU117" s="106">
        <f>IF(OR(AU$190,$A117),'Client Data'!AU195,0)</f>
        <v>0</v>
      </c>
      <c r="AV117" s="106">
        <f>IF(OR(AV$190,$A117),'Client Data'!AV195,0)</f>
        <v>0</v>
      </c>
      <c r="AW117" s="106">
        <f>IF(OR(AW$190,$A117),'Client Data'!AW195,0)</f>
        <v>0</v>
      </c>
      <c r="AX117" s="106">
        <f>IF(OR(AX$190,$A117),'Client Data'!AX195,0)</f>
        <v>0</v>
      </c>
      <c r="AY117" s="106">
        <f>IF(OR(AY$190,$A117),'Client Data'!AY195,0)</f>
        <v>0</v>
      </c>
      <c r="AZ117" s="106">
        <f>IF(OR(AZ$190,$A117),'Client Data'!AZ195,0)</f>
        <v>0</v>
      </c>
      <c r="BA117" s="106">
        <f>IF(OR(BA$190,$A117),'Client Data'!BA195,0)</f>
        <v>0</v>
      </c>
      <c r="BB117" s="106">
        <f>IF(OR(BB$190,$A117),'Client Data'!BB195,0)</f>
        <v>0</v>
      </c>
      <c r="BC117" s="104">
        <f t="shared" si="59"/>
        <v>0</v>
      </c>
    </row>
    <row r="118" spans="1:55" x14ac:dyDescent="0.25">
      <c r="A118">
        <f t="shared" si="63"/>
        <v>2</v>
      </c>
      <c r="B118" s="104" t="str">
        <f>'Client Data'!B196</f>
        <v>DownTime E</v>
      </c>
      <c r="C118" s="106">
        <f>IF(OR(C$190,$A118),'Client Data'!C196,0)</f>
        <v>0</v>
      </c>
      <c r="D118" s="106">
        <f>IF(OR(D$190,$A118),'Client Data'!D196,0)</f>
        <v>0</v>
      </c>
      <c r="E118" s="106">
        <f>IF(OR(E$190,$A118),'Client Data'!E196,0)</f>
        <v>0</v>
      </c>
      <c r="F118" s="106">
        <f>IF(OR(F$190,$A118),'Client Data'!F196,0)</f>
        <v>0</v>
      </c>
      <c r="G118" s="106">
        <f>IF(OR(G$190,$A118),'Client Data'!G196,0)</f>
        <v>0</v>
      </c>
      <c r="H118" s="106">
        <f>IF(OR(H$190,$A118),'Client Data'!H196,0)</f>
        <v>0</v>
      </c>
      <c r="I118" s="106">
        <f>IF(OR(I$190,$A118),'Client Data'!I196,0)</f>
        <v>0</v>
      </c>
      <c r="J118" s="106">
        <f>IF(OR(J$190,$A118),'Client Data'!J196,0)</f>
        <v>0</v>
      </c>
      <c r="K118" s="106">
        <f>IF(OR(K$190,$A118),'Client Data'!K196,0)</f>
        <v>0</v>
      </c>
      <c r="L118" s="106">
        <f>IF(OR(L$190,$A118),'Client Data'!L196,0)</f>
        <v>0</v>
      </c>
      <c r="M118" s="106">
        <f>IF(OR(M$190,$A118),'Client Data'!M196,0)</f>
        <v>0</v>
      </c>
      <c r="N118" s="106">
        <f>IF(OR(N$190,$A118),'Client Data'!N196,0)</f>
        <v>0</v>
      </c>
      <c r="O118" s="106">
        <f>IF(OR(O$190,$A118),'Client Data'!O196,0)</f>
        <v>0</v>
      </c>
      <c r="P118" s="106">
        <f>IF(OR(P$190,$A118),'Client Data'!P196,0)</f>
        <v>0</v>
      </c>
      <c r="Q118" s="106">
        <f>IF(OR(Q$190,$A118),'Client Data'!Q196,0)</f>
        <v>0</v>
      </c>
      <c r="R118" s="106">
        <f>IF(OR(R$190,$A118),'Client Data'!R196,0)</f>
        <v>0</v>
      </c>
      <c r="S118" s="106">
        <f>IF(OR(S$190,$A118),'Client Data'!S196,0)</f>
        <v>0</v>
      </c>
      <c r="T118" s="106">
        <f>IF(OR(T$190,$A118),'Client Data'!T196,0)</f>
        <v>0</v>
      </c>
      <c r="U118" s="106">
        <f>IF(OR(U$190,$A118),'Client Data'!U196,0)</f>
        <v>0</v>
      </c>
      <c r="V118" s="106">
        <f>IF(OR(V$190,$A118),'Client Data'!V196,0)</f>
        <v>0</v>
      </c>
      <c r="W118" s="106">
        <f>IF(OR(W$190,$A118),'Client Data'!W196,0)</f>
        <v>0</v>
      </c>
      <c r="X118" s="106">
        <f>IF(OR(X$190,$A118),'Client Data'!X196,0)</f>
        <v>0</v>
      </c>
      <c r="Y118" s="106">
        <f>IF(OR(Y$190,$A118),'Client Data'!Y196,0)</f>
        <v>0</v>
      </c>
      <c r="Z118" s="106">
        <f>IF(OR(Z$190,$A118),'Client Data'!Z196,0)</f>
        <v>0</v>
      </c>
      <c r="AA118" s="106">
        <f>IF(OR(AA$190,$A118),'Client Data'!AA196,0)</f>
        <v>0</v>
      </c>
      <c r="AB118" s="106">
        <f>IF(OR(AB$190,$A118),'Client Data'!AB196,0)</f>
        <v>0</v>
      </c>
      <c r="AC118" s="106">
        <f>IF(OR(AC$190,$A118),'Client Data'!AC196,0)</f>
        <v>0</v>
      </c>
      <c r="AD118" s="106">
        <f>IF(OR(AD$190,$A118),'Client Data'!AD196,0)</f>
        <v>0</v>
      </c>
      <c r="AE118" s="106">
        <f>IF(OR(AE$190,$A118),'Client Data'!AE196,0)</f>
        <v>0</v>
      </c>
      <c r="AF118" s="106">
        <f>IF(OR(AF$190,$A118),'Client Data'!AF196,0)</f>
        <v>0</v>
      </c>
      <c r="AG118" s="106">
        <f>IF(OR(AG$190,$A118),'Client Data'!AG196,0)</f>
        <v>0</v>
      </c>
      <c r="AH118" s="106">
        <f>IF(OR(AH$190,$A118),'Client Data'!AH196,0)</f>
        <v>0</v>
      </c>
      <c r="AI118" s="106">
        <f>IF(OR(AI$190,$A118),'Client Data'!AI196,0)</f>
        <v>0</v>
      </c>
      <c r="AJ118" s="106">
        <f>IF(OR(AJ$190,$A118),'Client Data'!AJ196,0)</f>
        <v>0</v>
      </c>
      <c r="AK118" s="106">
        <f>IF(OR(AK$190,$A118),'Client Data'!AK196,0)</f>
        <v>0</v>
      </c>
      <c r="AL118" s="106">
        <f>IF(OR(AL$190,$A118),'Client Data'!AL196,0)</f>
        <v>0</v>
      </c>
      <c r="AM118" s="106">
        <f>IF(OR(AM$190,$A118),'Client Data'!AM196,0)</f>
        <v>0</v>
      </c>
      <c r="AN118" s="106">
        <f>IF(OR(AN$190,$A118),'Client Data'!AN196,0)</f>
        <v>0</v>
      </c>
      <c r="AO118" s="106">
        <f>IF(OR(AO$190,$A118),'Client Data'!AO196,0)</f>
        <v>0</v>
      </c>
      <c r="AP118" s="106">
        <f>IF(OR(AP$190,$A118),'Client Data'!AP196,0)</f>
        <v>0</v>
      </c>
      <c r="AQ118" s="106">
        <f>IF(OR(AQ$190,$A118),'Client Data'!AQ196,0)</f>
        <v>0</v>
      </c>
      <c r="AR118" s="106">
        <f>IF(OR(AR$190,$A118),'Client Data'!AR196,0)</f>
        <v>0</v>
      </c>
      <c r="AS118" s="106">
        <f>IF(OR(AS$190,$A118),'Client Data'!AS196,0)</f>
        <v>0</v>
      </c>
      <c r="AT118" s="106">
        <f>IF(OR(AT$190,$A118),'Client Data'!AT196,0)</f>
        <v>0</v>
      </c>
      <c r="AU118" s="106">
        <f>IF(OR(AU$190,$A118),'Client Data'!AU196,0)</f>
        <v>0</v>
      </c>
      <c r="AV118" s="106">
        <f>IF(OR(AV$190,$A118),'Client Data'!AV196,0)</f>
        <v>0</v>
      </c>
      <c r="AW118" s="106">
        <f>IF(OR(AW$190,$A118),'Client Data'!AW196,0)</f>
        <v>0</v>
      </c>
      <c r="AX118" s="106">
        <f>IF(OR(AX$190,$A118),'Client Data'!AX196,0)</f>
        <v>0</v>
      </c>
      <c r="AY118" s="106">
        <f>IF(OR(AY$190,$A118),'Client Data'!AY196,0)</f>
        <v>0</v>
      </c>
      <c r="AZ118" s="106">
        <f>IF(OR(AZ$190,$A118),'Client Data'!AZ196,0)</f>
        <v>0</v>
      </c>
      <c r="BA118" s="106">
        <f>IF(OR(BA$190,$A118),'Client Data'!BA196,0)</f>
        <v>0</v>
      </c>
      <c r="BB118" s="106">
        <f>IF(OR(BB$190,$A118),'Client Data'!BB196,0)</f>
        <v>0</v>
      </c>
      <c r="BC118" s="104">
        <f t="shared" si="59"/>
        <v>0</v>
      </c>
    </row>
    <row r="119" spans="1:55" x14ac:dyDescent="0.25">
      <c r="A119">
        <f t="shared" si="63"/>
        <v>1</v>
      </c>
      <c r="B119" s="104" t="str">
        <f>'Client Data'!B197</f>
        <v>DownTime F</v>
      </c>
      <c r="C119" s="106">
        <f>IF(OR(C$190,$A119),'Client Data'!C197,0)</f>
        <v>0</v>
      </c>
      <c r="D119" s="106">
        <f>IF(OR(D$190,$A119),'Client Data'!D197,0)</f>
        <v>0</v>
      </c>
      <c r="E119" s="106">
        <f>IF(OR(E$190,$A119),'Client Data'!E197,0)</f>
        <v>0</v>
      </c>
      <c r="F119" s="106">
        <f>IF(OR(F$190,$A119),'Client Data'!F197,0)</f>
        <v>0</v>
      </c>
      <c r="G119" s="106">
        <f>IF(OR(G$190,$A119),'Client Data'!G197,0)</f>
        <v>0</v>
      </c>
      <c r="H119" s="106">
        <f>IF(OR(H$190,$A119),'Client Data'!H197,0)</f>
        <v>0</v>
      </c>
      <c r="I119" s="106">
        <f>IF(OR(I$190,$A119),'Client Data'!I197,0)</f>
        <v>0</v>
      </c>
      <c r="J119" s="106">
        <f>IF(OR(J$190,$A119),'Client Data'!J197,0)</f>
        <v>0</v>
      </c>
      <c r="K119" s="106">
        <f>IF(OR(K$190,$A119),'Client Data'!K197,0)</f>
        <v>0</v>
      </c>
      <c r="L119" s="106">
        <f>IF(OR(L$190,$A119),'Client Data'!L197,0)</f>
        <v>0</v>
      </c>
      <c r="M119" s="106">
        <f>IF(OR(M$190,$A119),'Client Data'!M197,0)</f>
        <v>0</v>
      </c>
      <c r="N119" s="106">
        <f>IF(OR(N$190,$A119),'Client Data'!N197,0)</f>
        <v>0</v>
      </c>
      <c r="O119" s="106">
        <f>IF(OR(O$190,$A119),'Client Data'!O197,0)</f>
        <v>0</v>
      </c>
      <c r="P119" s="106">
        <f>IF(OR(P$190,$A119),'Client Data'!P197,0)</f>
        <v>0</v>
      </c>
      <c r="Q119" s="106">
        <f>IF(OR(Q$190,$A119),'Client Data'!Q197,0)</f>
        <v>0</v>
      </c>
      <c r="R119" s="106">
        <f>IF(OR(R$190,$A119),'Client Data'!R197,0)</f>
        <v>0</v>
      </c>
      <c r="S119" s="106">
        <f>IF(OR(S$190,$A119),'Client Data'!S197,0)</f>
        <v>0</v>
      </c>
      <c r="T119" s="106">
        <f>IF(OR(T$190,$A119),'Client Data'!T197,0)</f>
        <v>0</v>
      </c>
      <c r="U119" s="106">
        <f>IF(OR(U$190,$A119),'Client Data'!U197,0)</f>
        <v>0</v>
      </c>
      <c r="V119" s="106">
        <f>IF(OR(V$190,$A119),'Client Data'!V197,0)</f>
        <v>0</v>
      </c>
      <c r="W119" s="106">
        <f>IF(OR(W$190,$A119),'Client Data'!W197,0)</f>
        <v>0</v>
      </c>
      <c r="X119" s="106">
        <f>IF(OR(X$190,$A119),'Client Data'!X197,0)</f>
        <v>0</v>
      </c>
      <c r="Y119" s="106">
        <f>IF(OR(Y$190,$A119),'Client Data'!Y197,0)</f>
        <v>0</v>
      </c>
      <c r="Z119" s="106">
        <f>IF(OR(Z$190,$A119),'Client Data'!Z197,0)</f>
        <v>0</v>
      </c>
      <c r="AA119" s="106">
        <f>IF(OR(AA$190,$A119),'Client Data'!AA197,0)</f>
        <v>0</v>
      </c>
      <c r="AB119" s="106">
        <f>IF(OR(AB$190,$A119),'Client Data'!AB197,0)</f>
        <v>0</v>
      </c>
      <c r="AC119" s="106">
        <f>IF(OR(AC$190,$A119),'Client Data'!AC197,0)</f>
        <v>0</v>
      </c>
      <c r="AD119" s="106">
        <f>IF(OR(AD$190,$A119),'Client Data'!AD197,0)</f>
        <v>0</v>
      </c>
      <c r="AE119" s="106">
        <f>IF(OR(AE$190,$A119),'Client Data'!AE197,0)</f>
        <v>0</v>
      </c>
      <c r="AF119" s="106">
        <f>IF(OR(AF$190,$A119),'Client Data'!AF197,0)</f>
        <v>0</v>
      </c>
      <c r="AG119" s="106">
        <f>IF(OR(AG$190,$A119),'Client Data'!AG197,0)</f>
        <v>0</v>
      </c>
      <c r="AH119" s="106">
        <f>IF(OR(AH$190,$A119),'Client Data'!AH197,0)</f>
        <v>0</v>
      </c>
      <c r="AI119" s="106">
        <f>IF(OR(AI$190,$A119),'Client Data'!AI197,0)</f>
        <v>0</v>
      </c>
      <c r="AJ119" s="106">
        <f>IF(OR(AJ$190,$A119),'Client Data'!AJ197,0)</f>
        <v>0</v>
      </c>
      <c r="AK119" s="106">
        <f>IF(OR(AK$190,$A119),'Client Data'!AK197,0)</f>
        <v>0</v>
      </c>
      <c r="AL119" s="106">
        <f>IF(OR(AL$190,$A119),'Client Data'!AL197,0)</f>
        <v>0</v>
      </c>
      <c r="AM119" s="106">
        <f>IF(OR(AM$190,$A119),'Client Data'!AM197,0)</f>
        <v>0</v>
      </c>
      <c r="AN119" s="106">
        <f>IF(OR(AN$190,$A119),'Client Data'!AN197,0)</f>
        <v>0</v>
      </c>
      <c r="AO119" s="106">
        <f>IF(OR(AO$190,$A119),'Client Data'!AO197,0)</f>
        <v>0</v>
      </c>
      <c r="AP119" s="106">
        <f>IF(OR(AP$190,$A119),'Client Data'!AP197,0)</f>
        <v>0</v>
      </c>
      <c r="AQ119" s="106">
        <f>IF(OR(AQ$190,$A119),'Client Data'!AQ197,0)</f>
        <v>0</v>
      </c>
      <c r="AR119" s="106">
        <f>IF(OR(AR$190,$A119),'Client Data'!AR197,0)</f>
        <v>0</v>
      </c>
      <c r="AS119" s="106">
        <f>IF(OR(AS$190,$A119),'Client Data'!AS197,0)</f>
        <v>0</v>
      </c>
      <c r="AT119" s="106">
        <f>IF(OR(AT$190,$A119),'Client Data'!AT197,0)</f>
        <v>0</v>
      </c>
      <c r="AU119" s="106">
        <f>IF(OR(AU$190,$A119),'Client Data'!AU197,0)</f>
        <v>0</v>
      </c>
      <c r="AV119" s="106">
        <f>IF(OR(AV$190,$A119),'Client Data'!AV197,0)</f>
        <v>0</v>
      </c>
      <c r="AW119" s="106">
        <f>IF(OR(AW$190,$A119),'Client Data'!AW197,0)</f>
        <v>0</v>
      </c>
      <c r="AX119" s="106">
        <f>IF(OR(AX$190,$A119),'Client Data'!AX197,0)</f>
        <v>0</v>
      </c>
      <c r="AY119" s="106">
        <f>IF(OR(AY$190,$A119),'Client Data'!AY197,0)</f>
        <v>0</v>
      </c>
      <c r="AZ119" s="106">
        <f>IF(OR(AZ$190,$A119),'Client Data'!AZ197,0)</f>
        <v>0</v>
      </c>
      <c r="BA119" s="106">
        <f>IF(OR(BA$190,$A119),'Client Data'!BA197,0)</f>
        <v>0</v>
      </c>
      <c r="BB119" s="106">
        <f>IF(OR(BB$190,$A119),'Client Data'!BB197,0)</f>
        <v>0</v>
      </c>
      <c r="BC119" s="104">
        <f t="shared" si="59"/>
        <v>0</v>
      </c>
    </row>
    <row r="120" spans="1:55" x14ac:dyDescent="0.25">
      <c r="A120">
        <f>A113-1</f>
        <v>6</v>
      </c>
      <c r="B120" s="105" t="str">
        <f>'Client Data'!B198</f>
        <v>Tool USDT C (Hour)</v>
      </c>
      <c r="C120" s="105">
        <f t="shared" ref="C120:AH120" si="64">IF(OR(C$190&gt;0,$A120),SUM(C121:C126),0)</f>
        <v>0.4</v>
      </c>
      <c r="D120" s="105">
        <f t="shared" si="64"/>
        <v>0.4</v>
      </c>
      <c r="E120" s="105">
        <f t="shared" si="64"/>
        <v>0.4</v>
      </c>
      <c r="F120" s="105">
        <f t="shared" si="64"/>
        <v>0.4</v>
      </c>
      <c r="G120" s="105">
        <f t="shared" si="64"/>
        <v>0.5</v>
      </c>
      <c r="H120" s="105">
        <f t="shared" si="64"/>
        <v>0.3</v>
      </c>
      <c r="I120" s="105">
        <f t="shared" si="64"/>
        <v>0.6</v>
      </c>
      <c r="J120" s="105">
        <f t="shared" si="64"/>
        <v>0.3</v>
      </c>
      <c r="K120" s="105">
        <f t="shared" si="64"/>
        <v>0.4</v>
      </c>
      <c r="L120" s="105">
        <f t="shared" si="64"/>
        <v>0.4</v>
      </c>
      <c r="M120" s="105">
        <f t="shared" si="64"/>
        <v>0.5</v>
      </c>
      <c r="N120" s="105">
        <f t="shared" si="64"/>
        <v>0.3</v>
      </c>
      <c r="O120" s="105">
        <f t="shared" si="64"/>
        <v>0.6</v>
      </c>
      <c r="P120" s="105">
        <f t="shared" si="64"/>
        <v>0.3</v>
      </c>
      <c r="Q120" s="105">
        <f t="shared" si="64"/>
        <v>0.4</v>
      </c>
      <c r="R120" s="105">
        <f t="shared" si="64"/>
        <v>0.5</v>
      </c>
      <c r="S120" s="105">
        <f t="shared" si="64"/>
        <v>0.3</v>
      </c>
      <c r="T120" s="105">
        <f t="shared" si="64"/>
        <v>0.6</v>
      </c>
      <c r="U120" s="105">
        <f t="shared" si="64"/>
        <v>0.3</v>
      </c>
      <c r="V120" s="105">
        <f t="shared" si="64"/>
        <v>0.4</v>
      </c>
      <c r="W120" s="105">
        <f t="shared" si="64"/>
        <v>0.4</v>
      </c>
      <c r="X120" s="105">
        <f t="shared" si="64"/>
        <v>0.5</v>
      </c>
      <c r="Y120" s="105">
        <f t="shared" si="64"/>
        <v>0.3</v>
      </c>
      <c r="Z120" s="105">
        <f t="shared" si="64"/>
        <v>0.6</v>
      </c>
      <c r="AA120" s="105">
        <f t="shared" si="64"/>
        <v>0.3</v>
      </c>
      <c r="AB120" s="105">
        <f t="shared" si="64"/>
        <v>0.4</v>
      </c>
      <c r="AC120" s="105">
        <f t="shared" si="64"/>
        <v>0.5</v>
      </c>
      <c r="AD120" s="105">
        <f t="shared" si="64"/>
        <v>0.3</v>
      </c>
      <c r="AE120" s="105">
        <f t="shared" si="64"/>
        <v>0.6</v>
      </c>
      <c r="AF120" s="105">
        <f t="shared" si="64"/>
        <v>0.3</v>
      </c>
      <c r="AG120" s="105">
        <f t="shared" si="64"/>
        <v>0.4</v>
      </c>
      <c r="AH120" s="105">
        <f t="shared" si="64"/>
        <v>0.4</v>
      </c>
      <c r="AI120" s="105">
        <f t="shared" ref="AI120:BB120" si="65">IF(OR(AI$190&gt;0,$A120),SUM(AI121:AI126),0)</f>
        <v>0.5</v>
      </c>
      <c r="AJ120" s="105">
        <f t="shared" si="65"/>
        <v>0.3</v>
      </c>
      <c r="AK120" s="105">
        <f t="shared" si="65"/>
        <v>0.6</v>
      </c>
      <c r="AL120" s="105">
        <f t="shared" si="65"/>
        <v>0.3</v>
      </c>
      <c r="AM120" s="105">
        <f t="shared" si="65"/>
        <v>0.4</v>
      </c>
      <c r="AN120" s="105">
        <f t="shared" si="65"/>
        <v>0.4</v>
      </c>
      <c r="AO120" s="105">
        <f t="shared" si="65"/>
        <v>0.4</v>
      </c>
      <c r="AP120" s="105">
        <f t="shared" si="65"/>
        <v>0.5</v>
      </c>
      <c r="AQ120" s="105">
        <f t="shared" si="65"/>
        <v>0.3</v>
      </c>
      <c r="AR120" s="105">
        <f t="shared" si="65"/>
        <v>0.4</v>
      </c>
      <c r="AS120" s="105">
        <f t="shared" si="65"/>
        <v>0.5</v>
      </c>
      <c r="AT120" s="105">
        <f t="shared" si="65"/>
        <v>0.3</v>
      </c>
      <c r="AU120" s="105">
        <f t="shared" si="65"/>
        <v>0.6</v>
      </c>
      <c r="AV120" s="105">
        <f t="shared" si="65"/>
        <v>0.3</v>
      </c>
      <c r="AW120" s="105">
        <f t="shared" si="65"/>
        <v>0.4</v>
      </c>
      <c r="AX120" s="105">
        <f t="shared" si="65"/>
        <v>0.4</v>
      </c>
      <c r="AY120" s="105">
        <f t="shared" si="65"/>
        <v>0.4</v>
      </c>
      <c r="AZ120" s="105">
        <f t="shared" si="65"/>
        <v>0.4</v>
      </c>
      <c r="BA120" s="105">
        <f t="shared" si="65"/>
        <v>0.4</v>
      </c>
      <c r="BB120" s="105">
        <f t="shared" si="65"/>
        <v>0.2</v>
      </c>
      <c r="BC120" s="105">
        <f t="shared" si="59"/>
        <v>21.299999999999997</v>
      </c>
    </row>
    <row r="121" spans="1:55" x14ac:dyDescent="0.25">
      <c r="A121">
        <f>IF(A$120&gt;0,A114,0)</f>
        <v>6</v>
      </c>
      <c r="B121" s="104" t="str">
        <f>'Client Data'!B199</f>
        <v>DownTime A</v>
      </c>
      <c r="C121" s="106">
        <f>IF(OR(C$190,$A121),'Client Data'!C199,0)</f>
        <v>0</v>
      </c>
      <c r="D121" s="106">
        <f>IF(OR(D$190,$A121),'Client Data'!D199,0)</f>
        <v>0</v>
      </c>
      <c r="E121" s="106">
        <f>IF(OR(E$190,$A121),'Client Data'!E199,0)</f>
        <v>0</v>
      </c>
      <c r="F121" s="106">
        <f>IF(OR(F$190,$A121),'Client Data'!F199,0)</f>
        <v>0</v>
      </c>
      <c r="G121" s="106">
        <f>IF(OR(G$190,$A121),'Client Data'!G199,0)</f>
        <v>0</v>
      </c>
      <c r="H121" s="106">
        <f>IF(OR(H$190,$A121),'Client Data'!H199,0)</f>
        <v>0</v>
      </c>
      <c r="I121" s="106">
        <f>IF(OR(I$190,$A121),'Client Data'!I199,0)</f>
        <v>0</v>
      </c>
      <c r="J121" s="106">
        <f>IF(OR(J$190,$A121),'Client Data'!J199,0)</f>
        <v>0</v>
      </c>
      <c r="K121" s="106">
        <f>IF(OR(K$190,$A121),'Client Data'!K199,0)</f>
        <v>0</v>
      </c>
      <c r="L121" s="106">
        <f>IF(OR(L$190,$A121),'Client Data'!L199,0)</f>
        <v>0</v>
      </c>
      <c r="M121" s="106">
        <f>IF(OR(M$190,$A121),'Client Data'!M199,0)</f>
        <v>0</v>
      </c>
      <c r="N121" s="106">
        <f>IF(OR(N$190,$A121),'Client Data'!N199,0)</f>
        <v>0</v>
      </c>
      <c r="O121" s="106">
        <f>IF(OR(O$190,$A121),'Client Data'!O199,0)</f>
        <v>0</v>
      </c>
      <c r="P121" s="106">
        <f>IF(OR(P$190,$A121),'Client Data'!P199,0)</f>
        <v>0</v>
      </c>
      <c r="Q121" s="106">
        <f>IF(OR(Q$190,$A121),'Client Data'!Q199,0)</f>
        <v>0</v>
      </c>
      <c r="R121" s="106">
        <f>IF(OR(R$190,$A121),'Client Data'!R199,0)</f>
        <v>0</v>
      </c>
      <c r="S121" s="106">
        <f>IF(OR(S$190,$A121),'Client Data'!S199,0)</f>
        <v>0</v>
      </c>
      <c r="T121" s="106">
        <f>IF(OR(T$190,$A121),'Client Data'!T199,0)</f>
        <v>0</v>
      </c>
      <c r="U121" s="106">
        <f>IF(OR(U$190,$A121),'Client Data'!U199,0)</f>
        <v>0</v>
      </c>
      <c r="V121" s="106">
        <f>IF(OR(V$190,$A121),'Client Data'!V199,0)</f>
        <v>0</v>
      </c>
      <c r="W121" s="106">
        <f>IF(OR(W$190,$A121),'Client Data'!W199,0)</f>
        <v>0</v>
      </c>
      <c r="X121" s="106">
        <f>IF(OR(X$190,$A121),'Client Data'!X199,0)</f>
        <v>0</v>
      </c>
      <c r="Y121" s="106">
        <f>IF(OR(Y$190,$A121),'Client Data'!Y199,0)</f>
        <v>0</v>
      </c>
      <c r="Z121" s="106">
        <f>IF(OR(Z$190,$A121),'Client Data'!Z199,0)</f>
        <v>0</v>
      </c>
      <c r="AA121" s="106">
        <f>IF(OR(AA$190,$A121),'Client Data'!AA199,0)</f>
        <v>0</v>
      </c>
      <c r="AB121" s="106">
        <f>IF(OR(AB$190,$A121),'Client Data'!AB199,0)</f>
        <v>0</v>
      </c>
      <c r="AC121" s="106">
        <f>IF(OR(AC$190,$A121),'Client Data'!AC199,0)</f>
        <v>0</v>
      </c>
      <c r="AD121" s="106">
        <f>IF(OR(AD$190,$A121),'Client Data'!AD199,0)</f>
        <v>0</v>
      </c>
      <c r="AE121" s="106">
        <f>IF(OR(AE$190,$A121),'Client Data'!AE199,0)</f>
        <v>0</v>
      </c>
      <c r="AF121" s="106">
        <f>IF(OR(AF$190,$A121),'Client Data'!AF199,0)</f>
        <v>0</v>
      </c>
      <c r="AG121" s="106">
        <f>IF(OR(AG$190,$A121),'Client Data'!AG199,0)</f>
        <v>0</v>
      </c>
      <c r="AH121" s="106">
        <f>IF(OR(AH$190,$A121),'Client Data'!AH199,0)</f>
        <v>0</v>
      </c>
      <c r="AI121" s="106">
        <f>IF(OR(AI$190,$A121),'Client Data'!AI199,0)</f>
        <v>0</v>
      </c>
      <c r="AJ121" s="106">
        <f>IF(OR(AJ$190,$A121),'Client Data'!AJ199,0)</f>
        <v>0</v>
      </c>
      <c r="AK121" s="106">
        <f>IF(OR(AK$190,$A121),'Client Data'!AK199,0)</f>
        <v>0</v>
      </c>
      <c r="AL121" s="106">
        <f>IF(OR(AL$190,$A121),'Client Data'!AL199,0)</f>
        <v>0</v>
      </c>
      <c r="AM121" s="106">
        <f>IF(OR(AM$190,$A121),'Client Data'!AM199,0)</f>
        <v>0</v>
      </c>
      <c r="AN121" s="106">
        <f>IF(OR(AN$190,$A121),'Client Data'!AN199,0)</f>
        <v>0</v>
      </c>
      <c r="AO121" s="106">
        <f>IF(OR(AO$190,$A121),'Client Data'!AO199,0)</f>
        <v>0</v>
      </c>
      <c r="AP121" s="106">
        <f>IF(OR(AP$190,$A121),'Client Data'!AP199,0)</f>
        <v>0</v>
      </c>
      <c r="AQ121" s="106">
        <f>IF(OR(AQ$190,$A121),'Client Data'!AQ199,0)</f>
        <v>0</v>
      </c>
      <c r="AR121" s="106">
        <f>IF(OR(AR$190,$A121),'Client Data'!AR199,0)</f>
        <v>0</v>
      </c>
      <c r="AS121" s="106">
        <f>IF(OR(AS$190,$A121),'Client Data'!AS199,0)</f>
        <v>0</v>
      </c>
      <c r="AT121" s="106">
        <f>IF(OR(AT$190,$A121),'Client Data'!AT199,0)</f>
        <v>0</v>
      </c>
      <c r="AU121" s="106">
        <f>IF(OR(AU$190,$A121),'Client Data'!AU199,0)</f>
        <v>0</v>
      </c>
      <c r="AV121" s="106">
        <f>IF(OR(AV$190,$A121),'Client Data'!AV199,0)</f>
        <v>0</v>
      </c>
      <c r="AW121" s="106">
        <f>IF(OR(AW$190,$A121),'Client Data'!AW199,0)</f>
        <v>0</v>
      </c>
      <c r="AX121" s="106">
        <f>IF(OR(AX$190,$A121),'Client Data'!AX199,0)</f>
        <v>0</v>
      </c>
      <c r="AY121" s="106">
        <f>IF(OR(AY$190,$A121),'Client Data'!AY199,0)</f>
        <v>0</v>
      </c>
      <c r="AZ121" s="106">
        <f>IF(OR(AZ$190,$A121),'Client Data'!AZ199,0)</f>
        <v>0</v>
      </c>
      <c r="BA121" s="106">
        <f>IF(OR(BA$190,$A121),'Client Data'!BA199,0)</f>
        <v>0</v>
      </c>
      <c r="BB121" s="106">
        <f>IF(OR(BB$190,$A121),'Client Data'!BB199,0)</f>
        <v>0</v>
      </c>
      <c r="BC121" s="104">
        <f t="shared" si="59"/>
        <v>0</v>
      </c>
    </row>
    <row r="122" spans="1:55" x14ac:dyDescent="0.25">
      <c r="A122">
        <f>IF(A$120&gt;0,A121-1,0)</f>
        <v>5</v>
      </c>
      <c r="B122" s="104" t="str">
        <f>'Client Data'!B200</f>
        <v>DownTime B</v>
      </c>
      <c r="C122" s="106">
        <f>IF(OR(C$190,$A122),'Client Data'!C200,0)</f>
        <v>0</v>
      </c>
      <c r="D122" s="106">
        <f>IF(OR(D$190,$A122),'Client Data'!D200,0)</f>
        <v>0</v>
      </c>
      <c r="E122" s="106">
        <f>IF(OR(E$190,$A122),'Client Data'!E200,0)</f>
        <v>0</v>
      </c>
      <c r="F122" s="106">
        <f>IF(OR(F$190,$A122),'Client Data'!F200,0)</f>
        <v>0</v>
      </c>
      <c r="G122" s="106">
        <f>IF(OR(G$190,$A122),'Client Data'!G200,0)</f>
        <v>0</v>
      </c>
      <c r="H122" s="106">
        <f>IF(OR(H$190,$A122),'Client Data'!H200,0)</f>
        <v>0</v>
      </c>
      <c r="I122" s="106">
        <f>IF(OR(I$190,$A122),'Client Data'!I200,0)</f>
        <v>0</v>
      </c>
      <c r="J122" s="106">
        <f>IF(OR(J$190,$A122),'Client Data'!J200,0)</f>
        <v>0</v>
      </c>
      <c r="K122" s="106">
        <f>IF(OR(K$190,$A122),'Client Data'!K200,0)</f>
        <v>0</v>
      </c>
      <c r="L122" s="106">
        <f>IF(OR(L$190,$A122),'Client Data'!L200,0)</f>
        <v>0</v>
      </c>
      <c r="M122" s="106">
        <f>IF(OR(M$190,$A122),'Client Data'!M200,0)</f>
        <v>0</v>
      </c>
      <c r="N122" s="106">
        <f>IF(OR(N$190,$A122),'Client Data'!N200,0)</f>
        <v>0</v>
      </c>
      <c r="O122" s="106">
        <f>IF(OR(O$190,$A122),'Client Data'!O200,0)</f>
        <v>0</v>
      </c>
      <c r="P122" s="106">
        <f>IF(OR(P$190,$A122),'Client Data'!P200,0)</f>
        <v>0</v>
      </c>
      <c r="Q122" s="106">
        <f>IF(OR(Q$190,$A122),'Client Data'!Q200,0)</f>
        <v>0</v>
      </c>
      <c r="R122" s="106">
        <f>IF(OR(R$190,$A122),'Client Data'!R200,0)</f>
        <v>0</v>
      </c>
      <c r="S122" s="106">
        <f>IF(OR(S$190,$A122),'Client Data'!S200,0)</f>
        <v>0</v>
      </c>
      <c r="T122" s="106">
        <f>IF(OR(T$190,$A122),'Client Data'!T200,0)</f>
        <v>0</v>
      </c>
      <c r="U122" s="106">
        <f>IF(OR(U$190,$A122),'Client Data'!U200,0)</f>
        <v>0</v>
      </c>
      <c r="V122" s="106">
        <f>IF(OR(V$190,$A122),'Client Data'!V200,0)</f>
        <v>0</v>
      </c>
      <c r="W122" s="106">
        <f>IF(OR(W$190,$A122),'Client Data'!W200,0)</f>
        <v>0</v>
      </c>
      <c r="X122" s="106">
        <f>IF(OR(X$190,$A122),'Client Data'!X200,0)</f>
        <v>0</v>
      </c>
      <c r="Y122" s="106">
        <f>IF(OR(Y$190,$A122),'Client Data'!Y200,0)</f>
        <v>0</v>
      </c>
      <c r="Z122" s="106">
        <f>IF(OR(Z$190,$A122),'Client Data'!Z200,0)</f>
        <v>0</v>
      </c>
      <c r="AA122" s="106">
        <f>IF(OR(AA$190,$A122),'Client Data'!AA200,0)</f>
        <v>0</v>
      </c>
      <c r="AB122" s="106">
        <f>IF(OR(AB$190,$A122),'Client Data'!AB200,0)</f>
        <v>0</v>
      </c>
      <c r="AC122" s="106">
        <f>IF(OR(AC$190,$A122),'Client Data'!AC200,0)</f>
        <v>0</v>
      </c>
      <c r="AD122" s="106">
        <f>IF(OR(AD$190,$A122),'Client Data'!AD200,0)</f>
        <v>0</v>
      </c>
      <c r="AE122" s="106">
        <f>IF(OR(AE$190,$A122),'Client Data'!AE200,0)</f>
        <v>0</v>
      </c>
      <c r="AF122" s="106">
        <f>IF(OR(AF$190,$A122),'Client Data'!AF200,0)</f>
        <v>0</v>
      </c>
      <c r="AG122" s="106">
        <f>IF(OR(AG$190,$A122),'Client Data'!AG200,0)</f>
        <v>0</v>
      </c>
      <c r="AH122" s="106">
        <f>IF(OR(AH$190,$A122),'Client Data'!AH200,0)</f>
        <v>0</v>
      </c>
      <c r="AI122" s="106">
        <f>IF(OR(AI$190,$A122),'Client Data'!AI200,0)</f>
        <v>0</v>
      </c>
      <c r="AJ122" s="106">
        <f>IF(OR(AJ$190,$A122),'Client Data'!AJ200,0)</f>
        <v>0</v>
      </c>
      <c r="AK122" s="106">
        <f>IF(OR(AK$190,$A122),'Client Data'!AK200,0)</f>
        <v>0</v>
      </c>
      <c r="AL122" s="106">
        <f>IF(OR(AL$190,$A122),'Client Data'!AL200,0)</f>
        <v>0</v>
      </c>
      <c r="AM122" s="106">
        <f>IF(OR(AM$190,$A122),'Client Data'!AM200,0)</f>
        <v>0</v>
      </c>
      <c r="AN122" s="106">
        <f>IF(OR(AN$190,$A122),'Client Data'!AN200,0)</f>
        <v>0</v>
      </c>
      <c r="AO122" s="106">
        <f>IF(OR(AO$190,$A122),'Client Data'!AO200,0)</f>
        <v>0</v>
      </c>
      <c r="AP122" s="106">
        <f>IF(OR(AP$190,$A122),'Client Data'!AP200,0)</f>
        <v>0</v>
      </c>
      <c r="AQ122" s="106">
        <f>IF(OR(AQ$190,$A122),'Client Data'!AQ200,0)</f>
        <v>0</v>
      </c>
      <c r="AR122" s="106">
        <f>IF(OR(AR$190,$A122),'Client Data'!AR200,0)</f>
        <v>0</v>
      </c>
      <c r="AS122" s="106">
        <f>IF(OR(AS$190,$A122),'Client Data'!AS200,0)</f>
        <v>0</v>
      </c>
      <c r="AT122" s="106">
        <f>IF(OR(AT$190,$A122),'Client Data'!AT200,0)</f>
        <v>0</v>
      </c>
      <c r="AU122" s="106">
        <f>IF(OR(AU$190,$A122),'Client Data'!AU200,0)</f>
        <v>0</v>
      </c>
      <c r="AV122" s="106">
        <f>IF(OR(AV$190,$A122),'Client Data'!AV200,0)</f>
        <v>0</v>
      </c>
      <c r="AW122" s="106">
        <f>IF(OR(AW$190,$A122),'Client Data'!AW200,0)</f>
        <v>0</v>
      </c>
      <c r="AX122" s="106">
        <f>IF(OR(AX$190,$A122),'Client Data'!AX200,0)</f>
        <v>0</v>
      </c>
      <c r="AY122" s="106">
        <f>IF(OR(AY$190,$A122),'Client Data'!AY200,0)</f>
        <v>0</v>
      </c>
      <c r="AZ122" s="106">
        <f>IF(OR(AZ$190,$A122),'Client Data'!AZ200,0)</f>
        <v>0</v>
      </c>
      <c r="BA122" s="106">
        <f>IF(OR(BA$190,$A122),'Client Data'!BA200,0)</f>
        <v>0</v>
      </c>
      <c r="BB122" s="106">
        <f>IF(OR(BB$190,$A122),'Client Data'!BB200,0)</f>
        <v>0</v>
      </c>
      <c r="BC122" s="104">
        <f t="shared" si="59"/>
        <v>0</v>
      </c>
    </row>
    <row r="123" spans="1:55" x14ac:dyDescent="0.25">
      <c r="A123">
        <f t="shared" ref="A123:A126" si="66">IF(A$120&gt;0,A122-1,0)</f>
        <v>4</v>
      </c>
      <c r="B123" s="104" t="str">
        <f>'Client Data'!B201</f>
        <v>DownTime C</v>
      </c>
      <c r="C123" s="106">
        <f>IF(OR(C$190,$A123),'Client Data'!C201,0)</f>
        <v>0.4</v>
      </c>
      <c r="D123" s="106">
        <f>IF(OR(D$190,$A123),'Client Data'!D201,0)</f>
        <v>0.4</v>
      </c>
      <c r="E123" s="106">
        <f>IF(OR(E$190,$A123),'Client Data'!E201,0)</f>
        <v>0.4</v>
      </c>
      <c r="F123" s="106">
        <f>IF(OR(F$190,$A123),'Client Data'!F201,0)</f>
        <v>0.4</v>
      </c>
      <c r="G123" s="106">
        <f>IF(OR(G$190,$A123),'Client Data'!G201,0)</f>
        <v>0.5</v>
      </c>
      <c r="H123" s="106">
        <f>IF(OR(H$190,$A123),'Client Data'!H201,0)</f>
        <v>0.3</v>
      </c>
      <c r="I123" s="106">
        <f>IF(OR(I$190,$A123),'Client Data'!I201,0)</f>
        <v>0.6</v>
      </c>
      <c r="J123" s="106">
        <f>IF(OR(J$190,$A123),'Client Data'!J201,0)</f>
        <v>0.3</v>
      </c>
      <c r="K123" s="106">
        <f>IF(OR(K$190,$A123),'Client Data'!K201,0)</f>
        <v>0.4</v>
      </c>
      <c r="L123" s="106">
        <f>IF(OR(L$190,$A123),'Client Data'!L201,0)</f>
        <v>0.4</v>
      </c>
      <c r="M123" s="106">
        <f>IF(OR(M$190,$A123),'Client Data'!M201,0)</f>
        <v>0.5</v>
      </c>
      <c r="N123" s="106">
        <f>IF(OR(N$190,$A123),'Client Data'!N201,0)</f>
        <v>0.3</v>
      </c>
      <c r="O123" s="106">
        <f>IF(OR(O$190,$A123),'Client Data'!O201,0)</f>
        <v>0.6</v>
      </c>
      <c r="P123" s="106">
        <f>IF(OR(P$190,$A123),'Client Data'!P201,0)</f>
        <v>0.3</v>
      </c>
      <c r="Q123" s="106">
        <f>IF(OR(Q$190,$A123),'Client Data'!Q201,0)</f>
        <v>0.4</v>
      </c>
      <c r="R123" s="106">
        <f>IF(OR(R$190,$A123),'Client Data'!R201,0)</f>
        <v>0.5</v>
      </c>
      <c r="S123" s="106">
        <f>IF(OR(S$190,$A123),'Client Data'!S201,0)</f>
        <v>0.3</v>
      </c>
      <c r="T123" s="106">
        <f>IF(OR(T$190,$A123),'Client Data'!T201,0)</f>
        <v>0.6</v>
      </c>
      <c r="U123" s="106">
        <f>IF(OR(U$190,$A123),'Client Data'!U201,0)</f>
        <v>0.3</v>
      </c>
      <c r="V123" s="106">
        <f>IF(OR(V$190,$A123),'Client Data'!V201,0)</f>
        <v>0.4</v>
      </c>
      <c r="W123" s="106">
        <f>IF(OR(W$190,$A123),'Client Data'!W201,0)</f>
        <v>0.4</v>
      </c>
      <c r="X123" s="106">
        <f>IF(OR(X$190,$A123),'Client Data'!X201,0)</f>
        <v>0.5</v>
      </c>
      <c r="Y123" s="106">
        <f>IF(OR(Y$190,$A123),'Client Data'!Y201,0)</f>
        <v>0.3</v>
      </c>
      <c r="Z123" s="106">
        <f>IF(OR(Z$190,$A123),'Client Data'!Z201,0)</f>
        <v>0.6</v>
      </c>
      <c r="AA123" s="106">
        <f>IF(OR(AA$190,$A123),'Client Data'!AA201,0)</f>
        <v>0.3</v>
      </c>
      <c r="AB123" s="106">
        <f>IF(OR(AB$190,$A123),'Client Data'!AB201,0)</f>
        <v>0.4</v>
      </c>
      <c r="AC123" s="106">
        <f>IF(OR(AC$190,$A123),'Client Data'!AC201,0)</f>
        <v>0.5</v>
      </c>
      <c r="AD123" s="106">
        <f>IF(OR(AD$190,$A123),'Client Data'!AD201,0)</f>
        <v>0.3</v>
      </c>
      <c r="AE123" s="106">
        <f>IF(OR(AE$190,$A123),'Client Data'!AE201,0)</f>
        <v>0.6</v>
      </c>
      <c r="AF123" s="106">
        <f>IF(OR(AF$190,$A123),'Client Data'!AF201,0)</f>
        <v>0.3</v>
      </c>
      <c r="AG123" s="106">
        <f>IF(OR(AG$190,$A123),'Client Data'!AG201,0)</f>
        <v>0.4</v>
      </c>
      <c r="AH123" s="106">
        <f>IF(OR(AH$190,$A123),'Client Data'!AH201,0)</f>
        <v>0.4</v>
      </c>
      <c r="AI123" s="106">
        <f>IF(OR(AI$190,$A123),'Client Data'!AI201,0)</f>
        <v>0.5</v>
      </c>
      <c r="AJ123" s="106">
        <f>IF(OR(AJ$190,$A123),'Client Data'!AJ201,0)</f>
        <v>0.3</v>
      </c>
      <c r="AK123" s="106">
        <f>IF(OR(AK$190,$A123),'Client Data'!AK201,0)</f>
        <v>0.6</v>
      </c>
      <c r="AL123" s="106">
        <f>IF(OR(AL$190,$A123),'Client Data'!AL201,0)</f>
        <v>0.3</v>
      </c>
      <c r="AM123" s="106">
        <f>IF(OR(AM$190,$A123),'Client Data'!AM201,0)</f>
        <v>0.4</v>
      </c>
      <c r="AN123" s="106">
        <f>IF(OR(AN$190,$A123),'Client Data'!AN201,0)</f>
        <v>0.4</v>
      </c>
      <c r="AO123" s="106">
        <f>IF(OR(AO$190,$A123),'Client Data'!AO201,0)</f>
        <v>0.4</v>
      </c>
      <c r="AP123" s="106">
        <f>IF(OR(AP$190,$A123),'Client Data'!AP201,0)</f>
        <v>0.5</v>
      </c>
      <c r="AQ123" s="106">
        <f>IF(OR(AQ$190,$A123),'Client Data'!AQ201,0)</f>
        <v>0.3</v>
      </c>
      <c r="AR123" s="106">
        <f>IF(OR(AR$190,$A123),'Client Data'!AR201,0)</f>
        <v>0.4</v>
      </c>
      <c r="AS123" s="106">
        <f>IF(OR(AS$190,$A123),'Client Data'!AS201,0)</f>
        <v>0.5</v>
      </c>
      <c r="AT123" s="106">
        <f>IF(OR(AT$190,$A123),'Client Data'!AT201,0)</f>
        <v>0.3</v>
      </c>
      <c r="AU123" s="106">
        <f>IF(OR(AU$190,$A123),'Client Data'!AU201,0)</f>
        <v>0.6</v>
      </c>
      <c r="AV123" s="106">
        <f>IF(OR(AV$190,$A123),'Client Data'!AV201,0)</f>
        <v>0.3</v>
      </c>
      <c r="AW123" s="106">
        <f>IF(OR(AW$190,$A123),'Client Data'!AW201,0)</f>
        <v>0.4</v>
      </c>
      <c r="AX123" s="106">
        <f>IF(OR(AX$190,$A123),'Client Data'!AX201,0)</f>
        <v>0.4</v>
      </c>
      <c r="AY123" s="106">
        <f>IF(OR(AY$190,$A123),'Client Data'!AY201,0)</f>
        <v>0.4</v>
      </c>
      <c r="AZ123" s="106">
        <f>IF(OR(AZ$190,$A123),'Client Data'!AZ201,0)</f>
        <v>0.4</v>
      </c>
      <c r="BA123" s="106">
        <f>IF(OR(BA$190,$A123),'Client Data'!BA201,0)</f>
        <v>0.4</v>
      </c>
      <c r="BB123" s="106">
        <f>IF(OR(BB$190,$A123),'Client Data'!BB201,0)</f>
        <v>0.2</v>
      </c>
      <c r="BC123" s="104">
        <f t="shared" si="59"/>
        <v>21.299999999999997</v>
      </c>
    </row>
    <row r="124" spans="1:55" x14ac:dyDescent="0.25">
      <c r="A124">
        <f t="shared" si="66"/>
        <v>3</v>
      </c>
      <c r="B124" s="104" t="str">
        <f>'Client Data'!B202</f>
        <v>DownTime D</v>
      </c>
      <c r="C124" s="106">
        <f>IF(OR(C$190,$A124),'Client Data'!C202,0)</f>
        <v>0</v>
      </c>
      <c r="D124" s="106">
        <f>IF(OR(D$190,$A124),'Client Data'!D202,0)</f>
        <v>0</v>
      </c>
      <c r="E124" s="106">
        <f>IF(OR(E$190,$A124),'Client Data'!E202,0)</f>
        <v>0</v>
      </c>
      <c r="F124" s="106">
        <f>IF(OR(F$190,$A124),'Client Data'!F202,0)</f>
        <v>0</v>
      </c>
      <c r="G124" s="106">
        <f>IF(OR(G$190,$A124),'Client Data'!G202,0)</f>
        <v>0</v>
      </c>
      <c r="H124" s="106">
        <f>IF(OR(H$190,$A124),'Client Data'!H202,0)</f>
        <v>0</v>
      </c>
      <c r="I124" s="106">
        <f>IF(OR(I$190,$A124),'Client Data'!I202,0)</f>
        <v>0</v>
      </c>
      <c r="J124" s="106">
        <f>IF(OR(J$190,$A124),'Client Data'!J202,0)</f>
        <v>0</v>
      </c>
      <c r="K124" s="106">
        <f>IF(OR(K$190,$A124),'Client Data'!K202,0)</f>
        <v>0</v>
      </c>
      <c r="L124" s="106">
        <f>IF(OR(L$190,$A124),'Client Data'!L202,0)</f>
        <v>0</v>
      </c>
      <c r="M124" s="106">
        <f>IF(OR(M$190,$A124),'Client Data'!M202,0)</f>
        <v>0</v>
      </c>
      <c r="N124" s="106">
        <f>IF(OR(N$190,$A124),'Client Data'!N202,0)</f>
        <v>0</v>
      </c>
      <c r="O124" s="106">
        <f>IF(OR(O$190,$A124),'Client Data'!O202,0)</f>
        <v>0</v>
      </c>
      <c r="P124" s="106">
        <f>IF(OR(P$190,$A124),'Client Data'!P202,0)</f>
        <v>0</v>
      </c>
      <c r="Q124" s="106">
        <f>IF(OR(Q$190,$A124),'Client Data'!Q202,0)</f>
        <v>0</v>
      </c>
      <c r="R124" s="106">
        <f>IF(OR(R$190,$A124),'Client Data'!R202,0)</f>
        <v>0</v>
      </c>
      <c r="S124" s="106">
        <f>IF(OR(S$190,$A124),'Client Data'!S202,0)</f>
        <v>0</v>
      </c>
      <c r="T124" s="106">
        <f>IF(OR(T$190,$A124),'Client Data'!T202,0)</f>
        <v>0</v>
      </c>
      <c r="U124" s="106">
        <f>IF(OR(U$190,$A124),'Client Data'!U202,0)</f>
        <v>0</v>
      </c>
      <c r="V124" s="106">
        <f>IF(OR(V$190,$A124),'Client Data'!V202,0)</f>
        <v>0</v>
      </c>
      <c r="W124" s="106">
        <f>IF(OR(W$190,$A124),'Client Data'!W202,0)</f>
        <v>0</v>
      </c>
      <c r="X124" s="106">
        <f>IF(OR(X$190,$A124),'Client Data'!X202,0)</f>
        <v>0</v>
      </c>
      <c r="Y124" s="106">
        <f>IF(OR(Y$190,$A124),'Client Data'!Y202,0)</f>
        <v>0</v>
      </c>
      <c r="Z124" s="106">
        <f>IF(OR(Z$190,$A124),'Client Data'!Z202,0)</f>
        <v>0</v>
      </c>
      <c r="AA124" s="106">
        <f>IF(OR(AA$190,$A124),'Client Data'!AA202,0)</f>
        <v>0</v>
      </c>
      <c r="AB124" s="106">
        <f>IF(OR(AB$190,$A124),'Client Data'!AB202,0)</f>
        <v>0</v>
      </c>
      <c r="AC124" s="106">
        <f>IF(OR(AC$190,$A124),'Client Data'!AC202,0)</f>
        <v>0</v>
      </c>
      <c r="AD124" s="106">
        <f>IF(OR(AD$190,$A124),'Client Data'!AD202,0)</f>
        <v>0</v>
      </c>
      <c r="AE124" s="106">
        <f>IF(OR(AE$190,$A124),'Client Data'!AE202,0)</f>
        <v>0</v>
      </c>
      <c r="AF124" s="106">
        <f>IF(OR(AF$190,$A124),'Client Data'!AF202,0)</f>
        <v>0</v>
      </c>
      <c r="AG124" s="106">
        <f>IF(OR(AG$190,$A124),'Client Data'!AG202,0)</f>
        <v>0</v>
      </c>
      <c r="AH124" s="106">
        <f>IF(OR(AH$190,$A124),'Client Data'!AH202,0)</f>
        <v>0</v>
      </c>
      <c r="AI124" s="106">
        <f>IF(OR(AI$190,$A124),'Client Data'!AI202,0)</f>
        <v>0</v>
      </c>
      <c r="AJ124" s="106">
        <f>IF(OR(AJ$190,$A124),'Client Data'!AJ202,0)</f>
        <v>0</v>
      </c>
      <c r="AK124" s="106">
        <f>IF(OR(AK$190,$A124),'Client Data'!AK202,0)</f>
        <v>0</v>
      </c>
      <c r="AL124" s="106">
        <f>IF(OR(AL$190,$A124),'Client Data'!AL202,0)</f>
        <v>0</v>
      </c>
      <c r="AM124" s="106">
        <f>IF(OR(AM$190,$A124),'Client Data'!AM202,0)</f>
        <v>0</v>
      </c>
      <c r="AN124" s="106">
        <f>IF(OR(AN$190,$A124),'Client Data'!AN202,0)</f>
        <v>0</v>
      </c>
      <c r="AO124" s="106">
        <f>IF(OR(AO$190,$A124),'Client Data'!AO202,0)</f>
        <v>0</v>
      </c>
      <c r="AP124" s="106">
        <f>IF(OR(AP$190,$A124),'Client Data'!AP202,0)</f>
        <v>0</v>
      </c>
      <c r="AQ124" s="106">
        <f>IF(OR(AQ$190,$A124),'Client Data'!AQ202,0)</f>
        <v>0</v>
      </c>
      <c r="AR124" s="106">
        <f>IF(OR(AR$190,$A124),'Client Data'!AR202,0)</f>
        <v>0</v>
      </c>
      <c r="AS124" s="106">
        <f>IF(OR(AS$190,$A124),'Client Data'!AS202,0)</f>
        <v>0</v>
      </c>
      <c r="AT124" s="106">
        <f>IF(OR(AT$190,$A124),'Client Data'!AT202,0)</f>
        <v>0</v>
      </c>
      <c r="AU124" s="106">
        <f>IF(OR(AU$190,$A124),'Client Data'!AU202,0)</f>
        <v>0</v>
      </c>
      <c r="AV124" s="106">
        <f>IF(OR(AV$190,$A124),'Client Data'!AV202,0)</f>
        <v>0</v>
      </c>
      <c r="AW124" s="106">
        <f>IF(OR(AW$190,$A124),'Client Data'!AW202,0)</f>
        <v>0</v>
      </c>
      <c r="AX124" s="106">
        <f>IF(OR(AX$190,$A124),'Client Data'!AX202,0)</f>
        <v>0</v>
      </c>
      <c r="AY124" s="106">
        <f>IF(OR(AY$190,$A124),'Client Data'!AY202,0)</f>
        <v>0</v>
      </c>
      <c r="AZ124" s="106">
        <f>IF(OR(AZ$190,$A124),'Client Data'!AZ202,0)</f>
        <v>0</v>
      </c>
      <c r="BA124" s="106">
        <f>IF(OR(BA$190,$A124),'Client Data'!BA202,0)</f>
        <v>0</v>
      </c>
      <c r="BB124" s="106">
        <f>IF(OR(BB$190,$A124),'Client Data'!BB202,0)</f>
        <v>0</v>
      </c>
      <c r="BC124" s="104">
        <f t="shared" si="59"/>
        <v>0</v>
      </c>
    </row>
    <row r="125" spans="1:55" x14ac:dyDescent="0.25">
      <c r="A125">
        <f t="shared" si="66"/>
        <v>2</v>
      </c>
      <c r="B125" s="104" t="str">
        <f>'Client Data'!B203</f>
        <v>DownTime E</v>
      </c>
      <c r="C125" s="106">
        <f>IF(OR(C$190,$A125),'Client Data'!C203,0)</f>
        <v>0</v>
      </c>
      <c r="D125" s="106">
        <f>IF(OR(D$190,$A125),'Client Data'!D203,0)</f>
        <v>0</v>
      </c>
      <c r="E125" s="106">
        <f>IF(OR(E$190,$A125),'Client Data'!E203,0)</f>
        <v>0</v>
      </c>
      <c r="F125" s="106">
        <f>IF(OR(F$190,$A125),'Client Data'!F203,0)</f>
        <v>0</v>
      </c>
      <c r="G125" s="106">
        <f>IF(OR(G$190,$A125),'Client Data'!G203,0)</f>
        <v>0</v>
      </c>
      <c r="H125" s="106">
        <f>IF(OR(H$190,$A125),'Client Data'!H203,0)</f>
        <v>0</v>
      </c>
      <c r="I125" s="106">
        <f>IF(OR(I$190,$A125),'Client Data'!I203,0)</f>
        <v>0</v>
      </c>
      <c r="J125" s="106">
        <f>IF(OR(J$190,$A125),'Client Data'!J203,0)</f>
        <v>0</v>
      </c>
      <c r="K125" s="106">
        <f>IF(OR(K$190,$A125),'Client Data'!K203,0)</f>
        <v>0</v>
      </c>
      <c r="L125" s="106">
        <f>IF(OR(L$190,$A125),'Client Data'!L203,0)</f>
        <v>0</v>
      </c>
      <c r="M125" s="106">
        <f>IF(OR(M$190,$A125),'Client Data'!M203,0)</f>
        <v>0</v>
      </c>
      <c r="N125" s="106">
        <f>IF(OR(N$190,$A125),'Client Data'!N203,0)</f>
        <v>0</v>
      </c>
      <c r="O125" s="106">
        <f>IF(OR(O$190,$A125),'Client Data'!O203,0)</f>
        <v>0</v>
      </c>
      <c r="P125" s="106">
        <f>IF(OR(P$190,$A125),'Client Data'!P203,0)</f>
        <v>0</v>
      </c>
      <c r="Q125" s="106">
        <f>IF(OR(Q$190,$A125),'Client Data'!Q203,0)</f>
        <v>0</v>
      </c>
      <c r="R125" s="106">
        <f>IF(OR(R$190,$A125),'Client Data'!R203,0)</f>
        <v>0</v>
      </c>
      <c r="S125" s="106">
        <f>IF(OR(S$190,$A125),'Client Data'!S203,0)</f>
        <v>0</v>
      </c>
      <c r="T125" s="106">
        <f>IF(OR(T$190,$A125),'Client Data'!T203,0)</f>
        <v>0</v>
      </c>
      <c r="U125" s="106">
        <f>IF(OR(U$190,$A125),'Client Data'!U203,0)</f>
        <v>0</v>
      </c>
      <c r="V125" s="106">
        <f>IF(OR(V$190,$A125),'Client Data'!V203,0)</f>
        <v>0</v>
      </c>
      <c r="W125" s="106">
        <f>IF(OR(W$190,$A125),'Client Data'!W203,0)</f>
        <v>0</v>
      </c>
      <c r="X125" s="106">
        <f>IF(OR(X$190,$A125),'Client Data'!X203,0)</f>
        <v>0</v>
      </c>
      <c r="Y125" s="106">
        <f>IF(OR(Y$190,$A125),'Client Data'!Y203,0)</f>
        <v>0</v>
      </c>
      <c r="Z125" s="106">
        <f>IF(OR(Z$190,$A125),'Client Data'!Z203,0)</f>
        <v>0</v>
      </c>
      <c r="AA125" s="106">
        <f>IF(OR(AA$190,$A125),'Client Data'!AA203,0)</f>
        <v>0</v>
      </c>
      <c r="AB125" s="106">
        <f>IF(OR(AB$190,$A125),'Client Data'!AB203,0)</f>
        <v>0</v>
      </c>
      <c r="AC125" s="106">
        <f>IF(OR(AC$190,$A125),'Client Data'!AC203,0)</f>
        <v>0</v>
      </c>
      <c r="AD125" s="106">
        <f>IF(OR(AD$190,$A125),'Client Data'!AD203,0)</f>
        <v>0</v>
      </c>
      <c r="AE125" s="106">
        <f>IF(OR(AE$190,$A125),'Client Data'!AE203,0)</f>
        <v>0</v>
      </c>
      <c r="AF125" s="106">
        <f>IF(OR(AF$190,$A125),'Client Data'!AF203,0)</f>
        <v>0</v>
      </c>
      <c r="AG125" s="106">
        <f>IF(OR(AG$190,$A125),'Client Data'!AG203,0)</f>
        <v>0</v>
      </c>
      <c r="AH125" s="106">
        <f>IF(OR(AH$190,$A125),'Client Data'!AH203,0)</f>
        <v>0</v>
      </c>
      <c r="AI125" s="106">
        <f>IF(OR(AI$190,$A125),'Client Data'!AI203,0)</f>
        <v>0</v>
      </c>
      <c r="AJ125" s="106">
        <f>IF(OR(AJ$190,$A125),'Client Data'!AJ203,0)</f>
        <v>0</v>
      </c>
      <c r="AK125" s="106">
        <f>IF(OR(AK$190,$A125),'Client Data'!AK203,0)</f>
        <v>0</v>
      </c>
      <c r="AL125" s="106">
        <f>IF(OR(AL$190,$A125),'Client Data'!AL203,0)</f>
        <v>0</v>
      </c>
      <c r="AM125" s="106">
        <f>IF(OR(AM$190,$A125),'Client Data'!AM203,0)</f>
        <v>0</v>
      </c>
      <c r="AN125" s="106">
        <f>IF(OR(AN$190,$A125),'Client Data'!AN203,0)</f>
        <v>0</v>
      </c>
      <c r="AO125" s="106">
        <f>IF(OR(AO$190,$A125),'Client Data'!AO203,0)</f>
        <v>0</v>
      </c>
      <c r="AP125" s="106">
        <f>IF(OR(AP$190,$A125),'Client Data'!AP203,0)</f>
        <v>0</v>
      </c>
      <c r="AQ125" s="106">
        <f>IF(OR(AQ$190,$A125),'Client Data'!AQ203,0)</f>
        <v>0</v>
      </c>
      <c r="AR125" s="106">
        <f>IF(OR(AR$190,$A125),'Client Data'!AR203,0)</f>
        <v>0</v>
      </c>
      <c r="AS125" s="106">
        <f>IF(OR(AS$190,$A125),'Client Data'!AS203,0)</f>
        <v>0</v>
      </c>
      <c r="AT125" s="106">
        <f>IF(OR(AT$190,$A125),'Client Data'!AT203,0)</f>
        <v>0</v>
      </c>
      <c r="AU125" s="106">
        <f>IF(OR(AU$190,$A125),'Client Data'!AU203,0)</f>
        <v>0</v>
      </c>
      <c r="AV125" s="106">
        <f>IF(OR(AV$190,$A125),'Client Data'!AV203,0)</f>
        <v>0</v>
      </c>
      <c r="AW125" s="106">
        <f>IF(OR(AW$190,$A125),'Client Data'!AW203,0)</f>
        <v>0</v>
      </c>
      <c r="AX125" s="106">
        <f>IF(OR(AX$190,$A125),'Client Data'!AX203,0)</f>
        <v>0</v>
      </c>
      <c r="AY125" s="106">
        <f>IF(OR(AY$190,$A125),'Client Data'!AY203,0)</f>
        <v>0</v>
      </c>
      <c r="AZ125" s="106">
        <f>IF(OR(AZ$190,$A125),'Client Data'!AZ203,0)</f>
        <v>0</v>
      </c>
      <c r="BA125" s="106">
        <f>IF(OR(BA$190,$A125),'Client Data'!BA203,0)</f>
        <v>0</v>
      </c>
      <c r="BB125" s="106">
        <f>IF(OR(BB$190,$A125),'Client Data'!BB203,0)</f>
        <v>0</v>
      </c>
      <c r="BC125" s="104">
        <f t="shared" si="59"/>
        <v>0</v>
      </c>
    </row>
    <row r="126" spans="1:55" x14ac:dyDescent="0.25">
      <c r="A126">
        <f t="shared" si="66"/>
        <v>1</v>
      </c>
      <c r="B126" s="104" t="str">
        <f>'Client Data'!B204</f>
        <v>DownTime F</v>
      </c>
      <c r="C126" s="106">
        <f>IF(OR(C$190,$A126),'Client Data'!C204,0)</f>
        <v>0</v>
      </c>
      <c r="D126" s="106">
        <f>IF(OR(D$190,$A126),'Client Data'!D204,0)</f>
        <v>0</v>
      </c>
      <c r="E126" s="106">
        <f>IF(OR(E$190,$A126),'Client Data'!E204,0)</f>
        <v>0</v>
      </c>
      <c r="F126" s="106">
        <f>IF(OR(F$190,$A126),'Client Data'!F204,0)</f>
        <v>0</v>
      </c>
      <c r="G126" s="106">
        <f>IF(OR(G$190,$A126),'Client Data'!G204,0)</f>
        <v>0</v>
      </c>
      <c r="H126" s="106">
        <f>IF(OR(H$190,$A126),'Client Data'!H204,0)</f>
        <v>0</v>
      </c>
      <c r="I126" s="106">
        <f>IF(OR(I$190,$A126),'Client Data'!I204,0)</f>
        <v>0</v>
      </c>
      <c r="J126" s="106">
        <f>IF(OR(J$190,$A126),'Client Data'!J204,0)</f>
        <v>0</v>
      </c>
      <c r="K126" s="106">
        <f>IF(OR(K$190,$A126),'Client Data'!K204,0)</f>
        <v>0</v>
      </c>
      <c r="L126" s="106">
        <f>IF(OR(L$190,$A126),'Client Data'!L204,0)</f>
        <v>0</v>
      </c>
      <c r="M126" s="106">
        <f>IF(OR(M$190,$A126),'Client Data'!M204,0)</f>
        <v>0</v>
      </c>
      <c r="N126" s="106">
        <f>IF(OR(N$190,$A126),'Client Data'!N204,0)</f>
        <v>0</v>
      </c>
      <c r="O126" s="106">
        <f>IF(OR(O$190,$A126),'Client Data'!O204,0)</f>
        <v>0</v>
      </c>
      <c r="P126" s="106">
        <f>IF(OR(P$190,$A126),'Client Data'!P204,0)</f>
        <v>0</v>
      </c>
      <c r="Q126" s="106">
        <f>IF(OR(Q$190,$A126),'Client Data'!Q204,0)</f>
        <v>0</v>
      </c>
      <c r="R126" s="106">
        <f>IF(OR(R$190,$A126),'Client Data'!R204,0)</f>
        <v>0</v>
      </c>
      <c r="S126" s="106">
        <f>IF(OR(S$190,$A126),'Client Data'!S204,0)</f>
        <v>0</v>
      </c>
      <c r="T126" s="106">
        <f>IF(OR(T$190,$A126),'Client Data'!T204,0)</f>
        <v>0</v>
      </c>
      <c r="U126" s="106">
        <f>IF(OR(U$190,$A126),'Client Data'!U204,0)</f>
        <v>0</v>
      </c>
      <c r="V126" s="106">
        <f>IF(OR(V$190,$A126),'Client Data'!V204,0)</f>
        <v>0</v>
      </c>
      <c r="W126" s="106">
        <f>IF(OR(W$190,$A126),'Client Data'!W204,0)</f>
        <v>0</v>
      </c>
      <c r="X126" s="106">
        <f>IF(OR(X$190,$A126),'Client Data'!X204,0)</f>
        <v>0</v>
      </c>
      <c r="Y126" s="106">
        <f>IF(OR(Y$190,$A126),'Client Data'!Y204,0)</f>
        <v>0</v>
      </c>
      <c r="Z126" s="106">
        <f>IF(OR(Z$190,$A126),'Client Data'!Z204,0)</f>
        <v>0</v>
      </c>
      <c r="AA126" s="106">
        <f>IF(OR(AA$190,$A126),'Client Data'!AA204,0)</f>
        <v>0</v>
      </c>
      <c r="AB126" s="106">
        <f>IF(OR(AB$190,$A126),'Client Data'!AB204,0)</f>
        <v>0</v>
      </c>
      <c r="AC126" s="106">
        <f>IF(OR(AC$190,$A126),'Client Data'!AC204,0)</f>
        <v>0</v>
      </c>
      <c r="AD126" s="106">
        <f>IF(OR(AD$190,$A126),'Client Data'!AD204,0)</f>
        <v>0</v>
      </c>
      <c r="AE126" s="106">
        <f>IF(OR(AE$190,$A126),'Client Data'!AE204,0)</f>
        <v>0</v>
      </c>
      <c r="AF126" s="106">
        <f>IF(OR(AF$190,$A126),'Client Data'!AF204,0)</f>
        <v>0</v>
      </c>
      <c r="AG126" s="106">
        <f>IF(OR(AG$190,$A126),'Client Data'!AG204,0)</f>
        <v>0</v>
      </c>
      <c r="AH126" s="106">
        <f>IF(OR(AH$190,$A126),'Client Data'!AH204,0)</f>
        <v>0</v>
      </c>
      <c r="AI126" s="106">
        <f>IF(OR(AI$190,$A126),'Client Data'!AI204,0)</f>
        <v>0</v>
      </c>
      <c r="AJ126" s="106">
        <f>IF(OR(AJ$190,$A126),'Client Data'!AJ204,0)</f>
        <v>0</v>
      </c>
      <c r="AK126" s="106">
        <f>IF(OR(AK$190,$A126),'Client Data'!AK204,0)</f>
        <v>0</v>
      </c>
      <c r="AL126" s="106">
        <f>IF(OR(AL$190,$A126),'Client Data'!AL204,0)</f>
        <v>0</v>
      </c>
      <c r="AM126" s="106">
        <f>IF(OR(AM$190,$A126),'Client Data'!AM204,0)</f>
        <v>0</v>
      </c>
      <c r="AN126" s="106">
        <f>IF(OR(AN$190,$A126),'Client Data'!AN204,0)</f>
        <v>0</v>
      </c>
      <c r="AO126" s="106">
        <f>IF(OR(AO$190,$A126),'Client Data'!AO204,0)</f>
        <v>0</v>
      </c>
      <c r="AP126" s="106">
        <f>IF(OR(AP$190,$A126),'Client Data'!AP204,0)</f>
        <v>0</v>
      </c>
      <c r="AQ126" s="106">
        <f>IF(OR(AQ$190,$A126),'Client Data'!AQ204,0)</f>
        <v>0</v>
      </c>
      <c r="AR126" s="106">
        <f>IF(OR(AR$190,$A126),'Client Data'!AR204,0)</f>
        <v>0</v>
      </c>
      <c r="AS126" s="106">
        <f>IF(OR(AS$190,$A126),'Client Data'!AS204,0)</f>
        <v>0</v>
      </c>
      <c r="AT126" s="106">
        <f>IF(OR(AT$190,$A126),'Client Data'!AT204,0)</f>
        <v>0</v>
      </c>
      <c r="AU126" s="106">
        <f>IF(OR(AU$190,$A126),'Client Data'!AU204,0)</f>
        <v>0</v>
      </c>
      <c r="AV126" s="106">
        <f>IF(OR(AV$190,$A126),'Client Data'!AV204,0)</f>
        <v>0</v>
      </c>
      <c r="AW126" s="106">
        <f>IF(OR(AW$190,$A126),'Client Data'!AW204,0)</f>
        <v>0</v>
      </c>
      <c r="AX126" s="106">
        <f>IF(OR(AX$190,$A126),'Client Data'!AX204,0)</f>
        <v>0</v>
      </c>
      <c r="AY126" s="106">
        <f>IF(OR(AY$190,$A126),'Client Data'!AY204,0)</f>
        <v>0</v>
      </c>
      <c r="AZ126" s="106">
        <f>IF(OR(AZ$190,$A126),'Client Data'!AZ204,0)</f>
        <v>0</v>
      </c>
      <c r="BA126" s="106">
        <f>IF(OR(BA$190,$A126),'Client Data'!BA204,0)</f>
        <v>0</v>
      </c>
      <c r="BB126" s="106">
        <f>IF(OR(BB$190,$A126),'Client Data'!BB204,0)</f>
        <v>0</v>
      </c>
      <c r="BC126" s="104">
        <f t="shared" si="59"/>
        <v>0</v>
      </c>
    </row>
    <row r="127" spans="1:55" x14ac:dyDescent="0.25">
      <c r="A127">
        <f>A120-1</f>
        <v>5</v>
      </c>
      <c r="B127" s="105" t="str">
        <f>'Client Data'!B205</f>
        <v>Tool USDT D (Hour)</v>
      </c>
      <c r="C127" s="105">
        <f t="shared" ref="C127:AH127" si="67">IF(OR(C$190&gt;0,$A127),SUM(C128:C133),0)</f>
        <v>0.5</v>
      </c>
      <c r="D127" s="105">
        <f t="shared" si="67"/>
        <v>0.3</v>
      </c>
      <c r="E127" s="105">
        <f t="shared" si="67"/>
        <v>0.6</v>
      </c>
      <c r="F127" s="105">
        <f t="shared" si="67"/>
        <v>0.3</v>
      </c>
      <c r="G127" s="105">
        <f t="shared" si="67"/>
        <v>0.4</v>
      </c>
      <c r="H127" s="105">
        <f t="shared" si="67"/>
        <v>0.4</v>
      </c>
      <c r="I127" s="105">
        <f t="shared" si="67"/>
        <v>0.5</v>
      </c>
      <c r="J127" s="105">
        <f t="shared" si="67"/>
        <v>0.3</v>
      </c>
      <c r="K127" s="105">
        <f t="shared" si="67"/>
        <v>0.6</v>
      </c>
      <c r="L127" s="105">
        <f t="shared" si="67"/>
        <v>0.3</v>
      </c>
      <c r="M127" s="105">
        <f t="shared" si="67"/>
        <v>0.4</v>
      </c>
      <c r="N127" s="105">
        <f t="shared" si="67"/>
        <v>0.5</v>
      </c>
      <c r="O127" s="105">
        <f t="shared" si="67"/>
        <v>0.3</v>
      </c>
      <c r="P127" s="105">
        <f t="shared" si="67"/>
        <v>0.6</v>
      </c>
      <c r="Q127" s="105">
        <f t="shared" si="67"/>
        <v>0.3</v>
      </c>
      <c r="R127" s="105">
        <f t="shared" si="67"/>
        <v>0.4</v>
      </c>
      <c r="S127" s="105">
        <f t="shared" si="67"/>
        <v>0.4</v>
      </c>
      <c r="T127" s="105">
        <f t="shared" si="67"/>
        <v>0.5</v>
      </c>
      <c r="U127" s="105">
        <f t="shared" si="67"/>
        <v>0.3</v>
      </c>
      <c r="V127" s="105">
        <f t="shared" si="67"/>
        <v>0.6</v>
      </c>
      <c r="W127" s="105">
        <f t="shared" si="67"/>
        <v>0.3</v>
      </c>
      <c r="X127" s="105">
        <f t="shared" si="67"/>
        <v>0.4</v>
      </c>
      <c r="Y127" s="105">
        <f t="shared" si="67"/>
        <v>0.5</v>
      </c>
      <c r="Z127" s="105">
        <f t="shared" si="67"/>
        <v>0.3</v>
      </c>
      <c r="AA127" s="105">
        <f t="shared" si="67"/>
        <v>0.6</v>
      </c>
      <c r="AB127" s="105">
        <f t="shared" si="67"/>
        <v>0.3</v>
      </c>
      <c r="AC127" s="105">
        <f t="shared" si="67"/>
        <v>0.4</v>
      </c>
      <c r="AD127" s="105">
        <f t="shared" si="67"/>
        <v>0.4</v>
      </c>
      <c r="AE127" s="105">
        <f t="shared" si="67"/>
        <v>0.5</v>
      </c>
      <c r="AF127" s="105">
        <f t="shared" si="67"/>
        <v>0.3</v>
      </c>
      <c r="AG127" s="105">
        <f t="shared" si="67"/>
        <v>0.6</v>
      </c>
      <c r="AH127" s="105">
        <f t="shared" si="67"/>
        <v>0.3</v>
      </c>
      <c r="AI127" s="105">
        <f t="shared" ref="AI127:BB127" si="68">IF(OR(AI$190&gt;0,$A127),SUM(AI128:AI133),0)</f>
        <v>0.4</v>
      </c>
      <c r="AJ127" s="105">
        <f t="shared" si="68"/>
        <v>0.4</v>
      </c>
      <c r="AK127" s="105">
        <f t="shared" si="68"/>
        <v>0.4</v>
      </c>
      <c r="AL127" s="105">
        <f t="shared" si="68"/>
        <v>0.5</v>
      </c>
      <c r="AM127" s="105">
        <f t="shared" si="68"/>
        <v>0.3</v>
      </c>
      <c r="AN127" s="105">
        <f t="shared" si="68"/>
        <v>0.4</v>
      </c>
      <c r="AO127" s="105">
        <f t="shared" si="68"/>
        <v>0.5</v>
      </c>
      <c r="AP127" s="105">
        <f t="shared" si="68"/>
        <v>0.3</v>
      </c>
      <c r="AQ127" s="105">
        <f t="shared" si="68"/>
        <v>0.6</v>
      </c>
      <c r="AR127" s="105">
        <f t="shared" si="68"/>
        <v>0.3</v>
      </c>
      <c r="AS127" s="105">
        <f t="shared" si="68"/>
        <v>0.4</v>
      </c>
      <c r="AT127" s="105">
        <f t="shared" si="68"/>
        <v>0.4</v>
      </c>
      <c r="AU127" s="105">
        <f t="shared" si="68"/>
        <v>0.4</v>
      </c>
      <c r="AV127" s="105">
        <f t="shared" si="68"/>
        <v>0.4</v>
      </c>
      <c r="AW127" s="105">
        <f t="shared" si="68"/>
        <v>0.4</v>
      </c>
      <c r="AX127" s="105">
        <f t="shared" si="68"/>
        <v>0.6</v>
      </c>
      <c r="AY127" s="105">
        <f t="shared" si="68"/>
        <v>0.4</v>
      </c>
      <c r="AZ127" s="105">
        <f t="shared" si="68"/>
        <v>0.4</v>
      </c>
      <c r="BA127" s="105">
        <f t="shared" si="68"/>
        <v>0.4</v>
      </c>
      <c r="BB127" s="105">
        <f t="shared" si="68"/>
        <v>0.2</v>
      </c>
      <c r="BC127" s="105">
        <f t="shared" si="59"/>
        <v>21.499999999999996</v>
      </c>
    </row>
    <row r="128" spans="1:55" x14ac:dyDescent="0.25">
      <c r="A128">
        <f>IF(A$127&gt;0,A121,0)</f>
        <v>6</v>
      </c>
      <c r="B128" s="104" t="str">
        <f>'Client Data'!B206</f>
        <v>DownTime A</v>
      </c>
      <c r="C128" s="106">
        <f>IF(OR(C$190,$A128),'Client Data'!C206,0)</f>
        <v>0</v>
      </c>
      <c r="D128" s="106">
        <f>IF(OR(D$190,$A128),'Client Data'!D206,0)</f>
        <v>0</v>
      </c>
      <c r="E128" s="106">
        <f>IF(OR(E$190,$A128),'Client Data'!E206,0)</f>
        <v>0</v>
      </c>
      <c r="F128" s="106">
        <f>IF(OR(F$190,$A128),'Client Data'!F206,0)</f>
        <v>0</v>
      </c>
      <c r="G128" s="106">
        <f>IF(OR(G$190,$A128),'Client Data'!G206,0)</f>
        <v>0</v>
      </c>
      <c r="H128" s="106">
        <f>IF(OR(H$190,$A128),'Client Data'!H206,0)</f>
        <v>0</v>
      </c>
      <c r="I128" s="106">
        <f>IF(OR(I$190,$A128),'Client Data'!I206,0)</f>
        <v>0</v>
      </c>
      <c r="J128" s="106">
        <f>IF(OR(J$190,$A128),'Client Data'!J206,0)</f>
        <v>0</v>
      </c>
      <c r="K128" s="106">
        <f>IF(OR(K$190,$A128),'Client Data'!K206,0)</f>
        <v>0</v>
      </c>
      <c r="L128" s="106">
        <f>IF(OR(L$190,$A128),'Client Data'!L206,0)</f>
        <v>0</v>
      </c>
      <c r="M128" s="106">
        <f>IF(OR(M$190,$A128),'Client Data'!M206,0)</f>
        <v>0</v>
      </c>
      <c r="N128" s="106">
        <f>IF(OR(N$190,$A128),'Client Data'!N206,0)</f>
        <v>0</v>
      </c>
      <c r="O128" s="106">
        <f>IF(OR(O$190,$A128),'Client Data'!O206,0)</f>
        <v>0</v>
      </c>
      <c r="P128" s="106">
        <f>IF(OR(P$190,$A128),'Client Data'!P206,0)</f>
        <v>0</v>
      </c>
      <c r="Q128" s="106">
        <f>IF(OR(Q$190,$A128),'Client Data'!Q206,0)</f>
        <v>0</v>
      </c>
      <c r="R128" s="106">
        <f>IF(OR(R$190,$A128),'Client Data'!R206,0)</f>
        <v>0</v>
      </c>
      <c r="S128" s="106">
        <f>IF(OR(S$190,$A128),'Client Data'!S206,0)</f>
        <v>0</v>
      </c>
      <c r="T128" s="106">
        <f>IF(OR(T$190,$A128),'Client Data'!T206,0)</f>
        <v>0</v>
      </c>
      <c r="U128" s="106">
        <f>IF(OR(U$190,$A128),'Client Data'!U206,0)</f>
        <v>0</v>
      </c>
      <c r="V128" s="106">
        <f>IF(OR(V$190,$A128),'Client Data'!V206,0)</f>
        <v>0</v>
      </c>
      <c r="W128" s="106">
        <f>IF(OR(W$190,$A128),'Client Data'!W206,0)</f>
        <v>0</v>
      </c>
      <c r="X128" s="106">
        <f>IF(OR(X$190,$A128),'Client Data'!X206,0)</f>
        <v>0</v>
      </c>
      <c r="Y128" s="106">
        <f>IF(OR(Y$190,$A128),'Client Data'!Y206,0)</f>
        <v>0</v>
      </c>
      <c r="Z128" s="106">
        <f>IF(OR(Z$190,$A128),'Client Data'!Z206,0)</f>
        <v>0</v>
      </c>
      <c r="AA128" s="106">
        <f>IF(OR(AA$190,$A128),'Client Data'!AA206,0)</f>
        <v>0</v>
      </c>
      <c r="AB128" s="106">
        <f>IF(OR(AB$190,$A128),'Client Data'!AB206,0)</f>
        <v>0</v>
      </c>
      <c r="AC128" s="106">
        <f>IF(OR(AC$190,$A128),'Client Data'!AC206,0)</f>
        <v>0</v>
      </c>
      <c r="AD128" s="106">
        <f>IF(OR(AD$190,$A128),'Client Data'!AD206,0)</f>
        <v>0</v>
      </c>
      <c r="AE128" s="106">
        <f>IF(OR(AE$190,$A128),'Client Data'!AE206,0)</f>
        <v>0</v>
      </c>
      <c r="AF128" s="106">
        <f>IF(OR(AF$190,$A128),'Client Data'!AF206,0)</f>
        <v>0</v>
      </c>
      <c r="AG128" s="106">
        <f>IF(OR(AG$190,$A128),'Client Data'!AG206,0)</f>
        <v>0</v>
      </c>
      <c r="AH128" s="106">
        <f>IF(OR(AH$190,$A128),'Client Data'!AH206,0)</f>
        <v>0</v>
      </c>
      <c r="AI128" s="106">
        <f>IF(OR(AI$190,$A128),'Client Data'!AI206,0)</f>
        <v>0</v>
      </c>
      <c r="AJ128" s="106">
        <f>IF(OR(AJ$190,$A128),'Client Data'!AJ206,0)</f>
        <v>0</v>
      </c>
      <c r="AK128" s="106">
        <f>IF(OR(AK$190,$A128),'Client Data'!AK206,0)</f>
        <v>0</v>
      </c>
      <c r="AL128" s="106">
        <f>IF(OR(AL$190,$A128),'Client Data'!AL206,0)</f>
        <v>0</v>
      </c>
      <c r="AM128" s="106">
        <f>IF(OR(AM$190,$A128),'Client Data'!AM206,0)</f>
        <v>0</v>
      </c>
      <c r="AN128" s="106">
        <f>IF(OR(AN$190,$A128),'Client Data'!AN206,0)</f>
        <v>0</v>
      </c>
      <c r="AO128" s="106">
        <f>IF(OR(AO$190,$A128),'Client Data'!AO206,0)</f>
        <v>0</v>
      </c>
      <c r="AP128" s="106">
        <f>IF(OR(AP$190,$A128),'Client Data'!AP206,0)</f>
        <v>0</v>
      </c>
      <c r="AQ128" s="106">
        <f>IF(OR(AQ$190,$A128),'Client Data'!AQ206,0)</f>
        <v>0</v>
      </c>
      <c r="AR128" s="106">
        <f>IF(OR(AR$190,$A128),'Client Data'!AR206,0)</f>
        <v>0</v>
      </c>
      <c r="AS128" s="106">
        <f>IF(OR(AS$190,$A128),'Client Data'!AS206,0)</f>
        <v>0</v>
      </c>
      <c r="AT128" s="106">
        <f>IF(OR(AT$190,$A128),'Client Data'!AT206,0)</f>
        <v>0</v>
      </c>
      <c r="AU128" s="106">
        <f>IF(OR(AU$190,$A128),'Client Data'!AU206,0)</f>
        <v>0</v>
      </c>
      <c r="AV128" s="106">
        <f>IF(OR(AV$190,$A128),'Client Data'!AV206,0)</f>
        <v>0</v>
      </c>
      <c r="AW128" s="106">
        <f>IF(OR(AW$190,$A128),'Client Data'!AW206,0)</f>
        <v>0</v>
      </c>
      <c r="AX128" s="106">
        <f>IF(OR(AX$190,$A128),'Client Data'!AX206,0)</f>
        <v>0</v>
      </c>
      <c r="AY128" s="106">
        <f>IF(OR(AY$190,$A128),'Client Data'!AY206,0)</f>
        <v>0</v>
      </c>
      <c r="AZ128" s="106">
        <f>IF(OR(AZ$190,$A128),'Client Data'!AZ206,0)</f>
        <v>0</v>
      </c>
      <c r="BA128" s="106">
        <f>IF(OR(BA$190,$A128),'Client Data'!BA206,0)</f>
        <v>0</v>
      </c>
      <c r="BB128" s="106">
        <f>IF(OR(BB$190,$A128),'Client Data'!BB206,0)</f>
        <v>0</v>
      </c>
      <c r="BC128" s="104">
        <f t="shared" si="59"/>
        <v>0</v>
      </c>
    </row>
    <row r="129" spans="1:55" x14ac:dyDescent="0.25">
      <c r="A129">
        <f>IF(A$127&gt;0,A128-1,0)</f>
        <v>5</v>
      </c>
      <c r="B129" s="104" t="str">
        <f>'Client Data'!B207</f>
        <v>DownTime B</v>
      </c>
      <c r="C129" s="106">
        <f>IF(OR(C$190,$A129),'Client Data'!C207,0)</f>
        <v>0</v>
      </c>
      <c r="D129" s="106">
        <f>IF(OR(D$190,$A129),'Client Data'!D207,0)</f>
        <v>0</v>
      </c>
      <c r="E129" s="106">
        <f>IF(OR(E$190,$A129),'Client Data'!E207,0)</f>
        <v>0</v>
      </c>
      <c r="F129" s="106">
        <f>IF(OR(F$190,$A129),'Client Data'!F207,0)</f>
        <v>0</v>
      </c>
      <c r="G129" s="106">
        <f>IF(OR(G$190,$A129),'Client Data'!G207,0)</f>
        <v>0</v>
      </c>
      <c r="H129" s="106">
        <f>IF(OR(H$190,$A129),'Client Data'!H207,0)</f>
        <v>0</v>
      </c>
      <c r="I129" s="106">
        <f>IF(OR(I$190,$A129),'Client Data'!I207,0)</f>
        <v>0</v>
      </c>
      <c r="J129" s="106">
        <f>IF(OR(J$190,$A129),'Client Data'!J207,0)</f>
        <v>0</v>
      </c>
      <c r="K129" s="106">
        <f>IF(OR(K$190,$A129),'Client Data'!K207,0)</f>
        <v>0</v>
      </c>
      <c r="L129" s="106">
        <f>IF(OR(L$190,$A129),'Client Data'!L207,0)</f>
        <v>0</v>
      </c>
      <c r="M129" s="106">
        <f>IF(OR(M$190,$A129),'Client Data'!M207,0)</f>
        <v>0</v>
      </c>
      <c r="N129" s="106">
        <f>IF(OR(N$190,$A129),'Client Data'!N207,0)</f>
        <v>0</v>
      </c>
      <c r="O129" s="106">
        <f>IF(OR(O$190,$A129),'Client Data'!O207,0)</f>
        <v>0</v>
      </c>
      <c r="P129" s="106">
        <f>IF(OR(P$190,$A129),'Client Data'!P207,0)</f>
        <v>0</v>
      </c>
      <c r="Q129" s="106">
        <f>IF(OR(Q$190,$A129),'Client Data'!Q207,0)</f>
        <v>0</v>
      </c>
      <c r="R129" s="106">
        <f>IF(OR(R$190,$A129),'Client Data'!R207,0)</f>
        <v>0</v>
      </c>
      <c r="S129" s="106">
        <f>IF(OR(S$190,$A129),'Client Data'!S207,0)</f>
        <v>0</v>
      </c>
      <c r="T129" s="106">
        <f>IF(OR(T$190,$A129),'Client Data'!T207,0)</f>
        <v>0</v>
      </c>
      <c r="U129" s="106">
        <f>IF(OR(U$190,$A129),'Client Data'!U207,0)</f>
        <v>0</v>
      </c>
      <c r="V129" s="106">
        <f>IF(OR(V$190,$A129),'Client Data'!V207,0)</f>
        <v>0</v>
      </c>
      <c r="W129" s="106">
        <f>IF(OR(W$190,$A129),'Client Data'!W207,0)</f>
        <v>0</v>
      </c>
      <c r="X129" s="106">
        <f>IF(OR(X$190,$A129),'Client Data'!X207,0)</f>
        <v>0</v>
      </c>
      <c r="Y129" s="106">
        <f>IF(OR(Y$190,$A129),'Client Data'!Y207,0)</f>
        <v>0</v>
      </c>
      <c r="Z129" s="106">
        <f>IF(OR(Z$190,$A129),'Client Data'!Z207,0)</f>
        <v>0</v>
      </c>
      <c r="AA129" s="106">
        <f>IF(OR(AA$190,$A129),'Client Data'!AA207,0)</f>
        <v>0</v>
      </c>
      <c r="AB129" s="106">
        <f>IF(OR(AB$190,$A129),'Client Data'!AB207,0)</f>
        <v>0</v>
      </c>
      <c r="AC129" s="106">
        <f>IF(OR(AC$190,$A129),'Client Data'!AC207,0)</f>
        <v>0</v>
      </c>
      <c r="AD129" s="106">
        <f>IF(OR(AD$190,$A129),'Client Data'!AD207,0)</f>
        <v>0</v>
      </c>
      <c r="AE129" s="106">
        <f>IF(OR(AE$190,$A129),'Client Data'!AE207,0)</f>
        <v>0</v>
      </c>
      <c r="AF129" s="106">
        <f>IF(OR(AF$190,$A129),'Client Data'!AF207,0)</f>
        <v>0</v>
      </c>
      <c r="AG129" s="106">
        <f>IF(OR(AG$190,$A129),'Client Data'!AG207,0)</f>
        <v>0</v>
      </c>
      <c r="AH129" s="106">
        <f>IF(OR(AH$190,$A129),'Client Data'!AH207,0)</f>
        <v>0</v>
      </c>
      <c r="AI129" s="106">
        <f>IF(OR(AI$190,$A129),'Client Data'!AI207,0)</f>
        <v>0</v>
      </c>
      <c r="AJ129" s="106">
        <f>IF(OR(AJ$190,$A129),'Client Data'!AJ207,0)</f>
        <v>0</v>
      </c>
      <c r="AK129" s="106">
        <f>IF(OR(AK$190,$A129),'Client Data'!AK207,0)</f>
        <v>0</v>
      </c>
      <c r="AL129" s="106">
        <f>IF(OR(AL$190,$A129),'Client Data'!AL207,0)</f>
        <v>0</v>
      </c>
      <c r="AM129" s="106">
        <f>IF(OR(AM$190,$A129),'Client Data'!AM207,0)</f>
        <v>0</v>
      </c>
      <c r="AN129" s="106">
        <f>IF(OR(AN$190,$A129),'Client Data'!AN207,0)</f>
        <v>0</v>
      </c>
      <c r="AO129" s="106">
        <f>IF(OR(AO$190,$A129),'Client Data'!AO207,0)</f>
        <v>0</v>
      </c>
      <c r="AP129" s="106">
        <f>IF(OR(AP$190,$A129),'Client Data'!AP207,0)</f>
        <v>0</v>
      </c>
      <c r="AQ129" s="106">
        <f>IF(OR(AQ$190,$A129),'Client Data'!AQ207,0)</f>
        <v>0</v>
      </c>
      <c r="AR129" s="106">
        <f>IF(OR(AR$190,$A129),'Client Data'!AR207,0)</f>
        <v>0</v>
      </c>
      <c r="AS129" s="106">
        <f>IF(OR(AS$190,$A129),'Client Data'!AS207,0)</f>
        <v>0</v>
      </c>
      <c r="AT129" s="106">
        <f>IF(OR(AT$190,$A129),'Client Data'!AT207,0)</f>
        <v>0</v>
      </c>
      <c r="AU129" s="106">
        <f>IF(OR(AU$190,$A129),'Client Data'!AU207,0)</f>
        <v>0</v>
      </c>
      <c r="AV129" s="106">
        <f>IF(OR(AV$190,$A129),'Client Data'!AV207,0)</f>
        <v>0</v>
      </c>
      <c r="AW129" s="106">
        <f>IF(OR(AW$190,$A129),'Client Data'!AW207,0)</f>
        <v>0</v>
      </c>
      <c r="AX129" s="106">
        <f>IF(OR(AX$190,$A129),'Client Data'!AX207,0)</f>
        <v>0</v>
      </c>
      <c r="AY129" s="106">
        <f>IF(OR(AY$190,$A129),'Client Data'!AY207,0)</f>
        <v>0</v>
      </c>
      <c r="AZ129" s="106">
        <f>IF(OR(AZ$190,$A129),'Client Data'!AZ207,0)</f>
        <v>0</v>
      </c>
      <c r="BA129" s="106">
        <f>IF(OR(BA$190,$A129),'Client Data'!BA207,0)</f>
        <v>0</v>
      </c>
      <c r="BB129" s="106">
        <f>IF(OR(BB$190,$A129),'Client Data'!BB207,0)</f>
        <v>0</v>
      </c>
      <c r="BC129" s="104">
        <f t="shared" si="59"/>
        <v>0</v>
      </c>
    </row>
    <row r="130" spans="1:55" x14ac:dyDescent="0.25">
      <c r="A130">
        <f t="shared" ref="A130:A133" si="69">IF(A$127&gt;0,A129-1,0)</f>
        <v>4</v>
      </c>
      <c r="B130" s="104" t="str">
        <f>'Client Data'!B208</f>
        <v>DownTime C</v>
      </c>
      <c r="C130" s="106">
        <f>IF(OR(C$190,$A130),'Client Data'!C208,0)</f>
        <v>0</v>
      </c>
      <c r="D130" s="106">
        <f>IF(OR(D$190,$A130),'Client Data'!D208,0)</f>
        <v>0</v>
      </c>
      <c r="E130" s="106">
        <f>IF(OR(E$190,$A130),'Client Data'!E208,0)</f>
        <v>0</v>
      </c>
      <c r="F130" s="106">
        <f>IF(OR(F$190,$A130),'Client Data'!F208,0)</f>
        <v>0</v>
      </c>
      <c r="G130" s="106">
        <f>IF(OR(G$190,$A130),'Client Data'!G208,0)</f>
        <v>0</v>
      </c>
      <c r="H130" s="106">
        <f>IF(OR(H$190,$A130),'Client Data'!H208,0)</f>
        <v>0</v>
      </c>
      <c r="I130" s="106">
        <f>IF(OR(I$190,$A130),'Client Data'!I208,0)</f>
        <v>0</v>
      </c>
      <c r="J130" s="106">
        <f>IF(OR(J$190,$A130),'Client Data'!J208,0)</f>
        <v>0</v>
      </c>
      <c r="K130" s="106">
        <f>IF(OR(K$190,$A130),'Client Data'!K208,0)</f>
        <v>0</v>
      </c>
      <c r="L130" s="106">
        <f>IF(OR(L$190,$A130),'Client Data'!L208,0)</f>
        <v>0</v>
      </c>
      <c r="M130" s="106">
        <f>IF(OR(M$190,$A130),'Client Data'!M208,0)</f>
        <v>0</v>
      </c>
      <c r="N130" s="106">
        <f>IF(OR(N$190,$A130),'Client Data'!N208,0)</f>
        <v>0</v>
      </c>
      <c r="O130" s="106">
        <f>IF(OR(O$190,$A130),'Client Data'!O208,0)</f>
        <v>0</v>
      </c>
      <c r="P130" s="106">
        <f>IF(OR(P$190,$A130),'Client Data'!P208,0)</f>
        <v>0</v>
      </c>
      <c r="Q130" s="106">
        <f>IF(OR(Q$190,$A130),'Client Data'!Q208,0)</f>
        <v>0</v>
      </c>
      <c r="R130" s="106">
        <f>IF(OR(R$190,$A130),'Client Data'!R208,0)</f>
        <v>0</v>
      </c>
      <c r="S130" s="106">
        <f>IF(OR(S$190,$A130),'Client Data'!S208,0)</f>
        <v>0</v>
      </c>
      <c r="T130" s="106">
        <f>IF(OR(T$190,$A130),'Client Data'!T208,0)</f>
        <v>0</v>
      </c>
      <c r="U130" s="106">
        <f>IF(OR(U$190,$A130),'Client Data'!U208,0)</f>
        <v>0</v>
      </c>
      <c r="V130" s="106">
        <f>IF(OR(V$190,$A130),'Client Data'!V208,0)</f>
        <v>0</v>
      </c>
      <c r="W130" s="106">
        <f>IF(OR(W$190,$A130),'Client Data'!W208,0)</f>
        <v>0</v>
      </c>
      <c r="X130" s="106">
        <f>IF(OR(X$190,$A130),'Client Data'!X208,0)</f>
        <v>0</v>
      </c>
      <c r="Y130" s="106">
        <f>IF(OR(Y$190,$A130),'Client Data'!Y208,0)</f>
        <v>0</v>
      </c>
      <c r="Z130" s="106">
        <f>IF(OR(Z$190,$A130),'Client Data'!Z208,0)</f>
        <v>0</v>
      </c>
      <c r="AA130" s="106">
        <f>IF(OR(AA$190,$A130),'Client Data'!AA208,0)</f>
        <v>0</v>
      </c>
      <c r="AB130" s="106">
        <f>IF(OR(AB$190,$A130),'Client Data'!AB208,0)</f>
        <v>0</v>
      </c>
      <c r="AC130" s="106">
        <f>IF(OR(AC$190,$A130),'Client Data'!AC208,0)</f>
        <v>0</v>
      </c>
      <c r="AD130" s="106">
        <f>IF(OR(AD$190,$A130),'Client Data'!AD208,0)</f>
        <v>0</v>
      </c>
      <c r="AE130" s="106">
        <f>IF(OR(AE$190,$A130),'Client Data'!AE208,0)</f>
        <v>0</v>
      </c>
      <c r="AF130" s="106">
        <f>IF(OR(AF$190,$A130),'Client Data'!AF208,0)</f>
        <v>0</v>
      </c>
      <c r="AG130" s="106">
        <f>IF(OR(AG$190,$A130),'Client Data'!AG208,0)</f>
        <v>0</v>
      </c>
      <c r="AH130" s="106">
        <f>IF(OR(AH$190,$A130),'Client Data'!AH208,0)</f>
        <v>0</v>
      </c>
      <c r="AI130" s="106">
        <f>IF(OR(AI$190,$A130),'Client Data'!AI208,0)</f>
        <v>0</v>
      </c>
      <c r="AJ130" s="106">
        <f>IF(OR(AJ$190,$A130),'Client Data'!AJ208,0)</f>
        <v>0</v>
      </c>
      <c r="AK130" s="106">
        <f>IF(OR(AK$190,$A130),'Client Data'!AK208,0)</f>
        <v>0</v>
      </c>
      <c r="AL130" s="106">
        <f>IF(OR(AL$190,$A130),'Client Data'!AL208,0)</f>
        <v>0</v>
      </c>
      <c r="AM130" s="106">
        <f>IF(OR(AM$190,$A130),'Client Data'!AM208,0)</f>
        <v>0</v>
      </c>
      <c r="AN130" s="106">
        <f>IF(OR(AN$190,$A130),'Client Data'!AN208,0)</f>
        <v>0</v>
      </c>
      <c r="AO130" s="106">
        <f>IF(OR(AO$190,$A130),'Client Data'!AO208,0)</f>
        <v>0</v>
      </c>
      <c r="AP130" s="106">
        <f>IF(OR(AP$190,$A130),'Client Data'!AP208,0)</f>
        <v>0</v>
      </c>
      <c r="AQ130" s="106">
        <f>IF(OR(AQ$190,$A130),'Client Data'!AQ208,0)</f>
        <v>0</v>
      </c>
      <c r="AR130" s="106">
        <f>IF(OR(AR$190,$A130),'Client Data'!AR208,0)</f>
        <v>0</v>
      </c>
      <c r="AS130" s="106">
        <f>IF(OR(AS$190,$A130),'Client Data'!AS208,0)</f>
        <v>0</v>
      </c>
      <c r="AT130" s="106">
        <f>IF(OR(AT$190,$A130),'Client Data'!AT208,0)</f>
        <v>0</v>
      </c>
      <c r="AU130" s="106">
        <f>IF(OR(AU$190,$A130),'Client Data'!AU208,0)</f>
        <v>0</v>
      </c>
      <c r="AV130" s="106">
        <f>IF(OR(AV$190,$A130),'Client Data'!AV208,0)</f>
        <v>0</v>
      </c>
      <c r="AW130" s="106">
        <f>IF(OR(AW$190,$A130),'Client Data'!AW208,0)</f>
        <v>0</v>
      </c>
      <c r="AX130" s="106">
        <f>IF(OR(AX$190,$A130),'Client Data'!AX208,0)</f>
        <v>0</v>
      </c>
      <c r="AY130" s="106">
        <f>IF(OR(AY$190,$A130),'Client Data'!AY208,0)</f>
        <v>0</v>
      </c>
      <c r="AZ130" s="106">
        <f>IF(OR(AZ$190,$A130),'Client Data'!AZ208,0)</f>
        <v>0</v>
      </c>
      <c r="BA130" s="106">
        <f>IF(OR(BA$190,$A130),'Client Data'!BA208,0)</f>
        <v>0</v>
      </c>
      <c r="BB130" s="106">
        <f>IF(OR(BB$190,$A130),'Client Data'!BB208,0)</f>
        <v>0</v>
      </c>
      <c r="BC130" s="104">
        <f t="shared" si="59"/>
        <v>0</v>
      </c>
    </row>
    <row r="131" spans="1:55" x14ac:dyDescent="0.25">
      <c r="A131">
        <f t="shared" si="69"/>
        <v>3</v>
      </c>
      <c r="B131" s="104" t="str">
        <f>'Client Data'!B209</f>
        <v>DownTime D</v>
      </c>
      <c r="C131" s="106">
        <f>IF(OR(C$190,$A131),'Client Data'!C209,0)</f>
        <v>0.5</v>
      </c>
      <c r="D131" s="106">
        <f>IF(OR(D$190,$A131),'Client Data'!D209,0)</f>
        <v>0.3</v>
      </c>
      <c r="E131" s="106">
        <f>IF(OR(E$190,$A131),'Client Data'!E209,0)</f>
        <v>0.6</v>
      </c>
      <c r="F131" s="106">
        <f>IF(OR(F$190,$A131),'Client Data'!F209,0)</f>
        <v>0.3</v>
      </c>
      <c r="G131" s="106">
        <f>IF(OR(G$190,$A131),'Client Data'!G209,0)</f>
        <v>0.4</v>
      </c>
      <c r="H131" s="106">
        <f>IF(OR(H$190,$A131),'Client Data'!H209,0)</f>
        <v>0.4</v>
      </c>
      <c r="I131" s="106">
        <f>IF(OR(I$190,$A131),'Client Data'!I209,0)</f>
        <v>0.5</v>
      </c>
      <c r="J131" s="106">
        <f>IF(OR(J$190,$A131),'Client Data'!J209,0)</f>
        <v>0.3</v>
      </c>
      <c r="K131" s="106">
        <f>IF(OR(K$190,$A131),'Client Data'!K209,0)</f>
        <v>0.6</v>
      </c>
      <c r="L131" s="106">
        <f>IF(OR(L$190,$A131),'Client Data'!L209,0)</f>
        <v>0.3</v>
      </c>
      <c r="M131" s="106">
        <f>IF(OR(M$190,$A131),'Client Data'!M209,0)</f>
        <v>0.4</v>
      </c>
      <c r="N131" s="106">
        <f>IF(OR(N$190,$A131),'Client Data'!N209,0)</f>
        <v>0.5</v>
      </c>
      <c r="O131" s="106">
        <f>IF(OR(O$190,$A131),'Client Data'!O209,0)</f>
        <v>0.3</v>
      </c>
      <c r="P131" s="106">
        <f>IF(OR(P$190,$A131),'Client Data'!P209,0)</f>
        <v>0.6</v>
      </c>
      <c r="Q131" s="106">
        <f>IF(OR(Q$190,$A131),'Client Data'!Q209,0)</f>
        <v>0.3</v>
      </c>
      <c r="R131" s="106">
        <f>IF(OR(R$190,$A131),'Client Data'!R209,0)</f>
        <v>0.4</v>
      </c>
      <c r="S131" s="106">
        <f>IF(OR(S$190,$A131),'Client Data'!S209,0)</f>
        <v>0.4</v>
      </c>
      <c r="T131" s="106">
        <f>IF(OR(T$190,$A131),'Client Data'!T209,0)</f>
        <v>0.5</v>
      </c>
      <c r="U131" s="106">
        <f>IF(OR(U$190,$A131),'Client Data'!U209,0)</f>
        <v>0.3</v>
      </c>
      <c r="V131" s="106">
        <f>IF(OR(V$190,$A131),'Client Data'!V209,0)</f>
        <v>0.6</v>
      </c>
      <c r="W131" s="106">
        <f>IF(OR(W$190,$A131),'Client Data'!W209,0)</f>
        <v>0.3</v>
      </c>
      <c r="X131" s="106">
        <f>IF(OR(X$190,$A131),'Client Data'!X209,0)</f>
        <v>0.4</v>
      </c>
      <c r="Y131" s="106">
        <f>IF(OR(Y$190,$A131),'Client Data'!Y209,0)</f>
        <v>0.5</v>
      </c>
      <c r="Z131" s="106">
        <f>IF(OR(Z$190,$A131),'Client Data'!Z209,0)</f>
        <v>0.3</v>
      </c>
      <c r="AA131" s="106">
        <f>IF(OR(AA$190,$A131),'Client Data'!AA209,0)</f>
        <v>0.6</v>
      </c>
      <c r="AB131" s="106">
        <f>IF(OR(AB$190,$A131),'Client Data'!AB209,0)</f>
        <v>0.3</v>
      </c>
      <c r="AC131" s="106">
        <f>IF(OR(AC$190,$A131),'Client Data'!AC209,0)</f>
        <v>0.4</v>
      </c>
      <c r="AD131" s="106">
        <f>IF(OR(AD$190,$A131),'Client Data'!AD209,0)</f>
        <v>0.4</v>
      </c>
      <c r="AE131" s="106">
        <f>IF(OR(AE$190,$A131),'Client Data'!AE209,0)</f>
        <v>0.5</v>
      </c>
      <c r="AF131" s="106">
        <f>IF(OR(AF$190,$A131),'Client Data'!AF209,0)</f>
        <v>0.3</v>
      </c>
      <c r="AG131" s="106">
        <f>IF(OR(AG$190,$A131),'Client Data'!AG209,0)</f>
        <v>0.6</v>
      </c>
      <c r="AH131" s="106">
        <f>IF(OR(AH$190,$A131),'Client Data'!AH209,0)</f>
        <v>0.3</v>
      </c>
      <c r="AI131" s="106">
        <f>IF(OR(AI$190,$A131),'Client Data'!AI209,0)</f>
        <v>0.4</v>
      </c>
      <c r="AJ131" s="106">
        <f>IF(OR(AJ$190,$A131),'Client Data'!AJ209,0)</f>
        <v>0.4</v>
      </c>
      <c r="AK131" s="106">
        <f>IF(OR(AK$190,$A131),'Client Data'!AK209,0)</f>
        <v>0.4</v>
      </c>
      <c r="AL131" s="106">
        <f>IF(OR(AL$190,$A131),'Client Data'!AL209,0)</f>
        <v>0.5</v>
      </c>
      <c r="AM131" s="106">
        <f>IF(OR(AM$190,$A131),'Client Data'!AM209,0)</f>
        <v>0.3</v>
      </c>
      <c r="AN131" s="106">
        <f>IF(OR(AN$190,$A131),'Client Data'!AN209,0)</f>
        <v>0.4</v>
      </c>
      <c r="AO131" s="106">
        <f>IF(OR(AO$190,$A131),'Client Data'!AO209,0)</f>
        <v>0.5</v>
      </c>
      <c r="AP131" s="106">
        <f>IF(OR(AP$190,$A131),'Client Data'!AP209,0)</f>
        <v>0.3</v>
      </c>
      <c r="AQ131" s="106">
        <f>IF(OR(AQ$190,$A131),'Client Data'!AQ209,0)</f>
        <v>0.6</v>
      </c>
      <c r="AR131" s="106">
        <f>IF(OR(AR$190,$A131),'Client Data'!AR209,0)</f>
        <v>0.3</v>
      </c>
      <c r="AS131" s="106">
        <f>IF(OR(AS$190,$A131),'Client Data'!AS209,0)</f>
        <v>0.4</v>
      </c>
      <c r="AT131" s="106">
        <f>IF(OR(AT$190,$A131),'Client Data'!AT209,0)</f>
        <v>0.4</v>
      </c>
      <c r="AU131" s="106">
        <f>IF(OR(AU$190,$A131),'Client Data'!AU209,0)</f>
        <v>0.4</v>
      </c>
      <c r="AV131" s="106">
        <f>IF(OR(AV$190,$A131),'Client Data'!AV209,0)</f>
        <v>0.4</v>
      </c>
      <c r="AW131" s="106">
        <f>IF(OR(AW$190,$A131),'Client Data'!AW209,0)</f>
        <v>0.4</v>
      </c>
      <c r="AX131" s="106">
        <f>IF(OR(AX$190,$A131),'Client Data'!AX209,0)</f>
        <v>0.6</v>
      </c>
      <c r="AY131" s="106">
        <f>IF(OR(AY$190,$A131),'Client Data'!AY209,0)</f>
        <v>0.4</v>
      </c>
      <c r="AZ131" s="106">
        <f>IF(OR(AZ$190,$A131),'Client Data'!AZ209,0)</f>
        <v>0.4</v>
      </c>
      <c r="BA131" s="106">
        <f>IF(OR(BA$190,$A131),'Client Data'!BA209,0)</f>
        <v>0.4</v>
      </c>
      <c r="BB131" s="106">
        <f>IF(OR(BB$190,$A131),'Client Data'!BB209,0)</f>
        <v>0.2</v>
      </c>
      <c r="BC131" s="104">
        <f t="shared" si="59"/>
        <v>21.499999999999996</v>
      </c>
    </row>
    <row r="132" spans="1:55" x14ac:dyDescent="0.25">
      <c r="A132">
        <f t="shared" si="69"/>
        <v>2</v>
      </c>
      <c r="B132" s="104" t="str">
        <f>'Client Data'!B210</f>
        <v>DownTime E</v>
      </c>
      <c r="C132" s="106">
        <f>IF(OR(C$190,$A132),'Client Data'!C210,0)</f>
        <v>0</v>
      </c>
      <c r="D132" s="106">
        <f>IF(OR(D$190,$A132),'Client Data'!D210,0)</f>
        <v>0</v>
      </c>
      <c r="E132" s="106">
        <f>IF(OR(E$190,$A132),'Client Data'!E210,0)</f>
        <v>0</v>
      </c>
      <c r="F132" s="106">
        <f>IF(OR(F$190,$A132),'Client Data'!F210,0)</f>
        <v>0</v>
      </c>
      <c r="G132" s="106">
        <f>IF(OR(G$190,$A132),'Client Data'!G210,0)</f>
        <v>0</v>
      </c>
      <c r="H132" s="106">
        <f>IF(OR(H$190,$A132),'Client Data'!H210,0)</f>
        <v>0</v>
      </c>
      <c r="I132" s="106">
        <f>IF(OR(I$190,$A132),'Client Data'!I210,0)</f>
        <v>0</v>
      </c>
      <c r="J132" s="106">
        <f>IF(OR(J$190,$A132),'Client Data'!J210,0)</f>
        <v>0</v>
      </c>
      <c r="K132" s="106">
        <f>IF(OR(K$190,$A132),'Client Data'!K210,0)</f>
        <v>0</v>
      </c>
      <c r="L132" s="106">
        <f>IF(OR(L$190,$A132),'Client Data'!L210,0)</f>
        <v>0</v>
      </c>
      <c r="M132" s="106">
        <f>IF(OR(M$190,$A132),'Client Data'!M210,0)</f>
        <v>0</v>
      </c>
      <c r="N132" s="106">
        <f>IF(OR(N$190,$A132),'Client Data'!N210,0)</f>
        <v>0</v>
      </c>
      <c r="O132" s="106">
        <f>IF(OR(O$190,$A132),'Client Data'!O210,0)</f>
        <v>0</v>
      </c>
      <c r="P132" s="106">
        <f>IF(OR(P$190,$A132),'Client Data'!P210,0)</f>
        <v>0</v>
      </c>
      <c r="Q132" s="106">
        <f>IF(OR(Q$190,$A132),'Client Data'!Q210,0)</f>
        <v>0</v>
      </c>
      <c r="R132" s="106">
        <f>IF(OR(R$190,$A132),'Client Data'!R210,0)</f>
        <v>0</v>
      </c>
      <c r="S132" s="106">
        <f>IF(OR(S$190,$A132),'Client Data'!S210,0)</f>
        <v>0</v>
      </c>
      <c r="T132" s="106">
        <f>IF(OR(T$190,$A132),'Client Data'!T210,0)</f>
        <v>0</v>
      </c>
      <c r="U132" s="106">
        <f>IF(OR(U$190,$A132),'Client Data'!U210,0)</f>
        <v>0</v>
      </c>
      <c r="V132" s="106">
        <f>IF(OR(V$190,$A132),'Client Data'!V210,0)</f>
        <v>0</v>
      </c>
      <c r="W132" s="106">
        <f>IF(OR(W$190,$A132),'Client Data'!W210,0)</f>
        <v>0</v>
      </c>
      <c r="X132" s="106">
        <f>IF(OR(X$190,$A132),'Client Data'!X210,0)</f>
        <v>0</v>
      </c>
      <c r="Y132" s="106">
        <f>IF(OR(Y$190,$A132),'Client Data'!Y210,0)</f>
        <v>0</v>
      </c>
      <c r="Z132" s="106">
        <f>IF(OR(Z$190,$A132),'Client Data'!Z210,0)</f>
        <v>0</v>
      </c>
      <c r="AA132" s="106">
        <f>IF(OR(AA$190,$A132),'Client Data'!AA210,0)</f>
        <v>0</v>
      </c>
      <c r="AB132" s="106">
        <f>IF(OR(AB$190,$A132),'Client Data'!AB210,0)</f>
        <v>0</v>
      </c>
      <c r="AC132" s="106">
        <f>IF(OR(AC$190,$A132),'Client Data'!AC210,0)</f>
        <v>0</v>
      </c>
      <c r="AD132" s="106">
        <f>IF(OR(AD$190,$A132),'Client Data'!AD210,0)</f>
        <v>0</v>
      </c>
      <c r="AE132" s="106">
        <f>IF(OR(AE$190,$A132),'Client Data'!AE210,0)</f>
        <v>0</v>
      </c>
      <c r="AF132" s="106">
        <f>IF(OR(AF$190,$A132),'Client Data'!AF210,0)</f>
        <v>0</v>
      </c>
      <c r="AG132" s="106">
        <f>IF(OR(AG$190,$A132),'Client Data'!AG210,0)</f>
        <v>0</v>
      </c>
      <c r="AH132" s="106">
        <f>IF(OR(AH$190,$A132),'Client Data'!AH210,0)</f>
        <v>0</v>
      </c>
      <c r="AI132" s="106">
        <f>IF(OR(AI$190,$A132),'Client Data'!AI210,0)</f>
        <v>0</v>
      </c>
      <c r="AJ132" s="106">
        <f>IF(OR(AJ$190,$A132),'Client Data'!AJ210,0)</f>
        <v>0</v>
      </c>
      <c r="AK132" s="106">
        <f>IF(OR(AK$190,$A132),'Client Data'!AK210,0)</f>
        <v>0</v>
      </c>
      <c r="AL132" s="106">
        <f>IF(OR(AL$190,$A132),'Client Data'!AL210,0)</f>
        <v>0</v>
      </c>
      <c r="AM132" s="106">
        <f>IF(OR(AM$190,$A132),'Client Data'!AM210,0)</f>
        <v>0</v>
      </c>
      <c r="AN132" s="106">
        <f>IF(OR(AN$190,$A132),'Client Data'!AN210,0)</f>
        <v>0</v>
      </c>
      <c r="AO132" s="106">
        <f>IF(OR(AO$190,$A132),'Client Data'!AO210,0)</f>
        <v>0</v>
      </c>
      <c r="AP132" s="106">
        <f>IF(OR(AP$190,$A132),'Client Data'!AP210,0)</f>
        <v>0</v>
      </c>
      <c r="AQ132" s="106">
        <f>IF(OR(AQ$190,$A132),'Client Data'!AQ210,0)</f>
        <v>0</v>
      </c>
      <c r="AR132" s="106">
        <f>IF(OR(AR$190,$A132),'Client Data'!AR210,0)</f>
        <v>0</v>
      </c>
      <c r="AS132" s="106">
        <f>IF(OR(AS$190,$A132),'Client Data'!AS210,0)</f>
        <v>0</v>
      </c>
      <c r="AT132" s="106">
        <f>IF(OR(AT$190,$A132),'Client Data'!AT210,0)</f>
        <v>0</v>
      </c>
      <c r="AU132" s="106">
        <f>IF(OR(AU$190,$A132),'Client Data'!AU210,0)</f>
        <v>0</v>
      </c>
      <c r="AV132" s="106">
        <f>IF(OR(AV$190,$A132),'Client Data'!AV210,0)</f>
        <v>0</v>
      </c>
      <c r="AW132" s="106">
        <f>IF(OR(AW$190,$A132),'Client Data'!AW210,0)</f>
        <v>0</v>
      </c>
      <c r="AX132" s="106">
        <f>IF(OR(AX$190,$A132),'Client Data'!AX210,0)</f>
        <v>0</v>
      </c>
      <c r="AY132" s="106">
        <f>IF(OR(AY$190,$A132),'Client Data'!AY210,0)</f>
        <v>0</v>
      </c>
      <c r="AZ132" s="106">
        <f>IF(OR(AZ$190,$A132),'Client Data'!AZ210,0)</f>
        <v>0</v>
      </c>
      <c r="BA132" s="106">
        <f>IF(OR(BA$190,$A132),'Client Data'!BA210,0)</f>
        <v>0</v>
      </c>
      <c r="BB132" s="106">
        <f>IF(OR(BB$190,$A132),'Client Data'!BB210,0)</f>
        <v>0</v>
      </c>
      <c r="BC132" s="104">
        <f t="shared" si="59"/>
        <v>0</v>
      </c>
    </row>
    <row r="133" spans="1:55" x14ac:dyDescent="0.25">
      <c r="A133">
        <f t="shared" si="69"/>
        <v>1</v>
      </c>
      <c r="B133" s="104" t="str">
        <f>'Client Data'!B211</f>
        <v>DownTime F</v>
      </c>
      <c r="C133" s="106">
        <f>IF(OR(C$190,$A133),'Client Data'!C211,0)</f>
        <v>0</v>
      </c>
      <c r="D133" s="106">
        <f>IF(OR(D$190,$A133),'Client Data'!D211,0)</f>
        <v>0</v>
      </c>
      <c r="E133" s="106">
        <f>IF(OR(E$190,$A133),'Client Data'!E211,0)</f>
        <v>0</v>
      </c>
      <c r="F133" s="106">
        <f>IF(OR(F$190,$A133),'Client Data'!F211,0)</f>
        <v>0</v>
      </c>
      <c r="G133" s="106">
        <f>IF(OR(G$190,$A133),'Client Data'!G211,0)</f>
        <v>0</v>
      </c>
      <c r="H133" s="106">
        <f>IF(OR(H$190,$A133),'Client Data'!H211,0)</f>
        <v>0</v>
      </c>
      <c r="I133" s="106">
        <f>IF(OR(I$190,$A133),'Client Data'!I211,0)</f>
        <v>0</v>
      </c>
      <c r="J133" s="106">
        <f>IF(OR(J$190,$A133),'Client Data'!J211,0)</f>
        <v>0</v>
      </c>
      <c r="K133" s="106">
        <f>IF(OR(K$190,$A133),'Client Data'!K211,0)</f>
        <v>0</v>
      </c>
      <c r="L133" s="106">
        <f>IF(OR(L$190,$A133),'Client Data'!L211,0)</f>
        <v>0</v>
      </c>
      <c r="M133" s="106">
        <f>IF(OR(M$190,$A133),'Client Data'!M211,0)</f>
        <v>0</v>
      </c>
      <c r="N133" s="106">
        <f>IF(OR(N$190,$A133),'Client Data'!N211,0)</f>
        <v>0</v>
      </c>
      <c r="O133" s="106">
        <f>IF(OR(O$190,$A133),'Client Data'!O211,0)</f>
        <v>0</v>
      </c>
      <c r="P133" s="106">
        <f>IF(OR(P$190,$A133),'Client Data'!P211,0)</f>
        <v>0</v>
      </c>
      <c r="Q133" s="106">
        <f>IF(OR(Q$190,$A133),'Client Data'!Q211,0)</f>
        <v>0</v>
      </c>
      <c r="R133" s="106">
        <f>IF(OR(R$190,$A133),'Client Data'!R211,0)</f>
        <v>0</v>
      </c>
      <c r="S133" s="106">
        <f>IF(OR(S$190,$A133),'Client Data'!S211,0)</f>
        <v>0</v>
      </c>
      <c r="T133" s="106">
        <f>IF(OR(T$190,$A133),'Client Data'!T211,0)</f>
        <v>0</v>
      </c>
      <c r="U133" s="106">
        <f>IF(OR(U$190,$A133),'Client Data'!U211,0)</f>
        <v>0</v>
      </c>
      <c r="V133" s="106">
        <f>IF(OR(V$190,$A133),'Client Data'!V211,0)</f>
        <v>0</v>
      </c>
      <c r="W133" s="106">
        <f>IF(OR(W$190,$A133),'Client Data'!W211,0)</f>
        <v>0</v>
      </c>
      <c r="X133" s="106">
        <f>IF(OR(X$190,$A133),'Client Data'!X211,0)</f>
        <v>0</v>
      </c>
      <c r="Y133" s="106">
        <f>IF(OR(Y$190,$A133),'Client Data'!Y211,0)</f>
        <v>0</v>
      </c>
      <c r="Z133" s="106">
        <f>IF(OR(Z$190,$A133),'Client Data'!Z211,0)</f>
        <v>0</v>
      </c>
      <c r="AA133" s="106">
        <f>IF(OR(AA$190,$A133),'Client Data'!AA211,0)</f>
        <v>0</v>
      </c>
      <c r="AB133" s="106">
        <f>IF(OR(AB$190,$A133),'Client Data'!AB211,0)</f>
        <v>0</v>
      </c>
      <c r="AC133" s="106">
        <f>IF(OR(AC$190,$A133),'Client Data'!AC211,0)</f>
        <v>0</v>
      </c>
      <c r="AD133" s="106">
        <f>IF(OR(AD$190,$A133),'Client Data'!AD211,0)</f>
        <v>0</v>
      </c>
      <c r="AE133" s="106">
        <f>IF(OR(AE$190,$A133),'Client Data'!AE211,0)</f>
        <v>0</v>
      </c>
      <c r="AF133" s="106">
        <f>IF(OR(AF$190,$A133),'Client Data'!AF211,0)</f>
        <v>0</v>
      </c>
      <c r="AG133" s="106">
        <f>IF(OR(AG$190,$A133),'Client Data'!AG211,0)</f>
        <v>0</v>
      </c>
      <c r="AH133" s="106">
        <f>IF(OR(AH$190,$A133),'Client Data'!AH211,0)</f>
        <v>0</v>
      </c>
      <c r="AI133" s="106">
        <f>IF(OR(AI$190,$A133),'Client Data'!AI211,0)</f>
        <v>0</v>
      </c>
      <c r="AJ133" s="106">
        <f>IF(OR(AJ$190,$A133),'Client Data'!AJ211,0)</f>
        <v>0</v>
      </c>
      <c r="AK133" s="106">
        <f>IF(OR(AK$190,$A133),'Client Data'!AK211,0)</f>
        <v>0</v>
      </c>
      <c r="AL133" s="106">
        <f>IF(OR(AL$190,$A133),'Client Data'!AL211,0)</f>
        <v>0</v>
      </c>
      <c r="AM133" s="106">
        <f>IF(OR(AM$190,$A133),'Client Data'!AM211,0)</f>
        <v>0</v>
      </c>
      <c r="AN133" s="106">
        <f>IF(OR(AN$190,$A133),'Client Data'!AN211,0)</f>
        <v>0</v>
      </c>
      <c r="AO133" s="106">
        <f>IF(OR(AO$190,$A133),'Client Data'!AO211,0)</f>
        <v>0</v>
      </c>
      <c r="AP133" s="106">
        <f>IF(OR(AP$190,$A133),'Client Data'!AP211,0)</f>
        <v>0</v>
      </c>
      <c r="AQ133" s="106">
        <f>IF(OR(AQ$190,$A133),'Client Data'!AQ211,0)</f>
        <v>0</v>
      </c>
      <c r="AR133" s="106">
        <f>IF(OR(AR$190,$A133),'Client Data'!AR211,0)</f>
        <v>0</v>
      </c>
      <c r="AS133" s="106">
        <f>IF(OR(AS$190,$A133),'Client Data'!AS211,0)</f>
        <v>0</v>
      </c>
      <c r="AT133" s="106">
        <f>IF(OR(AT$190,$A133),'Client Data'!AT211,0)</f>
        <v>0</v>
      </c>
      <c r="AU133" s="106">
        <f>IF(OR(AU$190,$A133),'Client Data'!AU211,0)</f>
        <v>0</v>
      </c>
      <c r="AV133" s="106">
        <f>IF(OR(AV$190,$A133),'Client Data'!AV211,0)</f>
        <v>0</v>
      </c>
      <c r="AW133" s="106">
        <f>IF(OR(AW$190,$A133),'Client Data'!AW211,0)</f>
        <v>0</v>
      </c>
      <c r="AX133" s="106">
        <f>IF(OR(AX$190,$A133),'Client Data'!AX211,0)</f>
        <v>0</v>
      </c>
      <c r="AY133" s="106">
        <f>IF(OR(AY$190,$A133),'Client Data'!AY211,0)</f>
        <v>0</v>
      </c>
      <c r="AZ133" s="106">
        <f>IF(OR(AZ$190,$A133),'Client Data'!AZ211,0)</f>
        <v>0</v>
      </c>
      <c r="BA133" s="106">
        <f>IF(OR(BA$190,$A133),'Client Data'!BA211,0)</f>
        <v>0</v>
      </c>
      <c r="BB133" s="106">
        <f>IF(OR(BB$190,$A133),'Client Data'!BB211,0)</f>
        <v>0</v>
      </c>
      <c r="BC133" s="104">
        <f t="shared" si="59"/>
        <v>0</v>
      </c>
    </row>
    <row r="134" spans="1:55" x14ac:dyDescent="0.25">
      <c r="A134">
        <f>A127-1</f>
        <v>4</v>
      </c>
      <c r="B134" s="105" t="str">
        <f>'Client Data'!B212</f>
        <v>Tool USDT E (Hour)</v>
      </c>
      <c r="C134" s="105">
        <f t="shared" ref="C134:AH134" si="70">IF(OR(C$190&gt;0,$A134),SUM(C135:C140),0)</f>
        <v>0.8</v>
      </c>
      <c r="D134" s="105">
        <f t="shared" si="70"/>
        <v>0.6</v>
      </c>
      <c r="E134" s="105">
        <f t="shared" si="70"/>
        <v>0.3</v>
      </c>
      <c r="F134" s="105">
        <f t="shared" si="70"/>
        <v>0.9</v>
      </c>
      <c r="G134" s="105">
        <f t="shared" si="70"/>
        <v>0.2</v>
      </c>
      <c r="H134" s="105">
        <f t="shared" si="70"/>
        <v>0.1</v>
      </c>
      <c r="I134" s="105">
        <f t="shared" si="70"/>
        <v>0.3</v>
      </c>
      <c r="J134" s="105">
        <f t="shared" si="70"/>
        <v>0.1</v>
      </c>
      <c r="K134" s="105">
        <f t="shared" si="70"/>
        <v>0.2</v>
      </c>
      <c r="L134" s="105">
        <f t="shared" si="70"/>
        <v>0.6</v>
      </c>
      <c r="M134" s="105">
        <f t="shared" si="70"/>
        <v>0.8</v>
      </c>
      <c r="N134" s="105">
        <f t="shared" si="70"/>
        <v>0.6</v>
      </c>
      <c r="O134" s="105">
        <f t="shared" si="70"/>
        <v>0.3</v>
      </c>
      <c r="P134" s="105">
        <f t="shared" si="70"/>
        <v>0.9</v>
      </c>
      <c r="Q134" s="105">
        <f t="shared" si="70"/>
        <v>0.2</v>
      </c>
      <c r="R134" s="105">
        <f t="shared" si="70"/>
        <v>0.1</v>
      </c>
      <c r="S134" s="105">
        <f t="shared" si="70"/>
        <v>0.3</v>
      </c>
      <c r="T134" s="105">
        <f t="shared" si="70"/>
        <v>0.1</v>
      </c>
      <c r="U134" s="105">
        <f t="shared" si="70"/>
        <v>0.2</v>
      </c>
      <c r="V134" s="105">
        <f t="shared" si="70"/>
        <v>0.6</v>
      </c>
      <c r="W134" s="105">
        <f t="shared" si="70"/>
        <v>0.2</v>
      </c>
      <c r="X134" s="105">
        <f t="shared" si="70"/>
        <v>0.6</v>
      </c>
      <c r="Y134" s="105">
        <f t="shared" si="70"/>
        <v>0.8</v>
      </c>
      <c r="Z134" s="105">
        <f t="shared" si="70"/>
        <v>0.6</v>
      </c>
      <c r="AA134" s="105">
        <f t="shared" si="70"/>
        <v>0.3</v>
      </c>
      <c r="AB134" s="105">
        <f t="shared" si="70"/>
        <v>0.9</v>
      </c>
      <c r="AC134" s="105">
        <f t="shared" si="70"/>
        <v>0.2</v>
      </c>
      <c r="AD134" s="105">
        <f t="shared" si="70"/>
        <v>0.1</v>
      </c>
      <c r="AE134" s="105">
        <f t="shared" si="70"/>
        <v>0.3</v>
      </c>
      <c r="AF134" s="105">
        <f t="shared" si="70"/>
        <v>0.1</v>
      </c>
      <c r="AG134" s="105">
        <f t="shared" si="70"/>
        <v>0.2</v>
      </c>
      <c r="AH134" s="105">
        <f t="shared" si="70"/>
        <v>0.6</v>
      </c>
      <c r="AI134" s="105">
        <f t="shared" ref="AI134:BB134" si="71">IF(OR(AI$190&gt;0,$A134),SUM(AI135:AI140),0)</f>
        <v>0.1</v>
      </c>
      <c r="AJ134" s="105">
        <f t="shared" si="71"/>
        <v>0.5</v>
      </c>
      <c r="AK134" s="105">
        <f t="shared" si="71"/>
        <v>0.3</v>
      </c>
      <c r="AL134" s="105">
        <f t="shared" si="71"/>
        <v>0.6</v>
      </c>
      <c r="AM134" s="105">
        <f t="shared" si="71"/>
        <v>0.3</v>
      </c>
      <c r="AN134" s="105">
        <f t="shared" si="71"/>
        <v>0.4</v>
      </c>
      <c r="AO134" s="105">
        <f t="shared" si="71"/>
        <v>0.4</v>
      </c>
      <c r="AP134" s="105">
        <f t="shared" si="71"/>
        <v>0.4</v>
      </c>
      <c r="AQ134" s="105">
        <f t="shared" si="71"/>
        <v>0.5</v>
      </c>
      <c r="AR134" s="105">
        <f t="shared" si="71"/>
        <v>0.3</v>
      </c>
      <c r="AS134" s="105">
        <f t="shared" si="71"/>
        <v>0.4</v>
      </c>
      <c r="AT134" s="105">
        <f t="shared" si="71"/>
        <v>0.5</v>
      </c>
      <c r="AU134" s="105">
        <f t="shared" si="71"/>
        <v>0.3</v>
      </c>
      <c r="AV134" s="105">
        <f t="shared" si="71"/>
        <v>0.6</v>
      </c>
      <c r="AW134" s="105">
        <f t="shared" si="71"/>
        <v>0.3</v>
      </c>
      <c r="AX134" s="105">
        <f t="shared" si="71"/>
        <v>0.4</v>
      </c>
      <c r="AY134" s="105">
        <f t="shared" si="71"/>
        <v>0.4</v>
      </c>
      <c r="AZ134" s="105">
        <f t="shared" si="71"/>
        <v>0.4</v>
      </c>
      <c r="BA134" s="105">
        <f t="shared" si="71"/>
        <v>0.4</v>
      </c>
      <c r="BB134" s="105">
        <f t="shared" si="71"/>
        <v>0.4</v>
      </c>
      <c r="BC134" s="105">
        <f t="shared" si="59"/>
        <v>20.999999999999993</v>
      </c>
    </row>
    <row r="135" spans="1:55" x14ac:dyDescent="0.25">
      <c r="A135">
        <f>IF(A$134&gt;0,A128,0)</f>
        <v>6</v>
      </c>
      <c r="B135" s="104" t="str">
        <f>'Client Data'!B213</f>
        <v>DownTime A</v>
      </c>
      <c r="C135" s="106">
        <f>IF(OR(C$190,$A135),'Client Data'!C213,0)</f>
        <v>0</v>
      </c>
      <c r="D135" s="106">
        <f>IF(OR(D$190,$A135),'Client Data'!D213,0)</f>
        <v>0</v>
      </c>
      <c r="E135" s="106">
        <f>IF(OR(E$190,$A135),'Client Data'!E213,0)</f>
        <v>0</v>
      </c>
      <c r="F135" s="106">
        <f>IF(OR(F$190,$A135),'Client Data'!F213,0)</f>
        <v>0</v>
      </c>
      <c r="G135" s="106">
        <f>IF(OR(G$190,$A135),'Client Data'!G213,0)</f>
        <v>0</v>
      </c>
      <c r="H135" s="106">
        <f>IF(OR(H$190,$A135),'Client Data'!H213,0)</f>
        <v>0</v>
      </c>
      <c r="I135" s="106">
        <f>IF(OR(I$190,$A135),'Client Data'!I213,0)</f>
        <v>0</v>
      </c>
      <c r="J135" s="106">
        <f>IF(OR(J$190,$A135),'Client Data'!J213,0)</f>
        <v>0</v>
      </c>
      <c r="K135" s="106">
        <f>IF(OR(K$190,$A135),'Client Data'!K213,0)</f>
        <v>0</v>
      </c>
      <c r="L135" s="106">
        <f>IF(OR(L$190,$A135),'Client Data'!L213,0)</f>
        <v>0</v>
      </c>
      <c r="M135" s="106">
        <f>IF(OR(M$190,$A135),'Client Data'!M213,0)</f>
        <v>0</v>
      </c>
      <c r="N135" s="106">
        <f>IF(OR(N$190,$A135),'Client Data'!N213,0)</f>
        <v>0</v>
      </c>
      <c r="O135" s="106">
        <f>IF(OR(O$190,$A135),'Client Data'!O213,0)</f>
        <v>0</v>
      </c>
      <c r="P135" s="106">
        <f>IF(OR(P$190,$A135),'Client Data'!P213,0)</f>
        <v>0</v>
      </c>
      <c r="Q135" s="106">
        <f>IF(OR(Q$190,$A135),'Client Data'!Q213,0)</f>
        <v>0</v>
      </c>
      <c r="R135" s="106">
        <f>IF(OR(R$190,$A135),'Client Data'!R213,0)</f>
        <v>0</v>
      </c>
      <c r="S135" s="106">
        <f>IF(OR(S$190,$A135),'Client Data'!S213,0)</f>
        <v>0</v>
      </c>
      <c r="T135" s="106">
        <f>IF(OR(T$190,$A135),'Client Data'!T213,0)</f>
        <v>0</v>
      </c>
      <c r="U135" s="106">
        <f>IF(OR(U$190,$A135),'Client Data'!U213,0)</f>
        <v>0</v>
      </c>
      <c r="V135" s="106">
        <f>IF(OR(V$190,$A135),'Client Data'!V213,0)</f>
        <v>0</v>
      </c>
      <c r="W135" s="106">
        <f>IF(OR(W$190,$A135),'Client Data'!W213,0)</f>
        <v>0</v>
      </c>
      <c r="X135" s="106">
        <f>IF(OR(X$190,$A135),'Client Data'!X213,0)</f>
        <v>0</v>
      </c>
      <c r="Y135" s="106">
        <f>IF(OR(Y$190,$A135),'Client Data'!Y213,0)</f>
        <v>0</v>
      </c>
      <c r="Z135" s="106">
        <f>IF(OR(Z$190,$A135),'Client Data'!Z213,0)</f>
        <v>0</v>
      </c>
      <c r="AA135" s="106">
        <f>IF(OR(AA$190,$A135),'Client Data'!AA213,0)</f>
        <v>0</v>
      </c>
      <c r="AB135" s="106">
        <f>IF(OR(AB$190,$A135),'Client Data'!AB213,0)</f>
        <v>0</v>
      </c>
      <c r="AC135" s="106">
        <f>IF(OR(AC$190,$A135),'Client Data'!AC213,0)</f>
        <v>0</v>
      </c>
      <c r="AD135" s="106">
        <f>IF(OR(AD$190,$A135),'Client Data'!AD213,0)</f>
        <v>0</v>
      </c>
      <c r="AE135" s="106">
        <f>IF(OR(AE$190,$A135),'Client Data'!AE213,0)</f>
        <v>0</v>
      </c>
      <c r="AF135" s="106">
        <f>IF(OR(AF$190,$A135),'Client Data'!AF213,0)</f>
        <v>0</v>
      </c>
      <c r="AG135" s="106">
        <f>IF(OR(AG$190,$A135),'Client Data'!AG213,0)</f>
        <v>0</v>
      </c>
      <c r="AH135" s="106">
        <f>IF(OR(AH$190,$A135),'Client Data'!AH213,0)</f>
        <v>0</v>
      </c>
      <c r="AI135" s="106">
        <f>IF(OR(AI$190,$A135),'Client Data'!AI213,0)</f>
        <v>0</v>
      </c>
      <c r="AJ135" s="106">
        <f>IF(OR(AJ$190,$A135),'Client Data'!AJ213,0)</f>
        <v>0</v>
      </c>
      <c r="AK135" s="106">
        <f>IF(OR(AK$190,$A135),'Client Data'!AK213,0)</f>
        <v>0</v>
      </c>
      <c r="AL135" s="106">
        <f>IF(OR(AL$190,$A135),'Client Data'!AL213,0)</f>
        <v>0</v>
      </c>
      <c r="AM135" s="106">
        <f>IF(OR(AM$190,$A135),'Client Data'!AM213,0)</f>
        <v>0</v>
      </c>
      <c r="AN135" s="106">
        <f>IF(OR(AN$190,$A135),'Client Data'!AN213,0)</f>
        <v>0</v>
      </c>
      <c r="AO135" s="106">
        <f>IF(OR(AO$190,$A135),'Client Data'!AO213,0)</f>
        <v>0</v>
      </c>
      <c r="AP135" s="106">
        <f>IF(OR(AP$190,$A135),'Client Data'!AP213,0)</f>
        <v>0</v>
      </c>
      <c r="AQ135" s="106">
        <f>IF(OR(AQ$190,$A135),'Client Data'!AQ213,0)</f>
        <v>0</v>
      </c>
      <c r="AR135" s="106">
        <f>IF(OR(AR$190,$A135),'Client Data'!AR213,0)</f>
        <v>0</v>
      </c>
      <c r="AS135" s="106">
        <f>IF(OR(AS$190,$A135),'Client Data'!AS213,0)</f>
        <v>0</v>
      </c>
      <c r="AT135" s="106">
        <f>IF(OR(AT$190,$A135),'Client Data'!AT213,0)</f>
        <v>0</v>
      </c>
      <c r="AU135" s="106">
        <f>IF(OR(AU$190,$A135),'Client Data'!AU213,0)</f>
        <v>0</v>
      </c>
      <c r="AV135" s="106">
        <f>IF(OR(AV$190,$A135),'Client Data'!AV213,0)</f>
        <v>0</v>
      </c>
      <c r="AW135" s="106">
        <f>IF(OR(AW$190,$A135),'Client Data'!AW213,0)</f>
        <v>0</v>
      </c>
      <c r="AX135" s="106">
        <f>IF(OR(AX$190,$A135),'Client Data'!AX213,0)</f>
        <v>0</v>
      </c>
      <c r="AY135" s="106">
        <f>IF(OR(AY$190,$A135),'Client Data'!AY213,0)</f>
        <v>0</v>
      </c>
      <c r="AZ135" s="106">
        <f>IF(OR(AZ$190,$A135),'Client Data'!AZ213,0)</f>
        <v>0</v>
      </c>
      <c r="BA135" s="106">
        <f>IF(OR(BA$190,$A135),'Client Data'!BA213,0)</f>
        <v>0</v>
      </c>
      <c r="BB135" s="106">
        <f>IF(OR(BB$190,$A135),'Client Data'!BB213,0)</f>
        <v>0</v>
      </c>
      <c r="BC135" s="104">
        <f t="shared" si="59"/>
        <v>0</v>
      </c>
    </row>
    <row r="136" spans="1:55" x14ac:dyDescent="0.25">
      <c r="A136">
        <f>IF(A$134&gt;0,A135-1,0)</f>
        <v>5</v>
      </c>
      <c r="B136" s="104" t="str">
        <f>'Client Data'!B214</f>
        <v>DownTime B</v>
      </c>
      <c r="C136" s="106">
        <f>IF(OR(C$190,$A136),'Client Data'!C214,0)</f>
        <v>0</v>
      </c>
      <c r="D136" s="106">
        <f>IF(OR(D$190,$A136),'Client Data'!D214,0)</f>
        <v>0</v>
      </c>
      <c r="E136" s="106">
        <f>IF(OR(E$190,$A136),'Client Data'!E214,0)</f>
        <v>0</v>
      </c>
      <c r="F136" s="106">
        <f>IF(OR(F$190,$A136),'Client Data'!F214,0)</f>
        <v>0</v>
      </c>
      <c r="G136" s="106">
        <f>IF(OR(G$190,$A136),'Client Data'!G214,0)</f>
        <v>0</v>
      </c>
      <c r="H136" s="106">
        <f>IF(OR(H$190,$A136),'Client Data'!H214,0)</f>
        <v>0</v>
      </c>
      <c r="I136" s="106">
        <f>IF(OR(I$190,$A136),'Client Data'!I214,0)</f>
        <v>0</v>
      </c>
      <c r="J136" s="106">
        <f>IF(OR(J$190,$A136),'Client Data'!J214,0)</f>
        <v>0</v>
      </c>
      <c r="K136" s="106">
        <f>IF(OR(K$190,$A136),'Client Data'!K214,0)</f>
        <v>0</v>
      </c>
      <c r="L136" s="106">
        <f>IF(OR(L$190,$A136),'Client Data'!L214,0)</f>
        <v>0</v>
      </c>
      <c r="M136" s="106">
        <f>IF(OR(M$190,$A136),'Client Data'!M214,0)</f>
        <v>0</v>
      </c>
      <c r="N136" s="106">
        <f>IF(OR(N$190,$A136),'Client Data'!N214,0)</f>
        <v>0</v>
      </c>
      <c r="O136" s="106">
        <f>IF(OR(O$190,$A136),'Client Data'!O214,0)</f>
        <v>0</v>
      </c>
      <c r="P136" s="106">
        <f>IF(OR(P$190,$A136),'Client Data'!P214,0)</f>
        <v>0</v>
      </c>
      <c r="Q136" s="106">
        <f>IF(OR(Q$190,$A136),'Client Data'!Q214,0)</f>
        <v>0</v>
      </c>
      <c r="R136" s="106">
        <f>IF(OR(R$190,$A136),'Client Data'!R214,0)</f>
        <v>0</v>
      </c>
      <c r="S136" s="106">
        <f>IF(OR(S$190,$A136),'Client Data'!S214,0)</f>
        <v>0</v>
      </c>
      <c r="T136" s="106">
        <f>IF(OR(T$190,$A136),'Client Data'!T214,0)</f>
        <v>0</v>
      </c>
      <c r="U136" s="106">
        <f>IF(OR(U$190,$A136),'Client Data'!U214,0)</f>
        <v>0</v>
      </c>
      <c r="V136" s="106">
        <f>IF(OR(V$190,$A136),'Client Data'!V214,0)</f>
        <v>0</v>
      </c>
      <c r="W136" s="106">
        <f>IF(OR(W$190,$A136),'Client Data'!W214,0)</f>
        <v>0</v>
      </c>
      <c r="X136" s="106">
        <f>IF(OR(X$190,$A136),'Client Data'!X214,0)</f>
        <v>0</v>
      </c>
      <c r="Y136" s="106">
        <f>IF(OR(Y$190,$A136),'Client Data'!Y214,0)</f>
        <v>0</v>
      </c>
      <c r="Z136" s="106">
        <f>IF(OR(Z$190,$A136),'Client Data'!Z214,0)</f>
        <v>0</v>
      </c>
      <c r="AA136" s="106">
        <f>IF(OR(AA$190,$A136),'Client Data'!AA214,0)</f>
        <v>0</v>
      </c>
      <c r="AB136" s="106">
        <f>IF(OR(AB$190,$A136),'Client Data'!AB214,0)</f>
        <v>0</v>
      </c>
      <c r="AC136" s="106">
        <f>IF(OR(AC$190,$A136),'Client Data'!AC214,0)</f>
        <v>0</v>
      </c>
      <c r="AD136" s="106">
        <f>IF(OR(AD$190,$A136),'Client Data'!AD214,0)</f>
        <v>0</v>
      </c>
      <c r="AE136" s="106">
        <f>IF(OR(AE$190,$A136),'Client Data'!AE214,0)</f>
        <v>0</v>
      </c>
      <c r="AF136" s="106">
        <f>IF(OR(AF$190,$A136),'Client Data'!AF214,0)</f>
        <v>0</v>
      </c>
      <c r="AG136" s="106">
        <f>IF(OR(AG$190,$A136),'Client Data'!AG214,0)</f>
        <v>0</v>
      </c>
      <c r="AH136" s="106">
        <f>IF(OR(AH$190,$A136),'Client Data'!AH214,0)</f>
        <v>0</v>
      </c>
      <c r="AI136" s="106">
        <f>IF(OR(AI$190,$A136),'Client Data'!AI214,0)</f>
        <v>0</v>
      </c>
      <c r="AJ136" s="106">
        <f>IF(OR(AJ$190,$A136),'Client Data'!AJ214,0)</f>
        <v>0</v>
      </c>
      <c r="AK136" s="106">
        <f>IF(OR(AK$190,$A136),'Client Data'!AK214,0)</f>
        <v>0</v>
      </c>
      <c r="AL136" s="106">
        <f>IF(OR(AL$190,$A136),'Client Data'!AL214,0)</f>
        <v>0</v>
      </c>
      <c r="AM136" s="106">
        <f>IF(OR(AM$190,$A136),'Client Data'!AM214,0)</f>
        <v>0</v>
      </c>
      <c r="AN136" s="106">
        <f>IF(OR(AN$190,$A136),'Client Data'!AN214,0)</f>
        <v>0</v>
      </c>
      <c r="AO136" s="106">
        <f>IF(OR(AO$190,$A136),'Client Data'!AO214,0)</f>
        <v>0</v>
      </c>
      <c r="AP136" s="106">
        <f>IF(OR(AP$190,$A136),'Client Data'!AP214,0)</f>
        <v>0</v>
      </c>
      <c r="AQ136" s="106">
        <f>IF(OR(AQ$190,$A136),'Client Data'!AQ214,0)</f>
        <v>0</v>
      </c>
      <c r="AR136" s="106">
        <f>IF(OR(AR$190,$A136),'Client Data'!AR214,0)</f>
        <v>0</v>
      </c>
      <c r="AS136" s="106">
        <f>IF(OR(AS$190,$A136),'Client Data'!AS214,0)</f>
        <v>0</v>
      </c>
      <c r="AT136" s="106">
        <f>IF(OR(AT$190,$A136),'Client Data'!AT214,0)</f>
        <v>0</v>
      </c>
      <c r="AU136" s="106">
        <f>IF(OR(AU$190,$A136),'Client Data'!AU214,0)</f>
        <v>0</v>
      </c>
      <c r="AV136" s="106">
        <f>IF(OR(AV$190,$A136),'Client Data'!AV214,0)</f>
        <v>0</v>
      </c>
      <c r="AW136" s="106">
        <f>IF(OR(AW$190,$A136),'Client Data'!AW214,0)</f>
        <v>0</v>
      </c>
      <c r="AX136" s="106">
        <f>IF(OR(AX$190,$A136),'Client Data'!AX214,0)</f>
        <v>0</v>
      </c>
      <c r="AY136" s="106">
        <f>IF(OR(AY$190,$A136),'Client Data'!AY214,0)</f>
        <v>0</v>
      </c>
      <c r="AZ136" s="106">
        <f>IF(OR(AZ$190,$A136),'Client Data'!AZ214,0)</f>
        <v>0</v>
      </c>
      <c r="BA136" s="106">
        <f>IF(OR(BA$190,$A136),'Client Data'!BA214,0)</f>
        <v>0</v>
      </c>
      <c r="BB136" s="106">
        <f>IF(OR(BB$190,$A136),'Client Data'!BB214,0)</f>
        <v>0</v>
      </c>
      <c r="BC136" s="104">
        <f t="shared" si="59"/>
        <v>0</v>
      </c>
    </row>
    <row r="137" spans="1:55" x14ac:dyDescent="0.25">
      <c r="A137">
        <f t="shared" ref="A137:A140" si="72">IF(A$134&gt;0,A136-1,0)</f>
        <v>4</v>
      </c>
      <c r="B137" s="104" t="str">
        <f>'Client Data'!B215</f>
        <v>DownTime C</v>
      </c>
      <c r="C137" s="106">
        <f>IF(OR(C$190,$A137),'Client Data'!C215,0)</f>
        <v>0</v>
      </c>
      <c r="D137" s="106">
        <f>IF(OR(D$190,$A137),'Client Data'!D215,0)</f>
        <v>0</v>
      </c>
      <c r="E137" s="106">
        <f>IF(OR(E$190,$A137),'Client Data'!E215,0)</f>
        <v>0</v>
      </c>
      <c r="F137" s="106">
        <f>IF(OR(F$190,$A137),'Client Data'!F215,0)</f>
        <v>0</v>
      </c>
      <c r="G137" s="106">
        <f>IF(OR(G$190,$A137),'Client Data'!G215,0)</f>
        <v>0</v>
      </c>
      <c r="H137" s="106">
        <f>IF(OR(H$190,$A137),'Client Data'!H215,0)</f>
        <v>0</v>
      </c>
      <c r="I137" s="106">
        <f>IF(OR(I$190,$A137),'Client Data'!I215,0)</f>
        <v>0</v>
      </c>
      <c r="J137" s="106">
        <f>IF(OR(J$190,$A137),'Client Data'!J215,0)</f>
        <v>0</v>
      </c>
      <c r="K137" s="106">
        <f>IF(OR(K$190,$A137),'Client Data'!K215,0)</f>
        <v>0</v>
      </c>
      <c r="L137" s="106">
        <f>IF(OR(L$190,$A137),'Client Data'!L215,0)</f>
        <v>0</v>
      </c>
      <c r="M137" s="106">
        <f>IF(OR(M$190,$A137),'Client Data'!M215,0)</f>
        <v>0</v>
      </c>
      <c r="N137" s="106">
        <f>IF(OR(N$190,$A137),'Client Data'!N215,0)</f>
        <v>0</v>
      </c>
      <c r="O137" s="106">
        <f>IF(OR(O$190,$A137),'Client Data'!O215,0)</f>
        <v>0</v>
      </c>
      <c r="P137" s="106">
        <f>IF(OR(P$190,$A137),'Client Data'!P215,0)</f>
        <v>0</v>
      </c>
      <c r="Q137" s="106">
        <f>IF(OR(Q$190,$A137),'Client Data'!Q215,0)</f>
        <v>0</v>
      </c>
      <c r="R137" s="106">
        <f>IF(OR(R$190,$A137),'Client Data'!R215,0)</f>
        <v>0</v>
      </c>
      <c r="S137" s="106">
        <f>IF(OR(S$190,$A137),'Client Data'!S215,0)</f>
        <v>0</v>
      </c>
      <c r="T137" s="106">
        <f>IF(OR(T$190,$A137),'Client Data'!T215,0)</f>
        <v>0</v>
      </c>
      <c r="U137" s="106">
        <f>IF(OR(U$190,$A137),'Client Data'!U215,0)</f>
        <v>0</v>
      </c>
      <c r="V137" s="106">
        <f>IF(OR(V$190,$A137),'Client Data'!V215,0)</f>
        <v>0</v>
      </c>
      <c r="W137" s="106">
        <f>IF(OR(W$190,$A137),'Client Data'!W215,0)</f>
        <v>0</v>
      </c>
      <c r="X137" s="106">
        <f>IF(OR(X$190,$A137),'Client Data'!X215,0)</f>
        <v>0</v>
      </c>
      <c r="Y137" s="106">
        <f>IF(OR(Y$190,$A137),'Client Data'!Y215,0)</f>
        <v>0</v>
      </c>
      <c r="Z137" s="106">
        <f>IF(OR(Z$190,$A137),'Client Data'!Z215,0)</f>
        <v>0</v>
      </c>
      <c r="AA137" s="106">
        <f>IF(OR(AA$190,$A137),'Client Data'!AA215,0)</f>
        <v>0</v>
      </c>
      <c r="AB137" s="106">
        <f>IF(OR(AB$190,$A137),'Client Data'!AB215,0)</f>
        <v>0</v>
      </c>
      <c r="AC137" s="106">
        <f>IF(OR(AC$190,$A137),'Client Data'!AC215,0)</f>
        <v>0</v>
      </c>
      <c r="AD137" s="106">
        <f>IF(OR(AD$190,$A137),'Client Data'!AD215,0)</f>
        <v>0</v>
      </c>
      <c r="AE137" s="106">
        <f>IF(OR(AE$190,$A137),'Client Data'!AE215,0)</f>
        <v>0</v>
      </c>
      <c r="AF137" s="106">
        <f>IF(OR(AF$190,$A137),'Client Data'!AF215,0)</f>
        <v>0</v>
      </c>
      <c r="AG137" s="106">
        <f>IF(OR(AG$190,$A137),'Client Data'!AG215,0)</f>
        <v>0</v>
      </c>
      <c r="AH137" s="106">
        <f>IF(OR(AH$190,$A137),'Client Data'!AH215,0)</f>
        <v>0</v>
      </c>
      <c r="AI137" s="106">
        <f>IF(OR(AI$190,$A137),'Client Data'!AI215,0)</f>
        <v>0</v>
      </c>
      <c r="AJ137" s="106">
        <f>IF(OR(AJ$190,$A137),'Client Data'!AJ215,0)</f>
        <v>0</v>
      </c>
      <c r="AK137" s="106">
        <f>IF(OR(AK$190,$A137),'Client Data'!AK215,0)</f>
        <v>0</v>
      </c>
      <c r="AL137" s="106">
        <f>IF(OR(AL$190,$A137),'Client Data'!AL215,0)</f>
        <v>0</v>
      </c>
      <c r="AM137" s="106">
        <f>IF(OR(AM$190,$A137),'Client Data'!AM215,0)</f>
        <v>0</v>
      </c>
      <c r="AN137" s="106">
        <f>IF(OR(AN$190,$A137),'Client Data'!AN215,0)</f>
        <v>0</v>
      </c>
      <c r="AO137" s="106">
        <f>IF(OR(AO$190,$A137),'Client Data'!AO215,0)</f>
        <v>0</v>
      </c>
      <c r="AP137" s="106">
        <f>IF(OR(AP$190,$A137),'Client Data'!AP215,0)</f>
        <v>0</v>
      </c>
      <c r="AQ137" s="106">
        <f>IF(OR(AQ$190,$A137),'Client Data'!AQ215,0)</f>
        <v>0</v>
      </c>
      <c r="AR137" s="106">
        <f>IF(OR(AR$190,$A137),'Client Data'!AR215,0)</f>
        <v>0</v>
      </c>
      <c r="AS137" s="106">
        <f>IF(OR(AS$190,$A137),'Client Data'!AS215,0)</f>
        <v>0</v>
      </c>
      <c r="AT137" s="106">
        <f>IF(OR(AT$190,$A137),'Client Data'!AT215,0)</f>
        <v>0</v>
      </c>
      <c r="AU137" s="106">
        <f>IF(OR(AU$190,$A137),'Client Data'!AU215,0)</f>
        <v>0</v>
      </c>
      <c r="AV137" s="106">
        <f>IF(OR(AV$190,$A137),'Client Data'!AV215,0)</f>
        <v>0</v>
      </c>
      <c r="AW137" s="106">
        <f>IF(OR(AW$190,$A137),'Client Data'!AW215,0)</f>
        <v>0</v>
      </c>
      <c r="AX137" s="106">
        <f>IF(OR(AX$190,$A137),'Client Data'!AX215,0)</f>
        <v>0</v>
      </c>
      <c r="AY137" s="106">
        <f>IF(OR(AY$190,$A137),'Client Data'!AY215,0)</f>
        <v>0</v>
      </c>
      <c r="AZ137" s="106">
        <f>IF(OR(AZ$190,$A137),'Client Data'!AZ215,0)</f>
        <v>0</v>
      </c>
      <c r="BA137" s="106">
        <f>IF(OR(BA$190,$A137),'Client Data'!BA215,0)</f>
        <v>0</v>
      </c>
      <c r="BB137" s="106">
        <f>IF(OR(BB$190,$A137),'Client Data'!BB215,0)</f>
        <v>0</v>
      </c>
      <c r="BC137" s="104">
        <f t="shared" si="59"/>
        <v>0</v>
      </c>
    </row>
    <row r="138" spans="1:55" x14ac:dyDescent="0.25">
      <c r="A138">
        <f t="shared" si="72"/>
        <v>3</v>
      </c>
      <c r="B138" s="104" t="str">
        <f>'Client Data'!B216</f>
        <v>DownTime D</v>
      </c>
      <c r="C138" s="106">
        <f>IF(OR(C$190,$A138),'Client Data'!C216,0)</f>
        <v>0</v>
      </c>
      <c r="D138" s="106">
        <f>IF(OR(D$190,$A138),'Client Data'!D216,0)</f>
        <v>0</v>
      </c>
      <c r="E138" s="106">
        <f>IF(OR(E$190,$A138),'Client Data'!E216,0)</f>
        <v>0</v>
      </c>
      <c r="F138" s="106">
        <f>IF(OR(F$190,$A138),'Client Data'!F216,0)</f>
        <v>0</v>
      </c>
      <c r="G138" s="106">
        <f>IF(OR(G$190,$A138),'Client Data'!G216,0)</f>
        <v>0</v>
      </c>
      <c r="H138" s="106">
        <f>IF(OR(H$190,$A138),'Client Data'!H216,0)</f>
        <v>0</v>
      </c>
      <c r="I138" s="106">
        <f>IF(OR(I$190,$A138),'Client Data'!I216,0)</f>
        <v>0</v>
      </c>
      <c r="J138" s="106">
        <f>IF(OR(J$190,$A138),'Client Data'!J216,0)</f>
        <v>0</v>
      </c>
      <c r="K138" s="106">
        <f>IF(OR(K$190,$A138),'Client Data'!K216,0)</f>
        <v>0</v>
      </c>
      <c r="L138" s="106">
        <f>IF(OR(L$190,$A138),'Client Data'!L216,0)</f>
        <v>0</v>
      </c>
      <c r="M138" s="106">
        <f>IF(OR(M$190,$A138),'Client Data'!M216,0)</f>
        <v>0</v>
      </c>
      <c r="N138" s="106">
        <f>IF(OR(N$190,$A138),'Client Data'!N216,0)</f>
        <v>0</v>
      </c>
      <c r="O138" s="106">
        <f>IF(OR(O$190,$A138),'Client Data'!O216,0)</f>
        <v>0</v>
      </c>
      <c r="P138" s="106">
        <f>IF(OR(P$190,$A138),'Client Data'!P216,0)</f>
        <v>0</v>
      </c>
      <c r="Q138" s="106">
        <f>IF(OR(Q$190,$A138),'Client Data'!Q216,0)</f>
        <v>0</v>
      </c>
      <c r="R138" s="106">
        <f>IF(OR(R$190,$A138),'Client Data'!R216,0)</f>
        <v>0</v>
      </c>
      <c r="S138" s="106">
        <f>IF(OR(S$190,$A138),'Client Data'!S216,0)</f>
        <v>0</v>
      </c>
      <c r="T138" s="106">
        <f>IF(OR(T$190,$A138),'Client Data'!T216,0)</f>
        <v>0</v>
      </c>
      <c r="U138" s="106">
        <f>IF(OR(U$190,$A138),'Client Data'!U216,0)</f>
        <v>0</v>
      </c>
      <c r="V138" s="106">
        <f>IF(OR(V$190,$A138),'Client Data'!V216,0)</f>
        <v>0</v>
      </c>
      <c r="W138" s="106">
        <f>IF(OR(W$190,$A138),'Client Data'!W216,0)</f>
        <v>0</v>
      </c>
      <c r="X138" s="106">
        <f>IF(OR(X$190,$A138),'Client Data'!X216,0)</f>
        <v>0</v>
      </c>
      <c r="Y138" s="106">
        <f>IF(OR(Y$190,$A138),'Client Data'!Y216,0)</f>
        <v>0</v>
      </c>
      <c r="Z138" s="106">
        <f>IF(OR(Z$190,$A138),'Client Data'!Z216,0)</f>
        <v>0</v>
      </c>
      <c r="AA138" s="106">
        <f>IF(OR(AA$190,$A138),'Client Data'!AA216,0)</f>
        <v>0</v>
      </c>
      <c r="AB138" s="106">
        <f>IF(OR(AB$190,$A138),'Client Data'!AB216,0)</f>
        <v>0</v>
      </c>
      <c r="AC138" s="106">
        <f>IF(OR(AC$190,$A138),'Client Data'!AC216,0)</f>
        <v>0</v>
      </c>
      <c r="AD138" s="106">
        <f>IF(OR(AD$190,$A138),'Client Data'!AD216,0)</f>
        <v>0</v>
      </c>
      <c r="AE138" s="106">
        <f>IF(OR(AE$190,$A138),'Client Data'!AE216,0)</f>
        <v>0</v>
      </c>
      <c r="AF138" s="106">
        <f>IF(OR(AF$190,$A138),'Client Data'!AF216,0)</f>
        <v>0</v>
      </c>
      <c r="AG138" s="106">
        <f>IF(OR(AG$190,$A138),'Client Data'!AG216,0)</f>
        <v>0</v>
      </c>
      <c r="AH138" s="106">
        <f>IF(OR(AH$190,$A138),'Client Data'!AH216,0)</f>
        <v>0</v>
      </c>
      <c r="AI138" s="106">
        <f>IF(OR(AI$190,$A138),'Client Data'!AI216,0)</f>
        <v>0</v>
      </c>
      <c r="AJ138" s="106">
        <f>IF(OR(AJ$190,$A138),'Client Data'!AJ216,0)</f>
        <v>0</v>
      </c>
      <c r="AK138" s="106">
        <f>IF(OR(AK$190,$A138),'Client Data'!AK216,0)</f>
        <v>0</v>
      </c>
      <c r="AL138" s="106">
        <f>IF(OR(AL$190,$A138),'Client Data'!AL216,0)</f>
        <v>0</v>
      </c>
      <c r="AM138" s="106">
        <f>IF(OR(AM$190,$A138),'Client Data'!AM216,0)</f>
        <v>0</v>
      </c>
      <c r="AN138" s="106">
        <f>IF(OR(AN$190,$A138),'Client Data'!AN216,0)</f>
        <v>0</v>
      </c>
      <c r="AO138" s="106">
        <f>IF(OR(AO$190,$A138),'Client Data'!AO216,0)</f>
        <v>0</v>
      </c>
      <c r="AP138" s="106">
        <f>IF(OR(AP$190,$A138),'Client Data'!AP216,0)</f>
        <v>0</v>
      </c>
      <c r="AQ138" s="106">
        <f>IF(OR(AQ$190,$A138),'Client Data'!AQ216,0)</f>
        <v>0</v>
      </c>
      <c r="AR138" s="106">
        <f>IF(OR(AR$190,$A138),'Client Data'!AR216,0)</f>
        <v>0</v>
      </c>
      <c r="AS138" s="106">
        <f>IF(OR(AS$190,$A138),'Client Data'!AS216,0)</f>
        <v>0</v>
      </c>
      <c r="AT138" s="106">
        <f>IF(OR(AT$190,$A138),'Client Data'!AT216,0)</f>
        <v>0</v>
      </c>
      <c r="AU138" s="106">
        <f>IF(OR(AU$190,$A138),'Client Data'!AU216,0)</f>
        <v>0</v>
      </c>
      <c r="AV138" s="106">
        <f>IF(OR(AV$190,$A138),'Client Data'!AV216,0)</f>
        <v>0</v>
      </c>
      <c r="AW138" s="106">
        <f>IF(OR(AW$190,$A138),'Client Data'!AW216,0)</f>
        <v>0</v>
      </c>
      <c r="AX138" s="106">
        <f>IF(OR(AX$190,$A138),'Client Data'!AX216,0)</f>
        <v>0</v>
      </c>
      <c r="AY138" s="106">
        <f>IF(OR(AY$190,$A138),'Client Data'!AY216,0)</f>
        <v>0</v>
      </c>
      <c r="AZ138" s="106">
        <f>IF(OR(AZ$190,$A138),'Client Data'!AZ216,0)</f>
        <v>0</v>
      </c>
      <c r="BA138" s="106">
        <f>IF(OR(BA$190,$A138),'Client Data'!BA216,0)</f>
        <v>0</v>
      </c>
      <c r="BB138" s="106">
        <f>IF(OR(BB$190,$A138),'Client Data'!BB216,0)</f>
        <v>0</v>
      </c>
      <c r="BC138" s="104">
        <f t="shared" si="59"/>
        <v>0</v>
      </c>
    </row>
    <row r="139" spans="1:55" x14ac:dyDescent="0.25">
      <c r="A139">
        <f t="shared" si="72"/>
        <v>2</v>
      </c>
      <c r="B139" s="104" t="str">
        <f>'Client Data'!B217</f>
        <v>DownTime E</v>
      </c>
      <c r="C139" s="106">
        <f>IF(OR(C$190,$A139),'Client Data'!C217,0)</f>
        <v>0.8</v>
      </c>
      <c r="D139" s="106">
        <f>IF(OR(D$190,$A139),'Client Data'!D217,0)</f>
        <v>0.6</v>
      </c>
      <c r="E139" s="106">
        <f>IF(OR(E$190,$A139),'Client Data'!E217,0)</f>
        <v>0.3</v>
      </c>
      <c r="F139" s="106">
        <f>IF(OR(F$190,$A139),'Client Data'!F217,0)</f>
        <v>0.9</v>
      </c>
      <c r="G139" s="106">
        <f>IF(OR(G$190,$A139),'Client Data'!G217,0)</f>
        <v>0.2</v>
      </c>
      <c r="H139" s="106">
        <f>IF(OR(H$190,$A139),'Client Data'!H217,0)</f>
        <v>0.1</v>
      </c>
      <c r="I139" s="106">
        <f>IF(OR(I$190,$A139),'Client Data'!I217,0)</f>
        <v>0.3</v>
      </c>
      <c r="J139" s="106">
        <f>IF(OR(J$190,$A139),'Client Data'!J217,0)</f>
        <v>0.1</v>
      </c>
      <c r="K139" s="106">
        <f>IF(OR(K$190,$A139),'Client Data'!K217,0)</f>
        <v>0.2</v>
      </c>
      <c r="L139" s="106">
        <f>IF(OR(L$190,$A139),'Client Data'!L217,0)</f>
        <v>0.6</v>
      </c>
      <c r="M139" s="106">
        <f>IF(OR(M$190,$A139),'Client Data'!M217,0)</f>
        <v>0.8</v>
      </c>
      <c r="N139" s="106">
        <f>IF(OR(N$190,$A139),'Client Data'!N217,0)</f>
        <v>0.6</v>
      </c>
      <c r="O139" s="106">
        <f>IF(OR(O$190,$A139),'Client Data'!O217,0)</f>
        <v>0.3</v>
      </c>
      <c r="P139" s="106">
        <f>IF(OR(P$190,$A139),'Client Data'!P217,0)</f>
        <v>0.9</v>
      </c>
      <c r="Q139" s="106">
        <f>IF(OR(Q$190,$A139),'Client Data'!Q217,0)</f>
        <v>0.2</v>
      </c>
      <c r="R139" s="106">
        <f>IF(OR(R$190,$A139),'Client Data'!R217,0)</f>
        <v>0.1</v>
      </c>
      <c r="S139" s="106">
        <f>IF(OR(S$190,$A139),'Client Data'!S217,0)</f>
        <v>0.3</v>
      </c>
      <c r="T139" s="106">
        <f>IF(OR(T$190,$A139),'Client Data'!T217,0)</f>
        <v>0.1</v>
      </c>
      <c r="U139" s="106">
        <f>IF(OR(U$190,$A139),'Client Data'!U217,0)</f>
        <v>0.2</v>
      </c>
      <c r="V139" s="106">
        <f>IF(OR(V$190,$A139),'Client Data'!V217,0)</f>
        <v>0.6</v>
      </c>
      <c r="W139" s="106">
        <f>IF(OR(W$190,$A139),'Client Data'!W217,0)</f>
        <v>0.2</v>
      </c>
      <c r="X139" s="106">
        <f>IF(OR(X$190,$A139),'Client Data'!X217,0)</f>
        <v>0.6</v>
      </c>
      <c r="Y139" s="106">
        <f>IF(OR(Y$190,$A139),'Client Data'!Y217,0)</f>
        <v>0.8</v>
      </c>
      <c r="Z139" s="106">
        <f>IF(OR(Z$190,$A139),'Client Data'!Z217,0)</f>
        <v>0.6</v>
      </c>
      <c r="AA139" s="106">
        <f>IF(OR(AA$190,$A139),'Client Data'!AA217,0)</f>
        <v>0.3</v>
      </c>
      <c r="AB139" s="106">
        <f>IF(OR(AB$190,$A139),'Client Data'!AB217,0)</f>
        <v>0.9</v>
      </c>
      <c r="AC139" s="106">
        <f>IF(OR(AC$190,$A139),'Client Data'!AC217,0)</f>
        <v>0.2</v>
      </c>
      <c r="AD139" s="106">
        <f>IF(OR(AD$190,$A139),'Client Data'!AD217,0)</f>
        <v>0.1</v>
      </c>
      <c r="AE139" s="106">
        <f>IF(OR(AE$190,$A139),'Client Data'!AE217,0)</f>
        <v>0.3</v>
      </c>
      <c r="AF139" s="106">
        <f>IF(OR(AF$190,$A139),'Client Data'!AF217,0)</f>
        <v>0.1</v>
      </c>
      <c r="AG139" s="106">
        <f>IF(OR(AG$190,$A139),'Client Data'!AG217,0)</f>
        <v>0.2</v>
      </c>
      <c r="AH139" s="106">
        <f>IF(OR(AH$190,$A139),'Client Data'!AH217,0)</f>
        <v>0.6</v>
      </c>
      <c r="AI139" s="106">
        <f>IF(OR(AI$190,$A139),'Client Data'!AI217,0)</f>
        <v>0.1</v>
      </c>
      <c r="AJ139" s="106">
        <f>IF(OR(AJ$190,$A139),'Client Data'!AJ217,0)</f>
        <v>0.5</v>
      </c>
      <c r="AK139" s="106">
        <f>IF(OR(AK$190,$A139),'Client Data'!AK217,0)</f>
        <v>0.3</v>
      </c>
      <c r="AL139" s="106">
        <f>IF(OR(AL$190,$A139),'Client Data'!AL217,0)</f>
        <v>0.6</v>
      </c>
      <c r="AM139" s="106">
        <f>IF(OR(AM$190,$A139),'Client Data'!AM217,0)</f>
        <v>0.3</v>
      </c>
      <c r="AN139" s="106">
        <f>IF(OR(AN$190,$A139),'Client Data'!AN217,0)</f>
        <v>0.4</v>
      </c>
      <c r="AO139" s="106">
        <f>IF(OR(AO$190,$A139),'Client Data'!AO217,0)</f>
        <v>0.4</v>
      </c>
      <c r="AP139" s="106">
        <f>IF(OR(AP$190,$A139),'Client Data'!AP217,0)</f>
        <v>0.4</v>
      </c>
      <c r="AQ139" s="106">
        <f>IF(OR(AQ$190,$A139),'Client Data'!AQ217,0)</f>
        <v>0.5</v>
      </c>
      <c r="AR139" s="106">
        <f>IF(OR(AR$190,$A139),'Client Data'!AR217,0)</f>
        <v>0.3</v>
      </c>
      <c r="AS139" s="106">
        <f>IF(OR(AS$190,$A139),'Client Data'!AS217,0)</f>
        <v>0.4</v>
      </c>
      <c r="AT139" s="106">
        <f>IF(OR(AT$190,$A139),'Client Data'!AT217,0)</f>
        <v>0.5</v>
      </c>
      <c r="AU139" s="106">
        <f>IF(OR(AU$190,$A139),'Client Data'!AU217,0)</f>
        <v>0.3</v>
      </c>
      <c r="AV139" s="106">
        <f>IF(OR(AV$190,$A139),'Client Data'!AV217,0)</f>
        <v>0.6</v>
      </c>
      <c r="AW139" s="106">
        <f>IF(OR(AW$190,$A139),'Client Data'!AW217,0)</f>
        <v>0.3</v>
      </c>
      <c r="AX139" s="106">
        <f>IF(OR(AX$190,$A139),'Client Data'!AX217,0)</f>
        <v>0.4</v>
      </c>
      <c r="AY139" s="106">
        <f>IF(OR(AY$190,$A139),'Client Data'!AY217,0)</f>
        <v>0.4</v>
      </c>
      <c r="AZ139" s="106">
        <f>IF(OR(AZ$190,$A139),'Client Data'!AZ217,0)</f>
        <v>0.4</v>
      </c>
      <c r="BA139" s="106">
        <f>IF(OR(BA$190,$A139),'Client Data'!BA217,0)</f>
        <v>0.4</v>
      </c>
      <c r="BB139" s="106">
        <f>IF(OR(BB$190,$A139),'Client Data'!BB217,0)</f>
        <v>0.4</v>
      </c>
      <c r="BC139" s="104">
        <f t="shared" si="59"/>
        <v>20.999999999999993</v>
      </c>
    </row>
    <row r="140" spans="1:55" x14ac:dyDescent="0.25">
      <c r="A140">
        <f t="shared" si="72"/>
        <v>1</v>
      </c>
      <c r="B140" s="104" t="str">
        <f>'Client Data'!B218</f>
        <v>DownTime F</v>
      </c>
      <c r="C140" s="106">
        <f>IF(OR(C$190,$A140),'Client Data'!C218,0)</f>
        <v>0</v>
      </c>
      <c r="D140" s="106">
        <f>IF(OR(D$190,$A140),'Client Data'!D218,0)</f>
        <v>0</v>
      </c>
      <c r="E140" s="106">
        <f>IF(OR(E$190,$A140),'Client Data'!E218,0)</f>
        <v>0</v>
      </c>
      <c r="F140" s="106">
        <f>IF(OR(F$190,$A140),'Client Data'!F218,0)</f>
        <v>0</v>
      </c>
      <c r="G140" s="106">
        <f>IF(OR(G$190,$A140),'Client Data'!G218,0)</f>
        <v>0</v>
      </c>
      <c r="H140" s="106">
        <f>IF(OR(H$190,$A140),'Client Data'!H218,0)</f>
        <v>0</v>
      </c>
      <c r="I140" s="106">
        <f>IF(OR(I$190,$A140),'Client Data'!I218,0)</f>
        <v>0</v>
      </c>
      <c r="J140" s="106">
        <f>IF(OR(J$190,$A140),'Client Data'!J218,0)</f>
        <v>0</v>
      </c>
      <c r="K140" s="106">
        <f>IF(OR(K$190,$A140),'Client Data'!K218,0)</f>
        <v>0</v>
      </c>
      <c r="L140" s="106">
        <f>IF(OR(L$190,$A140),'Client Data'!L218,0)</f>
        <v>0</v>
      </c>
      <c r="M140" s="106">
        <f>IF(OR(M$190,$A140),'Client Data'!M218,0)</f>
        <v>0</v>
      </c>
      <c r="N140" s="106">
        <f>IF(OR(N$190,$A140),'Client Data'!N218,0)</f>
        <v>0</v>
      </c>
      <c r="O140" s="106">
        <f>IF(OR(O$190,$A140),'Client Data'!O218,0)</f>
        <v>0</v>
      </c>
      <c r="P140" s="106">
        <f>IF(OR(P$190,$A140),'Client Data'!P218,0)</f>
        <v>0</v>
      </c>
      <c r="Q140" s="106">
        <f>IF(OR(Q$190,$A140),'Client Data'!Q218,0)</f>
        <v>0</v>
      </c>
      <c r="R140" s="106">
        <f>IF(OR(R$190,$A140),'Client Data'!R218,0)</f>
        <v>0</v>
      </c>
      <c r="S140" s="106">
        <f>IF(OR(S$190,$A140),'Client Data'!S218,0)</f>
        <v>0</v>
      </c>
      <c r="T140" s="106">
        <f>IF(OR(T$190,$A140),'Client Data'!T218,0)</f>
        <v>0</v>
      </c>
      <c r="U140" s="106">
        <f>IF(OR(U$190,$A140),'Client Data'!U218,0)</f>
        <v>0</v>
      </c>
      <c r="V140" s="106">
        <f>IF(OR(V$190,$A140),'Client Data'!V218,0)</f>
        <v>0</v>
      </c>
      <c r="W140" s="106">
        <f>IF(OR(W$190,$A140),'Client Data'!W218,0)</f>
        <v>0</v>
      </c>
      <c r="X140" s="106">
        <f>IF(OR(X$190,$A140),'Client Data'!X218,0)</f>
        <v>0</v>
      </c>
      <c r="Y140" s="106">
        <f>IF(OR(Y$190,$A140),'Client Data'!Y218,0)</f>
        <v>0</v>
      </c>
      <c r="Z140" s="106">
        <f>IF(OR(Z$190,$A140),'Client Data'!Z218,0)</f>
        <v>0</v>
      </c>
      <c r="AA140" s="106">
        <f>IF(OR(AA$190,$A140),'Client Data'!AA218,0)</f>
        <v>0</v>
      </c>
      <c r="AB140" s="106">
        <f>IF(OR(AB$190,$A140),'Client Data'!AB218,0)</f>
        <v>0</v>
      </c>
      <c r="AC140" s="106">
        <f>IF(OR(AC$190,$A140),'Client Data'!AC218,0)</f>
        <v>0</v>
      </c>
      <c r="AD140" s="106">
        <f>IF(OR(AD$190,$A140),'Client Data'!AD218,0)</f>
        <v>0</v>
      </c>
      <c r="AE140" s="106">
        <f>IF(OR(AE$190,$A140),'Client Data'!AE218,0)</f>
        <v>0</v>
      </c>
      <c r="AF140" s="106">
        <f>IF(OR(AF$190,$A140),'Client Data'!AF218,0)</f>
        <v>0</v>
      </c>
      <c r="AG140" s="106">
        <f>IF(OR(AG$190,$A140),'Client Data'!AG218,0)</f>
        <v>0</v>
      </c>
      <c r="AH140" s="106">
        <f>IF(OR(AH$190,$A140),'Client Data'!AH218,0)</f>
        <v>0</v>
      </c>
      <c r="AI140" s="106">
        <f>IF(OR(AI$190,$A140),'Client Data'!AI218,0)</f>
        <v>0</v>
      </c>
      <c r="AJ140" s="106">
        <f>IF(OR(AJ$190,$A140),'Client Data'!AJ218,0)</f>
        <v>0</v>
      </c>
      <c r="AK140" s="106">
        <f>IF(OR(AK$190,$A140),'Client Data'!AK218,0)</f>
        <v>0</v>
      </c>
      <c r="AL140" s="106">
        <f>IF(OR(AL$190,$A140),'Client Data'!AL218,0)</f>
        <v>0</v>
      </c>
      <c r="AM140" s="106">
        <f>IF(OR(AM$190,$A140),'Client Data'!AM218,0)</f>
        <v>0</v>
      </c>
      <c r="AN140" s="106">
        <f>IF(OR(AN$190,$A140),'Client Data'!AN218,0)</f>
        <v>0</v>
      </c>
      <c r="AO140" s="106">
        <f>IF(OR(AO$190,$A140),'Client Data'!AO218,0)</f>
        <v>0</v>
      </c>
      <c r="AP140" s="106">
        <f>IF(OR(AP$190,$A140),'Client Data'!AP218,0)</f>
        <v>0</v>
      </c>
      <c r="AQ140" s="106">
        <f>IF(OR(AQ$190,$A140),'Client Data'!AQ218,0)</f>
        <v>0</v>
      </c>
      <c r="AR140" s="106">
        <f>IF(OR(AR$190,$A140),'Client Data'!AR218,0)</f>
        <v>0</v>
      </c>
      <c r="AS140" s="106">
        <f>IF(OR(AS$190,$A140),'Client Data'!AS218,0)</f>
        <v>0</v>
      </c>
      <c r="AT140" s="106">
        <f>IF(OR(AT$190,$A140),'Client Data'!AT218,0)</f>
        <v>0</v>
      </c>
      <c r="AU140" s="106">
        <f>IF(OR(AU$190,$A140),'Client Data'!AU218,0)</f>
        <v>0</v>
      </c>
      <c r="AV140" s="106">
        <f>IF(OR(AV$190,$A140),'Client Data'!AV218,0)</f>
        <v>0</v>
      </c>
      <c r="AW140" s="106">
        <f>IF(OR(AW$190,$A140),'Client Data'!AW218,0)</f>
        <v>0</v>
      </c>
      <c r="AX140" s="106">
        <f>IF(OR(AX$190,$A140),'Client Data'!AX218,0)</f>
        <v>0</v>
      </c>
      <c r="AY140" s="106">
        <f>IF(OR(AY$190,$A140),'Client Data'!AY218,0)</f>
        <v>0</v>
      </c>
      <c r="AZ140" s="106">
        <f>IF(OR(AZ$190,$A140),'Client Data'!AZ218,0)</f>
        <v>0</v>
      </c>
      <c r="BA140" s="106">
        <f>IF(OR(BA$190,$A140),'Client Data'!BA218,0)</f>
        <v>0</v>
      </c>
      <c r="BB140" s="106">
        <f>IF(OR(BB$190,$A140),'Client Data'!BB218,0)</f>
        <v>0</v>
      </c>
      <c r="BC140" s="104">
        <f t="shared" si="59"/>
        <v>0</v>
      </c>
    </row>
    <row r="141" spans="1:55" x14ac:dyDescent="0.25">
      <c r="A141">
        <f>A134-1</f>
        <v>3</v>
      </c>
      <c r="B141" s="105" t="str">
        <f>'Client Data'!B219</f>
        <v>Tool USDT F (Hour)</v>
      </c>
      <c r="C141" s="105">
        <f t="shared" ref="C141:AH141" si="73">IF(OR(C$190&gt;0,$A141),SUM(C142:C147),0)</f>
        <v>0.3</v>
      </c>
      <c r="D141" s="105">
        <f t="shared" si="73"/>
        <v>0.4</v>
      </c>
      <c r="E141" s="105">
        <f t="shared" si="73"/>
        <v>0.7</v>
      </c>
      <c r="F141" s="105">
        <f t="shared" si="73"/>
        <v>0.2</v>
      </c>
      <c r="G141" s="105">
        <f t="shared" si="73"/>
        <v>0.1</v>
      </c>
      <c r="H141" s="105">
        <f t="shared" si="73"/>
        <v>0.4</v>
      </c>
      <c r="I141" s="105">
        <f t="shared" si="73"/>
        <v>0.1</v>
      </c>
      <c r="J141" s="105">
        <f t="shared" si="73"/>
        <v>0.1</v>
      </c>
      <c r="K141" s="105">
        <f t="shared" si="73"/>
        <v>0.1</v>
      </c>
      <c r="L141" s="105">
        <f t="shared" si="73"/>
        <v>0.5</v>
      </c>
      <c r="M141" s="105">
        <f t="shared" si="73"/>
        <v>0.3</v>
      </c>
      <c r="N141" s="105">
        <f t="shared" si="73"/>
        <v>0.4</v>
      </c>
      <c r="O141" s="105">
        <f t="shared" si="73"/>
        <v>0.7</v>
      </c>
      <c r="P141" s="105">
        <f t="shared" si="73"/>
        <v>0.2</v>
      </c>
      <c r="Q141" s="105">
        <f t="shared" si="73"/>
        <v>0.1</v>
      </c>
      <c r="R141" s="105">
        <f t="shared" si="73"/>
        <v>0.4</v>
      </c>
      <c r="S141" s="105">
        <f t="shared" si="73"/>
        <v>0.1</v>
      </c>
      <c r="T141" s="105">
        <f t="shared" si="73"/>
        <v>0.1</v>
      </c>
      <c r="U141" s="105">
        <f t="shared" si="73"/>
        <v>0.1</v>
      </c>
      <c r="V141" s="105">
        <f t="shared" si="73"/>
        <v>0.5</v>
      </c>
      <c r="W141" s="105">
        <f t="shared" si="73"/>
        <v>0.1</v>
      </c>
      <c r="X141" s="105">
        <f t="shared" si="73"/>
        <v>0.5</v>
      </c>
      <c r="Y141" s="105">
        <f t="shared" si="73"/>
        <v>0.3</v>
      </c>
      <c r="Z141" s="105">
        <f t="shared" si="73"/>
        <v>0.4</v>
      </c>
      <c r="AA141" s="105">
        <f t="shared" si="73"/>
        <v>0.7</v>
      </c>
      <c r="AB141" s="105">
        <f t="shared" si="73"/>
        <v>0.2</v>
      </c>
      <c r="AC141" s="105">
        <f t="shared" si="73"/>
        <v>0.1</v>
      </c>
      <c r="AD141" s="105">
        <f t="shared" si="73"/>
        <v>0.4</v>
      </c>
      <c r="AE141" s="105">
        <f t="shared" si="73"/>
        <v>0.1</v>
      </c>
      <c r="AF141" s="105">
        <f t="shared" si="73"/>
        <v>0.1</v>
      </c>
      <c r="AG141" s="105">
        <f t="shared" si="73"/>
        <v>0.1</v>
      </c>
      <c r="AH141" s="105">
        <f t="shared" si="73"/>
        <v>0.5</v>
      </c>
      <c r="AI141" s="105">
        <f t="shared" ref="AI141:BB141" si="74">IF(OR(AI$190&gt;0,$A141),SUM(AI142:AI147),0)</f>
        <v>0.2</v>
      </c>
      <c r="AJ141" s="105">
        <f t="shared" si="74"/>
        <v>0.4</v>
      </c>
      <c r="AK141" s="105">
        <f t="shared" si="74"/>
        <v>0.4</v>
      </c>
      <c r="AL141" s="105">
        <f t="shared" si="74"/>
        <v>0.4</v>
      </c>
      <c r="AM141" s="105">
        <f t="shared" si="74"/>
        <v>0.5</v>
      </c>
      <c r="AN141" s="105">
        <f t="shared" si="74"/>
        <v>0.3</v>
      </c>
      <c r="AO141" s="105">
        <f t="shared" si="74"/>
        <v>0.4</v>
      </c>
      <c r="AP141" s="105">
        <f t="shared" si="74"/>
        <v>0.5</v>
      </c>
      <c r="AQ141" s="105">
        <f t="shared" si="74"/>
        <v>0.3</v>
      </c>
      <c r="AR141" s="105">
        <f t="shared" si="74"/>
        <v>0.6</v>
      </c>
      <c r="AS141" s="105">
        <f t="shared" si="74"/>
        <v>0.3</v>
      </c>
      <c r="AT141" s="105">
        <f t="shared" si="74"/>
        <v>0.4</v>
      </c>
      <c r="AU141" s="105">
        <f t="shared" si="74"/>
        <v>0.4</v>
      </c>
      <c r="AV141" s="105">
        <f t="shared" si="74"/>
        <v>0.4</v>
      </c>
      <c r="AW141" s="105">
        <f t="shared" si="74"/>
        <v>0.4</v>
      </c>
      <c r="AX141" s="105">
        <f t="shared" si="74"/>
        <v>0.4</v>
      </c>
      <c r="AY141" s="105">
        <f t="shared" si="74"/>
        <v>0.4</v>
      </c>
      <c r="AZ141" s="105">
        <f t="shared" si="74"/>
        <v>0.4</v>
      </c>
      <c r="BA141" s="105">
        <f t="shared" si="74"/>
        <v>0.4</v>
      </c>
      <c r="BB141" s="105">
        <f t="shared" si="74"/>
        <v>0.4</v>
      </c>
      <c r="BC141" s="105">
        <f t="shared" si="59"/>
        <v>17.2</v>
      </c>
    </row>
    <row r="142" spans="1:55" x14ac:dyDescent="0.25">
      <c r="A142">
        <f>IF(A$141&gt;0,A135,0)</f>
        <v>6</v>
      </c>
      <c r="B142" s="104" t="str">
        <f>'Client Data'!B220</f>
        <v>DownTime A</v>
      </c>
      <c r="C142" s="106">
        <f>IF(OR(C$190,$A142),'Client Data'!C220,0)</f>
        <v>0</v>
      </c>
      <c r="D142" s="106">
        <f>IF(OR(D$190,$A142),'Client Data'!D220,0)</f>
        <v>0</v>
      </c>
      <c r="E142" s="106">
        <f>IF(OR(E$190,$A142),'Client Data'!E220,0)</f>
        <v>0</v>
      </c>
      <c r="F142" s="106">
        <f>IF(OR(F$190,$A142),'Client Data'!F220,0)</f>
        <v>0</v>
      </c>
      <c r="G142" s="106">
        <f>IF(OR(G$190,$A142),'Client Data'!G220,0)</f>
        <v>0</v>
      </c>
      <c r="H142" s="106">
        <f>IF(OR(H$190,$A142),'Client Data'!H220,0)</f>
        <v>0</v>
      </c>
      <c r="I142" s="106">
        <f>IF(OR(I$190,$A142),'Client Data'!I220,0)</f>
        <v>0</v>
      </c>
      <c r="J142" s="106">
        <f>IF(OR(J$190,$A142),'Client Data'!J220,0)</f>
        <v>0</v>
      </c>
      <c r="K142" s="106">
        <f>IF(OR(K$190,$A142),'Client Data'!K220,0)</f>
        <v>0</v>
      </c>
      <c r="L142" s="106">
        <f>IF(OR(L$190,$A142),'Client Data'!L220,0)</f>
        <v>0</v>
      </c>
      <c r="M142" s="106">
        <f>IF(OR(M$190,$A142),'Client Data'!M220,0)</f>
        <v>0</v>
      </c>
      <c r="N142" s="106">
        <f>IF(OR(N$190,$A142),'Client Data'!N220,0)</f>
        <v>0</v>
      </c>
      <c r="O142" s="106">
        <f>IF(OR(O$190,$A142),'Client Data'!O220,0)</f>
        <v>0</v>
      </c>
      <c r="P142" s="106">
        <f>IF(OR(P$190,$A142),'Client Data'!P220,0)</f>
        <v>0</v>
      </c>
      <c r="Q142" s="106">
        <f>IF(OR(Q$190,$A142),'Client Data'!Q220,0)</f>
        <v>0</v>
      </c>
      <c r="R142" s="106">
        <f>IF(OR(R$190,$A142),'Client Data'!R220,0)</f>
        <v>0</v>
      </c>
      <c r="S142" s="106">
        <f>IF(OR(S$190,$A142),'Client Data'!S220,0)</f>
        <v>0</v>
      </c>
      <c r="T142" s="106">
        <f>IF(OR(T$190,$A142),'Client Data'!T220,0)</f>
        <v>0</v>
      </c>
      <c r="U142" s="106">
        <f>IF(OR(U$190,$A142),'Client Data'!U220,0)</f>
        <v>0</v>
      </c>
      <c r="V142" s="106">
        <f>IF(OR(V$190,$A142),'Client Data'!V220,0)</f>
        <v>0</v>
      </c>
      <c r="W142" s="106">
        <f>IF(OR(W$190,$A142),'Client Data'!W220,0)</f>
        <v>0</v>
      </c>
      <c r="X142" s="106">
        <f>IF(OR(X$190,$A142),'Client Data'!X220,0)</f>
        <v>0</v>
      </c>
      <c r="Y142" s="106">
        <f>IF(OR(Y$190,$A142),'Client Data'!Y220,0)</f>
        <v>0</v>
      </c>
      <c r="Z142" s="106">
        <f>IF(OR(Z$190,$A142),'Client Data'!Z220,0)</f>
        <v>0</v>
      </c>
      <c r="AA142" s="106">
        <f>IF(OR(AA$190,$A142),'Client Data'!AA220,0)</f>
        <v>0</v>
      </c>
      <c r="AB142" s="106">
        <f>IF(OR(AB$190,$A142),'Client Data'!AB220,0)</f>
        <v>0</v>
      </c>
      <c r="AC142" s="106">
        <f>IF(OR(AC$190,$A142),'Client Data'!AC220,0)</f>
        <v>0</v>
      </c>
      <c r="AD142" s="106">
        <f>IF(OR(AD$190,$A142),'Client Data'!AD220,0)</f>
        <v>0</v>
      </c>
      <c r="AE142" s="106">
        <f>IF(OR(AE$190,$A142),'Client Data'!AE220,0)</f>
        <v>0</v>
      </c>
      <c r="AF142" s="106">
        <f>IF(OR(AF$190,$A142),'Client Data'!AF220,0)</f>
        <v>0</v>
      </c>
      <c r="AG142" s="106">
        <f>IF(OR(AG$190,$A142),'Client Data'!AG220,0)</f>
        <v>0</v>
      </c>
      <c r="AH142" s="106">
        <f>IF(OR(AH$190,$A142),'Client Data'!AH220,0)</f>
        <v>0</v>
      </c>
      <c r="AI142" s="106">
        <f>IF(OR(AI$190,$A142),'Client Data'!AI220,0)</f>
        <v>0</v>
      </c>
      <c r="AJ142" s="106">
        <f>IF(OR(AJ$190,$A142),'Client Data'!AJ220,0)</f>
        <v>0</v>
      </c>
      <c r="AK142" s="106">
        <f>IF(OR(AK$190,$A142),'Client Data'!AK220,0)</f>
        <v>0</v>
      </c>
      <c r="AL142" s="106">
        <f>IF(OR(AL$190,$A142),'Client Data'!AL220,0)</f>
        <v>0</v>
      </c>
      <c r="AM142" s="106">
        <f>IF(OR(AM$190,$A142),'Client Data'!AM220,0)</f>
        <v>0</v>
      </c>
      <c r="AN142" s="106">
        <f>IF(OR(AN$190,$A142),'Client Data'!AN220,0)</f>
        <v>0</v>
      </c>
      <c r="AO142" s="106">
        <f>IF(OR(AO$190,$A142),'Client Data'!AO220,0)</f>
        <v>0</v>
      </c>
      <c r="AP142" s="106">
        <f>IF(OR(AP$190,$A142),'Client Data'!AP220,0)</f>
        <v>0</v>
      </c>
      <c r="AQ142" s="106">
        <f>IF(OR(AQ$190,$A142),'Client Data'!AQ220,0)</f>
        <v>0</v>
      </c>
      <c r="AR142" s="106">
        <f>IF(OR(AR$190,$A142),'Client Data'!AR220,0)</f>
        <v>0</v>
      </c>
      <c r="AS142" s="106">
        <f>IF(OR(AS$190,$A142),'Client Data'!AS220,0)</f>
        <v>0</v>
      </c>
      <c r="AT142" s="106">
        <f>IF(OR(AT$190,$A142),'Client Data'!AT220,0)</f>
        <v>0</v>
      </c>
      <c r="AU142" s="106">
        <f>IF(OR(AU$190,$A142),'Client Data'!AU220,0)</f>
        <v>0</v>
      </c>
      <c r="AV142" s="106">
        <f>IF(OR(AV$190,$A142),'Client Data'!AV220,0)</f>
        <v>0</v>
      </c>
      <c r="AW142" s="106">
        <f>IF(OR(AW$190,$A142),'Client Data'!AW220,0)</f>
        <v>0</v>
      </c>
      <c r="AX142" s="106">
        <f>IF(OR(AX$190,$A142),'Client Data'!AX220,0)</f>
        <v>0</v>
      </c>
      <c r="AY142" s="106">
        <f>IF(OR(AY$190,$A142),'Client Data'!AY220,0)</f>
        <v>0</v>
      </c>
      <c r="AZ142" s="106">
        <f>IF(OR(AZ$190,$A142),'Client Data'!AZ220,0)</f>
        <v>0</v>
      </c>
      <c r="BA142" s="106">
        <f>IF(OR(BA$190,$A142),'Client Data'!BA220,0)</f>
        <v>0</v>
      </c>
      <c r="BB142" s="106">
        <f>IF(OR(BB$190,$A142),'Client Data'!BB220,0)</f>
        <v>0</v>
      </c>
      <c r="BC142" s="104">
        <f t="shared" si="59"/>
        <v>0</v>
      </c>
    </row>
    <row r="143" spans="1:55" x14ac:dyDescent="0.25">
      <c r="A143">
        <f>IF(A$141&gt;0,A142-1,0)</f>
        <v>5</v>
      </c>
      <c r="B143" s="104" t="str">
        <f>'Client Data'!B221</f>
        <v>DownTime B</v>
      </c>
      <c r="C143" s="106">
        <f>IF(OR(C$190,$A143),'Client Data'!C221,0)</f>
        <v>0</v>
      </c>
      <c r="D143" s="106">
        <f>IF(OR(D$190,$A143),'Client Data'!D221,0)</f>
        <v>0</v>
      </c>
      <c r="E143" s="106">
        <f>IF(OR(E$190,$A143),'Client Data'!E221,0)</f>
        <v>0</v>
      </c>
      <c r="F143" s="106">
        <f>IF(OR(F$190,$A143),'Client Data'!F221,0)</f>
        <v>0</v>
      </c>
      <c r="G143" s="106">
        <f>IF(OR(G$190,$A143),'Client Data'!G221,0)</f>
        <v>0</v>
      </c>
      <c r="H143" s="106">
        <f>IF(OR(H$190,$A143),'Client Data'!H221,0)</f>
        <v>0</v>
      </c>
      <c r="I143" s="106">
        <f>IF(OR(I$190,$A143),'Client Data'!I221,0)</f>
        <v>0</v>
      </c>
      <c r="J143" s="106">
        <f>IF(OR(J$190,$A143),'Client Data'!J221,0)</f>
        <v>0</v>
      </c>
      <c r="K143" s="106">
        <f>IF(OR(K$190,$A143),'Client Data'!K221,0)</f>
        <v>0</v>
      </c>
      <c r="L143" s="106">
        <f>IF(OR(L$190,$A143),'Client Data'!L221,0)</f>
        <v>0</v>
      </c>
      <c r="M143" s="106">
        <f>IF(OR(M$190,$A143),'Client Data'!M221,0)</f>
        <v>0</v>
      </c>
      <c r="N143" s="106">
        <f>IF(OR(N$190,$A143),'Client Data'!N221,0)</f>
        <v>0</v>
      </c>
      <c r="O143" s="106">
        <f>IF(OR(O$190,$A143),'Client Data'!O221,0)</f>
        <v>0</v>
      </c>
      <c r="P143" s="106">
        <f>IF(OR(P$190,$A143),'Client Data'!P221,0)</f>
        <v>0</v>
      </c>
      <c r="Q143" s="106">
        <f>IF(OR(Q$190,$A143),'Client Data'!Q221,0)</f>
        <v>0</v>
      </c>
      <c r="R143" s="106">
        <f>IF(OR(R$190,$A143),'Client Data'!R221,0)</f>
        <v>0</v>
      </c>
      <c r="S143" s="106">
        <f>IF(OR(S$190,$A143),'Client Data'!S221,0)</f>
        <v>0</v>
      </c>
      <c r="T143" s="106">
        <f>IF(OR(T$190,$A143),'Client Data'!T221,0)</f>
        <v>0</v>
      </c>
      <c r="U143" s="106">
        <f>IF(OR(U$190,$A143),'Client Data'!U221,0)</f>
        <v>0</v>
      </c>
      <c r="V143" s="106">
        <f>IF(OR(V$190,$A143),'Client Data'!V221,0)</f>
        <v>0</v>
      </c>
      <c r="W143" s="106">
        <f>IF(OR(W$190,$A143),'Client Data'!W221,0)</f>
        <v>0</v>
      </c>
      <c r="X143" s="106">
        <f>IF(OR(X$190,$A143),'Client Data'!X221,0)</f>
        <v>0</v>
      </c>
      <c r="Y143" s="106">
        <f>IF(OR(Y$190,$A143),'Client Data'!Y221,0)</f>
        <v>0</v>
      </c>
      <c r="Z143" s="106">
        <f>IF(OR(Z$190,$A143),'Client Data'!Z221,0)</f>
        <v>0</v>
      </c>
      <c r="AA143" s="106">
        <f>IF(OR(AA$190,$A143),'Client Data'!AA221,0)</f>
        <v>0</v>
      </c>
      <c r="AB143" s="106">
        <f>IF(OR(AB$190,$A143),'Client Data'!AB221,0)</f>
        <v>0</v>
      </c>
      <c r="AC143" s="106">
        <f>IF(OR(AC$190,$A143),'Client Data'!AC221,0)</f>
        <v>0</v>
      </c>
      <c r="AD143" s="106">
        <f>IF(OR(AD$190,$A143),'Client Data'!AD221,0)</f>
        <v>0</v>
      </c>
      <c r="AE143" s="106">
        <f>IF(OR(AE$190,$A143),'Client Data'!AE221,0)</f>
        <v>0</v>
      </c>
      <c r="AF143" s="106">
        <f>IF(OR(AF$190,$A143),'Client Data'!AF221,0)</f>
        <v>0</v>
      </c>
      <c r="AG143" s="106">
        <f>IF(OR(AG$190,$A143),'Client Data'!AG221,0)</f>
        <v>0</v>
      </c>
      <c r="AH143" s="106">
        <f>IF(OR(AH$190,$A143),'Client Data'!AH221,0)</f>
        <v>0</v>
      </c>
      <c r="AI143" s="106">
        <f>IF(OR(AI$190,$A143),'Client Data'!AI221,0)</f>
        <v>0</v>
      </c>
      <c r="AJ143" s="106">
        <f>IF(OR(AJ$190,$A143),'Client Data'!AJ221,0)</f>
        <v>0</v>
      </c>
      <c r="AK143" s="106">
        <f>IF(OR(AK$190,$A143),'Client Data'!AK221,0)</f>
        <v>0</v>
      </c>
      <c r="AL143" s="106">
        <f>IF(OR(AL$190,$A143),'Client Data'!AL221,0)</f>
        <v>0</v>
      </c>
      <c r="AM143" s="106">
        <f>IF(OR(AM$190,$A143),'Client Data'!AM221,0)</f>
        <v>0</v>
      </c>
      <c r="AN143" s="106">
        <f>IF(OR(AN$190,$A143),'Client Data'!AN221,0)</f>
        <v>0</v>
      </c>
      <c r="AO143" s="106">
        <f>IF(OR(AO$190,$A143),'Client Data'!AO221,0)</f>
        <v>0</v>
      </c>
      <c r="AP143" s="106">
        <f>IF(OR(AP$190,$A143),'Client Data'!AP221,0)</f>
        <v>0</v>
      </c>
      <c r="AQ143" s="106">
        <f>IF(OR(AQ$190,$A143),'Client Data'!AQ221,0)</f>
        <v>0</v>
      </c>
      <c r="AR143" s="106">
        <f>IF(OR(AR$190,$A143),'Client Data'!AR221,0)</f>
        <v>0</v>
      </c>
      <c r="AS143" s="106">
        <f>IF(OR(AS$190,$A143),'Client Data'!AS221,0)</f>
        <v>0</v>
      </c>
      <c r="AT143" s="106">
        <f>IF(OR(AT$190,$A143),'Client Data'!AT221,0)</f>
        <v>0</v>
      </c>
      <c r="AU143" s="106">
        <f>IF(OR(AU$190,$A143),'Client Data'!AU221,0)</f>
        <v>0</v>
      </c>
      <c r="AV143" s="106">
        <f>IF(OR(AV$190,$A143),'Client Data'!AV221,0)</f>
        <v>0</v>
      </c>
      <c r="AW143" s="106">
        <f>IF(OR(AW$190,$A143),'Client Data'!AW221,0)</f>
        <v>0</v>
      </c>
      <c r="AX143" s="106">
        <f>IF(OR(AX$190,$A143),'Client Data'!AX221,0)</f>
        <v>0</v>
      </c>
      <c r="AY143" s="106">
        <f>IF(OR(AY$190,$A143),'Client Data'!AY221,0)</f>
        <v>0</v>
      </c>
      <c r="AZ143" s="106">
        <f>IF(OR(AZ$190,$A143),'Client Data'!AZ221,0)</f>
        <v>0</v>
      </c>
      <c r="BA143" s="106">
        <f>IF(OR(BA$190,$A143),'Client Data'!BA221,0)</f>
        <v>0</v>
      </c>
      <c r="BB143" s="106">
        <f>IF(OR(BB$190,$A143),'Client Data'!BB221,0)</f>
        <v>0</v>
      </c>
      <c r="BC143" s="104">
        <f t="shared" si="59"/>
        <v>0</v>
      </c>
    </row>
    <row r="144" spans="1:55" x14ac:dyDescent="0.25">
      <c r="A144">
        <f t="shared" ref="A144:A147" si="75">IF(A$141&gt;0,A143-1,0)</f>
        <v>4</v>
      </c>
      <c r="B144" s="104" t="str">
        <f>'Client Data'!B222</f>
        <v>DownTime C</v>
      </c>
      <c r="C144" s="106">
        <f>IF(OR(C$190,$A144),'Client Data'!C222,0)</f>
        <v>0</v>
      </c>
      <c r="D144" s="106">
        <f>IF(OR(D$190,$A144),'Client Data'!D222,0)</f>
        <v>0</v>
      </c>
      <c r="E144" s="106">
        <f>IF(OR(E$190,$A144),'Client Data'!E222,0)</f>
        <v>0</v>
      </c>
      <c r="F144" s="106">
        <f>IF(OR(F$190,$A144),'Client Data'!F222,0)</f>
        <v>0</v>
      </c>
      <c r="G144" s="106">
        <f>IF(OR(G$190,$A144),'Client Data'!G222,0)</f>
        <v>0</v>
      </c>
      <c r="H144" s="106">
        <f>IF(OR(H$190,$A144),'Client Data'!H222,0)</f>
        <v>0</v>
      </c>
      <c r="I144" s="106">
        <f>IF(OR(I$190,$A144),'Client Data'!I222,0)</f>
        <v>0</v>
      </c>
      <c r="J144" s="106">
        <f>IF(OR(J$190,$A144),'Client Data'!J222,0)</f>
        <v>0</v>
      </c>
      <c r="K144" s="106">
        <f>IF(OR(K$190,$A144),'Client Data'!K222,0)</f>
        <v>0</v>
      </c>
      <c r="L144" s="106">
        <f>IF(OR(L$190,$A144),'Client Data'!L222,0)</f>
        <v>0</v>
      </c>
      <c r="M144" s="106">
        <f>IF(OR(M$190,$A144),'Client Data'!M222,0)</f>
        <v>0</v>
      </c>
      <c r="N144" s="106">
        <f>IF(OR(N$190,$A144),'Client Data'!N222,0)</f>
        <v>0</v>
      </c>
      <c r="O144" s="106">
        <f>IF(OR(O$190,$A144),'Client Data'!O222,0)</f>
        <v>0</v>
      </c>
      <c r="P144" s="106">
        <f>IF(OR(P$190,$A144),'Client Data'!P222,0)</f>
        <v>0</v>
      </c>
      <c r="Q144" s="106">
        <f>IF(OR(Q$190,$A144),'Client Data'!Q222,0)</f>
        <v>0</v>
      </c>
      <c r="R144" s="106">
        <f>IF(OR(R$190,$A144),'Client Data'!R222,0)</f>
        <v>0</v>
      </c>
      <c r="S144" s="106">
        <f>IF(OR(S$190,$A144),'Client Data'!S222,0)</f>
        <v>0</v>
      </c>
      <c r="T144" s="106">
        <f>IF(OR(T$190,$A144),'Client Data'!T222,0)</f>
        <v>0</v>
      </c>
      <c r="U144" s="106">
        <f>IF(OR(U$190,$A144),'Client Data'!U222,0)</f>
        <v>0</v>
      </c>
      <c r="V144" s="106">
        <f>IF(OR(V$190,$A144),'Client Data'!V222,0)</f>
        <v>0</v>
      </c>
      <c r="W144" s="106">
        <f>IF(OR(W$190,$A144),'Client Data'!W222,0)</f>
        <v>0</v>
      </c>
      <c r="X144" s="106">
        <f>IF(OR(X$190,$A144),'Client Data'!X222,0)</f>
        <v>0</v>
      </c>
      <c r="Y144" s="106">
        <f>IF(OR(Y$190,$A144),'Client Data'!Y222,0)</f>
        <v>0</v>
      </c>
      <c r="Z144" s="106">
        <f>IF(OR(Z$190,$A144),'Client Data'!Z222,0)</f>
        <v>0</v>
      </c>
      <c r="AA144" s="106">
        <f>IF(OR(AA$190,$A144),'Client Data'!AA222,0)</f>
        <v>0</v>
      </c>
      <c r="AB144" s="106">
        <f>IF(OR(AB$190,$A144),'Client Data'!AB222,0)</f>
        <v>0</v>
      </c>
      <c r="AC144" s="106">
        <f>IF(OR(AC$190,$A144),'Client Data'!AC222,0)</f>
        <v>0</v>
      </c>
      <c r="AD144" s="106">
        <f>IF(OR(AD$190,$A144),'Client Data'!AD222,0)</f>
        <v>0</v>
      </c>
      <c r="AE144" s="106">
        <f>IF(OR(AE$190,$A144),'Client Data'!AE222,0)</f>
        <v>0</v>
      </c>
      <c r="AF144" s="106">
        <f>IF(OR(AF$190,$A144),'Client Data'!AF222,0)</f>
        <v>0</v>
      </c>
      <c r="AG144" s="106">
        <f>IF(OR(AG$190,$A144),'Client Data'!AG222,0)</f>
        <v>0</v>
      </c>
      <c r="AH144" s="106">
        <f>IF(OR(AH$190,$A144),'Client Data'!AH222,0)</f>
        <v>0</v>
      </c>
      <c r="AI144" s="106">
        <f>IF(OR(AI$190,$A144),'Client Data'!AI222,0)</f>
        <v>0</v>
      </c>
      <c r="AJ144" s="106">
        <f>IF(OR(AJ$190,$A144),'Client Data'!AJ222,0)</f>
        <v>0</v>
      </c>
      <c r="AK144" s="106">
        <f>IF(OR(AK$190,$A144),'Client Data'!AK222,0)</f>
        <v>0</v>
      </c>
      <c r="AL144" s="106">
        <f>IF(OR(AL$190,$A144),'Client Data'!AL222,0)</f>
        <v>0</v>
      </c>
      <c r="AM144" s="106">
        <f>IF(OR(AM$190,$A144),'Client Data'!AM222,0)</f>
        <v>0</v>
      </c>
      <c r="AN144" s="106">
        <f>IF(OR(AN$190,$A144),'Client Data'!AN222,0)</f>
        <v>0</v>
      </c>
      <c r="AO144" s="106">
        <f>IF(OR(AO$190,$A144),'Client Data'!AO222,0)</f>
        <v>0</v>
      </c>
      <c r="AP144" s="106">
        <f>IF(OR(AP$190,$A144),'Client Data'!AP222,0)</f>
        <v>0</v>
      </c>
      <c r="AQ144" s="106">
        <f>IF(OR(AQ$190,$A144),'Client Data'!AQ222,0)</f>
        <v>0</v>
      </c>
      <c r="AR144" s="106">
        <f>IF(OR(AR$190,$A144),'Client Data'!AR222,0)</f>
        <v>0</v>
      </c>
      <c r="AS144" s="106">
        <f>IF(OR(AS$190,$A144),'Client Data'!AS222,0)</f>
        <v>0</v>
      </c>
      <c r="AT144" s="106">
        <f>IF(OR(AT$190,$A144),'Client Data'!AT222,0)</f>
        <v>0</v>
      </c>
      <c r="AU144" s="106">
        <f>IF(OR(AU$190,$A144),'Client Data'!AU222,0)</f>
        <v>0</v>
      </c>
      <c r="AV144" s="106">
        <f>IF(OR(AV$190,$A144),'Client Data'!AV222,0)</f>
        <v>0</v>
      </c>
      <c r="AW144" s="106">
        <f>IF(OR(AW$190,$A144),'Client Data'!AW222,0)</f>
        <v>0</v>
      </c>
      <c r="AX144" s="106">
        <f>IF(OR(AX$190,$A144),'Client Data'!AX222,0)</f>
        <v>0</v>
      </c>
      <c r="AY144" s="106">
        <f>IF(OR(AY$190,$A144),'Client Data'!AY222,0)</f>
        <v>0</v>
      </c>
      <c r="AZ144" s="106">
        <f>IF(OR(AZ$190,$A144),'Client Data'!AZ222,0)</f>
        <v>0</v>
      </c>
      <c r="BA144" s="106">
        <f>IF(OR(BA$190,$A144),'Client Data'!BA222,0)</f>
        <v>0</v>
      </c>
      <c r="BB144" s="106">
        <f>IF(OR(BB$190,$A144),'Client Data'!BB222,0)</f>
        <v>0</v>
      </c>
      <c r="BC144" s="104">
        <f t="shared" si="59"/>
        <v>0</v>
      </c>
    </row>
    <row r="145" spans="1:55" x14ac:dyDescent="0.25">
      <c r="A145">
        <f t="shared" si="75"/>
        <v>3</v>
      </c>
      <c r="B145" s="104" t="str">
        <f>'Client Data'!B223</f>
        <v>DownTime D</v>
      </c>
      <c r="C145" s="106">
        <f>IF(OR(C$190,$A145),'Client Data'!C223,0)</f>
        <v>0</v>
      </c>
      <c r="D145" s="106">
        <f>IF(OR(D$190,$A145),'Client Data'!D223,0)</f>
        <v>0</v>
      </c>
      <c r="E145" s="106">
        <f>IF(OR(E$190,$A145),'Client Data'!E223,0)</f>
        <v>0</v>
      </c>
      <c r="F145" s="106">
        <f>IF(OR(F$190,$A145),'Client Data'!F223,0)</f>
        <v>0</v>
      </c>
      <c r="G145" s="106">
        <f>IF(OR(G$190,$A145),'Client Data'!G223,0)</f>
        <v>0</v>
      </c>
      <c r="H145" s="106">
        <f>IF(OR(H$190,$A145),'Client Data'!H223,0)</f>
        <v>0</v>
      </c>
      <c r="I145" s="106">
        <f>IF(OR(I$190,$A145),'Client Data'!I223,0)</f>
        <v>0</v>
      </c>
      <c r="J145" s="106">
        <f>IF(OR(J$190,$A145),'Client Data'!J223,0)</f>
        <v>0</v>
      </c>
      <c r="K145" s="106">
        <f>IF(OR(K$190,$A145),'Client Data'!K223,0)</f>
        <v>0</v>
      </c>
      <c r="L145" s="106">
        <f>IF(OR(L$190,$A145),'Client Data'!L223,0)</f>
        <v>0</v>
      </c>
      <c r="M145" s="106">
        <f>IF(OR(M$190,$A145),'Client Data'!M223,0)</f>
        <v>0</v>
      </c>
      <c r="N145" s="106">
        <f>IF(OR(N$190,$A145),'Client Data'!N223,0)</f>
        <v>0</v>
      </c>
      <c r="O145" s="106">
        <f>IF(OR(O$190,$A145),'Client Data'!O223,0)</f>
        <v>0</v>
      </c>
      <c r="P145" s="106">
        <f>IF(OR(P$190,$A145),'Client Data'!P223,0)</f>
        <v>0</v>
      </c>
      <c r="Q145" s="106">
        <f>IF(OR(Q$190,$A145),'Client Data'!Q223,0)</f>
        <v>0</v>
      </c>
      <c r="R145" s="106">
        <f>IF(OR(R$190,$A145),'Client Data'!R223,0)</f>
        <v>0</v>
      </c>
      <c r="S145" s="106">
        <f>IF(OR(S$190,$A145),'Client Data'!S223,0)</f>
        <v>0</v>
      </c>
      <c r="T145" s="106">
        <f>IF(OR(T$190,$A145),'Client Data'!T223,0)</f>
        <v>0</v>
      </c>
      <c r="U145" s="106">
        <f>IF(OR(U$190,$A145),'Client Data'!U223,0)</f>
        <v>0</v>
      </c>
      <c r="V145" s="106">
        <f>IF(OR(V$190,$A145),'Client Data'!V223,0)</f>
        <v>0</v>
      </c>
      <c r="W145" s="106">
        <f>IF(OR(W$190,$A145),'Client Data'!W223,0)</f>
        <v>0</v>
      </c>
      <c r="X145" s="106">
        <f>IF(OR(X$190,$A145),'Client Data'!X223,0)</f>
        <v>0</v>
      </c>
      <c r="Y145" s="106">
        <f>IF(OR(Y$190,$A145),'Client Data'!Y223,0)</f>
        <v>0</v>
      </c>
      <c r="Z145" s="106">
        <f>IF(OR(Z$190,$A145),'Client Data'!Z223,0)</f>
        <v>0</v>
      </c>
      <c r="AA145" s="106">
        <f>IF(OR(AA$190,$A145),'Client Data'!AA223,0)</f>
        <v>0</v>
      </c>
      <c r="AB145" s="106">
        <f>IF(OR(AB$190,$A145),'Client Data'!AB223,0)</f>
        <v>0</v>
      </c>
      <c r="AC145" s="106">
        <f>IF(OR(AC$190,$A145),'Client Data'!AC223,0)</f>
        <v>0</v>
      </c>
      <c r="AD145" s="106">
        <f>IF(OR(AD$190,$A145),'Client Data'!AD223,0)</f>
        <v>0</v>
      </c>
      <c r="AE145" s="106">
        <f>IF(OR(AE$190,$A145),'Client Data'!AE223,0)</f>
        <v>0</v>
      </c>
      <c r="AF145" s="106">
        <f>IF(OR(AF$190,$A145),'Client Data'!AF223,0)</f>
        <v>0</v>
      </c>
      <c r="AG145" s="106">
        <f>IF(OR(AG$190,$A145),'Client Data'!AG223,0)</f>
        <v>0</v>
      </c>
      <c r="AH145" s="106">
        <f>IF(OR(AH$190,$A145),'Client Data'!AH223,0)</f>
        <v>0</v>
      </c>
      <c r="AI145" s="106">
        <f>IF(OR(AI$190,$A145),'Client Data'!AI223,0)</f>
        <v>0</v>
      </c>
      <c r="AJ145" s="106">
        <f>IF(OR(AJ$190,$A145),'Client Data'!AJ223,0)</f>
        <v>0</v>
      </c>
      <c r="AK145" s="106">
        <f>IF(OR(AK$190,$A145),'Client Data'!AK223,0)</f>
        <v>0</v>
      </c>
      <c r="AL145" s="106">
        <f>IF(OR(AL$190,$A145),'Client Data'!AL223,0)</f>
        <v>0</v>
      </c>
      <c r="AM145" s="106">
        <f>IF(OR(AM$190,$A145),'Client Data'!AM223,0)</f>
        <v>0</v>
      </c>
      <c r="AN145" s="106">
        <f>IF(OR(AN$190,$A145),'Client Data'!AN223,0)</f>
        <v>0</v>
      </c>
      <c r="AO145" s="106">
        <f>IF(OR(AO$190,$A145),'Client Data'!AO223,0)</f>
        <v>0</v>
      </c>
      <c r="AP145" s="106">
        <f>IF(OR(AP$190,$A145),'Client Data'!AP223,0)</f>
        <v>0</v>
      </c>
      <c r="AQ145" s="106">
        <f>IF(OR(AQ$190,$A145),'Client Data'!AQ223,0)</f>
        <v>0</v>
      </c>
      <c r="AR145" s="106">
        <f>IF(OR(AR$190,$A145),'Client Data'!AR223,0)</f>
        <v>0</v>
      </c>
      <c r="AS145" s="106">
        <f>IF(OR(AS$190,$A145),'Client Data'!AS223,0)</f>
        <v>0</v>
      </c>
      <c r="AT145" s="106">
        <f>IF(OR(AT$190,$A145),'Client Data'!AT223,0)</f>
        <v>0</v>
      </c>
      <c r="AU145" s="106">
        <f>IF(OR(AU$190,$A145),'Client Data'!AU223,0)</f>
        <v>0</v>
      </c>
      <c r="AV145" s="106">
        <f>IF(OR(AV$190,$A145),'Client Data'!AV223,0)</f>
        <v>0</v>
      </c>
      <c r="AW145" s="106">
        <f>IF(OR(AW$190,$A145),'Client Data'!AW223,0)</f>
        <v>0</v>
      </c>
      <c r="AX145" s="106">
        <f>IF(OR(AX$190,$A145),'Client Data'!AX223,0)</f>
        <v>0</v>
      </c>
      <c r="AY145" s="106">
        <f>IF(OR(AY$190,$A145),'Client Data'!AY223,0)</f>
        <v>0</v>
      </c>
      <c r="AZ145" s="106">
        <f>IF(OR(AZ$190,$A145),'Client Data'!AZ223,0)</f>
        <v>0</v>
      </c>
      <c r="BA145" s="106">
        <f>IF(OR(BA$190,$A145),'Client Data'!BA223,0)</f>
        <v>0</v>
      </c>
      <c r="BB145" s="106">
        <f>IF(OR(BB$190,$A145),'Client Data'!BB223,0)</f>
        <v>0</v>
      </c>
      <c r="BC145" s="104">
        <f t="shared" si="59"/>
        <v>0</v>
      </c>
    </row>
    <row r="146" spans="1:55" x14ac:dyDescent="0.25">
      <c r="A146">
        <f t="shared" si="75"/>
        <v>2</v>
      </c>
      <c r="B146" s="104" t="str">
        <f>'Client Data'!B224</f>
        <v>DownTime E</v>
      </c>
      <c r="C146" s="106">
        <f>IF(OR(C$190,$A146),'Client Data'!C224,0)</f>
        <v>0</v>
      </c>
      <c r="D146" s="106">
        <f>IF(OR(D$190,$A146),'Client Data'!D224,0)</f>
        <v>0</v>
      </c>
      <c r="E146" s="106">
        <f>IF(OR(E$190,$A146),'Client Data'!E224,0)</f>
        <v>0</v>
      </c>
      <c r="F146" s="106">
        <f>IF(OR(F$190,$A146),'Client Data'!F224,0)</f>
        <v>0</v>
      </c>
      <c r="G146" s="106">
        <f>IF(OR(G$190,$A146),'Client Data'!G224,0)</f>
        <v>0</v>
      </c>
      <c r="H146" s="106">
        <f>IF(OR(H$190,$A146),'Client Data'!H224,0)</f>
        <v>0</v>
      </c>
      <c r="I146" s="106">
        <f>IF(OR(I$190,$A146),'Client Data'!I224,0)</f>
        <v>0</v>
      </c>
      <c r="J146" s="106">
        <f>IF(OR(J$190,$A146),'Client Data'!J224,0)</f>
        <v>0</v>
      </c>
      <c r="K146" s="106">
        <f>IF(OR(K$190,$A146),'Client Data'!K224,0)</f>
        <v>0</v>
      </c>
      <c r="L146" s="106">
        <f>IF(OR(L$190,$A146),'Client Data'!L224,0)</f>
        <v>0</v>
      </c>
      <c r="M146" s="106">
        <f>IF(OR(M$190,$A146),'Client Data'!M224,0)</f>
        <v>0</v>
      </c>
      <c r="N146" s="106">
        <f>IF(OR(N$190,$A146),'Client Data'!N224,0)</f>
        <v>0</v>
      </c>
      <c r="O146" s="106">
        <f>IF(OR(O$190,$A146),'Client Data'!O224,0)</f>
        <v>0</v>
      </c>
      <c r="P146" s="106">
        <f>IF(OR(P$190,$A146),'Client Data'!P224,0)</f>
        <v>0</v>
      </c>
      <c r="Q146" s="106">
        <f>IF(OR(Q$190,$A146),'Client Data'!Q224,0)</f>
        <v>0</v>
      </c>
      <c r="R146" s="106">
        <f>IF(OR(R$190,$A146),'Client Data'!R224,0)</f>
        <v>0</v>
      </c>
      <c r="S146" s="106">
        <f>IF(OR(S$190,$A146),'Client Data'!S224,0)</f>
        <v>0</v>
      </c>
      <c r="T146" s="106">
        <f>IF(OR(T$190,$A146),'Client Data'!T224,0)</f>
        <v>0</v>
      </c>
      <c r="U146" s="106">
        <f>IF(OR(U$190,$A146),'Client Data'!U224,0)</f>
        <v>0</v>
      </c>
      <c r="V146" s="106">
        <f>IF(OR(V$190,$A146),'Client Data'!V224,0)</f>
        <v>0</v>
      </c>
      <c r="W146" s="106">
        <f>IF(OR(W$190,$A146),'Client Data'!W224,0)</f>
        <v>0</v>
      </c>
      <c r="X146" s="106">
        <f>IF(OR(X$190,$A146),'Client Data'!X224,0)</f>
        <v>0</v>
      </c>
      <c r="Y146" s="106">
        <f>IF(OR(Y$190,$A146),'Client Data'!Y224,0)</f>
        <v>0</v>
      </c>
      <c r="Z146" s="106">
        <f>IF(OR(Z$190,$A146),'Client Data'!Z224,0)</f>
        <v>0</v>
      </c>
      <c r="AA146" s="106">
        <f>IF(OR(AA$190,$A146),'Client Data'!AA224,0)</f>
        <v>0</v>
      </c>
      <c r="AB146" s="106">
        <f>IF(OR(AB$190,$A146),'Client Data'!AB224,0)</f>
        <v>0</v>
      </c>
      <c r="AC146" s="106">
        <f>IF(OR(AC$190,$A146),'Client Data'!AC224,0)</f>
        <v>0</v>
      </c>
      <c r="AD146" s="106">
        <f>IF(OR(AD$190,$A146),'Client Data'!AD224,0)</f>
        <v>0</v>
      </c>
      <c r="AE146" s="106">
        <f>IF(OR(AE$190,$A146),'Client Data'!AE224,0)</f>
        <v>0</v>
      </c>
      <c r="AF146" s="106">
        <f>IF(OR(AF$190,$A146),'Client Data'!AF224,0)</f>
        <v>0</v>
      </c>
      <c r="AG146" s="106">
        <f>IF(OR(AG$190,$A146),'Client Data'!AG224,0)</f>
        <v>0</v>
      </c>
      <c r="AH146" s="106">
        <f>IF(OR(AH$190,$A146),'Client Data'!AH224,0)</f>
        <v>0</v>
      </c>
      <c r="AI146" s="106">
        <f>IF(OR(AI$190,$A146),'Client Data'!AI224,0)</f>
        <v>0</v>
      </c>
      <c r="AJ146" s="106">
        <f>IF(OR(AJ$190,$A146),'Client Data'!AJ224,0)</f>
        <v>0</v>
      </c>
      <c r="AK146" s="106">
        <f>IF(OR(AK$190,$A146),'Client Data'!AK224,0)</f>
        <v>0</v>
      </c>
      <c r="AL146" s="106">
        <f>IF(OR(AL$190,$A146),'Client Data'!AL224,0)</f>
        <v>0</v>
      </c>
      <c r="AM146" s="106">
        <f>IF(OR(AM$190,$A146),'Client Data'!AM224,0)</f>
        <v>0</v>
      </c>
      <c r="AN146" s="106">
        <f>IF(OR(AN$190,$A146),'Client Data'!AN224,0)</f>
        <v>0</v>
      </c>
      <c r="AO146" s="106">
        <f>IF(OR(AO$190,$A146),'Client Data'!AO224,0)</f>
        <v>0</v>
      </c>
      <c r="AP146" s="106">
        <f>IF(OR(AP$190,$A146),'Client Data'!AP224,0)</f>
        <v>0</v>
      </c>
      <c r="AQ146" s="106">
        <f>IF(OR(AQ$190,$A146),'Client Data'!AQ224,0)</f>
        <v>0</v>
      </c>
      <c r="AR146" s="106">
        <f>IF(OR(AR$190,$A146),'Client Data'!AR224,0)</f>
        <v>0</v>
      </c>
      <c r="AS146" s="106">
        <f>IF(OR(AS$190,$A146),'Client Data'!AS224,0)</f>
        <v>0</v>
      </c>
      <c r="AT146" s="106">
        <f>IF(OR(AT$190,$A146),'Client Data'!AT224,0)</f>
        <v>0</v>
      </c>
      <c r="AU146" s="106">
        <f>IF(OR(AU$190,$A146),'Client Data'!AU224,0)</f>
        <v>0</v>
      </c>
      <c r="AV146" s="106">
        <f>IF(OR(AV$190,$A146),'Client Data'!AV224,0)</f>
        <v>0</v>
      </c>
      <c r="AW146" s="106">
        <f>IF(OR(AW$190,$A146),'Client Data'!AW224,0)</f>
        <v>0</v>
      </c>
      <c r="AX146" s="106">
        <f>IF(OR(AX$190,$A146),'Client Data'!AX224,0)</f>
        <v>0</v>
      </c>
      <c r="AY146" s="106">
        <f>IF(OR(AY$190,$A146),'Client Data'!AY224,0)</f>
        <v>0</v>
      </c>
      <c r="AZ146" s="106">
        <f>IF(OR(AZ$190,$A146),'Client Data'!AZ224,0)</f>
        <v>0</v>
      </c>
      <c r="BA146" s="106">
        <f>IF(OR(BA$190,$A146),'Client Data'!BA224,0)</f>
        <v>0</v>
      </c>
      <c r="BB146" s="106">
        <f>IF(OR(BB$190,$A146),'Client Data'!BB224,0)</f>
        <v>0</v>
      </c>
      <c r="BC146" s="104">
        <f t="shared" si="59"/>
        <v>0</v>
      </c>
    </row>
    <row r="147" spans="1:55" x14ac:dyDescent="0.25">
      <c r="A147">
        <f t="shared" si="75"/>
        <v>1</v>
      </c>
      <c r="B147" s="104" t="str">
        <f>'Client Data'!B225</f>
        <v>DownTime F</v>
      </c>
      <c r="C147" s="106">
        <f>IF(OR(C$190,$A147),'Client Data'!C225,0)</f>
        <v>0.3</v>
      </c>
      <c r="D147" s="106">
        <f>IF(OR(D$190,$A147),'Client Data'!D225,0)</f>
        <v>0.4</v>
      </c>
      <c r="E147" s="106">
        <f>IF(OR(E$190,$A147),'Client Data'!E225,0)</f>
        <v>0.7</v>
      </c>
      <c r="F147" s="106">
        <f>IF(OR(F$190,$A147),'Client Data'!F225,0)</f>
        <v>0.2</v>
      </c>
      <c r="G147" s="106">
        <f>IF(OR(G$190,$A147),'Client Data'!G225,0)</f>
        <v>0.1</v>
      </c>
      <c r="H147" s="106">
        <f>IF(OR(H$190,$A147),'Client Data'!H225,0)</f>
        <v>0.4</v>
      </c>
      <c r="I147" s="106">
        <f>IF(OR(I$190,$A147),'Client Data'!I225,0)</f>
        <v>0.1</v>
      </c>
      <c r="J147" s="106">
        <f>IF(OR(J$190,$A147),'Client Data'!J225,0)</f>
        <v>0.1</v>
      </c>
      <c r="K147" s="106">
        <f>IF(OR(K$190,$A147),'Client Data'!K225,0)</f>
        <v>0.1</v>
      </c>
      <c r="L147" s="106">
        <f>IF(OR(L$190,$A147),'Client Data'!L225,0)</f>
        <v>0.5</v>
      </c>
      <c r="M147" s="106">
        <f>IF(OR(M$190,$A147),'Client Data'!M225,0)</f>
        <v>0.3</v>
      </c>
      <c r="N147" s="106">
        <f>IF(OR(N$190,$A147),'Client Data'!N225,0)</f>
        <v>0.4</v>
      </c>
      <c r="O147" s="106">
        <f>IF(OR(O$190,$A147),'Client Data'!O225,0)</f>
        <v>0.7</v>
      </c>
      <c r="P147" s="106">
        <f>IF(OR(P$190,$A147),'Client Data'!P225,0)</f>
        <v>0.2</v>
      </c>
      <c r="Q147" s="106">
        <f>IF(OR(Q$190,$A147),'Client Data'!Q225,0)</f>
        <v>0.1</v>
      </c>
      <c r="R147" s="106">
        <f>IF(OR(R$190,$A147),'Client Data'!R225,0)</f>
        <v>0.4</v>
      </c>
      <c r="S147" s="106">
        <f>IF(OR(S$190,$A147),'Client Data'!S225,0)</f>
        <v>0.1</v>
      </c>
      <c r="T147" s="106">
        <f>IF(OR(T$190,$A147),'Client Data'!T225,0)</f>
        <v>0.1</v>
      </c>
      <c r="U147" s="106">
        <f>IF(OR(U$190,$A147),'Client Data'!U225,0)</f>
        <v>0.1</v>
      </c>
      <c r="V147" s="106">
        <f>IF(OR(V$190,$A147),'Client Data'!V225,0)</f>
        <v>0.5</v>
      </c>
      <c r="W147" s="106">
        <f>IF(OR(W$190,$A147),'Client Data'!W225,0)</f>
        <v>0.1</v>
      </c>
      <c r="X147" s="106">
        <f>IF(OR(X$190,$A147),'Client Data'!X225,0)</f>
        <v>0.5</v>
      </c>
      <c r="Y147" s="106">
        <f>IF(OR(Y$190,$A147),'Client Data'!Y225,0)</f>
        <v>0.3</v>
      </c>
      <c r="Z147" s="106">
        <f>IF(OR(Z$190,$A147),'Client Data'!Z225,0)</f>
        <v>0.4</v>
      </c>
      <c r="AA147" s="106">
        <f>IF(OR(AA$190,$A147),'Client Data'!AA225,0)</f>
        <v>0.7</v>
      </c>
      <c r="AB147" s="106">
        <f>IF(OR(AB$190,$A147),'Client Data'!AB225,0)</f>
        <v>0.2</v>
      </c>
      <c r="AC147" s="106">
        <f>IF(OR(AC$190,$A147),'Client Data'!AC225,0)</f>
        <v>0.1</v>
      </c>
      <c r="AD147" s="106">
        <f>IF(OR(AD$190,$A147),'Client Data'!AD225,0)</f>
        <v>0.4</v>
      </c>
      <c r="AE147" s="106">
        <f>IF(OR(AE$190,$A147),'Client Data'!AE225,0)</f>
        <v>0.1</v>
      </c>
      <c r="AF147" s="106">
        <f>IF(OR(AF$190,$A147),'Client Data'!AF225,0)</f>
        <v>0.1</v>
      </c>
      <c r="AG147" s="106">
        <f>IF(OR(AG$190,$A147),'Client Data'!AG225,0)</f>
        <v>0.1</v>
      </c>
      <c r="AH147" s="106">
        <f>IF(OR(AH$190,$A147),'Client Data'!AH225,0)</f>
        <v>0.5</v>
      </c>
      <c r="AI147" s="106">
        <f>IF(OR(AI$190,$A147),'Client Data'!AI225,0)</f>
        <v>0.2</v>
      </c>
      <c r="AJ147" s="106">
        <f>IF(OR(AJ$190,$A147),'Client Data'!AJ225,0)</f>
        <v>0.4</v>
      </c>
      <c r="AK147" s="106">
        <f>IF(OR(AK$190,$A147),'Client Data'!AK225,0)</f>
        <v>0.4</v>
      </c>
      <c r="AL147" s="106">
        <f>IF(OR(AL$190,$A147),'Client Data'!AL225,0)</f>
        <v>0.4</v>
      </c>
      <c r="AM147" s="106">
        <f>IF(OR(AM$190,$A147),'Client Data'!AM225,0)</f>
        <v>0.5</v>
      </c>
      <c r="AN147" s="106">
        <f>IF(OR(AN$190,$A147),'Client Data'!AN225,0)</f>
        <v>0.3</v>
      </c>
      <c r="AO147" s="106">
        <f>IF(OR(AO$190,$A147),'Client Data'!AO225,0)</f>
        <v>0.4</v>
      </c>
      <c r="AP147" s="106">
        <f>IF(OR(AP$190,$A147),'Client Data'!AP225,0)</f>
        <v>0.5</v>
      </c>
      <c r="AQ147" s="106">
        <f>IF(OR(AQ$190,$A147),'Client Data'!AQ225,0)</f>
        <v>0.3</v>
      </c>
      <c r="AR147" s="106">
        <f>IF(OR(AR$190,$A147),'Client Data'!AR225,0)</f>
        <v>0.6</v>
      </c>
      <c r="AS147" s="106">
        <f>IF(OR(AS$190,$A147),'Client Data'!AS225,0)</f>
        <v>0.3</v>
      </c>
      <c r="AT147" s="106">
        <f>IF(OR(AT$190,$A147),'Client Data'!AT225,0)</f>
        <v>0.4</v>
      </c>
      <c r="AU147" s="106">
        <f>IF(OR(AU$190,$A147),'Client Data'!AU225,0)</f>
        <v>0.4</v>
      </c>
      <c r="AV147" s="106">
        <f>IF(OR(AV$190,$A147),'Client Data'!AV225,0)</f>
        <v>0.4</v>
      </c>
      <c r="AW147" s="106">
        <f>IF(OR(AW$190,$A147),'Client Data'!AW225,0)</f>
        <v>0.4</v>
      </c>
      <c r="AX147" s="106">
        <f>IF(OR(AX$190,$A147),'Client Data'!AX225,0)</f>
        <v>0.4</v>
      </c>
      <c r="AY147" s="106">
        <f>IF(OR(AY$190,$A147),'Client Data'!AY225,0)</f>
        <v>0.4</v>
      </c>
      <c r="AZ147" s="106">
        <f>IF(OR(AZ$190,$A147),'Client Data'!AZ225,0)</f>
        <v>0.4</v>
      </c>
      <c r="BA147" s="106">
        <f>IF(OR(BA$190,$A147),'Client Data'!BA225,0)</f>
        <v>0.4</v>
      </c>
      <c r="BB147" s="106">
        <f>IF(OR(BB$190,$A147),'Client Data'!BB225,0)</f>
        <v>0.4</v>
      </c>
      <c r="BC147" s="104">
        <f t="shared" si="59"/>
        <v>17.2</v>
      </c>
    </row>
    <row r="148" spans="1:55" x14ac:dyDescent="0.25">
      <c r="A148">
        <f>A141-1</f>
        <v>2</v>
      </c>
      <c r="B148" s="105" t="str">
        <f>'Client Data'!B226</f>
        <v>Tool USDT G (Hour)</v>
      </c>
      <c r="C148" s="105">
        <f t="shared" ref="C148:AH148" si="76">IF(OR(C$190&gt;0,$A148),SUM(C149:C154),0)</f>
        <v>0.4</v>
      </c>
      <c r="D148" s="105">
        <f t="shared" si="76"/>
        <v>0.5</v>
      </c>
      <c r="E148" s="105">
        <f t="shared" si="76"/>
        <v>0.3</v>
      </c>
      <c r="F148" s="105">
        <f t="shared" si="76"/>
        <v>0.6</v>
      </c>
      <c r="G148" s="105">
        <f t="shared" si="76"/>
        <v>0.3</v>
      </c>
      <c r="H148" s="105">
        <f t="shared" si="76"/>
        <v>0.4</v>
      </c>
      <c r="I148" s="105">
        <f t="shared" si="76"/>
        <v>0.4</v>
      </c>
      <c r="J148" s="105">
        <f t="shared" si="76"/>
        <v>0.5</v>
      </c>
      <c r="K148" s="105">
        <f t="shared" si="76"/>
        <v>0.3</v>
      </c>
      <c r="L148" s="105">
        <f t="shared" si="76"/>
        <v>0.6</v>
      </c>
      <c r="M148" s="105">
        <f t="shared" si="76"/>
        <v>0.3</v>
      </c>
      <c r="N148" s="105">
        <f t="shared" si="76"/>
        <v>0.4</v>
      </c>
      <c r="O148" s="105">
        <f t="shared" si="76"/>
        <v>0.5</v>
      </c>
      <c r="P148" s="105">
        <f t="shared" si="76"/>
        <v>0.3</v>
      </c>
      <c r="Q148" s="105">
        <f t="shared" si="76"/>
        <v>0.6</v>
      </c>
      <c r="R148" s="105">
        <f t="shared" si="76"/>
        <v>0.3</v>
      </c>
      <c r="S148" s="105">
        <f t="shared" si="76"/>
        <v>0.4</v>
      </c>
      <c r="T148" s="105">
        <f t="shared" si="76"/>
        <v>0.4</v>
      </c>
      <c r="U148" s="105">
        <f t="shared" si="76"/>
        <v>0.5</v>
      </c>
      <c r="V148" s="105">
        <f t="shared" si="76"/>
        <v>0.3</v>
      </c>
      <c r="W148" s="105">
        <f t="shared" si="76"/>
        <v>0.6</v>
      </c>
      <c r="X148" s="105">
        <f t="shared" si="76"/>
        <v>0.3</v>
      </c>
      <c r="Y148" s="105">
        <f t="shared" si="76"/>
        <v>0.4</v>
      </c>
      <c r="Z148" s="105">
        <f t="shared" si="76"/>
        <v>0.5</v>
      </c>
      <c r="AA148" s="105">
        <f t="shared" si="76"/>
        <v>0.3</v>
      </c>
      <c r="AB148" s="105">
        <f t="shared" si="76"/>
        <v>0.6</v>
      </c>
      <c r="AC148" s="105">
        <f t="shared" si="76"/>
        <v>0.3</v>
      </c>
      <c r="AD148" s="105">
        <f t="shared" si="76"/>
        <v>0.4</v>
      </c>
      <c r="AE148" s="105">
        <f t="shared" si="76"/>
        <v>0.4</v>
      </c>
      <c r="AF148" s="105">
        <f t="shared" si="76"/>
        <v>0.5</v>
      </c>
      <c r="AG148" s="105">
        <f t="shared" si="76"/>
        <v>0.3</v>
      </c>
      <c r="AH148" s="105">
        <f t="shared" si="76"/>
        <v>0.6</v>
      </c>
      <c r="AI148" s="105">
        <f t="shared" ref="AI148:BB148" si="77">IF(OR(AI$190&gt;0,$A148),SUM(AI149:AI154),0)</f>
        <v>0.3</v>
      </c>
      <c r="AJ148" s="105">
        <f t="shared" si="77"/>
        <v>0.4</v>
      </c>
      <c r="AK148" s="105">
        <f t="shared" si="77"/>
        <v>0.4</v>
      </c>
      <c r="AL148" s="105">
        <f t="shared" si="77"/>
        <v>0.4</v>
      </c>
      <c r="AM148" s="105">
        <f t="shared" si="77"/>
        <v>0.5</v>
      </c>
      <c r="AN148" s="105">
        <f t="shared" si="77"/>
        <v>0.3</v>
      </c>
      <c r="AO148" s="105">
        <f t="shared" si="77"/>
        <v>0.4</v>
      </c>
      <c r="AP148" s="105">
        <f t="shared" si="77"/>
        <v>0.5</v>
      </c>
      <c r="AQ148" s="105">
        <f t="shared" si="77"/>
        <v>0.3</v>
      </c>
      <c r="AR148" s="105">
        <f t="shared" si="77"/>
        <v>0.6</v>
      </c>
      <c r="AS148" s="105">
        <f t="shared" si="77"/>
        <v>0.3</v>
      </c>
      <c r="AT148" s="105">
        <f t="shared" si="77"/>
        <v>0.4</v>
      </c>
      <c r="AU148" s="105">
        <f t="shared" si="77"/>
        <v>0.4</v>
      </c>
      <c r="AV148" s="105">
        <f t="shared" si="77"/>
        <v>0.4</v>
      </c>
      <c r="AW148" s="105">
        <f t="shared" si="77"/>
        <v>0.9</v>
      </c>
      <c r="AX148" s="105">
        <f t="shared" si="77"/>
        <v>0.4</v>
      </c>
      <c r="AY148" s="105">
        <f t="shared" si="77"/>
        <v>0.4</v>
      </c>
      <c r="AZ148" s="105">
        <f t="shared" si="77"/>
        <v>0.4</v>
      </c>
      <c r="BA148" s="105">
        <f t="shared" si="77"/>
        <v>0.4</v>
      </c>
      <c r="BB148" s="105">
        <f t="shared" si="77"/>
        <v>0.2</v>
      </c>
      <c r="BC148" s="105">
        <f t="shared" si="59"/>
        <v>21.799999999999994</v>
      </c>
    </row>
    <row r="149" spans="1:55" x14ac:dyDescent="0.25">
      <c r="A149">
        <f>IF(A$148&gt;0,A142,0)</f>
        <v>6</v>
      </c>
      <c r="B149" s="104" t="str">
        <f>'Client Data'!B227</f>
        <v>DownTime A</v>
      </c>
      <c r="C149" s="106">
        <f>IF(OR(C$190,$A149),'Client Data'!C227,0)</f>
        <v>0.4</v>
      </c>
      <c r="D149" s="106">
        <f>IF(OR(D$190,$A149),'Client Data'!D227,0)</f>
        <v>0.5</v>
      </c>
      <c r="E149" s="106">
        <f>IF(OR(E$190,$A149),'Client Data'!E227,0)</f>
        <v>0.3</v>
      </c>
      <c r="F149" s="106">
        <f>IF(OR(F$190,$A149),'Client Data'!F227,0)</f>
        <v>0.6</v>
      </c>
      <c r="G149" s="106">
        <f>IF(OR(G$190,$A149),'Client Data'!G227,0)</f>
        <v>0.3</v>
      </c>
      <c r="H149" s="106">
        <f>IF(OR(H$190,$A149),'Client Data'!H227,0)</f>
        <v>0.4</v>
      </c>
      <c r="I149" s="106">
        <f>IF(OR(I$190,$A149),'Client Data'!I227,0)</f>
        <v>0.4</v>
      </c>
      <c r="J149" s="106">
        <f>IF(OR(J$190,$A149),'Client Data'!J227,0)</f>
        <v>0.5</v>
      </c>
      <c r="K149" s="106">
        <f>IF(OR(K$190,$A149),'Client Data'!K227,0)</f>
        <v>0.3</v>
      </c>
      <c r="L149" s="106">
        <f>IF(OR(L$190,$A149),'Client Data'!L227,0)</f>
        <v>0.6</v>
      </c>
      <c r="M149" s="106">
        <f>IF(OR(M$190,$A149),'Client Data'!M227,0)</f>
        <v>0.3</v>
      </c>
      <c r="N149" s="106">
        <f>IF(OR(N$190,$A149),'Client Data'!N227,0)</f>
        <v>0.4</v>
      </c>
      <c r="O149" s="106">
        <f>IF(OR(O$190,$A149),'Client Data'!O227,0)</f>
        <v>0.5</v>
      </c>
      <c r="P149" s="106">
        <f>IF(OR(P$190,$A149),'Client Data'!P227,0)</f>
        <v>0.3</v>
      </c>
      <c r="Q149" s="106">
        <f>IF(OR(Q$190,$A149),'Client Data'!Q227,0)</f>
        <v>0.6</v>
      </c>
      <c r="R149" s="106">
        <f>IF(OR(R$190,$A149),'Client Data'!R227,0)</f>
        <v>0.3</v>
      </c>
      <c r="S149" s="106">
        <f>IF(OR(S$190,$A149),'Client Data'!S227,0)</f>
        <v>0.4</v>
      </c>
      <c r="T149" s="106">
        <f>IF(OR(T$190,$A149),'Client Data'!T227,0)</f>
        <v>0.4</v>
      </c>
      <c r="U149" s="106">
        <f>IF(OR(U$190,$A149),'Client Data'!U227,0)</f>
        <v>0.5</v>
      </c>
      <c r="V149" s="106">
        <f>IF(OR(V$190,$A149),'Client Data'!V227,0)</f>
        <v>0.3</v>
      </c>
      <c r="W149" s="106">
        <f>IF(OR(W$190,$A149),'Client Data'!W227,0)</f>
        <v>0.6</v>
      </c>
      <c r="X149" s="106">
        <f>IF(OR(X$190,$A149),'Client Data'!X227,0)</f>
        <v>0.3</v>
      </c>
      <c r="Y149" s="106">
        <f>IF(OR(Y$190,$A149),'Client Data'!Y227,0)</f>
        <v>0.4</v>
      </c>
      <c r="Z149" s="106">
        <f>IF(OR(Z$190,$A149),'Client Data'!Z227,0)</f>
        <v>0.5</v>
      </c>
      <c r="AA149" s="106">
        <f>IF(OR(AA$190,$A149),'Client Data'!AA227,0)</f>
        <v>0.3</v>
      </c>
      <c r="AB149" s="106">
        <f>IF(OR(AB$190,$A149),'Client Data'!AB227,0)</f>
        <v>0.6</v>
      </c>
      <c r="AC149" s="106">
        <f>IF(OR(AC$190,$A149),'Client Data'!AC227,0)</f>
        <v>0.3</v>
      </c>
      <c r="AD149" s="106">
        <f>IF(OR(AD$190,$A149),'Client Data'!AD227,0)</f>
        <v>0.4</v>
      </c>
      <c r="AE149" s="106">
        <f>IF(OR(AE$190,$A149),'Client Data'!AE227,0)</f>
        <v>0.4</v>
      </c>
      <c r="AF149" s="106">
        <f>IF(OR(AF$190,$A149),'Client Data'!AF227,0)</f>
        <v>0.5</v>
      </c>
      <c r="AG149" s="106">
        <f>IF(OR(AG$190,$A149),'Client Data'!AG227,0)</f>
        <v>0.3</v>
      </c>
      <c r="AH149" s="106">
        <f>IF(OR(AH$190,$A149),'Client Data'!AH227,0)</f>
        <v>0.6</v>
      </c>
      <c r="AI149" s="106">
        <f>IF(OR(AI$190,$A149),'Client Data'!AI227,0)</f>
        <v>0.3</v>
      </c>
      <c r="AJ149" s="106">
        <f>IF(OR(AJ$190,$A149),'Client Data'!AJ227,0)</f>
        <v>0.4</v>
      </c>
      <c r="AK149" s="106">
        <f>IF(OR(AK$190,$A149),'Client Data'!AK227,0)</f>
        <v>0.4</v>
      </c>
      <c r="AL149" s="106">
        <f>IF(OR(AL$190,$A149),'Client Data'!AL227,0)</f>
        <v>0.4</v>
      </c>
      <c r="AM149" s="106">
        <f>IF(OR(AM$190,$A149),'Client Data'!AM227,0)</f>
        <v>0.5</v>
      </c>
      <c r="AN149" s="106">
        <f>IF(OR(AN$190,$A149),'Client Data'!AN227,0)</f>
        <v>0.3</v>
      </c>
      <c r="AO149" s="106">
        <f>IF(OR(AO$190,$A149),'Client Data'!AO227,0)</f>
        <v>0.4</v>
      </c>
      <c r="AP149" s="106">
        <f>IF(OR(AP$190,$A149),'Client Data'!AP227,0)</f>
        <v>0.5</v>
      </c>
      <c r="AQ149" s="106">
        <f>IF(OR(AQ$190,$A149),'Client Data'!AQ227,0)</f>
        <v>0.3</v>
      </c>
      <c r="AR149" s="106">
        <f>IF(OR(AR$190,$A149),'Client Data'!AR227,0)</f>
        <v>0.6</v>
      </c>
      <c r="AS149" s="106">
        <f>IF(OR(AS$190,$A149),'Client Data'!AS227,0)</f>
        <v>0.3</v>
      </c>
      <c r="AT149" s="106">
        <f>IF(OR(AT$190,$A149),'Client Data'!AT227,0)</f>
        <v>0.4</v>
      </c>
      <c r="AU149" s="106">
        <f>IF(OR(AU$190,$A149),'Client Data'!AU227,0)</f>
        <v>0.4</v>
      </c>
      <c r="AV149" s="106">
        <f>IF(OR(AV$190,$A149),'Client Data'!AV227,0)</f>
        <v>0.4</v>
      </c>
      <c r="AW149" s="106">
        <f>IF(OR(AW$190,$A149),'Client Data'!AW227,0)</f>
        <v>0.9</v>
      </c>
      <c r="AX149" s="106">
        <f>IF(OR(AX$190,$A149),'Client Data'!AX227,0)</f>
        <v>0.4</v>
      </c>
      <c r="AY149" s="106">
        <f>IF(OR(AY$190,$A149),'Client Data'!AY227,0)</f>
        <v>0.4</v>
      </c>
      <c r="AZ149" s="106">
        <f>IF(OR(AZ$190,$A149),'Client Data'!AZ227,0)</f>
        <v>0.4</v>
      </c>
      <c r="BA149" s="106">
        <f>IF(OR(BA$190,$A149),'Client Data'!BA227,0)</f>
        <v>0.4</v>
      </c>
      <c r="BB149" s="106">
        <f>IF(OR(BB$190,$A149),'Client Data'!BB227,0)</f>
        <v>0.2</v>
      </c>
      <c r="BC149" s="104">
        <f t="shared" si="59"/>
        <v>21.799999999999994</v>
      </c>
    </row>
    <row r="150" spans="1:55" x14ac:dyDescent="0.25">
      <c r="A150">
        <f>IF(A$148&gt;0,A149-1,0)</f>
        <v>5</v>
      </c>
      <c r="B150" s="104" t="str">
        <f>'Client Data'!B228</f>
        <v>DownTime B</v>
      </c>
      <c r="C150" s="106">
        <f>IF(OR(C$190,$A150),'Client Data'!C228,0)</f>
        <v>0</v>
      </c>
      <c r="D150" s="106">
        <f>IF(OR(D$190,$A150),'Client Data'!D228,0)</f>
        <v>0</v>
      </c>
      <c r="E150" s="106">
        <f>IF(OR(E$190,$A150),'Client Data'!E228,0)</f>
        <v>0</v>
      </c>
      <c r="F150" s="106">
        <f>IF(OR(F$190,$A150),'Client Data'!F228,0)</f>
        <v>0</v>
      </c>
      <c r="G150" s="106">
        <f>IF(OR(G$190,$A150),'Client Data'!G228,0)</f>
        <v>0</v>
      </c>
      <c r="H150" s="106">
        <f>IF(OR(H$190,$A150),'Client Data'!H228,0)</f>
        <v>0</v>
      </c>
      <c r="I150" s="106">
        <f>IF(OR(I$190,$A150),'Client Data'!I228,0)</f>
        <v>0</v>
      </c>
      <c r="J150" s="106">
        <f>IF(OR(J$190,$A150),'Client Data'!J228,0)</f>
        <v>0</v>
      </c>
      <c r="K150" s="106">
        <f>IF(OR(K$190,$A150),'Client Data'!K228,0)</f>
        <v>0</v>
      </c>
      <c r="L150" s="106">
        <f>IF(OR(L$190,$A150),'Client Data'!L228,0)</f>
        <v>0</v>
      </c>
      <c r="M150" s="106">
        <f>IF(OR(M$190,$A150),'Client Data'!M228,0)</f>
        <v>0</v>
      </c>
      <c r="N150" s="106">
        <f>IF(OR(N$190,$A150),'Client Data'!N228,0)</f>
        <v>0</v>
      </c>
      <c r="O150" s="106">
        <f>IF(OR(O$190,$A150),'Client Data'!O228,0)</f>
        <v>0</v>
      </c>
      <c r="P150" s="106">
        <f>IF(OR(P$190,$A150),'Client Data'!P228,0)</f>
        <v>0</v>
      </c>
      <c r="Q150" s="106">
        <f>IF(OR(Q$190,$A150),'Client Data'!Q228,0)</f>
        <v>0</v>
      </c>
      <c r="R150" s="106">
        <f>IF(OR(R$190,$A150),'Client Data'!R228,0)</f>
        <v>0</v>
      </c>
      <c r="S150" s="106">
        <f>IF(OR(S$190,$A150),'Client Data'!S228,0)</f>
        <v>0</v>
      </c>
      <c r="T150" s="106">
        <f>IF(OR(T$190,$A150),'Client Data'!T228,0)</f>
        <v>0</v>
      </c>
      <c r="U150" s="106">
        <f>IF(OR(U$190,$A150),'Client Data'!U228,0)</f>
        <v>0</v>
      </c>
      <c r="V150" s="106">
        <f>IF(OR(V$190,$A150),'Client Data'!V228,0)</f>
        <v>0</v>
      </c>
      <c r="W150" s="106">
        <f>IF(OR(W$190,$A150),'Client Data'!W228,0)</f>
        <v>0</v>
      </c>
      <c r="X150" s="106">
        <f>IF(OR(X$190,$A150),'Client Data'!X228,0)</f>
        <v>0</v>
      </c>
      <c r="Y150" s="106">
        <f>IF(OR(Y$190,$A150),'Client Data'!Y228,0)</f>
        <v>0</v>
      </c>
      <c r="Z150" s="106">
        <f>IF(OR(Z$190,$A150),'Client Data'!Z228,0)</f>
        <v>0</v>
      </c>
      <c r="AA150" s="106">
        <f>IF(OR(AA$190,$A150),'Client Data'!AA228,0)</f>
        <v>0</v>
      </c>
      <c r="AB150" s="106">
        <f>IF(OR(AB$190,$A150),'Client Data'!AB228,0)</f>
        <v>0</v>
      </c>
      <c r="AC150" s="106">
        <f>IF(OR(AC$190,$A150),'Client Data'!AC228,0)</f>
        <v>0</v>
      </c>
      <c r="AD150" s="106">
        <f>IF(OR(AD$190,$A150),'Client Data'!AD228,0)</f>
        <v>0</v>
      </c>
      <c r="AE150" s="106">
        <f>IF(OR(AE$190,$A150),'Client Data'!AE228,0)</f>
        <v>0</v>
      </c>
      <c r="AF150" s="106">
        <f>IF(OR(AF$190,$A150),'Client Data'!AF228,0)</f>
        <v>0</v>
      </c>
      <c r="AG150" s="106">
        <f>IF(OR(AG$190,$A150),'Client Data'!AG228,0)</f>
        <v>0</v>
      </c>
      <c r="AH150" s="106">
        <f>IF(OR(AH$190,$A150),'Client Data'!AH228,0)</f>
        <v>0</v>
      </c>
      <c r="AI150" s="106">
        <f>IF(OR(AI$190,$A150),'Client Data'!AI228,0)</f>
        <v>0</v>
      </c>
      <c r="AJ150" s="106">
        <f>IF(OR(AJ$190,$A150),'Client Data'!AJ228,0)</f>
        <v>0</v>
      </c>
      <c r="AK150" s="106">
        <f>IF(OR(AK$190,$A150),'Client Data'!AK228,0)</f>
        <v>0</v>
      </c>
      <c r="AL150" s="106">
        <f>IF(OR(AL$190,$A150),'Client Data'!AL228,0)</f>
        <v>0</v>
      </c>
      <c r="AM150" s="106">
        <f>IF(OR(AM$190,$A150),'Client Data'!AM228,0)</f>
        <v>0</v>
      </c>
      <c r="AN150" s="106">
        <f>IF(OR(AN$190,$A150),'Client Data'!AN228,0)</f>
        <v>0</v>
      </c>
      <c r="AO150" s="106">
        <f>IF(OR(AO$190,$A150),'Client Data'!AO228,0)</f>
        <v>0</v>
      </c>
      <c r="AP150" s="106">
        <f>IF(OR(AP$190,$A150),'Client Data'!AP228,0)</f>
        <v>0</v>
      </c>
      <c r="AQ150" s="106">
        <f>IF(OR(AQ$190,$A150),'Client Data'!AQ228,0)</f>
        <v>0</v>
      </c>
      <c r="AR150" s="106">
        <f>IF(OR(AR$190,$A150),'Client Data'!AR228,0)</f>
        <v>0</v>
      </c>
      <c r="AS150" s="106">
        <f>IF(OR(AS$190,$A150),'Client Data'!AS228,0)</f>
        <v>0</v>
      </c>
      <c r="AT150" s="106">
        <f>IF(OR(AT$190,$A150),'Client Data'!AT228,0)</f>
        <v>0</v>
      </c>
      <c r="AU150" s="106">
        <f>IF(OR(AU$190,$A150),'Client Data'!AU228,0)</f>
        <v>0</v>
      </c>
      <c r="AV150" s="106">
        <f>IF(OR(AV$190,$A150),'Client Data'!AV228,0)</f>
        <v>0</v>
      </c>
      <c r="AW150" s="106">
        <f>IF(OR(AW$190,$A150),'Client Data'!AW228,0)</f>
        <v>0</v>
      </c>
      <c r="AX150" s="106">
        <f>IF(OR(AX$190,$A150),'Client Data'!AX228,0)</f>
        <v>0</v>
      </c>
      <c r="AY150" s="106">
        <f>IF(OR(AY$190,$A150),'Client Data'!AY228,0)</f>
        <v>0</v>
      </c>
      <c r="AZ150" s="106">
        <f>IF(OR(AZ$190,$A150),'Client Data'!AZ228,0)</f>
        <v>0</v>
      </c>
      <c r="BA150" s="106">
        <f>IF(OR(BA$190,$A150),'Client Data'!BA228,0)</f>
        <v>0</v>
      </c>
      <c r="BB150" s="106">
        <f>IF(OR(BB$190,$A150),'Client Data'!BB228,0)</f>
        <v>0</v>
      </c>
      <c r="BC150" s="104">
        <f t="shared" si="59"/>
        <v>0</v>
      </c>
    </row>
    <row r="151" spans="1:55" x14ac:dyDescent="0.25">
      <c r="A151">
        <f t="shared" ref="A151:A154" si="78">IF(A$148&gt;0,A150-1,0)</f>
        <v>4</v>
      </c>
      <c r="B151" s="104" t="str">
        <f>'Client Data'!B229</f>
        <v>DownTime C</v>
      </c>
      <c r="C151" s="106">
        <f>IF(OR(C$190,$A151),'Client Data'!C229,0)</f>
        <v>0</v>
      </c>
      <c r="D151" s="106">
        <f>IF(OR(D$190,$A151),'Client Data'!D229,0)</f>
        <v>0</v>
      </c>
      <c r="E151" s="106">
        <f>IF(OR(E$190,$A151),'Client Data'!E229,0)</f>
        <v>0</v>
      </c>
      <c r="F151" s="106">
        <f>IF(OR(F$190,$A151),'Client Data'!F229,0)</f>
        <v>0</v>
      </c>
      <c r="G151" s="106">
        <f>IF(OR(G$190,$A151),'Client Data'!G229,0)</f>
        <v>0</v>
      </c>
      <c r="H151" s="106">
        <f>IF(OR(H$190,$A151),'Client Data'!H229,0)</f>
        <v>0</v>
      </c>
      <c r="I151" s="106">
        <f>IF(OR(I$190,$A151),'Client Data'!I229,0)</f>
        <v>0</v>
      </c>
      <c r="J151" s="106">
        <f>IF(OR(J$190,$A151),'Client Data'!J229,0)</f>
        <v>0</v>
      </c>
      <c r="K151" s="106">
        <f>IF(OR(K$190,$A151),'Client Data'!K229,0)</f>
        <v>0</v>
      </c>
      <c r="L151" s="106">
        <f>IF(OR(L$190,$A151),'Client Data'!L229,0)</f>
        <v>0</v>
      </c>
      <c r="M151" s="106">
        <f>IF(OR(M$190,$A151),'Client Data'!M229,0)</f>
        <v>0</v>
      </c>
      <c r="N151" s="106">
        <f>IF(OR(N$190,$A151),'Client Data'!N229,0)</f>
        <v>0</v>
      </c>
      <c r="O151" s="106">
        <f>IF(OR(O$190,$A151),'Client Data'!O229,0)</f>
        <v>0</v>
      </c>
      <c r="P151" s="106">
        <f>IF(OR(P$190,$A151),'Client Data'!P229,0)</f>
        <v>0</v>
      </c>
      <c r="Q151" s="106">
        <f>IF(OR(Q$190,$A151),'Client Data'!Q229,0)</f>
        <v>0</v>
      </c>
      <c r="R151" s="106">
        <f>IF(OR(R$190,$A151),'Client Data'!R229,0)</f>
        <v>0</v>
      </c>
      <c r="S151" s="106">
        <f>IF(OR(S$190,$A151),'Client Data'!S229,0)</f>
        <v>0</v>
      </c>
      <c r="T151" s="106">
        <f>IF(OR(T$190,$A151),'Client Data'!T229,0)</f>
        <v>0</v>
      </c>
      <c r="U151" s="106">
        <f>IF(OR(U$190,$A151),'Client Data'!U229,0)</f>
        <v>0</v>
      </c>
      <c r="V151" s="106">
        <f>IF(OR(V$190,$A151),'Client Data'!V229,0)</f>
        <v>0</v>
      </c>
      <c r="W151" s="106">
        <f>IF(OR(W$190,$A151),'Client Data'!W229,0)</f>
        <v>0</v>
      </c>
      <c r="X151" s="106">
        <f>IF(OR(X$190,$A151),'Client Data'!X229,0)</f>
        <v>0</v>
      </c>
      <c r="Y151" s="106">
        <f>IF(OR(Y$190,$A151),'Client Data'!Y229,0)</f>
        <v>0</v>
      </c>
      <c r="Z151" s="106">
        <f>IF(OR(Z$190,$A151),'Client Data'!Z229,0)</f>
        <v>0</v>
      </c>
      <c r="AA151" s="106">
        <f>IF(OR(AA$190,$A151),'Client Data'!AA229,0)</f>
        <v>0</v>
      </c>
      <c r="AB151" s="106">
        <f>IF(OR(AB$190,$A151),'Client Data'!AB229,0)</f>
        <v>0</v>
      </c>
      <c r="AC151" s="106">
        <f>IF(OR(AC$190,$A151),'Client Data'!AC229,0)</f>
        <v>0</v>
      </c>
      <c r="AD151" s="106">
        <f>IF(OR(AD$190,$A151),'Client Data'!AD229,0)</f>
        <v>0</v>
      </c>
      <c r="AE151" s="106">
        <f>IF(OR(AE$190,$A151),'Client Data'!AE229,0)</f>
        <v>0</v>
      </c>
      <c r="AF151" s="106">
        <f>IF(OR(AF$190,$A151),'Client Data'!AF229,0)</f>
        <v>0</v>
      </c>
      <c r="AG151" s="106">
        <f>IF(OR(AG$190,$A151),'Client Data'!AG229,0)</f>
        <v>0</v>
      </c>
      <c r="AH151" s="106">
        <f>IF(OR(AH$190,$A151),'Client Data'!AH229,0)</f>
        <v>0</v>
      </c>
      <c r="AI151" s="106">
        <f>IF(OR(AI$190,$A151),'Client Data'!AI229,0)</f>
        <v>0</v>
      </c>
      <c r="AJ151" s="106">
        <f>IF(OR(AJ$190,$A151),'Client Data'!AJ229,0)</f>
        <v>0</v>
      </c>
      <c r="AK151" s="106">
        <f>IF(OR(AK$190,$A151),'Client Data'!AK229,0)</f>
        <v>0</v>
      </c>
      <c r="AL151" s="106">
        <f>IF(OR(AL$190,$A151),'Client Data'!AL229,0)</f>
        <v>0</v>
      </c>
      <c r="AM151" s="106">
        <f>IF(OR(AM$190,$A151),'Client Data'!AM229,0)</f>
        <v>0</v>
      </c>
      <c r="AN151" s="106">
        <f>IF(OR(AN$190,$A151),'Client Data'!AN229,0)</f>
        <v>0</v>
      </c>
      <c r="AO151" s="106">
        <f>IF(OR(AO$190,$A151),'Client Data'!AO229,0)</f>
        <v>0</v>
      </c>
      <c r="AP151" s="106">
        <f>IF(OR(AP$190,$A151),'Client Data'!AP229,0)</f>
        <v>0</v>
      </c>
      <c r="AQ151" s="106">
        <f>IF(OR(AQ$190,$A151),'Client Data'!AQ229,0)</f>
        <v>0</v>
      </c>
      <c r="AR151" s="106">
        <f>IF(OR(AR$190,$A151),'Client Data'!AR229,0)</f>
        <v>0</v>
      </c>
      <c r="AS151" s="106">
        <f>IF(OR(AS$190,$A151),'Client Data'!AS229,0)</f>
        <v>0</v>
      </c>
      <c r="AT151" s="106">
        <f>IF(OR(AT$190,$A151),'Client Data'!AT229,0)</f>
        <v>0</v>
      </c>
      <c r="AU151" s="106">
        <f>IF(OR(AU$190,$A151),'Client Data'!AU229,0)</f>
        <v>0</v>
      </c>
      <c r="AV151" s="106">
        <f>IF(OR(AV$190,$A151),'Client Data'!AV229,0)</f>
        <v>0</v>
      </c>
      <c r="AW151" s="106">
        <f>IF(OR(AW$190,$A151),'Client Data'!AW229,0)</f>
        <v>0</v>
      </c>
      <c r="AX151" s="106">
        <f>IF(OR(AX$190,$A151),'Client Data'!AX229,0)</f>
        <v>0</v>
      </c>
      <c r="AY151" s="106">
        <f>IF(OR(AY$190,$A151),'Client Data'!AY229,0)</f>
        <v>0</v>
      </c>
      <c r="AZ151" s="106">
        <f>IF(OR(AZ$190,$A151),'Client Data'!AZ229,0)</f>
        <v>0</v>
      </c>
      <c r="BA151" s="106">
        <f>IF(OR(BA$190,$A151),'Client Data'!BA229,0)</f>
        <v>0</v>
      </c>
      <c r="BB151" s="106">
        <f>IF(OR(BB$190,$A151),'Client Data'!BB229,0)</f>
        <v>0</v>
      </c>
      <c r="BC151" s="104">
        <f t="shared" si="59"/>
        <v>0</v>
      </c>
    </row>
    <row r="152" spans="1:55" x14ac:dyDescent="0.25">
      <c r="A152">
        <f t="shared" si="78"/>
        <v>3</v>
      </c>
      <c r="B152" s="104" t="str">
        <f>'Client Data'!B230</f>
        <v>DownTime D</v>
      </c>
      <c r="C152" s="106">
        <f>IF(OR(C$190,$A152),'Client Data'!C230,0)</f>
        <v>0</v>
      </c>
      <c r="D152" s="106">
        <f>IF(OR(D$190,$A152),'Client Data'!D230,0)</f>
        <v>0</v>
      </c>
      <c r="E152" s="106">
        <f>IF(OR(E$190,$A152),'Client Data'!E230,0)</f>
        <v>0</v>
      </c>
      <c r="F152" s="106">
        <f>IF(OR(F$190,$A152),'Client Data'!F230,0)</f>
        <v>0</v>
      </c>
      <c r="G152" s="106">
        <f>IF(OR(G$190,$A152),'Client Data'!G230,0)</f>
        <v>0</v>
      </c>
      <c r="H152" s="106">
        <f>IF(OR(H$190,$A152),'Client Data'!H230,0)</f>
        <v>0</v>
      </c>
      <c r="I152" s="106">
        <f>IF(OR(I$190,$A152),'Client Data'!I230,0)</f>
        <v>0</v>
      </c>
      <c r="J152" s="106">
        <f>IF(OR(J$190,$A152),'Client Data'!J230,0)</f>
        <v>0</v>
      </c>
      <c r="K152" s="106">
        <f>IF(OR(K$190,$A152),'Client Data'!K230,0)</f>
        <v>0</v>
      </c>
      <c r="L152" s="106">
        <f>IF(OR(L$190,$A152),'Client Data'!L230,0)</f>
        <v>0</v>
      </c>
      <c r="M152" s="106">
        <f>IF(OR(M$190,$A152),'Client Data'!M230,0)</f>
        <v>0</v>
      </c>
      <c r="N152" s="106">
        <f>IF(OR(N$190,$A152),'Client Data'!N230,0)</f>
        <v>0</v>
      </c>
      <c r="O152" s="106">
        <f>IF(OR(O$190,$A152),'Client Data'!O230,0)</f>
        <v>0</v>
      </c>
      <c r="P152" s="106">
        <f>IF(OR(P$190,$A152),'Client Data'!P230,0)</f>
        <v>0</v>
      </c>
      <c r="Q152" s="106">
        <f>IF(OR(Q$190,$A152),'Client Data'!Q230,0)</f>
        <v>0</v>
      </c>
      <c r="R152" s="106">
        <f>IF(OR(R$190,$A152),'Client Data'!R230,0)</f>
        <v>0</v>
      </c>
      <c r="S152" s="106">
        <f>IF(OR(S$190,$A152),'Client Data'!S230,0)</f>
        <v>0</v>
      </c>
      <c r="T152" s="106">
        <f>IF(OR(T$190,$A152),'Client Data'!T230,0)</f>
        <v>0</v>
      </c>
      <c r="U152" s="106">
        <f>IF(OR(U$190,$A152),'Client Data'!U230,0)</f>
        <v>0</v>
      </c>
      <c r="V152" s="106">
        <f>IF(OR(V$190,$A152),'Client Data'!V230,0)</f>
        <v>0</v>
      </c>
      <c r="W152" s="106">
        <f>IF(OR(W$190,$A152),'Client Data'!W230,0)</f>
        <v>0</v>
      </c>
      <c r="X152" s="106">
        <f>IF(OR(X$190,$A152),'Client Data'!X230,0)</f>
        <v>0</v>
      </c>
      <c r="Y152" s="106">
        <f>IF(OR(Y$190,$A152),'Client Data'!Y230,0)</f>
        <v>0</v>
      </c>
      <c r="Z152" s="106">
        <f>IF(OR(Z$190,$A152),'Client Data'!Z230,0)</f>
        <v>0</v>
      </c>
      <c r="AA152" s="106">
        <f>IF(OR(AA$190,$A152),'Client Data'!AA230,0)</f>
        <v>0</v>
      </c>
      <c r="AB152" s="106">
        <f>IF(OR(AB$190,$A152),'Client Data'!AB230,0)</f>
        <v>0</v>
      </c>
      <c r="AC152" s="106">
        <f>IF(OR(AC$190,$A152),'Client Data'!AC230,0)</f>
        <v>0</v>
      </c>
      <c r="AD152" s="106">
        <f>IF(OR(AD$190,$A152),'Client Data'!AD230,0)</f>
        <v>0</v>
      </c>
      <c r="AE152" s="106">
        <f>IF(OR(AE$190,$A152),'Client Data'!AE230,0)</f>
        <v>0</v>
      </c>
      <c r="AF152" s="106">
        <f>IF(OR(AF$190,$A152),'Client Data'!AF230,0)</f>
        <v>0</v>
      </c>
      <c r="AG152" s="106">
        <f>IF(OR(AG$190,$A152),'Client Data'!AG230,0)</f>
        <v>0</v>
      </c>
      <c r="AH152" s="106">
        <f>IF(OR(AH$190,$A152),'Client Data'!AH230,0)</f>
        <v>0</v>
      </c>
      <c r="AI152" s="106">
        <f>IF(OR(AI$190,$A152),'Client Data'!AI230,0)</f>
        <v>0</v>
      </c>
      <c r="AJ152" s="106">
        <f>IF(OR(AJ$190,$A152),'Client Data'!AJ230,0)</f>
        <v>0</v>
      </c>
      <c r="AK152" s="106">
        <f>IF(OR(AK$190,$A152),'Client Data'!AK230,0)</f>
        <v>0</v>
      </c>
      <c r="AL152" s="106">
        <f>IF(OR(AL$190,$A152),'Client Data'!AL230,0)</f>
        <v>0</v>
      </c>
      <c r="AM152" s="106">
        <f>IF(OR(AM$190,$A152),'Client Data'!AM230,0)</f>
        <v>0</v>
      </c>
      <c r="AN152" s="106">
        <f>IF(OR(AN$190,$A152),'Client Data'!AN230,0)</f>
        <v>0</v>
      </c>
      <c r="AO152" s="106">
        <f>IF(OR(AO$190,$A152),'Client Data'!AO230,0)</f>
        <v>0</v>
      </c>
      <c r="AP152" s="106">
        <f>IF(OR(AP$190,$A152),'Client Data'!AP230,0)</f>
        <v>0</v>
      </c>
      <c r="AQ152" s="106">
        <f>IF(OR(AQ$190,$A152),'Client Data'!AQ230,0)</f>
        <v>0</v>
      </c>
      <c r="AR152" s="106">
        <f>IF(OR(AR$190,$A152),'Client Data'!AR230,0)</f>
        <v>0</v>
      </c>
      <c r="AS152" s="106">
        <f>IF(OR(AS$190,$A152),'Client Data'!AS230,0)</f>
        <v>0</v>
      </c>
      <c r="AT152" s="106">
        <f>IF(OR(AT$190,$A152),'Client Data'!AT230,0)</f>
        <v>0</v>
      </c>
      <c r="AU152" s="106">
        <f>IF(OR(AU$190,$A152),'Client Data'!AU230,0)</f>
        <v>0</v>
      </c>
      <c r="AV152" s="106">
        <f>IF(OR(AV$190,$A152),'Client Data'!AV230,0)</f>
        <v>0</v>
      </c>
      <c r="AW152" s="106">
        <f>IF(OR(AW$190,$A152),'Client Data'!AW230,0)</f>
        <v>0</v>
      </c>
      <c r="AX152" s="106">
        <f>IF(OR(AX$190,$A152),'Client Data'!AX230,0)</f>
        <v>0</v>
      </c>
      <c r="AY152" s="106">
        <f>IF(OR(AY$190,$A152),'Client Data'!AY230,0)</f>
        <v>0</v>
      </c>
      <c r="AZ152" s="106">
        <f>IF(OR(AZ$190,$A152),'Client Data'!AZ230,0)</f>
        <v>0</v>
      </c>
      <c r="BA152" s="106">
        <f>IF(OR(BA$190,$A152),'Client Data'!BA230,0)</f>
        <v>0</v>
      </c>
      <c r="BB152" s="106">
        <f>IF(OR(BB$190,$A152),'Client Data'!BB230,0)</f>
        <v>0</v>
      </c>
      <c r="BC152" s="104">
        <f t="shared" si="59"/>
        <v>0</v>
      </c>
    </row>
    <row r="153" spans="1:55" x14ac:dyDescent="0.25">
      <c r="A153">
        <f t="shared" si="78"/>
        <v>2</v>
      </c>
      <c r="B153" s="104" t="str">
        <f>'Client Data'!B231</f>
        <v>DownTime E</v>
      </c>
      <c r="C153" s="106">
        <f>IF(OR(C$190,$A153),'Client Data'!C231,0)</f>
        <v>0</v>
      </c>
      <c r="D153" s="106">
        <f>IF(OR(D$190,$A153),'Client Data'!D231,0)</f>
        <v>0</v>
      </c>
      <c r="E153" s="106">
        <f>IF(OR(E$190,$A153),'Client Data'!E231,0)</f>
        <v>0</v>
      </c>
      <c r="F153" s="106">
        <f>IF(OR(F$190,$A153),'Client Data'!F231,0)</f>
        <v>0</v>
      </c>
      <c r="G153" s="106">
        <f>IF(OR(G$190,$A153),'Client Data'!G231,0)</f>
        <v>0</v>
      </c>
      <c r="H153" s="106">
        <f>IF(OR(H$190,$A153),'Client Data'!H231,0)</f>
        <v>0</v>
      </c>
      <c r="I153" s="106">
        <f>IF(OR(I$190,$A153),'Client Data'!I231,0)</f>
        <v>0</v>
      </c>
      <c r="J153" s="106">
        <f>IF(OR(J$190,$A153),'Client Data'!J231,0)</f>
        <v>0</v>
      </c>
      <c r="K153" s="106">
        <f>IF(OR(K$190,$A153),'Client Data'!K231,0)</f>
        <v>0</v>
      </c>
      <c r="L153" s="106">
        <f>IF(OR(L$190,$A153),'Client Data'!L231,0)</f>
        <v>0</v>
      </c>
      <c r="M153" s="106">
        <f>IF(OR(M$190,$A153),'Client Data'!M231,0)</f>
        <v>0</v>
      </c>
      <c r="N153" s="106">
        <f>IF(OR(N$190,$A153),'Client Data'!N231,0)</f>
        <v>0</v>
      </c>
      <c r="O153" s="106">
        <f>IF(OR(O$190,$A153),'Client Data'!O231,0)</f>
        <v>0</v>
      </c>
      <c r="P153" s="106">
        <f>IF(OR(P$190,$A153),'Client Data'!P231,0)</f>
        <v>0</v>
      </c>
      <c r="Q153" s="106">
        <f>IF(OR(Q$190,$A153),'Client Data'!Q231,0)</f>
        <v>0</v>
      </c>
      <c r="R153" s="106">
        <f>IF(OR(R$190,$A153),'Client Data'!R231,0)</f>
        <v>0</v>
      </c>
      <c r="S153" s="106">
        <f>IF(OR(S$190,$A153),'Client Data'!S231,0)</f>
        <v>0</v>
      </c>
      <c r="T153" s="106">
        <f>IF(OR(T$190,$A153),'Client Data'!T231,0)</f>
        <v>0</v>
      </c>
      <c r="U153" s="106">
        <f>IF(OR(U$190,$A153),'Client Data'!U231,0)</f>
        <v>0</v>
      </c>
      <c r="V153" s="106">
        <f>IF(OR(V$190,$A153),'Client Data'!V231,0)</f>
        <v>0</v>
      </c>
      <c r="W153" s="106">
        <f>IF(OR(W$190,$A153),'Client Data'!W231,0)</f>
        <v>0</v>
      </c>
      <c r="X153" s="106">
        <f>IF(OR(X$190,$A153),'Client Data'!X231,0)</f>
        <v>0</v>
      </c>
      <c r="Y153" s="106">
        <f>IF(OR(Y$190,$A153),'Client Data'!Y231,0)</f>
        <v>0</v>
      </c>
      <c r="Z153" s="106">
        <f>IF(OR(Z$190,$A153),'Client Data'!Z231,0)</f>
        <v>0</v>
      </c>
      <c r="AA153" s="106">
        <f>IF(OR(AA$190,$A153),'Client Data'!AA231,0)</f>
        <v>0</v>
      </c>
      <c r="AB153" s="106">
        <f>IF(OR(AB$190,$A153),'Client Data'!AB231,0)</f>
        <v>0</v>
      </c>
      <c r="AC153" s="106">
        <f>IF(OR(AC$190,$A153),'Client Data'!AC231,0)</f>
        <v>0</v>
      </c>
      <c r="AD153" s="106">
        <f>IF(OR(AD$190,$A153),'Client Data'!AD231,0)</f>
        <v>0</v>
      </c>
      <c r="AE153" s="106">
        <f>IF(OR(AE$190,$A153),'Client Data'!AE231,0)</f>
        <v>0</v>
      </c>
      <c r="AF153" s="106">
        <f>IF(OR(AF$190,$A153),'Client Data'!AF231,0)</f>
        <v>0</v>
      </c>
      <c r="AG153" s="106">
        <f>IF(OR(AG$190,$A153),'Client Data'!AG231,0)</f>
        <v>0</v>
      </c>
      <c r="AH153" s="106">
        <f>IF(OR(AH$190,$A153),'Client Data'!AH231,0)</f>
        <v>0</v>
      </c>
      <c r="AI153" s="106">
        <f>IF(OR(AI$190,$A153),'Client Data'!AI231,0)</f>
        <v>0</v>
      </c>
      <c r="AJ153" s="106">
        <f>IF(OR(AJ$190,$A153),'Client Data'!AJ231,0)</f>
        <v>0</v>
      </c>
      <c r="AK153" s="106">
        <f>IF(OR(AK$190,$A153),'Client Data'!AK231,0)</f>
        <v>0</v>
      </c>
      <c r="AL153" s="106">
        <f>IF(OR(AL$190,$A153),'Client Data'!AL231,0)</f>
        <v>0</v>
      </c>
      <c r="AM153" s="106">
        <f>IF(OR(AM$190,$A153),'Client Data'!AM231,0)</f>
        <v>0</v>
      </c>
      <c r="AN153" s="106">
        <f>IF(OR(AN$190,$A153),'Client Data'!AN231,0)</f>
        <v>0</v>
      </c>
      <c r="AO153" s="106">
        <f>IF(OR(AO$190,$A153),'Client Data'!AO231,0)</f>
        <v>0</v>
      </c>
      <c r="AP153" s="106">
        <f>IF(OR(AP$190,$A153),'Client Data'!AP231,0)</f>
        <v>0</v>
      </c>
      <c r="AQ153" s="106">
        <f>IF(OR(AQ$190,$A153),'Client Data'!AQ231,0)</f>
        <v>0</v>
      </c>
      <c r="AR153" s="106">
        <f>IF(OR(AR$190,$A153),'Client Data'!AR231,0)</f>
        <v>0</v>
      </c>
      <c r="AS153" s="106">
        <f>IF(OR(AS$190,$A153),'Client Data'!AS231,0)</f>
        <v>0</v>
      </c>
      <c r="AT153" s="106">
        <f>IF(OR(AT$190,$A153),'Client Data'!AT231,0)</f>
        <v>0</v>
      </c>
      <c r="AU153" s="106">
        <f>IF(OR(AU$190,$A153),'Client Data'!AU231,0)</f>
        <v>0</v>
      </c>
      <c r="AV153" s="106">
        <f>IF(OR(AV$190,$A153),'Client Data'!AV231,0)</f>
        <v>0</v>
      </c>
      <c r="AW153" s="106">
        <f>IF(OR(AW$190,$A153),'Client Data'!AW231,0)</f>
        <v>0</v>
      </c>
      <c r="AX153" s="106">
        <f>IF(OR(AX$190,$A153),'Client Data'!AX231,0)</f>
        <v>0</v>
      </c>
      <c r="AY153" s="106">
        <f>IF(OR(AY$190,$A153),'Client Data'!AY231,0)</f>
        <v>0</v>
      </c>
      <c r="AZ153" s="106">
        <f>IF(OR(AZ$190,$A153),'Client Data'!AZ231,0)</f>
        <v>0</v>
      </c>
      <c r="BA153" s="106">
        <f>IF(OR(BA$190,$A153),'Client Data'!BA231,0)</f>
        <v>0</v>
      </c>
      <c r="BB153" s="106">
        <f>IF(OR(BB$190,$A153),'Client Data'!BB231,0)</f>
        <v>0</v>
      </c>
      <c r="BC153" s="104">
        <f t="shared" si="59"/>
        <v>0</v>
      </c>
    </row>
    <row r="154" spans="1:55" x14ac:dyDescent="0.25">
      <c r="A154">
        <f t="shared" si="78"/>
        <v>1</v>
      </c>
      <c r="B154" s="104" t="str">
        <f>'Client Data'!B232</f>
        <v>DownTime F</v>
      </c>
      <c r="C154" s="106">
        <f>IF(OR(C$190,$A154),'Client Data'!C232,0)</f>
        <v>0</v>
      </c>
      <c r="D154" s="106">
        <f>IF(OR(D$190,$A154),'Client Data'!D232,0)</f>
        <v>0</v>
      </c>
      <c r="E154" s="106">
        <f>IF(OR(E$190,$A154),'Client Data'!E232,0)</f>
        <v>0</v>
      </c>
      <c r="F154" s="106">
        <f>IF(OR(F$190,$A154),'Client Data'!F232,0)</f>
        <v>0</v>
      </c>
      <c r="G154" s="106">
        <f>IF(OR(G$190,$A154),'Client Data'!G232,0)</f>
        <v>0</v>
      </c>
      <c r="H154" s="106">
        <f>IF(OR(H$190,$A154),'Client Data'!H232,0)</f>
        <v>0</v>
      </c>
      <c r="I154" s="106">
        <f>IF(OR(I$190,$A154),'Client Data'!I232,0)</f>
        <v>0</v>
      </c>
      <c r="J154" s="106">
        <f>IF(OR(J$190,$A154),'Client Data'!J232,0)</f>
        <v>0</v>
      </c>
      <c r="K154" s="106">
        <f>IF(OR(K$190,$A154),'Client Data'!K232,0)</f>
        <v>0</v>
      </c>
      <c r="L154" s="106">
        <f>IF(OR(L$190,$A154),'Client Data'!L232,0)</f>
        <v>0</v>
      </c>
      <c r="M154" s="106">
        <f>IF(OR(M$190,$A154),'Client Data'!M232,0)</f>
        <v>0</v>
      </c>
      <c r="N154" s="106">
        <f>IF(OR(N$190,$A154),'Client Data'!N232,0)</f>
        <v>0</v>
      </c>
      <c r="O154" s="106">
        <f>IF(OR(O$190,$A154),'Client Data'!O232,0)</f>
        <v>0</v>
      </c>
      <c r="P154" s="106">
        <f>IF(OR(P$190,$A154),'Client Data'!P232,0)</f>
        <v>0</v>
      </c>
      <c r="Q154" s="106">
        <f>IF(OR(Q$190,$A154),'Client Data'!Q232,0)</f>
        <v>0</v>
      </c>
      <c r="R154" s="106">
        <f>IF(OR(R$190,$A154),'Client Data'!R232,0)</f>
        <v>0</v>
      </c>
      <c r="S154" s="106">
        <f>IF(OR(S$190,$A154),'Client Data'!S232,0)</f>
        <v>0</v>
      </c>
      <c r="T154" s="106">
        <f>IF(OR(T$190,$A154),'Client Data'!T232,0)</f>
        <v>0</v>
      </c>
      <c r="U154" s="106">
        <f>IF(OR(U$190,$A154),'Client Data'!U232,0)</f>
        <v>0</v>
      </c>
      <c r="V154" s="106">
        <f>IF(OR(V$190,$A154),'Client Data'!V232,0)</f>
        <v>0</v>
      </c>
      <c r="W154" s="106">
        <f>IF(OR(W$190,$A154),'Client Data'!W232,0)</f>
        <v>0</v>
      </c>
      <c r="X154" s="106">
        <f>IF(OR(X$190,$A154),'Client Data'!X232,0)</f>
        <v>0</v>
      </c>
      <c r="Y154" s="106">
        <f>IF(OR(Y$190,$A154),'Client Data'!Y232,0)</f>
        <v>0</v>
      </c>
      <c r="Z154" s="106">
        <f>IF(OR(Z$190,$A154),'Client Data'!Z232,0)</f>
        <v>0</v>
      </c>
      <c r="AA154" s="106">
        <f>IF(OR(AA$190,$A154),'Client Data'!AA232,0)</f>
        <v>0</v>
      </c>
      <c r="AB154" s="106">
        <f>IF(OR(AB$190,$A154),'Client Data'!AB232,0)</f>
        <v>0</v>
      </c>
      <c r="AC154" s="106">
        <f>IF(OR(AC$190,$A154),'Client Data'!AC232,0)</f>
        <v>0</v>
      </c>
      <c r="AD154" s="106">
        <f>IF(OR(AD$190,$A154),'Client Data'!AD232,0)</f>
        <v>0</v>
      </c>
      <c r="AE154" s="106">
        <f>IF(OR(AE$190,$A154),'Client Data'!AE232,0)</f>
        <v>0</v>
      </c>
      <c r="AF154" s="106">
        <f>IF(OR(AF$190,$A154),'Client Data'!AF232,0)</f>
        <v>0</v>
      </c>
      <c r="AG154" s="106">
        <f>IF(OR(AG$190,$A154),'Client Data'!AG232,0)</f>
        <v>0</v>
      </c>
      <c r="AH154" s="106">
        <f>IF(OR(AH$190,$A154),'Client Data'!AH232,0)</f>
        <v>0</v>
      </c>
      <c r="AI154" s="106">
        <f>IF(OR(AI$190,$A154),'Client Data'!AI232,0)</f>
        <v>0</v>
      </c>
      <c r="AJ154" s="106">
        <f>IF(OR(AJ$190,$A154),'Client Data'!AJ232,0)</f>
        <v>0</v>
      </c>
      <c r="AK154" s="106">
        <f>IF(OR(AK$190,$A154),'Client Data'!AK232,0)</f>
        <v>0</v>
      </c>
      <c r="AL154" s="106">
        <f>IF(OR(AL$190,$A154),'Client Data'!AL232,0)</f>
        <v>0</v>
      </c>
      <c r="AM154" s="106">
        <f>IF(OR(AM$190,$A154),'Client Data'!AM232,0)</f>
        <v>0</v>
      </c>
      <c r="AN154" s="106">
        <f>IF(OR(AN$190,$A154),'Client Data'!AN232,0)</f>
        <v>0</v>
      </c>
      <c r="AO154" s="106">
        <f>IF(OR(AO$190,$A154),'Client Data'!AO232,0)</f>
        <v>0</v>
      </c>
      <c r="AP154" s="106">
        <f>IF(OR(AP$190,$A154),'Client Data'!AP232,0)</f>
        <v>0</v>
      </c>
      <c r="AQ154" s="106">
        <f>IF(OR(AQ$190,$A154),'Client Data'!AQ232,0)</f>
        <v>0</v>
      </c>
      <c r="AR154" s="106">
        <f>IF(OR(AR$190,$A154),'Client Data'!AR232,0)</f>
        <v>0</v>
      </c>
      <c r="AS154" s="106">
        <f>IF(OR(AS$190,$A154),'Client Data'!AS232,0)</f>
        <v>0</v>
      </c>
      <c r="AT154" s="106">
        <f>IF(OR(AT$190,$A154),'Client Data'!AT232,0)</f>
        <v>0</v>
      </c>
      <c r="AU154" s="106">
        <f>IF(OR(AU$190,$A154),'Client Data'!AU232,0)</f>
        <v>0</v>
      </c>
      <c r="AV154" s="106">
        <f>IF(OR(AV$190,$A154),'Client Data'!AV232,0)</f>
        <v>0</v>
      </c>
      <c r="AW154" s="106">
        <f>IF(OR(AW$190,$A154),'Client Data'!AW232,0)</f>
        <v>0</v>
      </c>
      <c r="AX154" s="106">
        <f>IF(OR(AX$190,$A154),'Client Data'!AX232,0)</f>
        <v>0</v>
      </c>
      <c r="AY154" s="106">
        <f>IF(OR(AY$190,$A154),'Client Data'!AY232,0)</f>
        <v>0</v>
      </c>
      <c r="AZ154" s="106">
        <f>IF(OR(AZ$190,$A154),'Client Data'!AZ232,0)</f>
        <v>0</v>
      </c>
      <c r="BA154" s="106">
        <f>IF(OR(BA$190,$A154),'Client Data'!BA232,0)</f>
        <v>0</v>
      </c>
      <c r="BB154" s="106">
        <f>IF(OR(BB$190,$A154),'Client Data'!BB232,0)</f>
        <v>0</v>
      </c>
      <c r="BC154" s="104">
        <f t="shared" si="59"/>
        <v>0</v>
      </c>
    </row>
    <row r="155" spans="1:55" x14ac:dyDescent="0.25">
      <c r="A155">
        <f>A148-1</f>
        <v>1</v>
      </c>
      <c r="B155" s="105" t="str">
        <f>'Client Data'!B233</f>
        <v>Tool USDT H(Hour)</v>
      </c>
      <c r="C155" s="105">
        <f t="shared" ref="C155:AH155" si="79">IF(OR(C$190&gt;0,$A155),SUM(C156:C161),0)</f>
        <v>0.4</v>
      </c>
      <c r="D155" s="105">
        <f t="shared" si="79"/>
        <v>0.4</v>
      </c>
      <c r="E155" s="105">
        <f t="shared" si="79"/>
        <v>0.4</v>
      </c>
      <c r="F155" s="105">
        <f t="shared" si="79"/>
        <v>0.4</v>
      </c>
      <c r="G155" s="105">
        <f t="shared" si="79"/>
        <v>0.4</v>
      </c>
      <c r="H155" s="105">
        <f t="shared" si="79"/>
        <v>0.4</v>
      </c>
      <c r="I155" s="105">
        <f t="shared" si="79"/>
        <v>0.4</v>
      </c>
      <c r="J155" s="105">
        <f t="shared" si="79"/>
        <v>0.5</v>
      </c>
      <c r="K155" s="105">
        <f t="shared" si="79"/>
        <v>0.3</v>
      </c>
      <c r="L155" s="105">
        <f t="shared" si="79"/>
        <v>0.6</v>
      </c>
      <c r="M155" s="105">
        <f t="shared" si="79"/>
        <v>0.3</v>
      </c>
      <c r="N155" s="105">
        <f t="shared" si="79"/>
        <v>0.4</v>
      </c>
      <c r="O155" s="105">
        <f t="shared" si="79"/>
        <v>0.4</v>
      </c>
      <c r="P155" s="105">
        <f t="shared" si="79"/>
        <v>0.5</v>
      </c>
      <c r="Q155" s="105">
        <f t="shared" si="79"/>
        <v>0.3</v>
      </c>
      <c r="R155" s="105">
        <f t="shared" si="79"/>
        <v>0.6</v>
      </c>
      <c r="S155" s="105">
        <f t="shared" si="79"/>
        <v>0.3</v>
      </c>
      <c r="T155" s="105">
        <f t="shared" si="79"/>
        <v>0.4</v>
      </c>
      <c r="U155" s="105">
        <f t="shared" si="79"/>
        <v>0.5</v>
      </c>
      <c r="V155" s="105">
        <f t="shared" si="79"/>
        <v>0.3</v>
      </c>
      <c r="W155" s="105">
        <f t="shared" si="79"/>
        <v>0.6</v>
      </c>
      <c r="X155" s="105">
        <f t="shared" si="79"/>
        <v>0.3</v>
      </c>
      <c r="Y155" s="105">
        <f t="shared" si="79"/>
        <v>0.4</v>
      </c>
      <c r="Z155" s="105">
        <f t="shared" si="79"/>
        <v>0.4</v>
      </c>
      <c r="AA155" s="105">
        <f t="shared" si="79"/>
        <v>0.5</v>
      </c>
      <c r="AB155" s="105">
        <f t="shared" si="79"/>
        <v>0.3</v>
      </c>
      <c r="AC155" s="105">
        <f t="shared" si="79"/>
        <v>0.6</v>
      </c>
      <c r="AD155" s="105">
        <f t="shared" si="79"/>
        <v>0.3</v>
      </c>
      <c r="AE155" s="105">
        <f t="shared" si="79"/>
        <v>0.4</v>
      </c>
      <c r="AF155" s="105">
        <f t="shared" si="79"/>
        <v>0.5</v>
      </c>
      <c r="AG155" s="105">
        <f t="shared" si="79"/>
        <v>0.3</v>
      </c>
      <c r="AH155" s="105">
        <f t="shared" si="79"/>
        <v>0.6</v>
      </c>
      <c r="AI155" s="105">
        <f t="shared" ref="AI155:BB155" si="80">IF(OR(AI$190&gt;0,$A155),SUM(AI156:AI161),0)</f>
        <v>0.3</v>
      </c>
      <c r="AJ155" s="105">
        <f t="shared" si="80"/>
        <v>0.4</v>
      </c>
      <c r="AK155" s="105">
        <f t="shared" si="80"/>
        <v>0.4</v>
      </c>
      <c r="AL155" s="105">
        <f t="shared" si="80"/>
        <v>0.5</v>
      </c>
      <c r="AM155" s="105">
        <f t="shared" si="80"/>
        <v>0.3</v>
      </c>
      <c r="AN155" s="105">
        <f t="shared" si="80"/>
        <v>0.6</v>
      </c>
      <c r="AO155" s="105">
        <f t="shared" si="80"/>
        <v>0.3</v>
      </c>
      <c r="AP155" s="105">
        <f t="shared" si="80"/>
        <v>0.4</v>
      </c>
      <c r="AQ155" s="105">
        <f t="shared" si="80"/>
        <v>0.4</v>
      </c>
      <c r="AR155" s="105">
        <f t="shared" si="80"/>
        <v>0.4</v>
      </c>
      <c r="AS155" s="105">
        <f t="shared" si="80"/>
        <v>0.5</v>
      </c>
      <c r="AT155" s="105">
        <f t="shared" si="80"/>
        <v>0.3</v>
      </c>
      <c r="AU155" s="105">
        <f t="shared" si="80"/>
        <v>0.4</v>
      </c>
      <c r="AV155" s="105">
        <f t="shared" si="80"/>
        <v>0.5</v>
      </c>
      <c r="AW155" s="105">
        <f t="shared" si="80"/>
        <v>0.3</v>
      </c>
      <c r="AX155" s="105">
        <f t="shared" si="80"/>
        <v>0.6</v>
      </c>
      <c r="AY155" s="105">
        <f t="shared" si="80"/>
        <v>0.3</v>
      </c>
      <c r="AZ155" s="105">
        <f t="shared" si="80"/>
        <v>0.4</v>
      </c>
      <c r="BA155" s="105">
        <f t="shared" si="80"/>
        <v>0.4</v>
      </c>
      <c r="BB155" s="105">
        <f t="shared" si="80"/>
        <v>0.2</v>
      </c>
      <c r="BC155" s="105">
        <f t="shared" si="59"/>
        <v>21.299999999999997</v>
      </c>
    </row>
    <row r="156" spans="1:55" x14ac:dyDescent="0.25">
      <c r="A156">
        <f>IF(A$155&gt;0,A149,0)</f>
        <v>6</v>
      </c>
      <c r="B156" s="104" t="str">
        <f>'Client Data'!B234</f>
        <v>DownTime A</v>
      </c>
      <c r="C156" s="106">
        <f>IF(OR(C$190,$A156),'Client Data'!C234,0)</f>
        <v>0</v>
      </c>
      <c r="D156" s="106">
        <f>IF(OR(D$190,$A156),'Client Data'!D234,0)</f>
        <v>0</v>
      </c>
      <c r="E156" s="106">
        <f>IF(OR(E$190,$A156),'Client Data'!E234,0)</f>
        <v>0</v>
      </c>
      <c r="F156" s="106">
        <f>IF(OR(F$190,$A156),'Client Data'!F234,0)</f>
        <v>0</v>
      </c>
      <c r="G156" s="106">
        <f>IF(OR(G$190,$A156),'Client Data'!G234,0)</f>
        <v>0</v>
      </c>
      <c r="H156" s="106">
        <f>IF(OR(H$190,$A156),'Client Data'!H234,0)</f>
        <v>0</v>
      </c>
      <c r="I156" s="106">
        <f>IF(OR(I$190,$A156),'Client Data'!I234,0)</f>
        <v>0</v>
      </c>
      <c r="J156" s="106">
        <f>IF(OR(J$190,$A156),'Client Data'!J234,0)</f>
        <v>0</v>
      </c>
      <c r="K156" s="106">
        <f>IF(OR(K$190,$A156),'Client Data'!K234,0)</f>
        <v>0</v>
      </c>
      <c r="L156" s="106">
        <f>IF(OR(L$190,$A156),'Client Data'!L234,0)</f>
        <v>0</v>
      </c>
      <c r="M156" s="106">
        <f>IF(OR(M$190,$A156),'Client Data'!M234,0)</f>
        <v>0</v>
      </c>
      <c r="N156" s="106">
        <f>IF(OR(N$190,$A156),'Client Data'!N234,0)</f>
        <v>0</v>
      </c>
      <c r="O156" s="106">
        <f>IF(OR(O$190,$A156),'Client Data'!O234,0)</f>
        <v>0</v>
      </c>
      <c r="P156" s="106">
        <f>IF(OR(P$190,$A156),'Client Data'!P234,0)</f>
        <v>0</v>
      </c>
      <c r="Q156" s="106">
        <f>IF(OR(Q$190,$A156),'Client Data'!Q234,0)</f>
        <v>0</v>
      </c>
      <c r="R156" s="106">
        <f>IF(OR(R$190,$A156),'Client Data'!R234,0)</f>
        <v>0</v>
      </c>
      <c r="S156" s="106">
        <f>IF(OR(S$190,$A156),'Client Data'!S234,0)</f>
        <v>0</v>
      </c>
      <c r="T156" s="106">
        <f>IF(OR(T$190,$A156),'Client Data'!T234,0)</f>
        <v>0</v>
      </c>
      <c r="U156" s="106">
        <f>IF(OR(U$190,$A156),'Client Data'!U234,0)</f>
        <v>0</v>
      </c>
      <c r="V156" s="106">
        <f>IF(OR(V$190,$A156),'Client Data'!V234,0)</f>
        <v>0</v>
      </c>
      <c r="W156" s="106">
        <f>IF(OR(W$190,$A156),'Client Data'!W234,0)</f>
        <v>0</v>
      </c>
      <c r="X156" s="106">
        <f>IF(OR(X$190,$A156),'Client Data'!X234,0)</f>
        <v>0</v>
      </c>
      <c r="Y156" s="106">
        <f>IF(OR(Y$190,$A156),'Client Data'!Y234,0)</f>
        <v>0</v>
      </c>
      <c r="Z156" s="106">
        <f>IF(OR(Z$190,$A156),'Client Data'!Z234,0)</f>
        <v>0</v>
      </c>
      <c r="AA156" s="106">
        <f>IF(OR(AA$190,$A156),'Client Data'!AA234,0)</f>
        <v>0</v>
      </c>
      <c r="AB156" s="106">
        <f>IF(OR(AB$190,$A156),'Client Data'!AB234,0)</f>
        <v>0</v>
      </c>
      <c r="AC156" s="106">
        <f>IF(OR(AC$190,$A156),'Client Data'!AC234,0)</f>
        <v>0</v>
      </c>
      <c r="AD156" s="106">
        <f>IF(OR(AD$190,$A156),'Client Data'!AD234,0)</f>
        <v>0</v>
      </c>
      <c r="AE156" s="106">
        <f>IF(OR(AE$190,$A156),'Client Data'!AE234,0)</f>
        <v>0</v>
      </c>
      <c r="AF156" s="106">
        <f>IF(OR(AF$190,$A156),'Client Data'!AF234,0)</f>
        <v>0</v>
      </c>
      <c r="AG156" s="106">
        <f>IF(OR(AG$190,$A156),'Client Data'!AG234,0)</f>
        <v>0</v>
      </c>
      <c r="AH156" s="106">
        <f>IF(OR(AH$190,$A156),'Client Data'!AH234,0)</f>
        <v>0</v>
      </c>
      <c r="AI156" s="106">
        <f>IF(OR(AI$190,$A156),'Client Data'!AI234,0)</f>
        <v>0</v>
      </c>
      <c r="AJ156" s="106">
        <f>IF(OR(AJ$190,$A156),'Client Data'!AJ234,0)</f>
        <v>0</v>
      </c>
      <c r="AK156" s="106">
        <f>IF(OR(AK$190,$A156),'Client Data'!AK234,0)</f>
        <v>0</v>
      </c>
      <c r="AL156" s="106">
        <f>IF(OR(AL$190,$A156),'Client Data'!AL234,0)</f>
        <v>0</v>
      </c>
      <c r="AM156" s="106">
        <f>IF(OR(AM$190,$A156),'Client Data'!AM234,0)</f>
        <v>0</v>
      </c>
      <c r="AN156" s="106">
        <f>IF(OR(AN$190,$A156),'Client Data'!AN234,0)</f>
        <v>0</v>
      </c>
      <c r="AO156" s="106">
        <f>IF(OR(AO$190,$A156),'Client Data'!AO234,0)</f>
        <v>0</v>
      </c>
      <c r="AP156" s="106">
        <f>IF(OR(AP$190,$A156),'Client Data'!AP234,0)</f>
        <v>0</v>
      </c>
      <c r="AQ156" s="106">
        <f>IF(OR(AQ$190,$A156),'Client Data'!AQ234,0)</f>
        <v>0</v>
      </c>
      <c r="AR156" s="106">
        <f>IF(OR(AR$190,$A156),'Client Data'!AR234,0)</f>
        <v>0</v>
      </c>
      <c r="AS156" s="106">
        <f>IF(OR(AS$190,$A156),'Client Data'!AS234,0)</f>
        <v>0</v>
      </c>
      <c r="AT156" s="106">
        <f>IF(OR(AT$190,$A156),'Client Data'!AT234,0)</f>
        <v>0</v>
      </c>
      <c r="AU156" s="106">
        <f>IF(OR(AU$190,$A156),'Client Data'!AU234,0)</f>
        <v>0</v>
      </c>
      <c r="AV156" s="106">
        <f>IF(OR(AV$190,$A156),'Client Data'!AV234,0)</f>
        <v>0</v>
      </c>
      <c r="AW156" s="106">
        <f>IF(OR(AW$190,$A156),'Client Data'!AW234,0)</f>
        <v>0</v>
      </c>
      <c r="AX156" s="106">
        <f>IF(OR(AX$190,$A156),'Client Data'!AX234,0)</f>
        <v>0</v>
      </c>
      <c r="AY156" s="106">
        <f>IF(OR(AY$190,$A156),'Client Data'!AY234,0)</f>
        <v>0</v>
      </c>
      <c r="AZ156" s="106">
        <f>IF(OR(AZ$190,$A156),'Client Data'!AZ234,0)</f>
        <v>0</v>
      </c>
      <c r="BA156" s="106">
        <f>IF(OR(BA$190,$A156),'Client Data'!BA234,0)</f>
        <v>0</v>
      </c>
      <c r="BB156" s="106">
        <f>IF(OR(BB$190,$A156),'Client Data'!BB234,0)</f>
        <v>0</v>
      </c>
      <c r="BC156" s="104">
        <f t="shared" si="59"/>
        <v>0</v>
      </c>
    </row>
    <row r="157" spans="1:55" x14ac:dyDescent="0.25">
      <c r="A157">
        <f>IF(A$155,A156-1,0)</f>
        <v>5</v>
      </c>
      <c r="B157" s="104" t="str">
        <f>'Client Data'!B235</f>
        <v>DownTime B</v>
      </c>
      <c r="C157" s="106">
        <f>IF(OR(C$190,$A157),'Client Data'!C235,0)</f>
        <v>0.4</v>
      </c>
      <c r="D157" s="106">
        <f>IF(OR(D$190,$A157),'Client Data'!D235,0)</f>
        <v>0.4</v>
      </c>
      <c r="E157" s="106">
        <f>IF(OR(E$190,$A157),'Client Data'!E235,0)</f>
        <v>0.4</v>
      </c>
      <c r="F157" s="106">
        <f>IF(OR(F$190,$A157),'Client Data'!F235,0)</f>
        <v>0.4</v>
      </c>
      <c r="G157" s="106">
        <f>IF(OR(G$190,$A157),'Client Data'!G235,0)</f>
        <v>0.4</v>
      </c>
      <c r="H157" s="106">
        <f>IF(OR(H$190,$A157),'Client Data'!H235,0)</f>
        <v>0.4</v>
      </c>
      <c r="I157" s="106">
        <f>IF(OR(I$190,$A157),'Client Data'!I235,0)</f>
        <v>0.4</v>
      </c>
      <c r="J157" s="106">
        <f>IF(OR(J$190,$A157),'Client Data'!J235,0)</f>
        <v>0.5</v>
      </c>
      <c r="K157" s="106">
        <f>IF(OR(K$190,$A157),'Client Data'!K235,0)</f>
        <v>0.3</v>
      </c>
      <c r="L157" s="106">
        <f>IF(OR(L$190,$A157),'Client Data'!L235,0)</f>
        <v>0.6</v>
      </c>
      <c r="M157" s="106">
        <f>IF(OR(M$190,$A157),'Client Data'!M235,0)</f>
        <v>0.3</v>
      </c>
      <c r="N157" s="106">
        <f>IF(OR(N$190,$A157),'Client Data'!N235,0)</f>
        <v>0.4</v>
      </c>
      <c r="O157" s="106">
        <f>IF(OR(O$190,$A157),'Client Data'!O235,0)</f>
        <v>0.4</v>
      </c>
      <c r="P157" s="106">
        <f>IF(OR(P$190,$A157),'Client Data'!P235,0)</f>
        <v>0.5</v>
      </c>
      <c r="Q157" s="106">
        <f>IF(OR(Q$190,$A157),'Client Data'!Q235,0)</f>
        <v>0.3</v>
      </c>
      <c r="R157" s="106">
        <f>IF(OR(R$190,$A157),'Client Data'!R235,0)</f>
        <v>0.6</v>
      </c>
      <c r="S157" s="106">
        <f>IF(OR(S$190,$A157),'Client Data'!S235,0)</f>
        <v>0.3</v>
      </c>
      <c r="T157" s="106">
        <f>IF(OR(T$190,$A157),'Client Data'!T235,0)</f>
        <v>0.4</v>
      </c>
      <c r="U157" s="106">
        <f>IF(OR(U$190,$A157),'Client Data'!U235,0)</f>
        <v>0.5</v>
      </c>
      <c r="V157" s="106">
        <f>IF(OR(V$190,$A157),'Client Data'!V235,0)</f>
        <v>0.3</v>
      </c>
      <c r="W157" s="106">
        <f>IF(OR(W$190,$A157),'Client Data'!W235,0)</f>
        <v>0.6</v>
      </c>
      <c r="X157" s="106">
        <f>IF(OR(X$190,$A157),'Client Data'!X235,0)</f>
        <v>0.3</v>
      </c>
      <c r="Y157" s="106">
        <f>IF(OR(Y$190,$A157),'Client Data'!Y235,0)</f>
        <v>0.4</v>
      </c>
      <c r="Z157" s="106">
        <f>IF(OR(Z$190,$A157),'Client Data'!Z235,0)</f>
        <v>0.4</v>
      </c>
      <c r="AA157" s="106">
        <f>IF(OR(AA$190,$A157),'Client Data'!AA235,0)</f>
        <v>0.5</v>
      </c>
      <c r="AB157" s="106">
        <f>IF(OR(AB$190,$A157),'Client Data'!AB235,0)</f>
        <v>0.3</v>
      </c>
      <c r="AC157" s="106">
        <f>IF(OR(AC$190,$A157),'Client Data'!AC235,0)</f>
        <v>0.6</v>
      </c>
      <c r="AD157" s="106">
        <f>IF(OR(AD$190,$A157),'Client Data'!AD235,0)</f>
        <v>0.3</v>
      </c>
      <c r="AE157" s="106">
        <f>IF(OR(AE$190,$A157),'Client Data'!AE235,0)</f>
        <v>0.4</v>
      </c>
      <c r="AF157" s="106">
        <f>IF(OR(AF$190,$A157),'Client Data'!AF235,0)</f>
        <v>0.5</v>
      </c>
      <c r="AG157" s="106">
        <f>IF(OR(AG$190,$A157),'Client Data'!AG235,0)</f>
        <v>0.3</v>
      </c>
      <c r="AH157" s="106">
        <f>IF(OR(AH$190,$A157),'Client Data'!AH235,0)</f>
        <v>0.6</v>
      </c>
      <c r="AI157" s="106">
        <f>IF(OR(AI$190,$A157),'Client Data'!AI235,0)</f>
        <v>0.3</v>
      </c>
      <c r="AJ157" s="106">
        <f>IF(OR(AJ$190,$A157),'Client Data'!AJ235,0)</f>
        <v>0.4</v>
      </c>
      <c r="AK157" s="106">
        <f>IF(OR(AK$190,$A157),'Client Data'!AK235,0)</f>
        <v>0.4</v>
      </c>
      <c r="AL157" s="106">
        <f>IF(OR(AL$190,$A157),'Client Data'!AL235,0)</f>
        <v>0.5</v>
      </c>
      <c r="AM157" s="106">
        <f>IF(OR(AM$190,$A157),'Client Data'!AM235,0)</f>
        <v>0.3</v>
      </c>
      <c r="AN157" s="106">
        <f>IF(OR(AN$190,$A157),'Client Data'!AN235,0)</f>
        <v>0.6</v>
      </c>
      <c r="AO157" s="106">
        <f>IF(OR(AO$190,$A157),'Client Data'!AO235,0)</f>
        <v>0.3</v>
      </c>
      <c r="AP157" s="106">
        <f>IF(OR(AP$190,$A157),'Client Data'!AP235,0)</f>
        <v>0.4</v>
      </c>
      <c r="AQ157" s="106">
        <f>IF(OR(AQ$190,$A157),'Client Data'!AQ235,0)</f>
        <v>0.4</v>
      </c>
      <c r="AR157" s="106">
        <f>IF(OR(AR$190,$A157),'Client Data'!AR235,0)</f>
        <v>0.4</v>
      </c>
      <c r="AS157" s="106">
        <f>IF(OR(AS$190,$A157),'Client Data'!AS235,0)</f>
        <v>0.5</v>
      </c>
      <c r="AT157" s="106">
        <f>IF(OR(AT$190,$A157),'Client Data'!AT235,0)</f>
        <v>0.3</v>
      </c>
      <c r="AU157" s="106">
        <f>IF(OR(AU$190,$A157),'Client Data'!AU235,0)</f>
        <v>0.4</v>
      </c>
      <c r="AV157" s="106">
        <f>IF(OR(AV$190,$A157),'Client Data'!AV235,0)</f>
        <v>0.5</v>
      </c>
      <c r="AW157" s="106">
        <f>IF(OR(AW$190,$A157),'Client Data'!AW235,0)</f>
        <v>0.3</v>
      </c>
      <c r="AX157" s="106">
        <f>IF(OR(AX$190,$A157),'Client Data'!AX235,0)</f>
        <v>0.6</v>
      </c>
      <c r="AY157" s="106">
        <f>IF(OR(AY$190,$A157),'Client Data'!AY235,0)</f>
        <v>0.3</v>
      </c>
      <c r="AZ157" s="106">
        <f>IF(OR(AZ$190,$A157),'Client Data'!AZ235,0)</f>
        <v>0.4</v>
      </c>
      <c r="BA157" s="106">
        <f>IF(OR(BA$190,$A157),'Client Data'!BA235,0)</f>
        <v>0.4</v>
      </c>
      <c r="BB157" s="106">
        <f>IF(OR(BB$190,$A157),'Client Data'!BB235,0)</f>
        <v>0.2</v>
      </c>
      <c r="BC157" s="104">
        <f t="shared" si="59"/>
        <v>21.299999999999997</v>
      </c>
    </row>
    <row r="158" spans="1:55" x14ac:dyDescent="0.25">
      <c r="A158">
        <f t="shared" ref="A158:A161" si="81">IF(A$155,A157-1,0)</f>
        <v>4</v>
      </c>
      <c r="B158" s="104" t="str">
        <f>'Client Data'!B236</f>
        <v>DownTime C</v>
      </c>
      <c r="C158" s="106">
        <f>IF(OR(C$190,$A158),'Client Data'!C236,0)</f>
        <v>0</v>
      </c>
      <c r="D158" s="106">
        <f>IF(OR(D$190,$A158),'Client Data'!D236,0)</f>
        <v>0</v>
      </c>
      <c r="E158" s="106">
        <f>IF(OR(E$190,$A158),'Client Data'!E236,0)</f>
        <v>0</v>
      </c>
      <c r="F158" s="106">
        <f>IF(OR(F$190,$A158),'Client Data'!F236,0)</f>
        <v>0</v>
      </c>
      <c r="G158" s="106">
        <f>IF(OR(G$190,$A158),'Client Data'!G236,0)</f>
        <v>0</v>
      </c>
      <c r="H158" s="106">
        <f>IF(OR(H$190,$A158),'Client Data'!H236,0)</f>
        <v>0</v>
      </c>
      <c r="I158" s="106">
        <f>IF(OR(I$190,$A158),'Client Data'!I236,0)</f>
        <v>0</v>
      </c>
      <c r="J158" s="106">
        <f>IF(OR(J$190,$A158),'Client Data'!J236,0)</f>
        <v>0</v>
      </c>
      <c r="K158" s="106">
        <f>IF(OR(K$190,$A158),'Client Data'!K236,0)</f>
        <v>0</v>
      </c>
      <c r="L158" s="106">
        <f>IF(OR(L$190,$A158),'Client Data'!L236,0)</f>
        <v>0</v>
      </c>
      <c r="M158" s="106">
        <f>IF(OR(M$190,$A158),'Client Data'!M236,0)</f>
        <v>0</v>
      </c>
      <c r="N158" s="106">
        <f>IF(OR(N$190,$A158),'Client Data'!N236,0)</f>
        <v>0</v>
      </c>
      <c r="O158" s="106">
        <f>IF(OR(O$190,$A158),'Client Data'!O236,0)</f>
        <v>0</v>
      </c>
      <c r="P158" s="106">
        <f>IF(OR(P$190,$A158),'Client Data'!P236,0)</f>
        <v>0</v>
      </c>
      <c r="Q158" s="106">
        <f>IF(OR(Q$190,$A158),'Client Data'!Q236,0)</f>
        <v>0</v>
      </c>
      <c r="R158" s="106">
        <f>IF(OR(R$190,$A158),'Client Data'!R236,0)</f>
        <v>0</v>
      </c>
      <c r="S158" s="106">
        <f>IF(OR(S$190,$A158),'Client Data'!S236,0)</f>
        <v>0</v>
      </c>
      <c r="T158" s="106">
        <f>IF(OR(T$190,$A158),'Client Data'!T236,0)</f>
        <v>0</v>
      </c>
      <c r="U158" s="106">
        <f>IF(OR(U$190,$A158),'Client Data'!U236,0)</f>
        <v>0</v>
      </c>
      <c r="V158" s="106">
        <f>IF(OR(V$190,$A158),'Client Data'!V236,0)</f>
        <v>0</v>
      </c>
      <c r="W158" s="106">
        <f>IF(OR(W$190,$A158),'Client Data'!W236,0)</f>
        <v>0</v>
      </c>
      <c r="X158" s="106">
        <f>IF(OR(X$190,$A158),'Client Data'!X236,0)</f>
        <v>0</v>
      </c>
      <c r="Y158" s="106">
        <f>IF(OR(Y$190,$A158),'Client Data'!Y236,0)</f>
        <v>0</v>
      </c>
      <c r="Z158" s="106">
        <f>IF(OR(Z$190,$A158),'Client Data'!Z236,0)</f>
        <v>0</v>
      </c>
      <c r="AA158" s="106">
        <f>IF(OR(AA$190,$A158),'Client Data'!AA236,0)</f>
        <v>0</v>
      </c>
      <c r="AB158" s="106">
        <f>IF(OR(AB$190,$A158),'Client Data'!AB236,0)</f>
        <v>0</v>
      </c>
      <c r="AC158" s="106">
        <f>IF(OR(AC$190,$A158),'Client Data'!AC236,0)</f>
        <v>0</v>
      </c>
      <c r="AD158" s="106">
        <f>IF(OR(AD$190,$A158),'Client Data'!AD236,0)</f>
        <v>0</v>
      </c>
      <c r="AE158" s="106">
        <f>IF(OR(AE$190,$A158),'Client Data'!AE236,0)</f>
        <v>0</v>
      </c>
      <c r="AF158" s="106">
        <f>IF(OR(AF$190,$A158),'Client Data'!AF236,0)</f>
        <v>0</v>
      </c>
      <c r="AG158" s="106">
        <f>IF(OR(AG$190,$A158),'Client Data'!AG236,0)</f>
        <v>0</v>
      </c>
      <c r="AH158" s="106">
        <f>IF(OR(AH$190,$A158),'Client Data'!AH236,0)</f>
        <v>0</v>
      </c>
      <c r="AI158" s="106">
        <f>IF(OR(AI$190,$A158),'Client Data'!AI236,0)</f>
        <v>0</v>
      </c>
      <c r="AJ158" s="106">
        <f>IF(OR(AJ$190,$A158),'Client Data'!AJ236,0)</f>
        <v>0</v>
      </c>
      <c r="AK158" s="106">
        <f>IF(OR(AK$190,$A158),'Client Data'!AK236,0)</f>
        <v>0</v>
      </c>
      <c r="AL158" s="106">
        <f>IF(OR(AL$190,$A158),'Client Data'!AL236,0)</f>
        <v>0</v>
      </c>
      <c r="AM158" s="106">
        <f>IF(OR(AM$190,$A158),'Client Data'!AM236,0)</f>
        <v>0</v>
      </c>
      <c r="AN158" s="106">
        <f>IF(OR(AN$190,$A158),'Client Data'!AN236,0)</f>
        <v>0</v>
      </c>
      <c r="AO158" s="106">
        <f>IF(OR(AO$190,$A158),'Client Data'!AO236,0)</f>
        <v>0</v>
      </c>
      <c r="AP158" s="106">
        <f>IF(OR(AP$190,$A158),'Client Data'!AP236,0)</f>
        <v>0</v>
      </c>
      <c r="AQ158" s="106">
        <f>IF(OR(AQ$190,$A158),'Client Data'!AQ236,0)</f>
        <v>0</v>
      </c>
      <c r="AR158" s="106">
        <f>IF(OR(AR$190,$A158),'Client Data'!AR236,0)</f>
        <v>0</v>
      </c>
      <c r="AS158" s="106">
        <f>IF(OR(AS$190,$A158),'Client Data'!AS236,0)</f>
        <v>0</v>
      </c>
      <c r="AT158" s="106">
        <f>IF(OR(AT$190,$A158),'Client Data'!AT236,0)</f>
        <v>0</v>
      </c>
      <c r="AU158" s="106">
        <f>IF(OR(AU$190,$A158),'Client Data'!AU236,0)</f>
        <v>0</v>
      </c>
      <c r="AV158" s="106">
        <f>IF(OR(AV$190,$A158),'Client Data'!AV236,0)</f>
        <v>0</v>
      </c>
      <c r="AW158" s="106">
        <f>IF(OR(AW$190,$A158),'Client Data'!AW236,0)</f>
        <v>0</v>
      </c>
      <c r="AX158" s="106">
        <f>IF(OR(AX$190,$A158),'Client Data'!AX236,0)</f>
        <v>0</v>
      </c>
      <c r="AY158" s="106">
        <f>IF(OR(AY$190,$A158),'Client Data'!AY236,0)</f>
        <v>0</v>
      </c>
      <c r="AZ158" s="106">
        <f>IF(OR(AZ$190,$A158),'Client Data'!AZ236,0)</f>
        <v>0</v>
      </c>
      <c r="BA158" s="106">
        <f>IF(OR(BA$190,$A158),'Client Data'!BA236,0)</f>
        <v>0</v>
      </c>
      <c r="BB158" s="106">
        <f>IF(OR(BB$190,$A158),'Client Data'!BB236,0)</f>
        <v>0</v>
      </c>
      <c r="BC158" s="104">
        <f t="shared" si="59"/>
        <v>0</v>
      </c>
    </row>
    <row r="159" spans="1:55" x14ac:dyDescent="0.25">
      <c r="A159">
        <f t="shared" si="81"/>
        <v>3</v>
      </c>
      <c r="B159" s="104" t="str">
        <f>'Client Data'!B237</f>
        <v>DownTime D</v>
      </c>
      <c r="C159" s="106">
        <f>IF(OR(C$190,$A159),'Client Data'!C237,0)</f>
        <v>0</v>
      </c>
      <c r="D159" s="106">
        <f>IF(OR(D$190,$A159),'Client Data'!D237,0)</f>
        <v>0</v>
      </c>
      <c r="E159" s="106">
        <f>IF(OR(E$190,$A159),'Client Data'!E237,0)</f>
        <v>0</v>
      </c>
      <c r="F159" s="106">
        <f>IF(OR(F$190,$A159),'Client Data'!F237,0)</f>
        <v>0</v>
      </c>
      <c r="G159" s="106">
        <f>IF(OR(G$190,$A159),'Client Data'!G237,0)</f>
        <v>0</v>
      </c>
      <c r="H159" s="106">
        <f>IF(OR(H$190,$A159),'Client Data'!H237,0)</f>
        <v>0</v>
      </c>
      <c r="I159" s="106">
        <f>IF(OR(I$190,$A159),'Client Data'!I237,0)</f>
        <v>0</v>
      </c>
      <c r="J159" s="106">
        <f>IF(OR(J$190,$A159),'Client Data'!J237,0)</f>
        <v>0</v>
      </c>
      <c r="K159" s="106">
        <f>IF(OR(K$190,$A159),'Client Data'!K237,0)</f>
        <v>0</v>
      </c>
      <c r="L159" s="106">
        <f>IF(OR(L$190,$A159),'Client Data'!L237,0)</f>
        <v>0</v>
      </c>
      <c r="M159" s="106">
        <f>IF(OR(M$190,$A159),'Client Data'!M237,0)</f>
        <v>0</v>
      </c>
      <c r="N159" s="106">
        <f>IF(OR(N$190,$A159),'Client Data'!N237,0)</f>
        <v>0</v>
      </c>
      <c r="O159" s="106">
        <f>IF(OR(O$190,$A159),'Client Data'!O237,0)</f>
        <v>0</v>
      </c>
      <c r="P159" s="106">
        <f>IF(OR(P$190,$A159),'Client Data'!P237,0)</f>
        <v>0</v>
      </c>
      <c r="Q159" s="106">
        <f>IF(OR(Q$190,$A159),'Client Data'!Q237,0)</f>
        <v>0</v>
      </c>
      <c r="R159" s="106">
        <f>IF(OR(R$190,$A159),'Client Data'!R237,0)</f>
        <v>0</v>
      </c>
      <c r="S159" s="106">
        <f>IF(OR(S$190,$A159),'Client Data'!S237,0)</f>
        <v>0</v>
      </c>
      <c r="T159" s="106">
        <f>IF(OR(T$190,$A159),'Client Data'!T237,0)</f>
        <v>0</v>
      </c>
      <c r="U159" s="106">
        <f>IF(OR(U$190,$A159),'Client Data'!U237,0)</f>
        <v>0</v>
      </c>
      <c r="V159" s="106">
        <f>IF(OR(V$190,$A159),'Client Data'!V237,0)</f>
        <v>0</v>
      </c>
      <c r="W159" s="106">
        <f>IF(OR(W$190,$A159),'Client Data'!W237,0)</f>
        <v>0</v>
      </c>
      <c r="X159" s="106">
        <f>IF(OR(X$190,$A159),'Client Data'!X237,0)</f>
        <v>0</v>
      </c>
      <c r="Y159" s="106">
        <f>IF(OR(Y$190,$A159),'Client Data'!Y237,0)</f>
        <v>0</v>
      </c>
      <c r="Z159" s="106">
        <f>IF(OR(Z$190,$A159),'Client Data'!Z237,0)</f>
        <v>0</v>
      </c>
      <c r="AA159" s="106">
        <f>IF(OR(AA$190,$A159),'Client Data'!AA237,0)</f>
        <v>0</v>
      </c>
      <c r="AB159" s="106">
        <f>IF(OR(AB$190,$A159),'Client Data'!AB237,0)</f>
        <v>0</v>
      </c>
      <c r="AC159" s="106">
        <f>IF(OR(AC$190,$A159),'Client Data'!AC237,0)</f>
        <v>0</v>
      </c>
      <c r="AD159" s="106">
        <f>IF(OR(AD$190,$A159),'Client Data'!AD237,0)</f>
        <v>0</v>
      </c>
      <c r="AE159" s="106">
        <f>IF(OR(AE$190,$A159),'Client Data'!AE237,0)</f>
        <v>0</v>
      </c>
      <c r="AF159" s="106">
        <f>IF(OR(AF$190,$A159),'Client Data'!AF237,0)</f>
        <v>0</v>
      </c>
      <c r="AG159" s="106">
        <f>IF(OR(AG$190,$A159),'Client Data'!AG237,0)</f>
        <v>0</v>
      </c>
      <c r="AH159" s="106">
        <f>IF(OR(AH$190,$A159),'Client Data'!AH237,0)</f>
        <v>0</v>
      </c>
      <c r="AI159" s="106">
        <f>IF(OR(AI$190,$A159),'Client Data'!AI237,0)</f>
        <v>0</v>
      </c>
      <c r="AJ159" s="106">
        <f>IF(OR(AJ$190,$A159),'Client Data'!AJ237,0)</f>
        <v>0</v>
      </c>
      <c r="AK159" s="106">
        <f>IF(OR(AK$190,$A159),'Client Data'!AK237,0)</f>
        <v>0</v>
      </c>
      <c r="AL159" s="106">
        <f>IF(OR(AL$190,$A159),'Client Data'!AL237,0)</f>
        <v>0</v>
      </c>
      <c r="AM159" s="106">
        <f>IF(OR(AM$190,$A159),'Client Data'!AM237,0)</f>
        <v>0</v>
      </c>
      <c r="AN159" s="106">
        <f>IF(OR(AN$190,$A159),'Client Data'!AN237,0)</f>
        <v>0</v>
      </c>
      <c r="AO159" s="106">
        <f>IF(OR(AO$190,$A159),'Client Data'!AO237,0)</f>
        <v>0</v>
      </c>
      <c r="AP159" s="106">
        <f>IF(OR(AP$190,$A159),'Client Data'!AP237,0)</f>
        <v>0</v>
      </c>
      <c r="AQ159" s="106">
        <f>IF(OR(AQ$190,$A159),'Client Data'!AQ237,0)</f>
        <v>0</v>
      </c>
      <c r="AR159" s="106">
        <f>IF(OR(AR$190,$A159),'Client Data'!AR237,0)</f>
        <v>0</v>
      </c>
      <c r="AS159" s="106">
        <f>IF(OR(AS$190,$A159),'Client Data'!AS237,0)</f>
        <v>0</v>
      </c>
      <c r="AT159" s="106">
        <f>IF(OR(AT$190,$A159),'Client Data'!AT237,0)</f>
        <v>0</v>
      </c>
      <c r="AU159" s="106">
        <f>IF(OR(AU$190,$A159),'Client Data'!AU237,0)</f>
        <v>0</v>
      </c>
      <c r="AV159" s="106">
        <f>IF(OR(AV$190,$A159),'Client Data'!AV237,0)</f>
        <v>0</v>
      </c>
      <c r="AW159" s="106">
        <f>IF(OR(AW$190,$A159),'Client Data'!AW237,0)</f>
        <v>0</v>
      </c>
      <c r="AX159" s="106">
        <f>IF(OR(AX$190,$A159),'Client Data'!AX237,0)</f>
        <v>0</v>
      </c>
      <c r="AY159" s="106">
        <f>IF(OR(AY$190,$A159),'Client Data'!AY237,0)</f>
        <v>0</v>
      </c>
      <c r="AZ159" s="106">
        <f>IF(OR(AZ$190,$A159),'Client Data'!AZ237,0)</f>
        <v>0</v>
      </c>
      <c r="BA159" s="106">
        <f>IF(OR(BA$190,$A159),'Client Data'!BA237,0)</f>
        <v>0</v>
      </c>
      <c r="BB159" s="106">
        <f>IF(OR(BB$190,$A159),'Client Data'!BB237,0)</f>
        <v>0</v>
      </c>
      <c r="BC159" s="104">
        <f t="shared" si="59"/>
        <v>0</v>
      </c>
    </row>
    <row r="160" spans="1:55" x14ac:dyDescent="0.25">
      <c r="A160">
        <f t="shared" si="81"/>
        <v>2</v>
      </c>
      <c r="B160" s="104" t="str">
        <f>'Client Data'!B238</f>
        <v>DownTime E</v>
      </c>
      <c r="C160" s="106">
        <f>IF(OR(C$190,$A160),'Client Data'!C238,0)</f>
        <v>0</v>
      </c>
      <c r="D160" s="106">
        <f>IF(OR(D$190,$A160),'Client Data'!D238,0)</f>
        <v>0</v>
      </c>
      <c r="E160" s="106">
        <f>IF(OR(E$190,$A160),'Client Data'!E238,0)</f>
        <v>0</v>
      </c>
      <c r="F160" s="106">
        <f>IF(OR(F$190,$A160),'Client Data'!F238,0)</f>
        <v>0</v>
      </c>
      <c r="G160" s="106">
        <f>IF(OR(G$190,$A160),'Client Data'!G238,0)</f>
        <v>0</v>
      </c>
      <c r="H160" s="106">
        <f>IF(OR(H$190,$A160),'Client Data'!H238,0)</f>
        <v>0</v>
      </c>
      <c r="I160" s="106">
        <f>IF(OR(I$190,$A160),'Client Data'!I238,0)</f>
        <v>0</v>
      </c>
      <c r="J160" s="106">
        <f>IF(OR(J$190,$A160),'Client Data'!J238,0)</f>
        <v>0</v>
      </c>
      <c r="K160" s="106">
        <f>IF(OR(K$190,$A160),'Client Data'!K238,0)</f>
        <v>0</v>
      </c>
      <c r="L160" s="106">
        <f>IF(OR(L$190,$A160),'Client Data'!L238,0)</f>
        <v>0</v>
      </c>
      <c r="M160" s="106">
        <f>IF(OR(M$190,$A160),'Client Data'!M238,0)</f>
        <v>0</v>
      </c>
      <c r="N160" s="106">
        <f>IF(OR(N$190,$A160),'Client Data'!N238,0)</f>
        <v>0</v>
      </c>
      <c r="O160" s="106">
        <f>IF(OR(O$190,$A160),'Client Data'!O238,0)</f>
        <v>0</v>
      </c>
      <c r="P160" s="106">
        <f>IF(OR(P$190,$A160),'Client Data'!P238,0)</f>
        <v>0</v>
      </c>
      <c r="Q160" s="106">
        <f>IF(OR(Q$190,$A160),'Client Data'!Q238,0)</f>
        <v>0</v>
      </c>
      <c r="R160" s="106">
        <f>IF(OR(R$190,$A160),'Client Data'!R238,0)</f>
        <v>0</v>
      </c>
      <c r="S160" s="106">
        <f>IF(OR(S$190,$A160),'Client Data'!S238,0)</f>
        <v>0</v>
      </c>
      <c r="T160" s="106">
        <f>IF(OR(T$190,$A160),'Client Data'!T238,0)</f>
        <v>0</v>
      </c>
      <c r="U160" s="106">
        <f>IF(OR(U$190,$A160),'Client Data'!U238,0)</f>
        <v>0</v>
      </c>
      <c r="V160" s="106">
        <f>IF(OR(V$190,$A160),'Client Data'!V238,0)</f>
        <v>0</v>
      </c>
      <c r="W160" s="106">
        <f>IF(OR(W$190,$A160),'Client Data'!W238,0)</f>
        <v>0</v>
      </c>
      <c r="X160" s="106">
        <f>IF(OR(X$190,$A160),'Client Data'!X238,0)</f>
        <v>0</v>
      </c>
      <c r="Y160" s="106">
        <f>IF(OR(Y$190,$A160),'Client Data'!Y238,0)</f>
        <v>0</v>
      </c>
      <c r="Z160" s="106">
        <f>IF(OR(Z$190,$A160),'Client Data'!Z238,0)</f>
        <v>0</v>
      </c>
      <c r="AA160" s="106">
        <f>IF(OR(AA$190,$A160),'Client Data'!AA238,0)</f>
        <v>0</v>
      </c>
      <c r="AB160" s="106">
        <f>IF(OR(AB$190,$A160),'Client Data'!AB238,0)</f>
        <v>0</v>
      </c>
      <c r="AC160" s="106">
        <f>IF(OR(AC$190,$A160),'Client Data'!AC238,0)</f>
        <v>0</v>
      </c>
      <c r="AD160" s="106">
        <f>IF(OR(AD$190,$A160),'Client Data'!AD238,0)</f>
        <v>0</v>
      </c>
      <c r="AE160" s="106">
        <f>IF(OR(AE$190,$A160),'Client Data'!AE238,0)</f>
        <v>0</v>
      </c>
      <c r="AF160" s="106">
        <f>IF(OR(AF$190,$A160),'Client Data'!AF238,0)</f>
        <v>0</v>
      </c>
      <c r="AG160" s="106">
        <f>IF(OR(AG$190,$A160),'Client Data'!AG238,0)</f>
        <v>0</v>
      </c>
      <c r="AH160" s="106">
        <f>IF(OR(AH$190,$A160),'Client Data'!AH238,0)</f>
        <v>0</v>
      </c>
      <c r="AI160" s="106">
        <f>IF(OR(AI$190,$A160),'Client Data'!AI238,0)</f>
        <v>0</v>
      </c>
      <c r="AJ160" s="106">
        <f>IF(OR(AJ$190,$A160),'Client Data'!AJ238,0)</f>
        <v>0</v>
      </c>
      <c r="AK160" s="106">
        <f>IF(OR(AK$190,$A160),'Client Data'!AK238,0)</f>
        <v>0</v>
      </c>
      <c r="AL160" s="106">
        <f>IF(OR(AL$190,$A160),'Client Data'!AL238,0)</f>
        <v>0</v>
      </c>
      <c r="AM160" s="106">
        <f>IF(OR(AM$190,$A160),'Client Data'!AM238,0)</f>
        <v>0</v>
      </c>
      <c r="AN160" s="106">
        <f>IF(OR(AN$190,$A160),'Client Data'!AN238,0)</f>
        <v>0</v>
      </c>
      <c r="AO160" s="106">
        <f>IF(OR(AO$190,$A160),'Client Data'!AO238,0)</f>
        <v>0</v>
      </c>
      <c r="AP160" s="106">
        <f>IF(OR(AP$190,$A160),'Client Data'!AP238,0)</f>
        <v>0</v>
      </c>
      <c r="AQ160" s="106">
        <f>IF(OR(AQ$190,$A160),'Client Data'!AQ238,0)</f>
        <v>0</v>
      </c>
      <c r="AR160" s="106">
        <f>IF(OR(AR$190,$A160),'Client Data'!AR238,0)</f>
        <v>0</v>
      </c>
      <c r="AS160" s="106">
        <f>IF(OR(AS$190,$A160),'Client Data'!AS238,0)</f>
        <v>0</v>
      </c>
      <c r="AT160" s="106">
        <f>IF(OR(AT$190,$A160),'Client Data'!AT238,0)</f>
        <v>0</v>
      </c>
      <c r="AU160" s="106">
        <f>IF(OR(AU$190,$A160),'Client Data'!AU238,0)</f>
        <v>0</v>
      </c>
      <c r="AV160" s="106">
        <f>IF(OR(AV$190,$A160),'Client Data'!AV238,0)</f>
        <v>0</v>
      </c>
      <c r="AW160" s="106">
        <f>IF(OR(AW$190,$A160),'Client Data'!AW238,0)</f>
        <v>0</v>
      </c>
      <c r="AX160" s="106">
        <f>IF(OR(AX$190,$A160),'Client Data'!AX238,0)</f>
        <v>0</v>
      </c>
      <c r="AY160" s="106">
        <f>IF(OR(AY$190,$A160),'Client Data'!AY238,0)</f>
        <v>0</v>
      </c>
      <c r="AZ160" s="106">
        <f>IF(OR(AZ$190,$A160),'Client Data'!AZ238,0)</f>
        <v>0</v>
      </c>
      <c r="BA160" s="106">
        <f>IF(OR(BA$190,$A160),'Client Data'!BA238,0)</f>
        <v>0</v>
      </c>
      <c r="BB160" s="106">
        <f>IF(OR(BB$190,$A160),'Client Data'!BB238,0)</f>
        <v>0</v>
      </c>
      <c r="BC160" s="104">
        <f t="shared" si="59"/>
        <v>0</v>
      </c>
    </row>
    <row r="161" spans="1:55" x14ac:dyDescent="0.25">
      <c r="A161">
        <f t="shared" si="81"/>
        <v>1</v>
      </c>
      <c r="B161" s="104" t="str">
        <f>'Client Data'!B239</f>
        <v>DownTime F</v>
      </c>
      <c r="C161" s="106">
        <f>IF(OR(C$190,$A161),'Client Data'!C239,0)</f>
        <v>0</v>
      </c>
      <c r="D161" s="106">
        <f>IF(OR(D$190,$A161),'Client Data'!D239,0)</f>
        <v>0</v>
      </c>
      <c r="E161" s="106">
        <f>IF(OR(E$190,$A161),'Client Data'!E239,0)</f>
        <v>0</v>
      </c>
      <c r="F161" s="106">
        <f>IF(OR(F$190,$A161),'Client Data'!F239,0)</f>
        <v>0</v>
      </c>
      <c r="G161" s="106">
        <f>IF(OR(G$190,$A161),'Client Data'!G239,0)</f>
        <v>0</v>
      </c>
      <c r="H161" s="106">
        <f>IF(OR(H$190,$A161),'Client Data'!H239,0)</f>
        <v>0</v>
      </c>
      <c r="I161" s="106">
        <f>IF(OR(I$190,$A161),'Client Data'!I239,0)</f>
        <v>0</v>
      </c>
      <c r="J161" s="106">
        <f>IF(OR(J$190,$A161),'Client Data'!J239,0)</f>
        <v>0</v>
      </c>
      <c r="K161" s="106">
        <f>IF(OR(K$190,$A161),'Client Data'!K239,0)</f>
        <v>0</v>
      </c>
      <c r="L161" s="106">
        <f>IF(OR(L$190,$A161),'Client Data'!L239,0)</f>
        <v>0</v>
      </c>
      <c r="M161" s="106">
        <f>IF(OR(M$190,$A161),'Client Data'!M239,0)</f>
        <v>0</v>
      </c>
      <c r="N161" s="106">
        <f>IF(OR(N$190,$A161),'Client Data'!N239,0)</f>
        <v>0</v>
      </c>
      <c r="O161" s="106">
        <f>IF(OR(O$190,$A161),'Client Data'!O239,0)</f>
        <v>0</v>
      </c>
      <c r="P161" s="106">
        <f>IF(OR(P$190,$A161),'Client Data'!P239,0)</f>
        <v>0</v>
      </c>
      <c r="Q161" s="106">
        <f>IF(OR(Q$190,$A161),'Client Data'!Q239,0)</f>
        <v>0</v>
      </c>
      <c r="R161" s="106">
        <f>IF(OR(R$190,$A161),'Client Data'!R239,0)</f>
        <v>0</v>
      </c>
      <c r="S161" s="106">
        <f>IF(OR(S$190,$A161),'Client Data'!S239,0)</f>
        <v>0</v>
      </c>
      <c r="T161" s="106">
        <f>IF(OR(T$190,$A161),'Client Data'!T239,0)</f>
        <v>0</v>
      </c>
      <c r="U161" s="106">
        <f>IF(OR(U$190,$A161),'Client Data'!U239,0)</f>
        <v>0</v>
      </c>
      <c r="V161" s="106">
        <f>IF(OR(V$190,$A161),'Client Data'!V239,0)</f>
        <v>0</v>
      </c>
      <c r="W161" s="106">
        <f>IF(OR(W$190,$A161),'Client Data'!W239,0)</f>
        <v>0</v>
      </c>
      <c r="X161" s="106">
        <f>IF(OR(X$190,$A161),'Client Data'!X239,0)</f>
        <v>0</v>
      </c>
      <c r="Y161" s="106">
        <f>IF(OR(Y$190,$A161),'Client Data'!Y239,0)</f>
        <v>0</v>
      </c>
      <c r="Z161" s="106">
        <f>IF(OR(Z$190,$A161),'Client Data'!Z239,0)</f>
        <v>0</v>
      </c>
      <c r="AA161" s="106">
        <f>IF(OR(AA$190,$A161),'Client Data'!AA239,0)</f>
        <v>0</v>
      </c>
      <c r="AB161" s="106">
        <f>IF(OR(AB$190,$A161),'Client Data'!AB239,0)</f>
        <v>0</v>
      </c>
      <c r="AC161" s="106">
        <f>IF(OR(AC$190,$A161),'Client Data'!AC239,0)</f>
        <v>0</v>
      </c>
      <c r="AD161" s="106">
        <f>IF(OR(AD$190,$A161),'Client Data'!AD239,0)</f>
        <v>0</v>
      </c>
      <c r="AE161" s="106">
        <f>IF(OR(AE$190,$A161),'Client Data'!AE239,0)</f>
        <v>0</v>
      </c>
      <c r="AF161" s="106">
        <f>IF(OR(AF$190,$A161),'Client Data'!AF239,0)</f>
        <v>0</v>
      </c>
      <c r="AG161" s="106">
        <f>IF(OR(AG$190,$A161),'Client Data'!AG239,0)</f>
        <v>0</v>
      </c>
      <c r="AH161" s="106">
        <f>IF(OR(AH$190,$A161),'Client Data'!AH239,0)</f>
        <v>0</v>
      </c>
      <c r="AI161" s="106">
        <f>IF(OR(AI$190,$A161),'Client Data'!AI239,0)</f>
        <v>0</v>
      </c>
      <c r="AJ161" s="106">
        <f>IF(OR(AJ$190,$A161),'Client Data'!AJ239,0)</f>
        <v>0</v>
      </c>
      <c r="AK161" s="106">
        <f>IF(OR(AK$190,$A161),'Client Data'!AK239,0)</f>
        <v>0</v>
      </c>
      <c r="AL161" s="106">
        <f>IF(OR(AL$190,$A161),'Client Data'!AL239,0)</f>
        <v>0</v>
      </c>
      <c r="AM161" s="106">
        <f>IF(OR(AM$190,$A161),'Client Data'!AM239,0)</f>
        <v>0</v>
      </c>
      <c r="AN161" s="106">
        <f>IF(OR(AN$190,$A161),'Client Data'!AN239,0)</f>
        <v>0</v>
      </c>
      <c r="AO161" s="106">
        <f>IF(OR(AO$190,$A161),'Client Data'!AO239,0)</f>
        <v>0</v>
      </c>
      <c r="AP161" s="106">
        <f>IF(OR(AP$190,$A161),'Client Data'!AP239,0)</f>
        <v>0</v>
      </c>
      <c r="AQ161" s="106">
        <f>IF(OR(AQ$190,$A161),'Client Data'!AQ239,0)</f>
        <v>0</v>
      </c>
      <c r="AR161" s="106">
        <f>IF(OR(AR$190,$A161),'Client Data'!AR239,0)</f>
        <v>0</v>
      </c>
      <c r="AS161" s="106">
        <f>IF(OR(AS$190,$A161),'Client Data'!AS239,0)</f>
        <v>0</v>
      </c>
      <c r="AT161" s="106">
        <f>IF(OR(AT$190,$A161),'Client Data'!AT239,0)</f>
        <v>0</v>
      </c>
      <c r="AU161" s="106">
        <f>IF(OR(AU$190,$A161),'Client Data'!AU239,0)</f>
        <v>0</v>
      </c>
      <c r="AV161" s="106">
        <f>IF(OR(AV$190,$A161),'Client Data'!AV239,0)</f>
        <v>0</v>
      </c>
      <c r="AW161" s="106">
        <f>IF(OR(AW$190,$A161),'Client Data'!AW239,0)</f>
        <v>0</v>
      </c>
      <c r="AX161" s="106">
        <f>IF(OR(AX$190,$A161),'Client Data'!AX239,0)</f>
        <v>0</v>
      </c>
      <c r="AY161" s="106">
        <f>IF(OR(AY$190,$A161),'Client Data'!AY239,0)</f>
        <v>0</v>
      </c>
      <c r="AZ161" s="106">
        <f>IF(OR(AZ$190,$A161),'Client Data'!AZ239,0)</f>
        <v>0</v>
      </c>
      <c r="BA161" s="106">
        <f>IF(OR(BA$190,$A161),'Client Data'!BA239,0)</f>
        <v>0</v>
      </c>
      <c r="BB161" s="106">
        <f>IF(OR(BB$190,$A161),'Client Data'!BB239,0)</f>
        <v>0</v>
      </c>
      <c r="BC161" s="104">
        <f t="shared" si="59"/>
        <v>0</v>
      </c>
    </row>
    <row r="162" spans="1:55" x14ac:dyDescent="0.25">
      <c r="B162" s="111" t="s">
        <v>262</v>
      </c>
      <c r="C162" s="111">
        <f>SUM(C107:C112,C114:C119,C121:C126,C128:C133,C135:C140,C142:C147,C149:C154,C156:C161)</f>
        <v>3.6999999999999997</v>
      </c>
      <c r="D162" s="111">
        <f t="shared" ref="D162:BC162" si="82">SUM(D107:D112,D114:D119,D121:D126,D128:D133,D135:D140,D142:D147,D149:D154,D156:D161)</f>
        <v>3.4</v>
      </c>
      <c r="E162" s="111">
        <f t="shared" si="82"/>
        <v>3.5999999999999992</v>
      </c>
      <c r="F162" s="111">
        <f t="shared" si="82"/>
        <v>3.7</v>
      </c>
      <c r="G162" s="111">
        <f t="shared" si="82"/>
        <v>2.6</v>
      </c>
      <c r="H162" s="111">
        <f t="shared" si="82"/>
        <v>2.8</v>
      </c>
      <c r="I162" s="111">
        <f t="shared" si="82"/>
        <v>3.1999999999999997</v>
      </c>
      <c r="J162" s="111">
        <f t="shared" si="82"/>
        <v>2.6000000000000005</v>
      </c>
      <c r="K162" s="111">
        <f t="shared" si="82"/>
        <v>2.8</v>
      </c>
      <c r="L162" s="111">
        <f t="shared" si="82"/>
        <v>3.9</v>
      </c>
      <c r="M162" s="111">
        <f t="shared" si="82"/>
        <v>3.3</v>
      </c>
      <c r="N162" s="111">
        <f t="shared" si="82"/>
        <v>3.4999999999999996</v>
      </c>
      <c r="O162" s="111">
        <f t="shared" si="82"/>
        <v>3.6</v>
      </c>
      <c r="P162" s="111">
        <f t="shared" si="82"/>
        <v>3.6999999999999997</v>
      </c>
      <c r="Q162" s="111">
        <f t="shared" si="82"/>
        <v>2.8</v>
      </c>
      <c r="R162" s="111">
        <f t="shared" si="82"/>
        <v>3</v>
      </c>
      <c r="S162" s="111">
        <f t="shared" si="82"/>
        <v>2.6</v>
      </c>
      <c r="T162" s="111">
        <f t="shared" si="82"/>
        <v>3</v>
      </c>
      <c r="U162" s="111">
        <f t="shared" si="82"/>
        <v>2.7</v>
      </c>
      <c r="V162" s="111">
        <f t="shared" si="82"/>
        <v>3.5999999999999996</v>
      </c>
      <c r="W162" s="111">
        <f t="shared" si="82"/>
        <v>3.1</v>
      </c>
      <c r="X162" s="111">
        <f t="shared" si="82"/>
        <v>3.3</v>
      </c>
      <c r="Y162" s="111">
        <f t="shared" si="82"/>
        <v>3.5999999999999996</v>
      </c>
      <c r="Z162" s="111">
        <f t="shared" si="82"/>
        <v>3.5999999999999996</v>
      </c>
      <c r="AA162" s="111">
        <f t="shared" si="82"/>
        <v>3.5999999999999996</v>
      </c>
      <c r="AB162" s="111">
        <f t="shared" si="82"/>
        <v>3.6</v>
      </c>
      <c r="AC162" s="111">
        <f t="shared" si="82"/>
        <v>2.8000000000000003</v>
      </c>
      <c r="AD162" s="111">
        <f t="shared" si="82"/>
        <v>2.6999999999999997</v>
      </c>
      <c r="AE162" s="111">
        <f t="shared" si="82"/>
        <v>3.1999999999999997</v>
      </c>
      <c r="AF162" s="111">
        <f t="shared" si="82"/>
        <v>2.6000000000000005</v>
      </c>
      <c r="AG162" s="111">
        <f t="shared" si="82"/>
        <v>2.8</v>
      </c>
      <c r="AH162" s="111">
        <f t="shared" si="82"/>
        <v>3.9</v>
      </c>
      <c r="AI162" s="111">
        <f t="shared" si="82"/>
        <v>2.5</v>
      </c>
      <c r="AJ162" s="111">
        <f t="shared" si="82"/>
        <v>3.1999999999999997</v>
      </c>
      <c r="AK162" s="111">
        <f t="shared" si="82"/>
        <v>3.2999999999999994</v>
      </c>
      <c r="AL162" s="111">
        <f t="shared" si="82"/>
        <v>3.5999999999999996</v>
      </c>
      <c r="AM162" s="111">
        <f t="shared" si="82"/>
        <v>3.1</v>
      </c>
      <c r="AN162" s="111">
        <f t="shared" si="82"/>
        <v>3.0999999999999996</v>
      </c>
      <c r="AO162" s="111">
        <f t="shared" si="82"/>
        <v>3.3</v>
      </c>
      <c r="AP162" s="111">
        <f t="shared" si="82"/>
        <v>3.4</v>
      </c>
      <c r="AQ162" s="111">
        <f t="shared" si="82"/>
        <v>3.2999999999999994</v>
      </c>
      <c r="AR162" s="111">
        <f t="shared" si="82"/>
        <v>3.5</v>
      </c>
      <c r="AS162" s="111">
        <f t="shared" si="82"/>
        <v>3.0999999999999996</v>
      </c>
      <c r="AT162" s="111">
        <f t="shared" si="82"/>
        <v>3.0999999999999996</v>
      </c>
      <c r="AU162" s="111">
        <f t="shared" si="82"/>
        <v>3.2999999999999994</v>
      </c>
      <c r="AV162" s="111">
        <f t="shared" si="82"/>
        <v>3.5</v>
      </c>
      <c r="AW162" s="111">
        <f t="shared" si="82"/>
        <v>3.4</v>
      </c>
      <c r="AX162" s="111">
        <f t="shared" si="82"/>
        <v>3.8</v>
      </c>
      <c r="AY162" s="111">
        <f t="shared" si="82"/>
        <v>3.2999999999999994</v>
      </c>
      <c r="AZ162" s="111">
        <f t="shared" si="82"/>
        <v>3.1999999999999997</v>
      </c>
      <c r="BA162" s="111">
        <f t="shared" si="82"/>
        <v>3.1999999999999997</v>
      </c>
      <c r="BB162" s="111">
        <f t="shared" si="82"/>
        <v>2</v>
      </c>
      <c r="BC162" s="111">
        <f t="shared" si="82"/>
        <v>167.09999999999997</v>
      </c>
    </row>
    <row r="163" spans="1:55" x14ac:dyDescent="0.25">
      <c r="B163" s="111" t="s">
        <v>229</v>
      </c>
      <c r="C163" s="111" t="b">
        <f>IF(C162=C94,TRUE,FALSE)</f>
        <v>1</v>
      </c>
      <c r="D163" s="111" t="b">
        <f t="shared" ref="D163:BC163" si="83">IF(D162=D94,TRUE,FALSE)</f>
        <v>1</v>
      </c>
      <c r="E163" s="111" t="b">
        <f t="shared" si="83"/>
        <v>1</v>
      </c>
      <c r="F163" s="111" t="b">
        <f t="shared" si="83"/>
        <v>1</v>
      </c>
      <c r="G163" s="111" t="b">
        <f t="shared" si="83"/>
        <v>1</v>
      </c>
      <c r="H163" s="111" t="b">
        <f t="shared" si="83"/>
        <v>1</v>
      </c>
      <c r="I163" s="111" t="b">
        <f t="shared" si="83"/>
        <v>1</v>
      </c>
      <c r="J163" s="111" t="b">
        <f t="shared" si="83"/>
        <v>1</v>
      </c>
      <c r="K163" s="111" t="b">
        <f t="shared" si="83"/>
        <v>1</v>
      </c>
      <c r="L163" s="111" t="b">
        <f t="shared" si="83"/>
        <v>1</v>
      </c>
      <c r="M163" s="111" t="b">
        <f t="shared" si="83"/>
        <v>1</v>
      </c>
      <c r="N163" s="111" t="b">
        <f t="shared" si="83"/>
        <v>1</v>
      </c>
      <c r="O163" s="111" t="b">
        <f t="shared" si="83"/>
        <v>1</v>
      </c>
      <c r="P163" s="111" t="b">
        <f t="shared" si="83"/>
        <v>1</v>
      </c>
      <c r="Q163" s="111" t="b">
        <f t="shared" si="83"/>
        <v>1</v>
      </c>
      <c r="R163" s="111" t="b">
        <f t="shared" si="83"/>
        <v>1</v>
      </c>
      <c r="S163" s="111" t="b">
        <f t="shared" si="83"/>
        <v>1</v>
      </c>
      <c r="T163" s="111" t="b">
        <f t="shared" si="83"/>
        <v>1</v>
      </c>
      <c r="U163" s="111" t="b">
        <f t="shared" si="83"/>
        <v>1</v>
      </c>
      <c r="V163" s="111" t="b">
        <f t="shared" si="83"/>
        <v>1</v>
      </c>
      <c r="W163" s="111" t="b">
        <f t="shared" si="83"/>
        <v>1</v>
      </c>
      <c r="X163" s="111" t="b">
        <f t="shared" si="83"/>
        <v>1</v>
      </c>
      <c r="Y163" s="111" t="b">
        <f t="shared" si="83"/>
        <v>1</v>
      </c>
      <c r="Z163" s="111" t="b">
        <f t="shared" si="83"/>
        <v>1</v>
      </c>
      <c r="AA163" s="111" t="b">
        <f t="shared" si="83"/>
        <v>1</v>
      </c>
      <c r="AB163" s="111" t="b">
        <f t="shared" si="83"/>
        <v>1</v>
      </c>
      <c r="AC163" s="111" t="b">
        <f t="shared" si="83"/>
        <v>1</v>
      </c>
      <c r="AD163" s="111" t="b">
        <f t="shared" si="83"/>
        <v>1</v>
      </c>
      <c r="AE163" s="111" t="b">
        <f t="shared" si="83"/>
        <v>1</v>
      </c>
      <c r="AF163" s="111" t="b">
        <f t="shared" si="83"/>
        <v>1</v>
      </c>
      <c r="AG163" s="111" t="b">
        <f t="shared" si="83"/>
        <v>1</v>
      </c>
      <c r="AH163" s="111" t="b">
        <f t="shared" si="83"/>
        <v>1</v>
      </c>
      <c r="AI163" s="111" t="b">
        <f t="shared" si="83"/>
        <v>1</v>
      </c>
      <c r="AJ163" s="111" t="b">
        <f t="shared" si="83"/>
        <v>1</v>
      </c>
      <c r="AK163" s="111" t="b">
        <f t="shared" si="83"/>
        <v>1</v>
      </c>
      <c r="AL163" s="111" t="b">
        <f t="shared" si="83"/>
        <v>1</v>
      </c>
      <c r="AM163" s="111" t="b">
        <f t="shared" si="83"/>
        <v>1</v>
      </c>
      <c r="AN163" s="111" t="b">
        <f t="shared" si="83"/>
        <v>1</v>
      </c>
      <c r="AO163" s="111" t="b">
        <f t="shared" si="83"/>
        <v>1</v>
      </c>
      <c r="AP163" s="111" t="b">
        <f t="shared" si="83"/>
        <v>1</v>
      </c>
      <c r="AQ163" s="111" t="b">
        <f t="shared" si="83"/>
        <v>1</v>
      </c>
      <c r="AR163" s="111" t="b">
        <f t="shared" si="83"/>
        <v>1</v>
      </c>
      <c r="AS163" s="111" t="b">
        <f t="shared" si="83"/>
        <v>1</v>
      </c>
      <c r="AT163" s="111" t="b">
        <f t="shared" si="83"/>
        <v>1</v>
      </c>
      <c r="AU163" s="111" t="b">
        <f t="shared" si="83"/>
        <v>1</v>
      </c>
      <c r="AV163" s="111" t="b">
        <f t="shared" si="83"/>
        <v>1</v>
      </c>
      <c r="AW163" s="111" t="b">
        <f t="shared" si="83"/>
        <v>1</v>
      </c>
      <c r="AX163" s="111" t="b">
        <f t="shared" si="83"/>
        <v>1</v>
      </c>
      <c r="AY163" s="111" t="b">
        <f t="shared" si="83"/>
        <v>1</v>
      </c>
      <c r="AZ163" s="111" t="b">
        <f t="shared" si="83"/>
        <v>1</v>
      </c>
      <c r="BA163" s="111" t="b">
        <f t="shared" si="83"/>
        <v>1</v>
      </c>
      <c r="BB163" s="111" t="b">
        <f t="shared" si="83"/>
        <v>1</v>
      </c>
      <c r="BC163" s="111" t="b">
        <f t="shared" si="83"/>
        <v>1</v>
      </c>
    </row>
    <row r="164" spans="1:55" x14ac:dyDescent="0.25">
      <c r="B164" s="151" t="str">
        <f>_xlfn.CONCAT("Downtime Loss Average (Hours)"," ",B322)</f>
        <v>Downtime Loss Average (Hours) Product A</v>
      </c>
      <c r="C164" s="151">
        <f t="shared" ref="C164:AH164" si="84">C$162*C798/C$818</f>
        <v>0.66246684350132612</v>
      </c>
      <c r="D164" s="151">
        <f t="shared" si="84"/>
        <v>0</v>
      </c>
      <c r="E164" s="151">
        <f t="shared" si="84"/>
        <v>0.31280169916972378</v>
      </c>
      <c r="F164" s="151">
        <f t="shared" si="84"/>
        <v>0</v>
      </c>
      <c r="G164" s="151">
        <f t="shared" si="84"/>
        <v>0.51567091087169448</v>
      </c>
      <c r="H164" s="151">
        <f t="shared" si="84"/>
        <v>0</v>
      </c>
      <c r="I164" s="151">
        <f t="shared" si="84"/>
        <v>0</v>
      </c>
      <c r="J164" s="151">
        <f t="shared" si="84"/>
        <v>0</v>
      </c>
      <c r="K164" s="151">
        <f t="shared" si="84"/>
        <v>0.44004656577415591</v>
      </c>
      <c r="L164" s="151">
        <f t="shared" si="84"/>
        <v>0</v>
      </c>
      <c r="M164" s="151">
        <f t="shared" si="84"/>
        <v>0</v>
      </c>
      <c r="N164" s="151">
        <f t="shared" si="84"/>
        <v>0</v>
      </c>
      <c r="O164" s="151">
        <f t="shared" si="84"/>
        <v>0.64456233421750664</v>
      </c>
      <c r="P164" s="151">
        <f t="shared" si="84"/>
        <v>0.20185896140634468</v>
      </c>
      <c r="Q164" s="151">
        <f t="shared" si="84"/>
        <v>0</v>
      </c>
      <c r="R164" s="151">
        <f t="shared" si="84"/>
        <v>0</v>
      </c>
      <c r="S164" s="151">
        <f t="shared" si="84"/>
        <v>0.51567091087169437</v>
      </c>
      <c r="T164" s="151">
        <f t="shared" si="84"/>
        <v>0</v>
      </c>
      <c r="U164" s="151">
        <f t="shared" si="84"/>
        <v>0</v>
      </c>
      <c r="V164" s="151">
        <f t="shared" si="84"/>
        <v>0.20233139050791005</v>
      </c>
      <c r="W164" s="151">
        <f t="shared" si="84"/>
        <v>0.49468085106382986</v>
      </c>
      <c r="X164" s="151">
        <f t="shared" si="84"/>
        <v>0</v>
      </c>
      <c r="Y164" s="151">
        <f t="shared" si="84"/>
        <v>0</v>
      </c>
      <c r="Z164" s="151">
        <f t="shared" si="84"/>
        <v>0</v>
      </c>
      <c r="AA164" s="151">
        <f t="shared" si="84"/>
        <v>0.64456233421750653</v>
      </c>
      <c r="AB164" s="151">
        <f t="shared" si="84"/>
        <v>0</v>
      </c>
      <c r="AC164" s="151">
        <f t="shared" si="84"/>
        <v>0.291948252558409</v>
      </c>
      <c r="AD164" s="151">
        <f t="shared" si="84"/>
        <v>0</v>
      </c>
      <c r="AE164" s="151">
        <f t="shared" si="84"/>
        <v>0.63467189030362381</v>
      </c>
      <c r="AF164" s="151">
        <f t="shared" si="84"/>
        <v>0</v>
      </c>
      <c r="AG164" s="151">
        <f t="shared" si="84"/>
        <v>0</v>
      </c>
      <c r="AH164" s="151">
        <f t="shared" si="84"/>
        <v>0.21919233971690258</v>
      </c>
      <c r="AI164" s="151">
        <f t="shared" ref="AI164:BB164" si="85">AI$162*AI798/AI$818</f>
        <v>0.39893617021276601</v>
      </c>
      <c r="AJ164" s="151">
        <f t="shared" si="85"/>
        <v>0</v>
      </c>
      <c r="AK164" s="151">
        <f t="shared" si="85"/>
        <v>0</v>
      </c>
      <c r="AL164" s="151">
        <f t="shared" si="85"/>
        <v>0</v>
      </c>
      <c r="AM164" s="151">
        <f t="shared" si="85"/>
        <v>0.55503978779840846</v>
      </c>
      <c r="AN164" s="151">
        <f t="shared" si="85"/>
        <v>0.16912507577288338</v>
      </c>
      <c r="AO164" s="151">
        <f t="shared" si="85"/>
        <v>0</v>
      </c>
      <c r="AP164" s="151">
        <f t="shared" si="85"/>
        <v>0</v>
      </c>
      <c r="AQ164" s="151">
        <f t="shared" si="85"/>
        <v>0.65450538687561199</v>
      </c>
      <c r="AR164" s="151">
        <f t="shared" si="85"/>
        <v>0</v>
      </c>
      <c r="AS164" s="151">
        <f t="shared" si="85"/>
        <v>0.27412065238750244</v>
      </c>
      <c r="AT164" s="151">
        <f t="shared" si="85"/>
        <v>0</v>
      </c>
      <c r="AU164" s="151">
        <f t="shared" si="85"/>
        <v>0.52941176470588225</v>
      </c>
      <c r="AV164" s="151">
        <f t="shared" si="85"/>
        <v>0.30707740300253461</v>
      </c>
      <c r="AW164" s="151">
        <f t="shared" si="85"/>
        <v>0</v>
      </c>
      <c r="AX164" s="151">
        <f t="shared" si="85"/>
        <v>0</v>
      </c>
      <c r="AY164" s="151">
        <f t="shared" si="85"/>
        <v>0.51862630966239798</v>
      </c>
      <c r="AZ164" s="151">
        <f t="shared" si="85"/>
        <v>0</v>
      </c>
      <c r="BA164" s="151">
        <f t="shared" si="85"/>
        <v>0</v>
      </c>
      <c r="BB164" s="151">
        <f t="shared" si="85"/>
        <v>0</v>
      </c>
      <c r="BC164" s="153">
        <f t="shared" ref="BC164:BC180" si="86">SUM(C164:BB164)</f>
        <v>9.187307834598613</v>
      </c>
    </row>
    <row r="165" spans="1:55" x14ac:dyDescent="0.25">
      <c r="B165" s="151" t="str">
        <f t="shared" ref="B165:B171" si="87">_xlfn.CONCAT("Downtime Loss Average (Hours)"," ",B323)</f>
        <v>Downtime Loss Average (Hours) Product B</v>
      </c>
      <c r="C165" s="151">
        <f t="shared" ref="C165:AH165" si="88">C$162*C799/C$818</f>
        <v>0.64120247568523425</v>
      </c>
      <c r="D165" s="151">
        <f t="shared" si="88"/>
        <v>0.60594059405940603</v>
      </c>
      <c r="E165" s="151">
        <f t="shared" si="88"/>
        <v>0</v>
      </c>
      <c r="F165" s="151">
        <f t="shared" si="88"/>
        <v>0.55899280575539589</v>
      </c>
      <c r="G165" s="151">
        <f t="shared" si="88"/>
        <v>0.49911851126346735</v>
      </c>
      <c r="H165" s="151">
        <f t="shared" si="88"/>
        <v>0.55334976473224284</v>
      </c>
      <c r="I165" s="151">
        <f t="shared" si="88"/>
        <v>0</v>
      </c>
      <c r="J165" s="151">
        <f t="shared" si="88"/>
        <v>0.15832642916321463</v>
      </c>
      <c r="K165" s="151">
        <f t="shared" si="88"/>
        <v>0.42592161428017072</v>
      </c>
      <c r="L165" s="151">
        <f t="shared" si="88"/>
        <v>0.85333664103200191</v>
      </c>
      <c r="M165" s="151">
        <f t="shared" si="88"/>
        <v>0</v>
      </c>
      <c r="N165" s="151">
        <f t="shared" si="88"/>
        <v>0</v>
      </c>
      <c r="O165" s="151">
        <f t="shared" si="88"/>
        <v>0.6238726790450928</v>
      </c>
      <c r="P165" s="151">
        <f t="shared" si="88"/>
        <v>0.65940594059405933</v>
      </c>
      <c r="Q165" s="151">
        <f t="shared" si="88"/>
        <v>0</v>
      </c>
      <c r="R165" s="151">
        <f t="shared" si="88"/>
        <v>0</v>
      </c>
      <c r="S165" s="151">
        <f t="shared" si="88"/>
        <v>0.49911851126346712</v>
      </c>
      <c r="T165" s="151">
        <f t="shared" si="88"/>
        <v>0.59340659340659341</v>
      </c>
      <c r="U165" s="151">
        <f t="shared" si="88"/>
        <v>0</v>
      </c>
      <c r="V165" s="151">
        <f t="shared" si="88"/>
        <v>0</v>
      </c>
      <c r="W165" s="151">
        <f t="shared" si="88"/>
        <v>0.4788022064617809</v>
      </c>
      <c r="X165" s="151">
        <f t="shared" si="88"/>
        <v>0.72205408087323231</v>
      </c>
      <c r="Y165" s="151">
        <f t="shared" si="88"/>
        <v>0</v>
      </c>
      <c r="Z165" s="151">
        <f t="shared" si="88"/>
        <v>0</v>
      </c>
      <c r="AA165" s="151">
        <f t="shared" si="88"/>
        <v>0.6238726790450928</v>
      </c>
      <c r="AB165" s="151">
        <f t="shared" si="88"/>
        <v>0.64080726538849653</v>
      </c>
      <c r="AC165" s="151">
        <f t="shared" si="88"/>
        <v>0</v>
      </c>
      <c r="AD165" s="151">
        <f t="shared" si="88"/>
        <v>0</v>
      </c>
      <c r="AE165" s="151">
        <f t="shared" si="88"/>
        <v>0.61429970617042118</v>
      </c>
      <c r="AF165" s="151">
        <f t="shared" si="88"/>
        <v>0.51382478153708278</v>
      </c>
      <c r="AG165" s="151">
        <f t="shared" si="88"/>
        <v>0</v>
      </c>
      <c r="AH165" s="151">
        <f t="shared" si="88"/>
        <v>0</v>
      </c>
      <c r="AI165" s="151">
        <f t="shared" ref="AI165:BB165" si="89">AI$162*AI799/AI$818</f>
        <v>0.38613081166272656</v>
      </c>
      <c r="AJ165" s="151">
        <f t="shared" si="89"/>
        <v>0.70017365418010413</v>
      </c>
      <c r="AK165" s="151">
        <f t="shared" si="89"/>
        <v>0</v>
      </c>
      <c r="AL165" s="151">
        <f t="shared" si="89"/>
        <v>0</v>
      </c>
      <c r="AM165" s="151">
        <f t="shared" si="89"/>
        <v>0.53722369584438545</v>
      </c>
      <c r="AN165" s="151">
        <f t="shared" si="89"/>
        <v>0.55247524752475241</v>
      </c>
      <c r="AO165" s="151">
        <f t="shared" si="89"/>
        <v>0</v>
      </c>
      <c r="AP165" s="151">
        <f t="shared" si="89"/>
        <v>0</v>
      </c>
      <c r="AQ165" s="151">
        <f t="shared" si="89"/>
        <v>0.63349657198824672</v>
      </c>
      <c r="AR165" s="151">
        <f t="shared" si="89"/>
        <v>0.69168720591530364</v>
      </c>
      <c r="AS165" s="151">
        <f t="shared" si="89"/>
        <v>0</v>
      </c>
      <c r="AT165" s="151">
        <f t="shared" si="89"/>
        <v>0.30234872611464969</v>
      </c>
      <c r="AU165" s="151">
        <f t="shared" si="89"/>
        <v>0.51241830065359462</v>
      </c>
      <c r="AV165" s="151">
        <f t="shared" si="89"/>
        <v>0.60187170988496796</v>
      </c>
      <c r="AW165" s="151">
        <f t="shared" si="89"/>
        <v>0</v>
      </c>
      <c r="AX165" s="151">
        <f t="shared" si="89"/>
        <v>0.23140016570008287</v>
      </c>
      <c r="AY165" s="151">
        <f t="shared" si="89"/>
        <v>0.50197904540162974</v>
      </c>
      <c r="AZ165" s="151">
        <f t="shared" si="89"/>
        <v>0.2299682229283794</v>
      </c>
      <c r="BA165" s="151">
        <f t="shared" si="89"/>
        <v>0</v>
      </c>
      <c r="BB165" s="151">
        <f t="shared" si="89"/>
        <v>0</v>
      </c>
      <c r="BC165" s="153">
        <f t="shared" si="86"/>
        <v>16.146826637555275</v>
      </c>
    </row>
    <row r="166" spans="1:55" x14ac:dyDescent="0.25">
      <c r="B166" s="151" t="str">
        <f t="shared" si="87"/>
        <v>Downtime Loss Average (Hours) Product C</v>
      </c>
      <c r="C166" s="151">
        <f t="shared" ref="C166:AH166" si="90">C$162*C800/C$818</f>
        <v>0.78514588859416445</v>
      </c>
      <c r="D166" s="151">
        <f t="shared" si="90"/>
        <v>0.5276217417660134</v>
      </c>
      <c r="E166" s="151">
        <f t="shared" si="90"/>
        <v>0.60057926240586967</v>
      </c>
      <c r="F166" s="151">
        <f t="shared" si="90"/>
        <v>0</v>
      </c>
      <c r="G166" s="151">
        <f t="shared" si="90"/>
        <v>0.61116552399608248</v>
      </c>
      <c r="H166" s="151">
        <f t="shared" si="90"/>
        <v>0.48182836656957195</v>
      </c>
      <c r="I166" s="151">
        <f t="shared" si="90"/>
        <v>0.59599051519724078</v>
      </c>
      <c r="J166" s="151">
        <f t="shared" si="90"/>
        <v>0</v>
      </c>
      <c r="K166" s="151">
        <f t="shared" si="90"/>
        <v>0.52153667054714781</v>
      </c>
      <c r="L166" s="151">
        <f t="shared" si="90"/>
        <v>0.74304142892582481</v>
      </c>
      <c r="M166" s="151">
        <f t="shared" si="90"/>
        <v>0.67772759686237227</v>
      </c>
      <c r="N166" s="151">
        <f t="shared" si="90"/>
        <v>0</v>
      </c>
      <c r="O166" s="151">
        <f t="shared" si="90"/>
        <v>0.76392572944297088</v>
      </c>
      <c r="P166" s="151">
        <f t="shared" si="90"/>
        <v>0.57417660133360271</v>
      </c>
      <c r="Q166" s="151">
        <f t="shared" si="90"/>
        <v>0.46603737237526488</v>
      </c>
      <c r="R166" s="151">
        <f t="shared" si="90"/>
        <v>0</v>
      </c>
      <c r="S166" s="151">
        <f t="shared" si="90"/>
        <v>0.61116552399608226</v>
      </c>
      <c r="T166" s="151">
        <f t="shared" si="90"/>
        <v>0.51670778201390455</v>
      </c>
      <c r="U166" s="151">
        <f t="shared" si="90"/>
        <v>0.50286699719767203</v>
      </c>
      <c r="V166" s="151">
        <f t="shared" si="90"/>
        <v>0</v>
      </c>
      <c r="W166" s="151">
        <f t="shared" si="90"/>
        <v>0.58628841607565019</v>
      </c>
      <c r="X166" s="151">
        <f t="shared" si="90"/>
        <v>0.62872736293723641</v>
      </c>
      <c r="Y166" s="151">
        <f t="shared" si="90"/>
        <v>0.73723631192225636</v>
      </c>
      <c r="Z166" s="151">
        <f t="shared" si="90"/>
        <v>0</v>
      </c>
      <c r="AA166" s="151">
        <f t="shared" si="90"/>
        <v>0.76392572944297077</v>
      </c>
      <c r="AB166" s="151">
        <f t="shared" si="90"/>
        <v>0.55798183652875877</v>
      </c>
      <c r="AC166" s="151">
        <f t="shared" si="90"/>
        <v>0.46711720409345442</v>
      </c>
      <c r="AD166" s="151">
        <f t="shared" si="90"/>
        <v>0</v>
      </c>
      <c r="AE166" s="151">
        <f t="shared" si="90"/>
        <v>0.75220372184133188</v>
      </c>
      <c r="AF166" s="151">
        <f t="shared" si="90"/>
        <v>0.4474120546717455</v>
      </c>
      <c r="AG166" s="151">
        <f t="shared" si="90"/>
        <v>0.52149170079758567</v>
      </c>
      <c r="AH166" s="151">
        <f t="shared" si="90"/>
        <v>0</v>
      </c>
      <c r="AI166" s="151">
        <f t="shared" ref="AI166:BB166" si="91">AI$162*AI800/AI$818</f>
        <v>0.4728132387706856</v>
      </c>
      <c r="AJ166" s="151">
        <f t="shared" si="91"/>
        <v>0.60967501860580497</v>
      </c>
      <c r="AK166" s="151">
        <f t="shared" si="91"/>
        <v>0.67579995259540171</v>
      </c>
      <c r="AL166" s="151">
        <f t="shared" si="91"/>
        <v>0</v>
      </c>
      <c r="AM166" s="151">
        <f t="shared" si="91"/>
        <v>0.65782493368700268</v>
      </c>
      <c r="AN166" s="151">
        <f t="shared" si="91"/>
        <v>0.48106688219842386</v>
      </c>
      <c r="AO166" s="151">
        <f t="shared" si="91"/>
        <v>0.54925833172799066</v>
      </c>
      <c r="AP166" s="151">
        <f t="shared" si="91"/>
        <v>0</v>
      </c>
      <c r="AQ166" s="151">
        <f t="shared" si="91"/>
        <v>0.77571008814887354</v>
      </c>
      <c r="AR166" s="151">
        <f t="shared" si="91"/>
        <v>0.602285458211965</v>
      </c>
      <c r="AS166" s="151">
        <f t="shared" si="91"/>
        <v>0.5263116525840047</v>
      </c>
      <c r="AT166" s="151">
        <f t="shared" si="91"/>
        <v>0</v>
      </c>
      <c r="AU166" s="151">
        <f t="shared" si="91"/>
        <v>0.62745098039215674</v>
      </c>
      <c r="AV166" s="151">
        <f t="shared" si="91"/>
        <v>0.52407876779099238</v>
      </c>
      <c r="AW166" s="151">
        <f t="shared" si="91"/>
        <v>0.63323992239706839</v>
      </c>
      <c r="AX166" s="151">
        <f t="shared" si="91"/>
        <v>0</v>
      </c>
      <c r="AY166" s="151">
        <f t="shared" si="91"/>
        <v>0.61466821885913847</v>
      </c>
      <c r="AZ166" s="151">
        <f t="shared" si="91"/>
        <v>0.60073331703739907</v>
      </c>
      <c r="BA166" s="151">
        <f t="shared" si="91"/>
        <v>0.65532116615311686</v>
      </c>
      <c r="BB166" s="151">
        <f t="shared" si="91"/>
        <v>0</v>
      </c>
      <c r="BC166" s="153">
        <f t="shared" si="86"/>
        <v>23.448139268694803</v>
      </c>
    </row>
    <row r="167" spans="1:55" x14ac:dyDescent="0.25">
      <c r="B167" s="151" t="str">
        <f t="shared" si="87"/>
        <v>Downtime Loss Average (Hours) Product D</v>
      </c>
      <c r="C167" s="151">
        <f t="shared" ref="C167:AH167" si="92">C$162*C801/C$818</f>
        <v>1.1695402298850575</v>
      </c>
      <c r="D167" s="151">
        <f t="shared" si="92"/>
        <v>0.75570822388361292</v>
      </c>
      <c r="E167" s="151">
        <f t="shared" si="92"/>
        <v>0.61170110059857097</v>
      </c>
      <c r="F167" s="151">
        <f t="shared" si="92"/>
        <v>0.9411613566289827</v>
      </c>
      <c r="G167" s="151">
        <f t="shared" si="92"/>
        <v>0.63026444662096004</v>
      </c>
      <c r="H167" s="151">
        <f t="shared" si="92"/>
        <v>0.69011875420120983</v>
      </c>
      <c r="I167" s="151">
        <f t="shared" si="92"/>
        <v>0.60702737658978223</v>
      </c>
      <c r="J167" s="151">
        <f t="shared" si="92"/>
        <v>0.53314001657000842</v>
      </c>
      <c r="K167" s="151">
        <f t="shared" si="92"/>
        <v>0.77687233216918894</v>
      </c>
      <c r="L167" s="151">
        <f t="shared" si="92"/>
        <v>1.0642520466385514</v>
      </c>
      <c r="M167" s="151">
        <f t="shared" si="92"/>
        <v>0.69027810791537914</v>
      </c>
      <c r="N167" s="151">
        <f t="shared" si="92"/>
        <v>0.79581993569131815</v>
      </c>
      <c r="O167" s="151">
        <f t="shared" si="92"/>
        <v>1.1379310344827587</v>
      </c>
      <c r="P167" s="151">
        <f t="shared" si="92"/>
        <v>0.82238836128510795</v>
      </c>
      <c r="Q167" s="151">
        <f t="shared" si="92"/>
        <v>0.47466769408591797</v>
      </c>
      <c r="R167" s="151">
        <f t="shared" si="92"/>
        <v>0.74361542313470208</v>
      </c>
      <c r="S167" s="151">
        <f t="shared" si="92"/>
        <v>0.63026444662095982</v>
      </c>
      <c r="T167" s="151">
        <f t="shared" si="92"/>
        <v>0.59206100022426567</v>
      </c>
      <c r="U167" s="151">
        <f t="shared" si="92"/>
        <v>0.51217934899762885</v>
      </c>
      <c r="V167" s="151">
        <f t="shared" si="92"/>
        <v>0.74188176519567017</v>
      </c>
      <c r="W167" s="151">
        <f t="shared" si="92"/>
        <v>0.87332545311268739</v>
      </c>
      <c r="X167" s="151">
        <f t="shared" si="92"/>
        <v>0.90052096254031255</v>
      </c>
      <c r="Y167" s="151">
        <f t="shared" si="92"/>
        <v>0.750888836217113</v>
      </c>
      <c r="Z167" s="151">
        <f t="shared" si="92"/>
        <v>0.64255910987482601</v>
      </c>
      <c r="AA167" s="151">
        <f t="shared" si="92"/>
        <v>1.1379310344827585</v>
      </c>
      <c r="AB167" s="151">
        <f t="shared" si="92"/>
        <v>0.79919273461150342</v>
      </c>
      <c r="AC167" s="151">
        <f t="shared" si="92"/>
        <v>0.47576752268777761</v>
      </c>
      <c r="AD167" s="151">
        <f t="shared" si="92"/>
        <v>0.68468237704918034</v>
      </c>
      <c r="AE167" s="151">
        <f t="shared" si="92"/>
        <v>0.77571008814887354</v>
      </c>
      <c r="AF167" s="151">
        <f t="shared" si="92"/>
        <v>0.64082455747255229</v>
      </c>
      <c r="AG167" s="151">
        <f t="shared" si="92"/>
        <v>0.53114895451605948</v>
      </c>
      <c r="AH167" s="151">
        <f t="shared" si="92"/>
        <v>0.80370524562864276</v>
      </c>
      <c r="AI167" s="151">
        <f t="shared" ref="AI167:BB167" si="93">AI$162*AI801/AI$818</f>
        <v>0.70429472025216711</v>
      </c>
      <c r="AJ167" s="151">
        <f t="shared" si="93"/>
        <v>0.87323244852393955</v>
      </c>
      <c r="AK167" s="151">
        <f t="shared" si="93"/>
        <v>0.68831476653235357</v>
      </c>
      <c r="AL167" s="151">
        <f t="shared" si="93"/>
        <v>0.64255910987482623</v>
      </c>
      <c r="AM167" s="151">
        <f t="shared" si="93"/>
        <v>0.97988505747126453</v>
      </c>
      <c r="AN167" s="151">
        <f t="shared" si="93"/>
        <v>0.68902808648211744</v>
      </c>
      <c r="AO167" s="151">
        <f t="shared" si="93"/>
        <v>0.55942978231554596</v>
      </c>
      <c r="AP167" s="151">
        <f t="shared" si="93"/>
        <v>0.86219262295081966</v>
      </c>
      <c r="AQ167" s="151">
        <f t="shared" si="93"/>
        <v>0.79995102840352583</v>
      </c>
      <c r="AR167" s="151">
        <f t="shared" si="93"/>
        <v>0.86264844275151242</v>
      </c>
      <c r="AS167" s="151">
        <f t="shared" si="93"/>
        <v>0.53605816466889356</v>
      </c>
      <c r="AT167" s="151">
        <f t="shared" si="93"/>
        <v>0.61086783439490433</v>
      </c>
      <c r="AU167" s="151">
        <f t="shared" si="93"/>
        <v>0.93464052287581678</v>
      </c>
      <c r="AV167" s="151">
        <f t="shared" si="93"/>
        <v>0.75063365178397345</v>
      </c>
      <c r="AW167" s="151">
        <f t="shared" si="93"/>
        <v>0.64496658762664372</v>
      </c>
      <c r="AX167" s="151">
        <f t="shared" si="93"/>
        <v>0.77920463960231978</v>
      </c>
      <c r="AY167" s="151">
        <f t="shared" si="93"/>
        <v>0.91559953434225827</v>
      </c>
      <c r="AZ167" s="151">
        <f t="shared" si="93"/>
        <v>0.86042532388169135</v>
      </c>
      <c r="BA167" s="151">
        <f t="shared" si="93"/>
        <v>0.66745674330410043</v>
      </c>
      <c r="BB167" s="151">
        <f t="shared" si="93"/>
        <v>0.3569772832637923</v>
      </c>
      <c r="BC167" s="153">
        <f t="shared" si="86"/>
        <v>38.655496229064383</v>
      </c>
    </row>
    <row r="168" spans="1:55" x14ac:dyDescent="0.25">
      <c r="B168" s="151" t="str">
        <f t="shared" si="87"/>
        <v>Downtime Loss Average (Hours) Product E</v>
      </c>
      <c r="C168" s="151">
        <f t="shared" ref="C168:AH168" si="94">C$162*C802/C$818</f>
        <v>0.44164456233421745</v>
      </c>
      <c r="D168" s="151">
        <f t="shared" si="94"/>
        <v>0.96455849666599325</v>
      </c>
      <c r="E168" s="151">
        <f t="shared" si="94"/>
        <v>0.7507240780073372</v>
      </c>
      <c r="F168" s="151">
        <f t="shared" si="94"/>
        <v>0.82137718396711201</v>
      </c>
      <c r="G168" s="151">
        <f t="shared" si="94"/>
        <v>0.34378060724779635</v>
      </c>
      <c r="H168" s="151">
        <f t="shared" si="94"/>
        <v>0.74532825453730689</v>
      </c>
      <c r="I168" s="151">
        <f t="shared" si="94"/>
        <v>0.74498814399655089</v>
      </c>
      <c r="J168" s="151">
        <f t="shared" si="94"/>
        <v>0.46528583264291634</v>
      </c>
      <c r="K168" s="151">
        <f t="shared" si="94"/>
        <v>0.29336437718277064</v>
      </c>
      <c r="L168" s="151">
        <f t="shared" si="94"/>
        <v>0.73143140659885886</v>
      </c>
      <c r="M168" s="151">
        <f t="shared" si="94"/>
        <v>0.50829569764677929</v>
      </c>
      <c r="N168" s="151">
        <f t="shared" si="94"/>
        <v>0.69453376205787776</v>
      </c>
      <c r="O168" s="151">
        <f t="shared" si="94"/>
        <v>0.42970822281167109</v>
      </c>
      <c r="P168" s="151">
        <f t="shared" si="94"/>
        <v>1.0496665993129923</v>
      </c>
      <c r="Q168" s="151">
        <f t="shared" si="94"/>
        <v>0.5825467154690811</v>
      </c>
      <c r="R168" s="151">
        <f t="shared" si="94"/>
        <v>0.64897346019028535</v>
      </c>
      <c r="S168" s="151">
        <f t="shared" si="94"/>
        <v>0.3437806072477963</v>
      </c>
      <c r="T168" s="151">
        <f t="shared" si="94"/>
        <v>0.94460641399416923</v>
      </c>
      <c r="U168" s="151">
        <f t="shared" si="94"/>
        <v>0.62858374649708992</v>
      </c>
      <c r="V168" s="151">
        <f t="shared" si="94"/>
        <v>0.64746044962531202</v>
      </c>
      <c r="W168" s="151">
        <f t="shared" si="94"/>
        <v>0.32978723404255322</v>
      </c>
      <c r="X168" s="151">
        <f t="shared" si="94"/>
        <v>0.61890349789134202</v>
      </c>
      <c r="Y168" s="151">
        <f t="shared" si="94"/>
        <v>0.92154538990282042</v>
      </c>
      <c r="Z168" s="151">
        <f t="shared" si="94"/>
        <v>0.72100139082058401</v>
      </c>
      <c r="AA168" s="151">
        <f t="shared" si="94"/>
        <v>0.42970822281167104</v>
      </c>
      <c r="AB168" s="151">
        <f t="shared" si="94"/>
        <v>1.0200605449041371</v>
      </c>
      <c r="AC168" s="151">
        <f t="shared" si="94"/>
        <v>0.58389650511681801</v>
      </c>
      <c r="AD168" s="151">
        <f t="shared" si="94"/>
        <v>0.59754098360655727</v>
      </c>
      <c r="AE168" s="151">
        <f t="shared" si="94"/>
        <v>0.42311459353574921</v>
      </c>
      <c r="AF168" s="151">
        <f t="shared" si="94"/>
        <v>0.69209052207035648</v>
      </c>
      <c r="AG168" s="151">
        <f t="shared" si="94"/>
        <v>0.65186462599698203</v>
      </c>
      <c r="AH168" s="151">
        <f t="shared" si="94"/>
        <v>0.70141548709408819</v>
      </c>
      <c r="AI168" s="151">
        <f t="shared" ref="AI168:BB168" si="95">AI$162*AI802/AI$818</f>
        <v>0.26595744680851063</v>
      </c>
      <c r="AJ168" s="151">
        <f t="shared" si="95"/>
        <v>0.60014884644008926</v>
      </c>
      <c r="AK168" s="151">
        <f t="shared" si="95"/>
        <v>0.84474994074425191</v>
      </c>
      <c r="AL168" s="151">
        <f t="shared" si="95"/>
        <v>0.72100139082058423</v>
      </c>
      <c r="AM168" s="151">
        <f t="shared" si="95"/>
        <v>0.37002652519893897</v>
      </c>
      <c r="AN168" s="151">
        <f t="shared" si="95"/>
        <v>0.87945039401899361</v>
      </c>
      <c r="AO168" s="151">
        <f t="shared" si="95"/>
        <v>0.68657291465998826</v>
      </c>
      <c r="AP168" s="151">
        <f t="shared" si="95"/>
        <v>0.75245901639344259</v>
      </c>
      <c r="AQ168" s="151">
        <f t="shared" si="95"/>
        <v>0.43633692458374135</v>
      </c>
      <c r="AR168" s="151">
        <f t="shared" si="95"/>
        <v>0.93166031817163364</v>
      </c>
      <c r="AS168" s="151">
        <f t="shared" si="95"/>
        <v>0.65788956573000579</v>
      </c>
      <c r="AT168" s="151">
        <f t="shared" si="95"/>
        <v>0.53312101910828014</v>
      </c>
      <c r="AU168" s="151">
        <f t="shared" si="95"/>
        <v>0.35294117647058815</v>
      </c>
      <c r="AV168" s="151">
        <f t="shared" si="95"/>
        <v>0.95808149736790804</v>
      </c>
      <c r="AW168" s="151">
        <f t="shared" si="95"/>
        <v>0.79154990299633543</v>
      </c>
      <c r="AX168" s="151">
        <f t="shared" si="95"/>
        <v>0.68003314001656989</v>
      </c>
      <c r="AY168" s="151">
        <f t="shared" si="95"/>
        <v>0.34575087310826541</v>
      </c>
      <c r="AZ168" s="151">
        <f t="shared" si="95"/>
        <v>1.0982155952089954</v>
      </c>
      <c r="BA168" s="151">
        <f t="shared" si="95"/>
        <v>0.81915145769139597</v>
      </c>
      <c r="BB168" s="151">
        <f t="shared" si="95"/>
        <v>0.40055632823365783</v>
      </c>
      <c r="BC168" s="153">
        <f t="shared" si="86"/>
        <v>33.597221889599744</v>
      </c>
    </row>
    <row r="169" spans="1:55" x14ac:dyDescent="0.25">
      <c r="B169" s="151" t="str">
        <f t="shared" si="87"/>
        <v>Downtime Loss Average (Hours) Product F</v>
      </c>
      <c r="C169" s="151">
        <f t="shared" ref="C169:AH169" si="96">C$162*C803/C$818</f>
        <v>0</v>
      </c>
      <c r="D169" s="151">
        <f t="shared" si="96"/>
        <v>0.36067892503536075</v>
      </c>
      <c r="E169" s="151">
        <f t="shared" si="96"/>
        <v>0.94883182081482886</v>
      </c>
      <c r="F169" s="151">
        <f t="shared" si="96"/>
        <v>0</v>
      </c>
      <c r="G169" s="151">
        <f t="shared" si="96"/>
        <v>0</v>
      </c>
      <c r="H169" s="151">
        <f t="shared" si="96"/>
        <v>0.32937485995966842</v>
      </c>
      <c r="I169" s="151">
        <f t="shared" si="96"/>
        <v>0.94158223755119619</v>
      </c>
      <c r="J169" s="151">
        <f t="shared" si="96"/>
        <v>0.56545153272576643</v>
      </c>
      <c r="K169" s="151">
        <f t="shared" si="96"/>
        <v>0.3422584400465658</v>
      </c>
      <c r="L169" s="151">
        <f t="shared" si="96"/>
        <v>0.50793847680476301</v>
      </c>
      <c r="M169" s="151">
        <f t="shared" si="96"/>
        <v>1.0707154742096505</v>
      </c>
      <c r="N169" s="151">
        <f t="shared" si="96"/>
        <v>0.84405144694533762</v>
      </c>
      <c r="O169" s="151">
        <f t="shared" si="96"/>
        <v>0</v>
      </c>
      <c r="P169" s="151">
        <f t="shared" si="96"/>
        <v>0.39250353606789251</v>
      </c>
      <c r="Q169" s="151">
        <f t="shared" si="96"/>
        <v>0.7362743209400886</v>
      </c>
      <c r="R169" s="151">
        <f t="shared" si="96"/>
        <v>0.78868302453680528</v>
      </c>
      <c r="S169" s="151">
        <f t="shared" si="96"/>
        <v>0</v>
      </c>
      <c r="T169" s="151">
        <f t="shared" si="96"/>
        <v>0.35321821036106749</v>
      </c>
      <c r="U169" s="151">
        <f t="shared" si="96"/>
        <v>0.79446001293382196</v>
      </c>
      <c r="V169" s="151">
        <f t="shared" si="96"/>
        <v>0.78684429641965026</v>
      </c>
      <c r="W169" s="151">
        <f t="shared" si="96"/>
        <v>0</v>
      </c>
      <c r="X169" s="151">
        <f t="shared" si="96"/>
        <v>0.42979409575787642</v>
      </c>
      <c r="Y169" s="151">
        <f t="shared" si="96"/>
        <v>0.80635221616496799</v>
      </c>
      <c r="Z169" s="151">
        <f t="shared" si="96"/>
        <v>0.87621696801112647</v>
      </c>
      <c r="AA169" s="151">
        <f t="shared" si="96"/>
        <v>0</v>
      </c>
      <c r="AB169" s="151">
        <f t="shared" si="96"/>
        <v>0.38143289606458125</v>
      </c>
      <c r="AC169" s="151">
        <f t="shared" si="96"/>
        <v>0.73798030507820045</v>
      </c>
      <c r="AD169" s="151">
        <f t="shared" si="96"/>
        <v>0.29047131147540978</v>
      </c>
      <c r="AE169" s="151">
        <f t="shared" si="96"/>
        <v>0</v>
      </c>
      <c r="AF169" s="151">
        <f t="shared" si="96"/>
        <v>0.3058480842482636</v>
      </c>
      <c r="AG169" s="151">
        <f t="shared" si="96"/>
        <v>0.82388445785729669</v>
      </c>
      <c r="AH169" s="151">
        <f t="shared" si="96"/>
        <v>0.85241465445462117</v>
      </c>
      <c r="AI169" s="151">
        <f t="shared" ref="AI169:BB169" si="97">AI$162*AI803/AI$818</f>
        <v>0</v>
      </c>
      <c r="AJ169" s="151">
        <f t="shared" si="97"/>
        <v>0.41677003225006193</v>
      </c>
      <c r="AK169" s="151">
        <f t="shared" si="97"/>
        <v>0.73915619815122058</v>
      </c>
      <c r="AL169" s="151">
        <f t="shared" si="97"/>
        <v>0.87621696801112658</v>
      </c>
      <c r="AM169" s="151">
        <f t="shared" si="97"/>
        <v>0</v>
      </c>
      <c r="AN169" s="151">
        <f t="shared" si="97"/>
        <v>0.32885431400282883</v>
      </c>
      <c r="AO169" s="151">
        <f t="shared" si="97"/>
        <v>0.86775187825081845</v>
      </c>
      <c r="AP169" s="151">
        <f t="shared" si="97"/>
        <v>0.36577868852459011</v>
      </c>
      <c r="AQ169" s="151">
        <f t="shared" si="97"/>
        <v>0</v>
      </c>
      <c r="AR169" s="151">
        <f t="shared" si="97"/>
        <v>0.41171857494958541</v>
      </c>
      <c r="AS169" s="151">
        <f t="shared" si="97"/>
        <v>0.83149931224209073</v>
      </c>
      <c r="AT169" s="151">
        <f t="shared" si="97"/>
        <v>0.64789012738853502</v>
      </c>
      <c r="AU169" s="151">
        <f t="shared" si="97"/>
        <v>0.34313725490196073</v>
      </c>
      <c r="AV169" s="151">
        <f t="shared" si="97"/>
        <v>0.35825697016962371</v>
      </c>
      <c r="AW169" s="151">
        <f t="shared" si="97"/>
        <v>1.0004311273981461</v>
      </c>
      <c r="AX169" s="151">
        <f t="shared" si="97"/>
        <v>0.8264291632145816</v>
      </c>
      <c r="AY169" s="151">
        <f t="shared" si="97"/>
        <v>0.40337601862630956</v>
      </c>
      <c r="AZ169" s="151">
        <f t="shared" si="97"/>
        <v>0.41065754094353457</v>
      </c>
      <c r="BA169" s="151">
        <f t="shared" si="97"/>
        <v>0.71675752547997151</v>
      </c>
      <c r="BB169" s="151">
        <f t="shared" si="97"/>
        <v>0.48678720445062584</v>
      </c>
      <c r="BC169" s="153">
        <f t="shared" si="86"/>
        <v>25.298730503420419</v>
      </c>
    </row>
    <row r="170" spans="1:55" x14ac:dyDescent="0.25">
      <c r="B170" s="151" t="str">
        <f t="shared" si="87"/>
        <v>Downtime Loss Average (Hours) Product G</v>
      </c>
      <c r="C170" s="151">
        <f t="shared" ref="C170:AH170" si="98">C$162*C804/C$818</f>
        <v>0</v>
      </c>
      <c r="D170" s="151">
        <f t="shared" si="98"/>
        <v>0.18549201858961409</v>
      </c>
      <c r="E170" s="151">
        <f t="shared" si="98"/>
        <v>0.3753620390036686</v>
      </c>
      <c r="F170" s="151">
        <f t="shared" si="98"/>
        <v>0.9411613566289827</v>
      </c>
      <c r="G170" s="151">
        <f t="shared" si="98"/>
        <v>0</v>
      </c>
      <c r="H170" s="151">
        <f t="shared" si="98"/>
        <v>0</v>
      </c>
      <c r="I170" s="151">
        <f t="shared" si="98"/>
        <v>0.31041172666522959</v>
      </c>
      <c r="J170" s="151">
        <f t="shared" si="98"/>
        <v>0.63007456503728254</v>
      </c>
      <c r="K170" s="151">
        <f t="shared" si="98"/>
        <v>0</v>
      </c>
      <c r="L170" s="151">
        <f t="shared" si="98"/>
        <v>0</v>
      </c>
      <c r="M170" s="151">
        <f t="shared" si="98"/>
        <v>0.35298312336581888</v>
      </c>
      <c r="N170" s="151">
        <f t="shared" si="98"/>
        <v>0.79581993569131815</v>
      </c>
      <c r="O170" s="151">
        <f t="shared" si="98"/>
        <v>0</v>
      </c>
      <c r="P170" s="151">
        <f t="shared" si="98"/>
        <v>0</v>
      </c>
      <c r="Q170" s="151">
        <f t="shared" si="98"/>
        <v>0.24272779811211712</v>
      </c>
      <c r="R170" s="151">
        <f t="shared" si="98"/>
        <v>0.47320981472208318</v>
      </c>
      <c r="S170" s="151">
        <f t="shared" si="98"/>
        <v>0</v>
      </c>
      <c r="T170" s="151">
        <f t="shared" si="98"/>
        <v>0</v>
      </c>
      <c r="U170" s="151">
        <f t="shared" si="98"/>
        <v>0.26190989437378748</v>
      </c>
      <c r="V170" s="151">
        <f t="shared" si="98"/>
        <v>0.8767693588676102</v>
      </c>
      <c r="W170" s="151">
        <f t="shared" si="98"/>
        <v>0</v>
      </c>
      <c r="X170" s="151">
        <f t="shared" si="98"/>
        <v>0</v>
      </c>
      <c r="Y170" s="151">
        <f t="shared" si="98"/>
        <v>0.38397724579284187</v>
      </c>
      <c r="Z170" s="151">
        <f t="shared" si="98"/>
        <v>0.97635605006954085</v>
      </c>
      <c r="AA170" s="151">
        <f t="shared" si="98"/>
        <v>0</v>
      </c>
      <c r="AB170" s="151">
        <f t="shared" si="98"/>
        <v>0</v>
      </c>
      <c r="AC170" s="151">
        <f t="shared" si="98"/>
        <v>0.2432902104653408</v>
      </c>
      <c r="AD170" s="151">
        <f t="shared" si="98"/>
        <v>0.80917008196721307</v>
      </c>
      <c r="AE170" s="151">
        <f t="shared" si="98"/>
        <v>0</v>
      </c>
      <c r="AF170" s="151">
        <f t="shared" si="98"/>
        <v>0</v>
      </c>
      <c r="AG170" s="151">
        <f t="shared" si="98"/>
        <v>0.27161026083207584</v>
      </c>
      <c r="AH170" s="151">
        <f t="shared" si="98"/>
        <v>0.94983347210657798</v>
      </c>
      <c r="AI170" s="151">
        <f t="shared" ref="AI170:BB170" si="99">AI$162*AI804/AI$818</f>
        <v>0</v>
      </c>
      <c r="AJ170" s="151">
        <f t="shared" si="99"/>
        <v>0</v>
      </c>
      <c r="AK170" s="151">
        <f t="shared" si="99"/>
        <v>0.35197914197677166</v>
      </c>
      <c r="AL170" s="151">
        <f t="shared" si="99"/>
        <v>0.97635605006954107</v>
      </c>
      <c r="AM170" s="151">
        <f t="shared" si="99"/>
        <v>0</v>
      </c>
      <c r="AN170" s="151">
        <f t="shared" si="99"/>
        <v>0</v>
      </c>
      <c r="AO170" s="151">
        <f t="shared" si="99"/>
        <v>0.28607204777499512</v>
      </c>
      <c r="AP170" s="151">
        <f t="shared" si="99"/>
        <v>1.0189549180327868</v>
      </c>
      <c r="AQ170" s="151">
        <f t="shared" si="99"/>
        <v>0</v>
      </c>
      <c r="AR170" s="151">
        <f t="shared" si="99"/>
        <v>0</v>
      </c>
      <c r="AS170" s="151">
        <f t="shared" si="99"/>
        <v>0.27412065238750244</v>
      </c>
      <c r="AT170" s="151">
        <f t="shared" si="99"/>
        <v>0.72193471337579607</v>
      </c>
      <c r="AU170" s="151">
        <f t="shared" si="99"/>
        <v>0</v>
      </c>
      <c r="AV170" s="151">
        <f t="shared" si="99"/>
        <v>0</v>
      </c>
      <c r="AW170" s="151">
        <f t="shared" si="99"/>
        <v>0.32981245958180644</v>
      </c>
      <c r="AX170" s="151">
        <f t="shared" si="99"/>
        <v>0.92087821043910523</v>
      </c>
      <c r="AY170" s="151">
        <f t="shared" si="99"/>
        <v>0</v>
      </c>
      <c r="AZ170" s="151">
        <f t="shared" si="99"/>
        <v>0</v>
      </c>
      <c r="BA170" s="151">
        <f t="shared" si="99"/>
        <v>0.34131310737141501</v>
      </c>
      <c r="BB170" s="151">
        <f t="shared" si="99"/>
        <v>0.54242002781641163</v>
      </c>
      <c r="BC170" s="153">
        <f t="shared" si="86"/>
        <v>14.844000281117232</v>
      </c>
    </row>
    <row r="171" spans="1:55" x14ac:dyDescent="0.25">
      <c r="B171" s="151" t="str">
        <f t="shared" si="87"/>
        <v>Downtime Loss Average (Hours) Product H</v>
      </c>
      <c r="C171" s="151">
        <f t="shared" ref="C171:AH171" si="100">C$162*C805/C$818</f>
        <v>0</v>
      </c>
      <c r="D171" s="151">
        <f t="shared" si="100"/>
        <v>0</v>
      </c>
      <c r="E171" s="151">
        <f t="shared" si="100"/>
        <v>0</v>
      </c>
      <c r="F171" s="151">
        <f t="shared" si="100"/>
        <v>0.43730729701952731</v>
      </c>
      <c r="G171" s="151">
        <f t="shared" si="100"/>
        <v>0</v>
      </c>
      <c r="H171" s="151">
        <f t="shared" si="100"/>
        <v>0</v>
      </c>
      <c r="I171" s="151">
        <f t="shared" si="100"/>
        <v>0</v>
      </c>
      <c r="J171" s="151">
        <f t="shared" si="100"/>
        <v>0.24772162386081198</v>
      </c>
      <c r="K171" s="151">
        <f t="shared" si="100"/>
        <v>0</v>
      </c>
      <c r="L171" s="151">
        <f t="shared" si="100"/>
        <v>0</v>
      </c>
      <c r="M171" s="151">
        <f t="shared" si="100"/>
        <v>0</v>
      </c>
      <c r="N171" s="151">
        <f t="shared" si="100"/>
        <v>0.36977491961414782</v>
      </c>
      <c r="O171" s="151">
        <f t="shared" si="100"/>
        <v>0</v>
      </c>
      <c r="P171" s="151">
        <f t="shared" si="100"/>
        <v>0</v>
      </c>
      <c r="Q171" s="151">
        <f t="shared" si="100"/>
        <v>0.2977460990175303</v>
      </c>
      <c r="R171" s="151">
        <f t="shared" si="100"/>
        <v>0.34551827741612418</v>
      </c>
      <c r="S171" s="151">
        <f t="shared" si="100"/>
        <v>0</v>
      </c>
      <c r="T171" s="151">
        <f t="shared" si="100"/>
        <v>0</v>
      </c>
      <c r="U171" s="151">
        <f t="shared" si="100"/>
        <v>0</v>
      </c>
      <c r="V171" s="151">
        <f t="shared" si="100"/>
        <v>0.34471273938384678</v>
      </c>
      <c r="W171" s="151">
        <f t="shared" si="100"/>
        <v>0.3371158392434988</v>
      </c>
      <c r="X171" s="151">
        <f t="shared" si="100"/>
        <v>0</v>
      </c>
      <c r="Y171" s="151">
        <f t="shared" si="100"/>
        <v>0</v>
      </c>
      <c r="Z171" s="151">
        <f t="shared" si="100"/>
        <v>0.38386648122392208</v>
      </c>
      <c r="AA171" s="151">
        <f t="shared" si="100"/>
        <v>0</v>
      </c>
      <c r="AB171" s="151">
        <f t="shared" si="100"/>
        <v>0.20052472250252268</v>
      </c>
      <c r="AC171" s="151">
        <f t="shared" si="100"/>
        <v>0</v>
      </c>
      <c r="AD171" s="151">
        <f t="shared" si="100"/>
        <v>0.31813524590163933</v>
      </c>
      <c r="AE171" s="151">
        <f t="shared" si="100"/>
        <v>0</v>
      </c>
      <c r="AF171" s="151">
        <f t="shared" si="100"/>
        <v>0</v>
      </c>
      <c r="AG171" s="151">
        <f t="shared" si="100"/>
        <v>0</v>
      </c>
      <c r="AH171" s="151">
        <f t="shared" si="100"/>
        <v>0.37343880099916738</v>
      </c>
      <c r="AI171" s="151">
        <f t="shared" ref="AI171:BB171" si="101">AI$162*AI805/AI$818</f>
        <v>0.27186761229314416</v>
      </c>
      <c r="AJ171" s="151">
        <f t="shared" si="101"/>
        <v>0</v>
      </c>
      <c r="AK171" s="151">
        <f t="shared" si="101"/>
        <v>0</v>
      </c>
      <c r="AL171" s="151">
        <f t="shared" si="101"/>
        <v>0.38386648122392214</v>
      </c>
      <c r="AM171" s="151">
        <f t="shared" si="101"/>
        <v>0</v>
      </c>
      <c r="AN171" s="151">
        <f t="shared" si="101"/>
        <v>0</v>
      </c>
      <c r="AO171" s="151">
        <f t="shared" si="101"/>
        <v>0.35091504527066064</v>
      </c>
      <c r="AP171" s="151">
        <f t="shared" si="101"/>
        <v>0.40061475409836067</v>
      </c>
      <c r="AQ171" s="151">
        <f t="shared" si="101"/>
        <v>0</v>
      </c>
      <c r="AR171" s="151">
        <f t="shared" si="101"/>
        <v>0</v>
      </c>
      <c r="AS171" s="151">
        <f t="shared" si="101"/>
        <v>0</v>
      </c>
      <c r="AT171" s="151">
        <f t="shared" si="101"/>
        <v>0.28383757961783435</v>
      </c>
      <c r="AU171" s="151">
        <f t="shared" si="101"/>
        <v>0</v>
      </c>
      <c r="AV171" s="151">
        <f t="shared" si="101"/>
        <v>0</v>
      </c>
      <c r="AW171" s="151">
        <f t="shared" si="101"/>
        <v>0</v>
      </c>
      <c r="AX171" s="151">
        <f t="shared" si="101"/>
        <v>0.36205468102734051</v>
      </c>
      <c r="AY171" s="151">
        <f t="shared" si="101"/>
        <v>0</v>
      </c>
      <c r="AZ171" s="151">
        <f t="shared" si="101"/>
        <v>0</v>
      </c>
      <c r="BA171" s="151">
        <f t="shared" si="101"/>
        <v>0</v>
      </c>
      <c r="BB171" s="151">
        <f t="shared" si="101"/>
        <v>0.21325915623551228</v>
      </c>
      <c r="BC171" s="153">
        <f t="shared" si="86"/>
        <v>5.9222773559495137</v>
      </c>
    </row>
    <row r="172" spans="1:55" x14ac:dyDescent="0.25">
      <c r="B172" s="111" t="str">
        <f t="shared" ref="B172:B179" si="102">_xlfn.CONCAT("VAS Downtime Loss Average"," ",B322)</f>
        <v>VAS Downtime Loss Average Product A</v>
      </c>
      <c r="C172" s="111">
        <f t="shared" ref="C172:AH172" si="103">C164*C674</f>
        <v>2796.8787826551929</v>
      </c>
      <c r="D172" s="111">
        <f t="shared" si="103"/>
        <v>0</v>
      </c>
      <c r="E172" s="111">
        <f t="shared" si="103"/>
        <v>1321.8915249588945</v>
      </c>
      <c r="F172" s="111">
        <f t="shared" si="103"/>
        <v>0</v>
      </c>
      <c r="G172" s="111">
        <f t="shared" si="103"/>
        <v>2175.3362722686466</v>
      </c>
      <c r="H172" s="111">
        <f t="shared" si="103"/>
        <v>0</v>
      </c>
      <c r="I172" s="111">
        <f t="shared" si="103"/>
        <v>0</v>
      </c>
      <c r="J172" s="111">
        <f t="shared" si="103"/>
        <v>0</v>
      </c>
      <c r="K172" s="111">
        <f t="shared" si="103"/>
        <v>1859.5650680800832</v>
      </c>
      <c r="L172" s="111">
        <f t="shared" si="103"/>
        <v>0</v>
      </c>
      <c r="M172" s="111">
        <f t="shared" si="103"/>
        <v>0</v>
      </c>
      <c r="N172" s="111">
        <f t="shared" si="103"/>
        <v>0</v>
      </c>
      <c r="O172" s="111">
        <f t="shared" si="103"/>
        <v>2721.2874642050533</v>
      </c>
      <c r="P172" s="111">
        <f t="shared" si="103"/>
        <v>852.78758699412913</v>
      </c>
      <c r="Q172" s="111">
        <f t="shared" si="103"/>
        <v>0</v>
      </c>
      <c r="R172" s="111">
        <f t="shared" si="103"/>
        <v>0</v>
      </c>
      <c r="S172" s="111">
        <f t="shared" si="103"/>
        <v>2175.3362722686461</v>
      </c>
      <c r="T172" s="111">
        <f t="shared" si="103"/>
        <v>0</v>
      </c>
      <c r="U172" s="111">
        <f t="shared" si="103"/>
        <v>0</v>
      </c>
      <c r="V172" s="111">
        <f t="shared" si="103"/>
        <v>854.60432847730942</v>
      </c>
      <c r="W172" s="111">
        <f t="shared" si="103"/>
        <v>2090.2265731100051</v>
      </c>
      <c r="X172" s="111">
        <f t="shared" si="103"/>
        <v>0</v>
      </c>
      <c r="Y172" s="111">
        <f t="shared" si="103"/>
        <v>0</v>
      </c>
      <c r="Z172" s="111">
        <f t="shared" si="103"/>
        <v>0</v>
      </c>
      <c r="AA172" s="111">
        <f t="shared" si="103"/>
        <v>2721.2874642050529</v>
      </c>
      <c r="AB172" s="111">
        <f t="shared" si="103"/>
        <v>0</v>
      </c>
      <c r="AC172" s="111">
        <f t="shared" si="103"/>
        <v>1233.7654232949687</v>
      </c>
      <c r="AD172" s="111">
        <f t="shared" si="103"/>
        <v>0</v>
      </c>
      <c r="AE172" s="111">
        <f t="shared" si="103"/>
        <v>2677.3369504844873</v>
      </c>
      <c r="AF172" s="111">
        <f t="shared" si="103"/>
        <v>0</v>
      </c>
      <c r="AG172" s="111">
        <f t="shared" si="103"/>
        <v>0</v>
      </c>
      <c r="AH172" s="111">
        <f t="shared" si="103"/>
        <v>925.82135585041863</v>
      </c>
      <c r="AI172" s="111">
        <f t="shared" ref="AI172:BB172" si="104">AI164*AI674</f>
        <v>1685.6665912177459</v>
      </c>
      <c r="AJ172" s="111">
        <f t="shared" si="104"/>
        <v>0</v>
      </c>
      <c r="AK172" s="111">
        <f t="shared" si="104"/>
        <v>0</v>
      </c>
      <c r="AL172" s="111">
        <f t="shared" si="104"/>
        <v>0</v>
      </c>
      <c r="AM172" s="111">
        <f t="shared" si="104"/>
        <v>2343.3308719543511</v>
      </c>
      <c r="AN172" s="111">
        <f t="shared" si="104"/>
        <v>714.49770802210821</v>
      </c>
      <c r="AO172" s="111">
        <f t="shared" si="104"/>
        <v>0</v>
      </c>
      <c r="AP172" s="111">
        <f t="shared" si="104"/>
        <v>0</v>
      </c>
      <c r="AQ172" s="111">
        <f t="shared" si="104"/>
        <v>2761.0037301871275</v>
      </c>
      <c r="AR172" s="111">
        <f t="shared" si="104"/>
        <v>0</v>
      </c>
      <c r="AS172" s="111">
        <f t="shared" si="104"/>
        <v>1158.2905952180486</v>
      </c>
      <c r="AT172" s="111">
        <f t="shared" si="104"/>
        <v>0</v>
      </c>
      <c r="AU172" s="111">
        <f t="shared" si="104"/>
        <v>2236.8977665932675</v>
      </c>
      <c r="AV172" s="111">
        <f t="shared" si="104"/>
        <v>1297.6169040357527</v>
      </c>
      <c r="AW172" s="111">
        <f t="shared" si="104"/>
        <v>0</v>
      </c>
      <c r="AX172" s="111">
        <f t="shared" si="104"/>
        <v>0</v>
      </c>
      <c r="AY172" s="111">
        <f t="shared" si="104"/>
        <v>2191.6302588086692</v>
      </c>
      <c r="AZ172" s="111">
        <f t="shared" si="104"/>
        <v>0</v>
      </c>
      <c r="BA172" s="111">
        <f t="shared" si="104"/>
        <v>0</v>
      </c>
      <c r="BB172" s="111">
        <f t="shared" si="104"/>
        <v>0</v>
      </c>
      <c r="BC172" s="104">
        <f t="shared" si="86"/>
        <v>38795.059492889966</v>
      </c>
    </row>
    <row r="173" spans="1:55" x14ac:dyDescent="0.25">
      <c r="B173" s="111" t="str">
        <f t="shared" si="102"/>
        <v>VAS Downtime Loss Average Product B</v>
      </c>
      <c r="C173" s="111">
        <f t="shared" ref="C173:AH173" si="105">C165*C675</f>
        <v>1921.9565380745657</v>
      </c>
      <c r="D173" s="111">
        <f t="shared" si="105"/>
        <v>1817.9312408347323</v>
      </c>
      <c r="E173" s="111">
        <f t="shared" si="105"/>
        <v>0</v>
      </c>
      <c r="F173" s="111">
        <f t="shared" si="105"/>
        <v>1672.6267924612007</v>
      </c>
      <c r="G173" s="111">
        <f t="shared" si="105"/>
        <v>1494.3451395330774</v>
      </c>
      <c r="H173" s="111">
        <f t="shared" si="105"/>
        <v>1658.3819347859246</v>
      </c>
      <c r="I173" s="111">
        <f t="shared" si="105"/>
        <v>0</v>
      </c>
      <c r="J173" s="111">
        <f t="shared" si="105"/>
        <v>474.89150831692245</v>
      </c>
      <c r="K173" s="111">
        <f t="shared" si="105"/>
        <v>1278.3386546069082</v>
      </c>
      <c r="L173" s="111">
        <f t="shared" si="105"/>
        <v>2554.4643214787698</v>
      </c>
      <c r="M173" s="111">
        <f t="shared" si="105"/>
        <v>0</v>
      </c>
      <c r="N173" s="111">
        <f t="shared" si="105"/>
        <v>0</v>
      </c>
      <c r="O173" s="111">
        <f t="shared" si="105"/>
        <v>1870.0117667752531</v>
      </c>
      <c r="P173" s="111">
        <f t="shared" si="105"/>
        <v>1978.3369385554433</v>
      </c>
      <c r="Q173" s="111">
        <f t="shared" si="105"/>
        <v>0</v>
      </c>
      <c r="R173" s="111">
        <f t="shared" si="105"/>
        <v>0</v>
      </c>
      <c r="S173" s="111">
        <f t="shared" si="105"/>
        <v>1494.3451395330767</v>
      </c>
      <c r="T173" s="111">
        <f t="shared" si="105"/>
        <v>1778.4144081977674</v>
      </c>
      <c r="U173" s="111">
        <f t="shared" si="105"/>
        <v>0</v>
      </c>
      <c r="V173" s="111">
        <f t="shared" si="105"/>
        <v>0</v>
      </c>
      <c r="W173" s="111">
        <f t="shared" si="105"/>
        <v>1436.8444645641566</v>
      </c>
      <c r="X173" s="111">
        <f t="shared" si="105"/>
        <v>2161.4698104820354</v>
      </c>
      <c r="Y173" s="111">
        <f t="shared" si="105"/>
        <v>0</v>
      </c>
      <c r="Z173" s="111">
        <f t="shared" si="105"/>
        <v>0</v>
      </c>
      <c r="AA173" s="111">
        <f t="shared" si="105"/>
        <v>1870.0117667752531</v>
      </c>
      <c r="AB173" s="111">
        <f t="shared" si="105"/>
        <v>1922.5603115669687</v>
      </c>
      <c r="AC173" s="111">
        <f t="shared" si="105"/>
        <v>0</v>
      </c>
      <c r="AD173" s="111">
        <f t="shared" si="105"/>
        <v>0</v>
      </c>
      <c r="AE173" s="111">
        <f t="shared" si="105"/>
        <v>1839.194017886864</v>
      </c>
      <c r="AF173" s="111">
        <f t="shared" si="105"/>
        <v>1539.9260823012162</v>
      </c>
      <c r="AG173" s="111">
        <f t="shared" si="105"/>
        <v>0</v>
      </c>
      <c r="AH173" s="111">
        <f t="shared" si="105"/>
        <v>0</v>
      </c>
      <c r="AI173" s="111">
        <f t="shared" ref="AI173:BB173" si="106">AI165*AI675</f>
        <v>1158.7455359388362</v>
      </c>
      <c r="AJ173" s="111">
        <f t="shared" si="106"/>
        <v>2095.9707253159136</v>
      </c>
      <c r="AK173" s="111">
        <f t="shared" si="106"/>
        <v>0</v>
      </c>
      <c r="AL173" s="111">
        <f t="shared" si="106"/>
        <v>0</v>
      </c>
      <c r="AM173" s="111">
        <f t="shared" si="106"/>
        <v>1610.2879102786901</v>
      </c>
      <c r="AN173" s="111">
        <f t="shared" si="106"/>
        <v>1657.5255431140201</v>
      </c>
      <c r="AO173" s="111">
        <f t="shared" si="106"/>
        <v>0</v>
      </c>
      <c r="AP173" s="111">
        <f t="shared" si="106"/>
        <v>0</v>
      </c>
      <c r="AQ173" s="111">
        <f t="shared" si="106"/>
        <v>1896.6688309458282</v>
      </c>
      <c r="AR173" s="111">
        <f t="shared" si="106"/>
        <v>2072.9774184824059</v>
      </c>
      <c r="AS173" s="111">
        <f t="shared" si="106"/>
        <v>0</v>
      </c>
      <c r="AT173" s="111">
        <f t="shared" si="106"/>
        <v>907.23317629518397</v>
      </c>
      <c r="AU173" s="111">
        <f t="shared" si="106"/>
        <v>1537.645129495648</v>
      </c>
      <c r="AV173" s="111">
        <f t="shared" si="106"/>
        <v>1806.3433647039924</v>
      </c>
      <c r="AW173" s="111">
        <f t="shared" si="106"/>
        <v>0</v>
      </c>
      <c r="AX173" s="111">
        <f t="shared" si="106"/>
        <v>694.07220446319423</v>
      </c>
      <c r="AY173" s="111">
        <f t="shared" si="106"/>
        <v>1506.6134143581417</v>
      </c>
      <c r="AZ173" s="111">
        <f t="shared" si="106"/>
        <v>688.53161879870459</v>
      </c>
      <c r="BA173" s="111">
        <f t="shared" si="106"/>
        <v>0</v>
      </c>
      <c r="BB173" s="111">
        <f t="shared" si="106"/>
        <v>0</v>
      </c>
      <c r="BC173" s="104">
        <f t="shared" si="86"/>
        <v>48396.665708920693</v>
      </c>
    </row>
    <row r="174" spans="1:55" x14ac:dyDescent="0.25">
      <c r="B174" s="111" t="str">
        <f t="shared" si="102"/>
        <v>VAS Downtime Loss Average Product C</v>
      </c>
      <c r="C174" s="111">
        <f t="shared" ref="C174:AH174" si="107">C166*C676</f>
        <v>2667.0739398715255</v>
      </c>
      <c r="D174" s="111">
        <f t="shared" si="107"/>
        <v>1793.7400381772441</v>
      </c>
      <c r="E174" s="111">
        <f t="shared" si="107"/>
        <v>2042.5538364362346</v>
      </c>
      <c r="F174" s="111">
        <f t="shared" si="107"/>
        <v>0</v>
      </c>
      <c r="G174" s="111">
        <f t="shared" si="107"/>
        <v>2073.9647653919992</v>
      </c>
      <c r="H174" s="111">
        <f t="shared" si="107"/>
        <v>1636.518765165963</v>
      </c>
      <c r="I174" s="111">
        <f t="shared" si="107"/>
        <v>2025.0032301655724</v>
      </c>
      <c r="J174" s="111">
        <f t="shared" si="107"/>
        <v>0</v>
      </c>
      <c r="K174" s="111">
        <f t="shared" si="107"/>
        <v>1773.661216374998</v>
      </c>
      <c r="L174" s="111">
        <f t="shared" si="107"/>
        <v>2521.1329324010321</v>
      </c>
      <c r="M174" s="111">
        <f t="shared" si="107"/>
        <v>2300.5446360494971</v>
      </c>
      <c r="N174" s="111">
        <f t="shared" si="107"/>
        <v>0</v>
      </c>
      <c r="O174" s="111">
        <f t="shared" si="107"/>
        <v>2594.9908604155385</v>
      </c>
      <c r="P174" s="111">
        <f t="shared" si="107"/>
        <v>1952.0112180164124</v>
      </c>
      <c r="Q174" s="111">
        <f t="shared" si="107"/>
        <v>1585.0106999277571</v>
      </c>
      <c r="R174" s="111">
        <f t="shared" si="107"/>
        <v>0</v>
      </c>
      <c r="S174" s="111">
        <f t="shared" si="107"/>
        <v>2073.9647653919988</v>
      </c>
      <c r="T174" s="111">
        <f t="shared" si="107"/>
        <v>1754.9708078100741</v>
      </c>
      <c r="U174" s="111">
        <f t="shared" si="107"/>
        <v>1708.5964754522022</v>
      </c>
      <c r="V174" s="111">
        <f t="shared" si="107"/>
        <v>0</v>
      </c>
      <c r="W174" s="111">
        <f t="shared" si="107"/>
        <v>1993.6176248679647</v>
      </c>
      <c r="X174" s="111">
        <f t="shared" si="107"/>
        <v>2133.2663274162583</v>
      </c>
      <c r="Y174" s="111">
        <f t="shared" si="107"/>
        <v>2502.6191691993031</v>
      </c>
      <c r="Z174" s="111">
        <f t="shared" si="107"/>
        <v>0</v>
      </c>
      <c r="AA174" s="111">
        <f t="shared" si="107"/>
        <v>2594.990860415538</v>
      </c>
      <c r="AB174" s="111">
        <f t="shared" si="107"/>
        <v>1896.9741716375736</v>
      </c>
      <c r="AC174" s="111">
        <f t="shared" si="107"/>
        <v>1588.65298389485</v>
      </c>
      <c r="AD174" s="111">
        <f t="shared" si="107"/>
        <v>0</v>
      </c>
      <c r="AE174" s="111">
        <f t="shared" si="107"/>
        <v>2552.572018943998</v>
      </c>
      <c r="AF174" s="111">
        <f t="shared" si="107"/>
        <v>1519.6245676541089</v>
      </c>
      <c r="AG174" s="111">
        <f t="shared" si="107"/>
        <v>1771.8778263948759</v>
      </c>
      <c r="AH174" s="111">
        <f t="shared" si="107"/>
        <v>0</v>
      </c>
      <c r="AI174" s="111">
        <f t="shared" ref="AI174:BB174" si="108">AI166*AI676</f>
        <v>1607.756149087068</v>
      </c>
      <c r="AJ174" s="111">
        <f t="shared" si="108"/>
        <v>2068.6218932521288</v>
      </c>
      <c r="AK174" s="111">
        <f t="shared" si="108"/>
        <v>2294.0675717660279</v>
      </c>
      <c r="AL174" s="111">
        <f t="shared" si="108"/>
        <v>0</v>
      </c>
      <c r="AM174" s="111">
        <f t="shared" si="108"/>
        <v>2234.5754631356026</v>
      </c>
      <c r="AN174" s="111">
        <f t="shared" si="108"/>
        <v>1635.4688583380751</v>
      </c>
      <c r="AO174" s="111">
        <f t="shared" si="108"/>
        <v>1868.0483249148563</v>
      </c>
      <c r="AP174" s="111">
        <f t="shared" si="108"/>
        <v>0</v>
      </c>
      <c r="AQ174" s="111">
        <f t="shared" si="108"/>
        <v>2632.3398945359982</v>
      </c>
      <c r="AR174" s="111">
        <f t="shared" si="108"/>
        <v>2045.6484564574539</v>
      </c>
      <c r="AS174" s="111">
        <f t="shared" si="108"/>
        <v>1789.7108294368495</v>
      </c>
      <c r="AT174" s="111">
        <f t="shared" si="108"/>
        <v>0</v>
      </c>
      <c r="AU174" s="111">
        <f t="shared" si="108"/>
        <v>2133.4910349166398</v>
      </c>
      <c r="AV174" s="111">
        <f t="shared" si="108"/>
        <v>1782.2345327934497</v>
      </c>
      <c r="AW174" s="111">
        <f t="shared" si="108"/>
        <v>2151.5659320509208</v>
      </c>
      <c r="AX174" s="111">
        <f t="shared" si="108"/>
        <v>0</v>
      </c>
      <c r="AY174" s="111">
        <f t="shared" si="108"/>
        <v>2090.3864335848193</v>
      </c>
      <c r="AZ174" s="111">
        <f t="shared" si="108"/>
        <v>2038.6000385151274</v>
      </c>
      <c r="BA174" s="111">
        <f t="shared" si="108"/>
        <v>2224.5503726216029</v>
      </c>
      <c r="BB174" s="111">
        <f t="shared" si="108"/>
        <v>0</v>
      </c>
      <c r="BC174" s="104">
        <f t="shared" si="86"/>
        <v>79654.999522879109</v>
      </c>
    </row>
    <row r="175" spans="1:55" x14ac:dyDescent="0.25">
      <c r="B175" s="111" t="str">
        <f t="shared" si="102"/>
        <v>VAS Downtime Loss Average Product D</v>
      </c>
      <c r="C175" s="111">
        <f t="shared" ref="C175:AH175" si="109">C167*C677</f>
        <v>1748.0444068416709</v>
      </c>
      <c r="D175" s="111">
        <f t="shared" si="109"/>
        <v>1131.5957647781063</v>
      </c>
      <c r="E175" s="111">
        <f t="shared" si="109"/>
        <v>916.75658656997791</v>
      </c>
      <c r="F175" s="111">
        <f t="shared" si="109"/>
        <v>1401.7961322617141</v>
      </c>
      <c r="G175" s="111">
        <f t="shared" si="109"/>
        <v>939.84129653380853</v>
      </c>
      <c r="H175" s="111">
        <f t="shared" si="109"/>
        <v>1031.1781049944398</v>
      </c>
      <c r="I175" s="111">
        <f t="shared" si="109"/>
        <v>907.77166678879894</v>
      </c>
      <c r="J175" s="111">
        <f t="shared" si="109"/>
        <v>797.93074985808437</v>
      </c>
      <c r="K175" s="111">
        <f t="shared" si="109"/>
        <v>1164.1931368337171</v>
      </c>
      <c r="L175" s="111">
        <f t="shared" si="109"/>
        <v>1586.5000463721951</v>
      </c>
      <c r="M175" s="111">
        <f t="shared" si="109"/>
        <v>1030.0500955740117</v>
      </c>
      <c r="N175" s="111">
        <f t="shared" si="109"/>
        <v>1188.4692569348945</v>
      </c>
      <c r="O175" s="111">
        <f t="shared" si="109"/>
        <v>1700.7999634135178</v>
      </c>
      <c r="P175" s="111">
        <f t="shared" si="109"/>
        <v>1231.442449905586</v>
      </c>
      <c r="Q175" s="111">
        <f t="shared" si="109"/>
        <v>711.41534094934343</v>
      </c>
      <c r="R175" s="111">
        <f t="shared" si="109"/>
        <v>1108.2730931650356</v>
      </c>
      <c r="S175" s="111">
        <f t="shared" si="109"/>
        <v>939.84129653380819</v>
      </c>
      <c r="T175" s="111">
        <f t="shared" si="109"/>
        <v>884.64255700727665</v>
      </c>
      <c r="U175" s="111">
        <f t="shared" si="109"/>
        <v>765.93234385304925</v>
      </c>
      <c r="V175" s="111">
        <f t="shared" si="109"/>
        <v>1110.2352993377015</v>
      </c>
      <c r="W175" s="111">
        <f t="shared" si="109"/>
        <v>1308.3563955535433</v>
      </c>
      <c r="X175" s="111">
        <f t="shared" si="109"/>
        <v>1342.423116161088</v>
      </c>
      <c r="Y175" s="111">
        <f t="shared" si="109"/>
        <v>1120.5686142795485</v>
      </c>
      <c r="Z175" s="111">
        <f t="shared" si="109"/>
        <v>959.39250349639497</v>
      </c>
      <c r="AA175" s="111">
        <f t="shared" si="109"/>
        <v>1700.7999634135174</v>
      </c>
      <c r="AB175" s="111">
        <f t="shared" si="109"/>
        <v>1196.7377550324259</v>
      </c>
      <c r="AC175" s="111">
        <f t="shared" si="109"/>
        <v>713.0329006655387</v>
      </c>
      <c r="AD175" s="111">
        <f t="shared" si="109"/>
        <v>1019.8665429320081</v>
      </c>
      <c r="AE175" s="111">
        <f t="shared" si="109"/>
        <v>1156.7277495800715</v>
      </c>
      <c r="AF175" s="111">
        <f t="shared" si="109"/>
        <v>957.52252606626587</v>
      </c>
      <c r="AG175" s="111">
        <f t="shared" si="109"/>
        <v>794.30020844019907</v>
      </c>
      <c r="AH175" s="111">
        <f t="shared" si="109"/>
        <v>1202.7549076158434</v>
      </c>
      <c r="AI175" s="111">
        <f t="shared" ref="AI175:BB175" si="110">AI167*AI677</f>
        <v>1055.1261254464057</v>
      </c>
      <c r="AJ175" s="111">
        <f t="shared" si="110"/>
        <v>1301.7436277925704</v>
      </c>
      <c r="AK175" s="111">
        <f t="shared" si="110"/>
        <v>1027.1878964229193</v>
      </c>
      <c r="AL175" s="111">
        <f t="shared" si="110"/>
        <v>959.39250349639531</v>
      </c>
      <c r="AM175" s="111">
        <f t="shared" si="110"/>
        <v>1464.5777462727515</v>
      </c>
      <c r="AN175" s="111">
        <f t="shared" si="110"/>
        <v>1031.7490796506261</v>
      </c>
      <c r="AO175" s="111">
        <f t="shared" si="110"/>
        <v>838.4537946902974</v>
      </c>
      <c r="AP175" s="111">
        <f t="shared" si="110"/>
        <v>1284.276387395862</v>
      </c>
      <c r="AQ175" s="111">
        <f t="shared" si="110"/>
        <v>1192.8754917544488</v>
      </c>
      <c r="AR175" s="111">
        <f t="shared" si="110"/>
        <v>1288.9726312430498</v>
      </c>
      <c r="AS175" s="111">
        <f t="shared" si="110"/>
        <v>803.12479569305924</v>
      </c>
      <c r="AT175" s="111">
        <f t="shared" si="110"/>
        <v>914.97956052983909</v>
      </c>
      <c r="AU175" s="111">
        <f t="shared" si="110"/>
        <v>1400.0715109573243</v>
      </c>
      <c r="AV175" s="111">
        <f t="shared" si="110"/>
        <v>1124.7697454038312</v>
      </c>
      <c r="AW175" s="111">
        <f t="shared" si="110"/>
        <v>964.50739596309904</v>
      </c>
      <c r="AX175" s="111">
        <f t="shared" si="110"/>
        <v>1166.2064805618154</v>
      </c>
      <c r="AY175" s="111">
        <f t="shared" si="110"/>
        <v>1372.0847684111664</v>
      </c>
      <c r="AZ175" s="111">
        <f t="shared" si="110"/>
        <v>1283.1062193566179</v>
      </c>
      <c r="BA175" s="111">
        <f t="shared" si="110"/>
        <v>996.06099047070961</v>
      </c>
      <c r="BB175" s="111">
        <f t="shared" si="110"/>
        <v>532.99583527577511</v>
      </c>
      <c r="BC175" s="104">
        <f t="shared" si="86"/>
        <v>57771.455358531741</v>
      </c>
    </row>
    <row r="176" spans="1:55" x14ac:dyDescent="0.25">
      <c r="B176" s="111" t="str">
        <f t="shared" si="102"/>
        <v>VAS Downtime Loss Average Product E</v>
      </c>
      <c r="C176" s="111">
        <f t="shared" ref="C176:AH176" si="111">C168*C678</f>
        <v>1069.6256429018708</v>
      </c>
      <c r="D176" s="111">
        <f t="shared" si="111"/>
        <v>2338.7364730434306</v>
      </c>
      <c r="E176" s="111">
        <f t="shared" si="111"/>
        <v>1821.2363194881402</v>
      </c>
      <c r="F176" s="111">
        <f t="shared" si="111"/>
        <v>1985.0263769251812</v>
      </c>
      <c r="G176" s="111">
        <f t="shared" si="111"/>
        <v>831.41908846639774</v>
      </c>
      <c r="H176" s="111">
        <f t="shared" si="111"/>
        <v>1804.7949166922258</v>
      </c>
      <c r="I176" s="111">
        <f t="shared" si="111"/>
        <v>1804.8905973103278</v>
      </c>
      <c r="J176" s="111">
        <f t="shared" si="111"/>
        <v>1127.8227901450321</v>
      </c>
      <c r="K176" s="111">
        <f t="shared" si="111"/>
        <v>711.65416645773507</v>
      </c>
      <c r="L176" s="111">
        <f t="shared" si="111"/>
        <v>1768.5946088983781</v>
      </c>
      <c r="M176" s="111">
        <f t="shared" si="111"/>
        <v>1229.8201718315131</v>
      </c>
      <c r="N176" s="111">
        <f t="shared" si="111"/>
        <v>1681.2317490513951</v>
      </c>
      <c r="O176" s="111">
        <f t="shared" si="111"/>
        <v>1040.7168417423611</v>
      </c>
      <c r="P176" s="111">
        <f t="shared" si="111"/>
        <v>2545.0955736060855</v>
      </c>
      <c r="Q176" s="111">
        <f t="shared" si="111"/>
        <v>1413.2803273273416</v>
      </c>
      <c r="R176" s="111">
        <f t="shared" si="111"/>
        <v>1568.9955443932042</v>
      </c>
      <c r="S176" s="111">
        <f t="shared" si="111"/>
        <v>831.41908846639762</v>
      </c>
      <c r="T176" s="111">
        <f t="shared" si="111"/>
        <v>2287.3147543834762</v>
      </c>
      <c r="U176" s="111">
        <f t="shared" si="111"/>
        <v>1522.8764414805894</v>
      </c>
      <c r="V176" s="111">
        <f t="shared" si="111"/>
        <v>1569.3050418018286</v>
      </c>
      <c r="W176" s="111">
        <f t="shared" si="111"/>
        <v>799.86736079674063</v>
      </c>
      <c r="X176" s="111">
        <f t="shared" si="111"/>
        <v>1496.5031306063197</v>
      </c>
      <c r="Y176" s="111">
        <f t="shared" si="111"/>
        <v>2229.7672063438795</v>
      </c>
      <c r="Z176" s="111">
        <f t="shared" si="111"/>
        <v>1745.078072814003</v>
      </c>
      <c r="AA176" s="111">
        <f t="shared" si="111"/>
        <v>1040.7168417423609</v>
      </c>
      <c r="AB176" s="111">
        <f t="shared" si="111"/>
        <v>2473.3468762434049</v>
      </c>
      <c r="AC176" s="111">
        <f t="shared" si="111"/>
        <v>1416.517137379665</v>
      </c>
      <c r="AD176" s="111">
        <f t="shared" si="111"/>
        <v>1444.1488040849233</v>
      </c>
      <c r="AE176" s="111">
        <f t="shared" si="111"/>
        <v>1023.285031958643</v>
      </c>
      <c r="AF176" s="111">
        <f t="shared" si="111"/>
        <v>1675.8809940713527</v>
      </c>
      <c r="AG176" s="111">
        <f t="shared" si="111"/>
        <v>1579.2792726465368</v>
      </c>
      <c r="AH176" s="111">
        <f t="shared" si="111"/>
        <v>1700.0804619519813</v>
      </c>
      <c r="AI176" s="111">
        <f t="shared" ref="AI176:BB176" si="112">AI168*AI678</f>
        <v>645.0543232231779</v>
      </c>
      <c r="AJ176" s="111">
        <f t="shared" si="112"/>
        <v>1451.1545508909767</v>
      </c>
      <c r="AK176" s="111">
        <f t="shared" si="112"/>
        <v>2043.9532724818889</v>
      </c>
      <c r="AL176" s="111">
        <f t="shared" si="112"/>
        <v>1745.0780728140037</v>
      </c>
      <c r="AM176" s="111">
        <f t="shared" si="112"/>
        <v>896.1728359448108</v>
      </c>
      <c r="AN176" s="111">
        <f t="shared" si="112"/>
        <v>2132.3773724807743</v>
      </c>
      <c r="AO176" s="111">
        <f t="shared" si="112"/>
        <v>1665.6518143500809</v>
      </c>
      <c r="AP176" s="111">
        <f t="shared" si="112"/>
        <v>1818.5577532921259</v>
      </c>
      <c r="AQ176" s="111">
        <f t="shared" si="112"/>
        <v>1055.2626892073506</v>
      </c>
      <c r="AR176" s="111">
        <f t="shared" si="112"/>
        <v>2255.9936458652824</v>
      </c>
      <c r="AS176" s="111">
        <f t="shared" si="112"/>
        <v>1595.6962102093057</v>
      </c>
      <c r="AT176" s="111">
        <f t="shared" si="112"/>
        <v>1292.8761978173554</v>
      </c>
      <c r="AU176" s="111">
        <f t="shared" si="112"/>
        <v>855.97106008178639</v>
      </c>
      <c r="AV176" s="111">
        <f t="shared" si="112"/>
        <v>2324.0180453293137</v>
      </c>
      <c r="AW176" s="111">
        <f t="shared" si="112"/>
        <v>1917.6962596422236</v>
      </c>
      <c r="AX176" s="111">
        <f t="shared" si="112"/>
        <v>1648.3563855965849</v>
      </c>
      <c r="AY176" s="111">
        <f t="shared" si="112"/>
        <v>838.73526761090204</v>
      </c>
      <c r="AZ176" s="111">
        <f t="shared" si="112"/>
        <v>2656.0554900816965</v>
      </c>
      <c r="BA176" s="111">
        <f t="shared" si="112"/>
        <v>1982.0152945278928</v>
      </c>
      <c r="BB176" s="111">
        <f t="shared" si="112"/>
        <v>969.48781823000184</v>
      </c>
      <c r="BC176" s="104">
        <f t="shared" si="86"/>
        <v>81368.492064730264</v>
      </c>
    </row>
    <row r="177" spans="1:55" x14ac:dyDescent="0.25">
      <c r="B177" s="111" t="str">
        <f t="shared" si="102"/>
        <v>VAS Downtime Loss Average Product F</v>
      </c>
      <c r="C177" s="111">
        <f t="shared" ref="C177:AH177" si="113">C169*C679</f>
        <v>0</v>
      </c>
      <c r="D177" s="111">
        <f t="shared" si="113"/>
        <v>639.57097043307101</v>
      </c>
      <c r="E177" s="111">
        <f t="shared" si="113"/>
        <v>1683.7441906825802</v>
      </c>
      <c r="F177" s="111">
        <f t="shared" si="113"/>
        <v>0</v>
      </c>
      <c r="G177" s="111">
        <f t="shared" si="113"/>
        <v>0</v>
      </c>
      <c r="H177" s="111">
        <f t="shared" si="113"/>
        <v>583.00931667648092</v>
      </c>
      <c r="I177" s="111">
        <f t="shared" si="113"/>
        <v>1667.8075997100593</v>
      </c>
      <c r="J177" s="111">
        <f t="shared" si="113"/>
        <v>1002.2666899589459</v>
      </c>
      <c r="K177" s="111">
        <f t="shared" si="113"/>
        <v>607.30626754178536</v>
      </c>
      <c r="L177" s="111">
        <f t="shared" si="113"/>
        <v>897.3050643053424</v>
      </c>
      <c r="M177" s="111">
        <f t="shared" si="113"/>
        <v>1893.0987657445974</v>
      </c>
      <c r="N177" s="111">
        <f t="shared" si="113"/>
        <v>1493.3243556208065</v>
      </c>
      <c r="O177" s="111">
        <f t="shared" si="113"/>
        <v>0</v>
      </c>
      <c r="P177" s="111">
        <f t="shared" si="113"/>
        <v>696.00370311834195</v>
      </c>
      <c r="Q177" s="111">
        <f t="shared" si="113"/>
        <v>1306.5991735247362</v>
      </c>
      <c r="R177" s="111">
        <f t="shared" si="113"/>
        <v>1392.9947625494333</v>
      </c>
      <c r="S177" s="111">
        <f t="shared" si="113"/>
        <v>0</v>
      </c>
      <c r="T177" s="111">
        <f t="shared" si="113"/>
        <v>625.20288637130966</v>
      </c>
      <c r="U177" s="111">
        <f t="shared" si="113"/>
        <v>1407.2126622553628</v>
      </c>
      <c r="V177" s="111">
        <f t="shared" si="113"/>
        <v>1394.5686879030166</v>
      </c>
      <c r="W177" s="111">
        <f t="shared" si="113"/>
        <v>0</v>
      </c>
      <c r="X177" s="111">
        <f t="shared" si="113"/>
        <v>759.25813133528982</v>
      </c>
      <c r="Y177" s="111">
        <f t="shared" si="113"/>
        <v>1425.7654333062865</v>
      </c>
      <c r="Z177" s="111">
        <f t="shared" si="113"/>
        <v>1549.9618346451659</v>
      </c>
      <c r="AA177" s="111">
        <f t="shared" si="113"/>
        <v>0</v>
      </c>
      <c r="AB177" s="111">
        <f t="shared" si="113"/>
        <v>676.38632740069283</v>
      </c>
      <c r="AC177" s="111">
        <f t="shared" si="113"/>
        <v>1309.5788149753407</v>
      </c>
      <c r="AD177" s="111">
        <f t="shared" si="113"/>
        <v>512.79546828809453</v>
      </c>
      <c r="AE177" s="111">
        <f t="shared" si="113"/>
        <v>0</v>
      </c>
      <c r="AF177" s="111">
        <f t="shared" si="113"/>
        <v>541.3657940567324</v>
      </c>
      <c r="AG177" s="111">
        <f t="shared" si="113"/>
        <v>1459.331649746302</v>
      </c>
      <c r="AH177" s="111">
        <f t="shared" si="113"/>
        <v>1510.7827452282681</v>
      </c>
      <c r="AI177" s="111">
        <f t="shared" ref="AI177:BB177" si="114">AI169*AI679</f>
        <v>0</v>
      </c>
      <c r="AJ177" s="111">
        <f t="shared" si="114"/>
        <v>736.25030917361426</v>
      </c>
      <c r="AK177" s="111">
        <f t="shared" si="114"/>
        <v>1306.9516471974291</v>
      </c>
      <c r="AL177" s="111">
        <f t="shared" si="114"/>
        <v>1549.9618346451662</v>
      </c>
      <c r="AM177" s="111">
        <f t="shared" si="114"/>
        <v>0</v>
      </c>
      <c r="AN177" s="111">
        <f t="shared" si="114"/>
        <v>583.13823774779996</v>
      </c>
      <c r="AO177" s="111">
        <f t="shared" si="114"/>
        <v>1539.9204545112959</v>
      </c>
      <c r="AP177" s="111">
        <f t="shared" si="114"/>
        <v>645.74244154797088</v>
      </c>
      <c r="AQ177" s="111">
        <f t="shared" si="114"/>
        <v>0</v>
      </c>
      <c r="AR177" s="111">
        <f t="shared" si="114"/>
        <v>728.76164584560092</v>
      </c>
      <c r="AS177" s="111">
        <f t="shared" si="114"/>
        <v>1475.1203010079457</v>
      </c>
      <c r="AT177" s="111">
        <f t="shared" si="114"/>
        <v>1149.1495724978704</v>
      </c>
      <c r="AU177" s="111">
        <f t="shared" si="114"/>
        <v>608.66467442591988</v>
      </c>
      <c r="AV177" s="111">
        <f t="shared" si="114"/>
        <v>635.64501545446274</v>
      </c>
      <c r="AW177" s="111">
        <f t="shared" si="114"/>
        <v>1772.0455746919383</v>
      </c>
      <c r="AX177" s="111">
        <f t="shared" si="114"/>
        <v>1464.8513160938437</v>
      </c>
      <c r="AY177" s="111">
        <f t="shared" si="114"/>
        <v>715.75381531710389</v>
      </c>
      <c r="AZ177" s="111">
        <f t="shared" si="114"/>
        <v>725.66908741553743</v>
      </c>
      <c r="BA177" s="111">
        <f t="shared" si="114"/>
        <v>1267.3470518278102</v>
      </c>
      <c r="BB177" s="111">
        <f t="shared" si="114"/>
        <v>861.08990813620335</v>
      </c>
      <c r="BC177" s="104">
        <f t="shared" si="86"/>
        <v>44801.30418291557</v>
      </c>
    </row>
    <row r="178" spans="1:55" x14ac:dyDescent="0.25">
      <c r="B178" s="111" t="str">
        <f t="shared" si="102"/>
        <v>VAS Downtime Loss Average Product G</v>
      </c>
      <c r="C178" s="111">
        <f t="shared" ref="C178:AH178" si="115">C170*C680</f>
        <v>0</v>
      </c>
      <c r="D178" s="111">
        <f t="shared" si="115"/>
        <v>679.76711709793494</v>
      </c>
      <c r="E178" s="111">
        <f t="shared" si="115"/>
        <v>1376.0670881086187</v>
      </c>
      <c r="F178" s="111">
        <f t="shared" si="115"/>
        <v>3441.5494724467089</v>
      </c>
      <c r="G178" s="111">
        <f t="shared" si="115"/>
        <v>0</v>
      </c>
      <c r="H178" s="111">
        <f t="shared" si="115"/>
        <v>0</v>
      </c>
      <c r="I178" s="111">
        <f t="shared" si="115"/>
        <v>1136.948289944188</v>
      </c>
      <c r="J178" s="111">
        <f t="shared" si="115"/>
        <v>2308.5524889676281</v>
      </c>
      <c r="K178" s="111">
        <f t="shared" si="115"/>
        <v>0</v>
      </c>
      <c r="L178" s="111">
        <f t="shared" si="115"/>
        <v>0</v>
      </c>
      <c r="M178" s="111">
        <f t="shared" si="115"/>
        <v>1291.7408589677216</v>
      </c>
      <c r="N178" s="111">
        <f t="shared" si="115"/>
        <v>2913.2280993786248</v>
      </c>
      <c r="O178" s="111">
        <f t="shared" si="115"/>
        <v>0</v>
      </c>
      <c r="P178" s="111">
        <f t="shared" si="115"/>
        <v>0</v>
      </c>
      <c r="Q178" s="111">
        <f t="shared" si="115"/>
        <v>889.84927271208437</v>
      </c>
      <c r="R178" s="111">
        <f t="shared" si="115"/>
        <v>1730.8394213754286</v>
      </c>
      <c r="S178" s="111">
        <f t="shared" si="115"/>
        <v>0</v>
      </c>
      <c r="T178" s="111">
        <f t="shared" si="115"/>
        <v>0</v>
      </c>
      <c r="U178" s="111">
        <f t="shared" si="115"/>
        <v>959.30011964040875</v>
      </c>
      <c r="V178" s="111">
        <f t="shared" si="115"/>
        <v>3212.294582435813</v>
      </c>
      <c r="W178" s="111">
        <f t="shared" si="115"/>
        <v>0</v>
      </c>
      <c r="X178" s="111">
        <f t="shared" si="115"/>
        <v>0</v>
      </c>
      <c r="Y178" s="111">
        <f t="shared" si="115"/>
        <v>1405.2014540930734</v>
      </c>
      <c r="Z178" s="111">
        <f t="shared" si="115"/>
        <v>3573.8080590218597</v>
      </c>
      <c r="AA178" s="111">
        <f t="shared" si="115"/>
        <v>0</v>
      </c>
      <c r="AB178" s="111">
        <f t="shared" si="115"/>
        <v>0</v>
      </c>
      <c r="AC178" s="111">
        <f t="shared" si="115"/>
        <v>891.89533488521602</v>
      </c>
      <c r="AD178" s="111">
        <f t="shared" si="115"/>
        <v>2958.9890738376776</v>
      </c>
      <c r="AE178" s="111">
        <f t="shared" si="115"/>
        <v>0</v>
      </c>
      <c r="AF178" s="111">
        <f t="shared" si="115"/>
        <v>0</v>
      </c>
      <c r="AG178" s="111">
        <f t="shared" si="115"/>
        <v>994.82975370116435</v>
      </c>
      <c r="AH178" s="111">
        <f t="shared" si="115"/>
        <v>3479.985797638798</v>
      </c>
      <c r="AI178" s="111">
        <f t="shared" ref="AI178:BB178" si="116">AI170*AI680</f>
        <v>0</v>
      </c>
      <c r="AJ178" s="111">
        <f t="shared" si="116"/>
        <v>0</v>
      </c>
      <c r="AK178" s="111">
        <f t="shared" si="116"/>
        <v>1288.1013329186503</v>
      </c>
      <c r="AL178" s="111">
        <f t="shared" si="116"/>
        <v>3573.8080590218606</v>
      </c>
      <c r="AM178" s="111">
        <f t="shared" si="116"/>
        <v>0</v>
      </c>
      <c r="AN178" s="111">
        <f t="shared" si="116"/>
        <v>0</v>
      </c>
      <c r="AO178" s="111">
        <f t="shared" si="116"/>
        <v>1048.7509285535277</v>
      </c>
      <c r="AP178" s="111">
        <f t="shared" si="116"/>
        <v>3726.1343892770751</v>
      </c>
      <c r="AQ178" s="111">
        <f t="shared" si="116"/>
        <v>0</v>
      </c>
      <c r="AR178" s="111">
        <f t="shared" si="116"/>
        <v>0</v>
      </c>
      <c r="AS178" s="111">
        <f t="shared" si="116"/>
        <v>1004.7830298810469</v>
      </c>
      <c r="AT178" s="111">
        <f t="shared" si="116"/>
        <v>2645.9688957969893</v>
      </c>
      <c r="AU178" s="111">
        <f t="shared" si="116"/>
        <v>0</v>
      </c>
      <c r="AV178" s="111">
        <f t="shared" si="116"/>
        <v>0</v>
      </c>
      <c r="AW178" s="111">
        <f t="shared" si="116"/>
        <v>1208.0075580656999</v>
      </c>
      <c r="AX178" s="111">
        <f t="shared" si="116"/>
        <v>3374.0382531065329</v>
      </c>
      <c r="AY178" s="111">
        <f t="shared" si="116"/>
        <v>0</v>
      </c>
      <c r="AZ178" s="111">
        <f t="shared" si="116"/>
        <v>0</v>
      </c>
      <c r="BA178" s="111">
        <f t="shared" si="116"/>
        <v>1249.0679591938431</v>
      </c>
      <c r="BB178" s="111">
        <f t="shared" si="116"/>
        <v>1985.4489216788111</v>
      </c>
      <c r="BC178" s="104">
        <f t="shared" si="86"/>
        <v>54348.955611746991</v>
      </c>
    </row>
    <row r="179" spans="1:55" x14ac:dyDescent="0.25">
      <c r="B179" s="111" t="str">
        <f t="shared" si="102"/>
        <v>VAS Downtime Loss Average Product H</v>
      </c>
      <c r="C179" s="111">
        <f t="shared" ref="C179:AH179" si="117">C171*C681</f>
        <v>0</v>
      </c>
      <c r="D179" s="111">
        <f t="shared" si="117"/>
        <v>0</v>
      </c>
      <c r="E179" s="111">
        <f t="shared" si="117"/>
        <v>0</v>
      </c>
      <c r="F179" s="111">
        <f t="shared" si="117"/>
        <v>1838.2918733872107</v>
      </c>
      <c r="G179" s="111">
        <f t="shared" si="117"/>
        <v>0</v>
      </c>
      <c r="H179" s="111">
        <f t="shared" si="117"/>
        <v>0</v>
      </c>
      <c r="I179" s="111">
        <f t="shared" si="117"/>
        <v>0</v>
      </c>
      <c r="J179" s="111">
        <f t="shared" si="117"/>
        <v>1043.1289790499911</v>
      </c>
      <c r="K179" s="111">
        <f t="shared" si="117"/>
        <v>0</v>
      </c>
      <c r="L179" s="111">
        <f t="shared" si="117"/>
        <v>0</v>
      </c>
      <c r="M179" s="111">
        <f t="shared" si="117"/>
        <v>0</v>
      </c>
      <c r="N179" s="111">
        <f t="shared" si="117"/>
        <v>1555.8719409435384</v>
      </c>
      <c r="O179" s="111">
        <f t="shared" si="117"/>
        <v>0</v>
      </c>
      <c r="P179" s="111">
        <f t="shared" si="117"/>
        <v>0</v>
      </c>
      <c r="Q179" s="111">
        <f t="shared" si="117"/>
        <v>1254.4026118735135</v>
      </c>
      <c r="R179" s="111">
        <f t="shared" si="117"/>
        <v>1452.7709892329729</v>
      </c>
      <c r="S179" s="111">
        <f t="shared" si="117"/>
        <v>0</v>
      </c>
      <c r="T179" s="111">
        <f t="shared" si="117"/>
        <v>0</v>
      </c>
      <c r="U179" s="111">
        <f t="shared" si="117"/>
        <v>0</v>
      </c>
      <c r="V179" s="111">
        <f t="shared" si="117"/>
        <v>1451.4963065056113</v>
      </c>
      <c r="W179" s="111">
        <f t="shared" si="117"/>
        <v>1420.0535385543985</v>
      </c>
      <c r="X179" s="111">
        <f t="shared" si="117"/>
        <v>0</v>
      </c>
      <c r="Y179" s="111">
        <f t="shared" si="117"/>
        <v>0</v>
      </c>
      <c r="Z179" s="111">
        <f t="shared" si="117"/>
        <v>1615.0452045705572</v>
      </c>
      <c r="AA179" s="111">
        <f t="shared" si="117"/>
        <v>0</v>
      </c>
      <c r="AB179" s="111">
        <f t="shared" si="117"/>
        <v>844.54244913810555</v>
      </c>
      <c r="AC179" s="111">
        <f t="shared" si="117"/>
        <v>0</v>
      </c>
      <c r="AD179" s="111">
        <f t="shared" si="117"/>
        <v>1337.3693731523786</v>
      </c>
      <c r="AE179" s="111">
        <f t="shared" si="117"/>
        <v>0</v>
      </c>
      <c r="AF179" s="111">
        <f t="shared" si="117"/>
        <v>0</v>
      </c>
      <c r="AG179" s="111">
        <f t="shared" si="117"/>
        <v>0</v>
      </c>
      <c r="AH179" s="111">
        <f t="shared" si="117"/>
        <v>1572.4543320477458</v>
      </c>
      <c r="AI179" s="111">
        <f t="shared" ref="AI179:BB179" si="118">AI171*AI681</f>
        <v>1145.2044665761277</v>
      </c>
      <c r="AJ179" s="111">
        <f t="shared" si="118"/>
        <v>0</v>
      </c>
      <c r="AK179" s="111">
        <f t="shared" si="118"/>
        <v>0</v>
      </c>
      <c r="AL179" s="111">
        <f t="shared" si="118"/>
        <v>1615.0452045705574</v>
      </c>
      <c r="AM179" s="111">
        <f t="shared" si="118"/>
        <v>0</v>
      </c>
      <c r="AN179" s="111">
        <f t="shared" si="118"/>
        <v>0</v>
      </c>
      <c r="AO179" s="111">
        <f t="shared" si="118"/>
        <v>1478.4030782794978</v>
      </c>
      <c r="AP179" s="111">
        <f t="shared" si="118"/>
        <v>1684.0947661918842</v>
      </c>
      <c r="AQ179" s="111">
        <f t="shared" si="118"/>
        <v>0</v>
      </c>
      <c r="AR179" s="111">
        <f t="shared" si="118"/>
        <v>0</v>
      </c>
      <c r="AS179" s="111">
        <f t="shared" si="118"/>
        <v>0</v>
      </c>
      <c r="AT179" s="111">
        <f t="shared" si="118"/>
        <v>1195.5422785914236</v>
      </c>
      <c r="AU179" s="111">
        <f t="shared" si="118"/>
        <v>0</v>
      </c>
      <c r="AV179" s="111">
        <f t="shared" si="118"/>
        <v>0</v>
      </c>
      <c r="AW179" s="111">
        <f t="shared" si="118"/>
        <v>0</v>
      </c>
      <c r="AX179" s="111">
        <f t="shared" si="118"/>
        <v>1524.5731232269097</v>
      </c>
      <c r="AY179" s="111">
        <f t="shared" si="118"/>
        <v>0</v>
      </c>
      <c r="AZ179" s="111">
        <f t="shared" si="118"/>
        <v>0</v>
      </c>
      <c r="BA179" s="111">
        <f t="shared" si="118"/>
        <v>0</v>
      </c>
      <c r="BB179" s="111">
        <f t="shared" si="118"/>
        <v>897.24733587253183</v>
      </c>
      <c r="BC179" s="104">
        <f t="shared" si="86"/>
        <v>24925.537851764955</v>
      </c>
    </row>
    <row r="180" spans="1:55" x14ac:dyDescent="0.25">
      <c r="B180" s="151" t="s">
        <v>291</v>
      </c>
      <c r="C180" s="151">
        <f>SUM(C172:C179)</f>
        <v>10203.579310344825</v>
      </c>
      <c r="D180" s="151">
        <f t="shared" ref="D180:BB180" si="119">SUM(D172:D179)</f>
        <v>8401.3416043645193</v>
      </c>
      <c r="E180" s="151">
        <f t="shared" si="119"/>
        <v>9162.2495462444458</v>
      </c>
      <c r="F180" s="151">
        <f t="shared" si="119"/>
        <v>10339.290647482016</v>
      </c>
      <c r="G180" s="151">
        <f t="shared" si="119"/>
        <v>7514.9065621939289</v>
      </c>
      <c r="H180" s="151">
        <f t="shared" si="119"/>
        <v>6713.8830383150353</v>
      </c>
      <c r="I180" s="151">
        <f t="shared" si="119"/>
        <v>7542.421383918947</v>
      </c>
      <c r="J180" s="151">
        <f t="shared" si="119"/>
        <v>6754.593206296604</v>
      </c>
      <c r="K180" s="151">
        <f t="shared" si="119"/>
        <v>7394.7185098952268</v>
      </c>
      <c r="L180" s="151">
        <f t="shared" si="119"/>
        <v>9327.996973455718</v>
      </c>
      <c r="M180" s="151">
        <f t="shared" si="119"/>
        <v>7745.254528167341</v>
      </c>
      <c r="N180" s="151">
        <f t="shared" si="119"/>
        <v>8832.1254019292592</v>
      </c>
      <c r="O180" s="151">
        <f t="shared" si="119"/>
        <v>9927.806896551725</v>
      </c>
      <c r="P180" s="151">
        <f t="shared" si="119"/>
        <v>9255.6774701959985</v>
      </c>
      <c r="Q180" s="151">
        <f t="shared" si="119"/>
        <v>7160.5574263147764</v>
      </c>
      <c r="R180" s="151">
        <f t="shared" si="119"/>
        <v>7253.8738107160752</v>
      </c>
      <c r="S180" s="151">
        <f t="shared" si="119"/>
        <v>7514.9065621939271</v>
      </c>
      <c r="T180" s="151">
        <f t="shared" si="119"/>
        <v>7330.5454137699035</v>
      </c>
      <c r="U180" s="151">
        <f t="shared" si="119"/>
        <v>6363.918042681612</v>
      </c>
      <c r="V180" s="151">
        <f t="shared" si="119"/>
        <v>9592.5042464612798</v>
      </c>
      <c r="W180" s="151">
        <f t="shared" si="119"/>
        <v>9048.9659574468078</v>
      </c>
      <c r="X180" s="151">
        <f t="shared" si="119"/>
        <v>7892.9205160009897</v>
      </c>
      <c r="Y180" s="151">
        <f t="shared" si="119"/>
        <v>8683.9218772220902</v>
      </c>
      <c r="Z180" s="151">
        <f t="shared" si="119"/>
        <v>9443.2856745479803</v>
      </c>
      <c r="AA180" s="151">
        <f t="shared" si="119"/>
        <v>9927.8068965517232</v>
      </c>
      <c r="AB180" s="151">
        <f t="shared" si="119"/>
        <v>9010.5478910191723</v>
      </c>
      <c r="AC180" s="151">
        <f t="shared" si="119"/>
        <v>7153.4425950955792</v>
      </c>
      <c r="AD180" s="151">
        <f t="shared" si="119"/>
        <v>7273.1692622950814</v>
      </c>
      <c r="AE180" s="151">
        <f t="shared" si="119"/>
        <v>9249.1157688540643</v>
      </c>
      <c r="AF180" s="151">
        <f t="shared" si="119"/>
        <v>6234.3199641496767</v>
      </c>
      <c r="AG180" s="151">
        <f t="shared" si="119"/>
        <v>6599.6187109290777</v>
      </c>
      <c r="AH180" s="151">
        <f t="shared" si="119"/>
        <v>10391.879600333055</v>
      </c>
      <c r="AI180" s="151">
        <f t="shared" si="119"/>
        <v>7297.5531914893618</v>
      </c>
      <c r="AJ180" s="151">
        <f t="shared" si="119"/>
        <v>7653.7411064252028</v>
      </c>
      <c r="AK180" s="151">
        <f t="shared" si="119"/>
        <v>7960.2617207869152</v>
      </c>
      <c r="AL180" s="151">
        <f t="shared" si="119"/>
        <v>9443.2856745479839</v>
      </c>
      <c r="AM180" s="151">
        <f t="shared" si="119"/>
        <v>8548.9448275862069</v>
      </c>
      <c r="AN180" s="151">
        <f t="shared" si="119"/>
        <v>7754.7567993534039</v>
      </c>
      <c r="AO180" s="151">
        <f t="shared" si="119"/>
        <v>8439.2283952995567</v>
      </c>
      <c r="AP180" s="151">
        <f t="shared" si="119"/>
        <v>9158.8057377049172</v>
      </c>
      <c r="AQ180" s="151">
        <f t="shared" si="119"/>
        <v>9538.1506366307531</v>
      </c>
      <c r="AR180" s="151">
        <f t="shared" si="119"/>
        <v>8392.3537978937948</v>
      </c>
      <c r="AS180" s="151">
        <f t="shared" si="119"/>
        <v>7826.7257614462551</v>
      </c>
      <c r="AT180" s="151">
        <f t="shared" si="119"/>
        <v>8105.7496815286613</v>
      </c>
      <c r="AU180" s="151">
        <f t="shared" si="119"/>
        <v>8772.7411764705867</v>
      </c>
      <c r="AV180" s="151">
        <f t="shared" si="119"/>
        <v>8970.6276077208022</v>
      </c>
      <c r="AW180" s="151">
        <f t="shared" si="119"/>
        <v>8013.8227204138802</v>
      </c>
      <c r="AX180" s="151">
        <f t="shared" si="119"/>
        <v>9872.0977630488815</v>
      </c>
      <c r="AY180" s="151">
        <f t="shared" si="119"/>
        <v>8715.203958090804</v>
      </c>
      <c r="AZ180" s="151">
        <f t="shared" si="119"/>
        <v>7391.962454167684</v>
      </c>
      <c r="BA180" s="151">
        <f t="shared" si="119"/>
        <v>7719.0416686418585</v>
      </c>
      <c r="BB180" s="151">
        <f t="shared" si="119"/>
        <v>5246.2698191933241</v>
      </c>
      <c r="BC180" s="153">
        <f t="shared" si="86"/>
        <v>430062.46979437931</v>
      </c>
    </row>
    <row r="181" spans="1:55" x14ac:dyDescent="0.25">
      <c r="B181" s="111" t="s">
        <v>292</v>
      </c>
      <c r="C181" s="111">
        <f>C180/SUM(C164:C171)</f>
        <v>2757.7241379310335</v>
      </c>
      <c r="D181" s="111">
        <f t="shared" ref="D181:BB181" si="120">D180/SUM(D164:D171)</f>
        <v>2470.9828248130934</v>
      </c>
      <c r="E181" s="111">
        <f t="shared" si="120"/>
        <v>2545.0693184012357</v>
      </c>
      <c r="F181" s="111">
        <f t="shared" si="120"/>
        <v>2794.4028776978416</v>
      </c>
      <c r="G181" s="111">
        <f t="shared" si="120"/>
        <v>2890.348677766895</v>
      </c>
      <c r="H181" s="111">
        <f t="shared" si="120"/>
        <v>2397.8153708267982</v>
      </c>
      <c r="I181" s="111">
        <f t="shared" si="120"/>
        <v>2357.0066824746714</v>
      </c>
      <c r="J181" s="111">
        <f t="shared" si="120"/>
        <v>2597.9204639602317</v>
      </c>
      <c r="K181" s="111">
        <f t="shared" si="120"/>
        <v>2640.9708963911526</v>
      </c>
      <c r="L181" s="111">
        <f t="shared" si="120"/>
        <v>2391.7940957578767</v>
      </c>
      <c r="M181" s="111">
        <f t="shared" si="120"/>
        <v>2347.046826717376</v>
      </c>
      <c r="N181" s="111">
        <f t="shared" si="120"/>
        <v>2523.4644005512173</v>
      </c>
      <c r="O181" s="111">
        <f t="shared" si="120"/>
        <v>2757.7241379310344</v>
      </c>
      <c r="P181" s="111">
        <f t="shared" si="120"/>
        <v>2501.5344514043245</v>
      </c>
      <c r="Q181" s="111">
        <f t="shared" si="120"/>
        <v>2557.3419379695633</v>
      </c>
      <c r="R181" s="111">
        <f t="shared" si="120"/>
        <v>2417.9579369053586</v>
      </c>
      <c r="S181" s="111">
        <f t="shared" si="120"/>
        <v>2890.3486777668954</v>
      </c>
      <c r="T181" s="111">
        <f t="shared" si="120"/>
        <v>2443.5151379233012</v>
      </c>
      <c r="U181" s="111">
        <f t="shared" si="120"/>
        <v>2357.0066824746709</v>
      </c>
      <c r="V181" s="111">
        <f t="shared" si="120"/>
        <v>2664.5845129059112</v>
      </c>
      <c r="W181" s="111">
        <f t="shared" si="120"/>
        <v>2919.021276595744</v>
      </c>
      <c r="X181" s="111">
        <f t="shared" si="120"/>
        <v>2391.7940957578758</v>
      </c>
      <c r="Y181" s="111">
        <f t="shared" si="120"/>
        <v>2412.2005214505807</v>
      </c>
      <c r="Z181" s="111">
        <f t="shared" si="120"/>
        <v>2623.1349095966616</v>
      </c>
      <c r="AA181" s="111">
        <f t="shared" si="120"/>
        <v>2757.7241379310344</v>
      </c>
      <c r="AB181" s="111">
        <f t="shared" si="120"/>
        <v>2502.9299697275483</v>
      </c>
      <c r="AC181" s="111">
        <f t="shared" si="120"/>
        <v>2554.8009268198493</v>
      </c>
      <c r="AD181" s="111">
        <f t="shared" si="120"/>
        <v>2693.7663934426232</v>
      </c>
      <c r="AE181" s="111">
        <f t="shared" si="120"/>
        <v>2890.3486777668959</v>
      </c>
      <c r="AF181" s="111">
        <f t="shared" si="120"/>
        <v>2397.8153708267982</v>
      </c>
      <c r="AG181" s="111">
        <f t="shared" si="120"/>
        <v>2357.0066824746709</v>
      </c>
      <c r="AH181" s="111">
        <f t="shared" si="120"/>
        <v>2664.5845129059112</v>
      </c>
      <c r="AI181" s="111">
        <f t="shared" si="120"/>
        <v>2919.0212765957453</v>
      </c>
      <c r="AJ181" s="111">
        <f t="shared" si="120"/>
        <v>2391.7940957578758</v>
      </c>
      <c r="AK181" s="111">
        <f t="shared" si="120"/>
        <v>2412.2005214505807</v>
      </c>
      <c r="AL181" s="111">
        <f t="shared" si="120"/>
        <v>2623.1349095966616</v>
      </c>
      <c r="AM181" s="111">
        <f t="shared" si="120"/>
        <v>2757.7241379310349</v>
      </c>
      <c r="AN181" s="111">
        <f t="shared" si="120"/>
        <v>2501.534451404324</v>
      </c>
      <c r="AO181" s="111">
        <f t="shared" si="120"/>
        <v>2557.3419379695633</v>
      </c>
      <c r="AP181" s="111">
        <f t="shared" si="120"/>
        <v>2693.7663934426228</v>
      </c>
      <c r="AQ181" s="111">
        <f t="shared" si="120"/>
        <v>2890.3486777668954</v>
      </c>
      <c r="AR181" s="111">
        <f t="shared" si="120"/>
        <v>2397.8153708267987</v>
      </c>
      <c r="AS181" s="111">
        <f t="shared" si="120"/>
        <v>2524.7502456278244</v>
      </c>
      <c r="AT181" s="111">
        <f t="shared" si="120"/>
        <v>2614.7579617834399</v>
      </c>
      <c r="AU181" s="111">
        <f t="shared" si="120"/>
        <v>2658.4064171122991</v>
      </c>
      <c r="AV181" s="111">
        <f t="shared" si="120"/>
        <v>2563.0364593488002</v>
      </c>
      <c r="AW181" s="111">
        <f t="shared" si="120"/>
        <v>2357.0066824746709</v>
      </c>
      <c r="AX181" s="111">
        <f t="shared" si="120"/>
        <v>2597.9204639602322</v>
      </c>
      <c r="AY181" s="111">
        <f t="shared" si="120"/>
        <v>2640.970896391153</v>
      </c>
      <c r="AZ181" s="111">
        <f t="shared" si="120"/>
        <v>2309.9882669274016</v>
      </c>
      <c r="BA181" s="111">
        <f t="shared" si="120"/>
        <v>2412.2005214505812</v>
      </c>
      <c r="BB181" s="111">
        <f t="shared" si="120"/>
        <v>2623.1349095966621</v>
      </c>
      <c r="BC181" s="104"/>
    </row>
    <row r="182" spans="1:55" x14ac:dyDescent="0.25">
      <c r="B182" s="111" t="s">
        <v>293</v>
      </c>
      <c r="C182" s="111">
        <f>SUM(C107:C112,C114:C119,C121:C126,C128:C133,C135:C140,C142:C147,C149:C154,C156:C161)*C181</f>
        <v>10203.579310344823</v>
      </c>
      <c r="D182" s="111">
        <f t="shared" ref="D182:BB182" si="121">SUM(D107:D112,D114:D119,D121:D126,D128:D133,D135:D140,D142:D147,D149:D154,D156:D161)*D181</f>
        <v>8401.3416043645175</v>
      </c>
      <c r="E182" s="111">
        <f t="shared" si="121"/>
        <v>9162.2495462444458</v>
      </c>
      <c r="F182" s="111">
        <f t="shared" si="121"/>
        <v>10339.290647482014</v>
      </c>
      <c r="G182" s="111">
        <f t="shared" si="121"/>
        <v>7514.9065621939271</v>
      </c>
      <c r="H182" s="111">
        <f t="shared" si="121"/>
        <v>6713.8830383150344</v>
      </c>
      <c r="I182" s="111">
        <f t="shared" si="121"/>
        <v>7542.4213839189479</v>
      </c>
      <c r="J182" s="111">
        <f t="shared" si="121"/>
        <v>6754.593206296604</v>
      </c>
      <c r="K182" s="111">
        <f t="shared" si="121"/>
        <v>7394.7185098952268</v>
      </c>
      <c r="L182" s="111">
        <f t="shared" si="121"/>
        <v>9327.996973455718</v>
      </c>
      <c r="M182" s="111">
        <f t="shared" si="121"/>
        <v>7745.2545281673401</v>
      </c>
      <c r="N182" s="111">
        <f t="shared" si="121"/>
        <v>8832.1254019292592</v>
      </c>
      <c r="O182" s="111">
        <f t="shared" si="121"/>
        <v>9927.806896551725</v>
      </c>
      <c r="P182" s="111">
        <f t="shared" si="121"/>
        <v>9255.6774701960003</v>
      </c>
      <c r="Q182" s="111">
        <f t="shared" si="121"/>
        <v>7160.5574263147773</v>
      </c>
      <c r="R182" s="111">
        <f t="shared" si="121"/>
        <v>7253.8738107160752</v>
      </c>
      <c r="S182" s="111">
        <f t="shared" si="121"/>
        <v>7514.906562193928</v>
      </c>
      <c r="T182" s="111">
        <f t="shared" si="121"/>
        <v>7330.5454137699035</v>
      </c>
      <c r="U182" s="111">
        <f t="shared" si="121"/>
        <v>6363.918042681612</v>
      </c>
      <c r="V182" s="111">
        <f t="shared" si="121"/>
        <v>9592.5042464612798</v>
      </c>
      <c r="W182" s="111">
        <f t="shared" si="121"/>
        <v>9048.965957446806</v>
      </c>
      <c r="X182" s="111">
        <f t="shared" si="121"/>
        <v>7892.9205160009897</v>
      </c>
      <c r="Y182" s="111">
        <f t="shared" si="121"/>
        <v>8683.9218772220902</v>
      </c>
      <c r="Z182" s="111">
        <f t="shared" si="121"/>
        <v>9443.2856745479803</v>
      </c>
      <c r="AA182" s="111">
        <f t="shared" si="121"/>
        <v>9927.8068965517232</v>
      </c>
      <c r="AB182" s="111">
        <f t="shared" si="121"/>
        <v>9010.5478910191741</v>
      </c>
      <c r="AC182" s="111">
        <f t="shared" si="121"/>
        <v>7153.4425950955792</v>
      </c>
      <c r="AD182" s="111">
        <f t="shared" si="121"/>
        <v>7273.1692622950823</v>
      </c>
      <c r="AE182" s="111">
        <f t="shared" si="121"/>
        <v>9249.1157688540661</v>
      </c>
      <c r="AF182" s="111">
        <f t="shared" si="121"/>
        <v>6234.3199641496767</v>
      </c>
      <c r="AG182" s="111">
        <f t="shared" si="121"/>
        <v>6599.6187109290786</v>
      </c>
      <c r="AH182" s="111">
        <f t="shared" si="121"/>
        <v>10391.879600333054</v>
      </c>
      <c r="AI182" s="111">
        <f t="shared" si="121"/>
        <v>7297.5531914893636</v>
      </c>
      <c r="AJ182" s="111">
        <f t="shared" si="121"/>
        <v>7653.7411064252019</v>
      </c>
      <c r="AK182" s="111">
        <f t="shared" si="121"/>
        <v>7960.2617207869152</v>
      </c>
      <c r="AL182" s="111">
        <f t="shared" si="121"/>
        <v>9443.2856745479803</v>
      </c>
      <c r="AM182" s="111">
        <f t="shared" si="121"/>
        <v>8548.9448275862087</v>
      </c>
      <c r="AN182" s="111">
        <f t="shared" si="121"/>
        <v>7754.7567993534039</v>
      </c>
      <c r="AO182" s="111">
        <f t="shared" si="121"/>
        <v>8439.2283952995585</v>
      </c>
      <c r="AP182" s="111">
        <f t="shared" si="121"/>
        <v>9158.8057377049172</v>
      </c>
      <c r="AQ182" s="111">
        <f t="shared" si="121"/>
        <v>9538.1506366307531</v>
      </c>
      <c r="AR182" s="111">
        <f t="shared" si="121"/>
        <v>8392.3537978937948</v>
      </c>
      <c r="AS182" s="111">
        <f t="shared" si="121"/>
        <v>7826.7257614462551</v>
      </c>
      <c r="AT182" s="111">
        <f t="shared" si="121"/>
        <v>8105.7496815286631</v>
      </c>
      <c r="AU182" s="111">
        <f t="shared" si="121"/>
        <v>8772.7411764705848</v>
      </c>
      <c r="AV182" s="111">
        <f t="shared" si="121"/>
        <v>8970.6276077208004</v>
      </c>
      <c r="AW182" s="111">
        <f t="shared" si="121"/>
        <v>8013.8227204138811</v>
      </c>
      <c r="AX182" s="111">
        <f t="shared" si="121"/>
        <v>9872.0977630488815</v>
      </c>
      <c r="AY182" s="111">
        <f t="shared" si="121"/>
        <v>8715.203958090804</v>
      </c>
      <c r="AZ182" s="111">
        <f t="shared" si="121"/>
        <v>7391.9624541676849</v>
      </c>
      <c r="BA182" s="111">
        <f t="shared" si="121"/>
        <v>7719.0416686418594</v>
      </c>
      <c r="BB182" s="111">
        <f t="shared" si="121"/>
        <v>5246.2698191933241</v>
      </c>
      <c r="BC182" s="111">
        <f>SUM(C182:BB182)</f>
        <v>430062.46979437931</v>
      </c>
    </row>
    <row r="183" spans="1:55" x14ac:dyDescent="0.25">
      <c r="B183" s="111" t="s">
        <v>229</v>
      </c>
      <c r="C183" s="111" t="b">
        <f>IF(C182=C88,TRUE,FALSE)</f>
        <v>1</v>
      </c>
      <c r="D183" s="111" t="b">
        <f t="shared" ref="D183:BC183" si="122">IF(D182=D88,TRUE,FALSE)</f>
        <v>1</v>
      </c>
      <c r="E183" s="111" t="b">
        <f t="shared" si="122"/>
        <v>1</v>
      </c>
      <c r="F183" s="111" t="b">
        <f t="shared" si="122"/>
        <v>1</v>
      </c>
      <c r="G183" s="111" t="b">
        <f t="shared" si="122"/>
        <v>1</v>
      </c>
      <c r="H183" s="111" t="b">
        <f t="shared" si="122"/>
        <v>1</v>
      </c>
      <c r="I183" s="111" t="b">
        <f t="shared" si="122"/>
        <v>1</v>
      </c>
      <c r="J183" s="111" t="b">
        <f t="shared" si="122"/>
        <v>1</v>
      </c>
      <c r="K183" s="111" t="b">
        <f t="shared" si="122"/>
        <v>1</v>
      </c>
      <c r="L183" s="111" t="b">
        <f t="shared" si="122"/>
        <v>1</v>
      </c>
      <c r="M183" s="111" t="b">
        <f t="shared" si="122"/>
        <v>1</v>
      </c>
      <c r="N183" s="111" t="b">
        <f t="shared" si="122"/>
        <v>1</v>
      </c>
      <c r="O183" s="111" t="b">
        <f t="shared" si="122"/>
        <v>1</v>
      </c>
      <c r="P183" s="111" t="b">
        <f t="shared" si="122"/>
        <v>1</v>
      </c>
      <c r="Q183" s="111" t="b">
        <f t="shared" si="122"/>
        <v>1</v>
      </c>
      <c r="R183" s="111" t="b">
        <f t="shared" si="122"/>
        <v>1</v>
      </c>
      <c r="S183" s="111" t="b">
        <f t="shared" si="122"/>
        <v>1</v>
      </c>
      <c r="T183" s="111" t="b">
        <f t="shared" si="122"/>
        <v>1</v>
      </c>
      <c r="U183" s="111" t="b">
        <f t="shared" si="122"/>
        <v>1</v>
      </c>
      <c r="V183" s="111" t="b">
        <f t="shared" si="122"/>
        <v>1</v>
      </c>
      <c r="W183" s="111" t="b">
        <f t="shared" si="122"/>
        <v>1</v>
      </c>
      <c r="X183" s="111" t="b">
        <f t="shared" si="122"/>
        <v>1</v>
      </c>
      <c r="Y183" s="111" t="b">
        <f t="shared" si="122"/>
        <v>1</v>
      </c>
      <c r="Z183" s="111" t="b">
        <f t="shared" si="122"/>
        <v>1</v>
      </c>
      <c r="AA183" s="111" t="b">
        <f t="shared" si="122"/>
        <v>1</v>
      </c>
      <c r="AB183" s="111" t="b">
        <f t="shared" si="122"/>
        <v>1</v>
      </c>
      <c r="AC183" s="111" t="b">
        <f t="shared" si="122"/>
        <v>1</v>
      </c>
      <c r="AD183" s="111" t="b">
        <f t="shared" si="122"/>
        <v>1</v>
      </c>
      <c r="AE183" s="111" t="b">
        <f t="shared" si="122"/>
        <v>1</v>
      </c>
      <c r="AF183" s="111" t="b">
        <f t="shared" si="122"/>
        <v>1</v>
      </c>
      <c r="AG183" s="111" t="b">
        <f t="shared" si="122"/>
        <v>1</v>
      </c>
      <c r="AH183" s="111" t="b">
        <f t="shared" si="122"/>
        <v>1</v>
      </c>
      <c r="AI183" s="111" t="b">
        <f t="shared" si="122"/>
        <v>1</v>
      </c>
      <c r="AJ183" s="111" t="b">
        <f t="shared" si="122"/>
        <v>1</v>
      </c>
      <c r="AK183" s="111" t="b">
        <f t="shared" si="122"/>
        <v>1</v>
      </c>
      <c r="AL183" s="111" t="b">
        <f t="shared" si="122"/>
        <v>1</v>
      </c>
      <c r="AM183" s="111" t="b">
        <f t="shared" si="122"/>
        <v>1</v>
      </c>
      <c r="AN183" s="111" t="b">
        <f t="shared" si="122"/>
        <v>1</v>
      </c>
      <c r="AO183" s="111" t="b">
        <f t="shared" si="122"/>
        <v>1</v>
      </c>
      <c r="AP183" s="111" t="b">
        <f t="shared" si="122"/>
        <v>1</v>
      </c>
      <c r="AQ183" s="111" t="b">
        <f t="shared" si="122"/>
        <v>1</v>
      </c>
      <c r="AR183" s="111" t="b">
        <f t="shared" si="122"/>
        <v>1</v>
      </c>
      <c r="AS183" s="111" t="b">
        <f t="shared" si="122"/>
        <v>1</v>
      </c>
      <c r="AT183" s="111" t="b">
        <f t="shared" si="122"/>
        <v>1</v>
      </c>
      <c r="AU183" s="111" t="b">
        <f t="shared" si="122"/>
        <v>1</v>
      </c>
      <c r="AV183" s="111" t="b">
        <f t="shared" si="122"/>
        <v>1</v>
      </c>
      <c r="AW183" s="111" t="b">
        <f t="shared" si="122"/>
        <v>1</v>
      </c>
      <c r="AX183" s="111" t="b">
        <f t="shared" si="122"/>
        <v>1</v>
      </c>
      <c r="AY183" s="111" t="b">
        <f t="shared" si="122"/>
        <v>1</v>
      </c>
      <c r="AZ183" s="111" t="b">
        <f t="shared" si="122"/>
        <v>1</v>
      </c>
      <c r="BA183" s="111" t="b">
        <f t="shared" si="122"/>
        <v>1</v>
      </c>
      <c r="BB183" s="111" t="b">
        <f t="shared" si="122"/>
        <v>1</v>
      </c>
      <c r="BC183" s="111" t="b">
        <f t="shared" si="122"/>
        <v>1</v>
      </c>
    </row>
    <row r="184" spans="1:55" x14ac:dyDescent="0.25">
      <c r="B184" s="152"/>
      <c r="C184" s="152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B184" s="111"/>
      <c r="BC184" s="111"/>
    </row>
    <row r="185" spans="1:55" x14ac:dyDescent="0.25"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  <c r="AL185" s="107"/>
      <c r="AM185" s="107"/>
      <c r="AN185" s="107"/>
      <c r="AO185" s="107"/>
      <c r="AP185" s="107"/>
      <c r="AQ185" s="107"/>
      <c r="AR185" s="107"/>
      <c r="AS185" s="107"/>
      <c r="AT185" s="107"/>
      <c r="AU185" s="107"/>
      <c r="AV185" s="107"/>
      <c r="AW185" s="107"/>
      <c r="AX185" s="107"/>
      <c r="AY185" s="107"/>
      <c r="AZ185" s="107"/>
      <c r="BA185" s="107"/>
      <c r="BB185" s="107"/>
      <c r="BC185" s="107"/>
    </row>
    <row r="186" spans="1:55" x14ac:dyDescent="0.25">
      <c r="B186" s="88" t="s">
        <v>94</v>
      </c>
      <c r="C186" s="88">
        <f>IF(C190&gt;0,H2,0)</f>
        <v>8</v>
      </c>
      <c r="D186" s="88">
        <f>IF(D190&gt;0,C186,0)</f>
        <v>8</v>
      </c>
      <c r="E186" s="88">
        <f t="shared" ref="E186:BB186" si="123">IF(E190&gt;0,D186,0)</f>
        <v>8</v>
      </c>
      <c r="F186" s="88">
        <f t="shared" si="123"/>
        <v>8</v>
      </c>
      <c r="G186" s="88">
        <f t="shared" si="123"/>
        <v>8</v>
      </c>
      <c r="H186" s="88">
        <f t="shared" si="123"/>
        <v>8</v>
      </c>
      <c r="I186" s="88">
        <f t="shared" si="123"/>
        <v>8</v>
      </c>
      <c r="J186" s="88">
        <f t="shared" si="123"/>
        <v>8</v>
      </c>
      <c r="K186" s="88">
        <f t="shared" si="123"/>
        <v>8</v>
      </c>
      <c r="L186" s="88">
        <f t="shared" si="123"/>
        <v>8</v>
      </c>
      <c r="M186" s="88">
        <f t="shared" si="123"/>
        <v>8</v>
      </c>
      <c r="N186" s="88">
        <f t="shared" si="123"/>
        <v>8</v>
      </c>
      <c r="O186" s="88">
        <f t="shared" si="123"/>
        <v>8</v>
      </c>
      <c r="P186" s="88">
        <f t="shared" si="123"/>
        <v>8</v>
      </c>
      <c r="Q186" s="88">
        <f t="shared" si="123"/>
        <v>8</v>
      </c>
      <c r="R186" s="88">
        <f t="shared" si="123"/>
        <v>8</v>
      </c>
      <c r="S186" s="88">
        <f t="shared" si="123"/>
        <v>8</v>
      </c>
      <c r="T186" s="88">
        <f t="shared" si="123"/>
        <v>8</v>
      </c>
      <c r="U186" s="88">
        <f t="shared" si="123"/>
        <v>8</v>
      </c>
      <c r="V186" s="88">
        <f t="shared" si="123"/>
        <v>8</v>
      </c>
      <c r="W186" s="88">
        <f t="shared" si="123"/>
        <v>8</v>
      </c>
      <c r="X186" s="88">
        <f t="shared" si="123"/>
        <v>8</v>
      </c>
      <c r="Y186" s="88">
        <f t="shared" si="123"/>
        <v>8</v>
      </c>
      <c r="Z186" s="88">
        <f t="shared" si="123"/>
        <v>8</v>
      </c>
      <c r="AA186" s="88">
        <f t="shared" si="123"/>
        <v>8</v>
      </c>
      <c r="AB186" s="88">
        <f t="shared" si="123"/>
        <v>8</v>
      </c>
      <c r="AC186" s="88">
        <f t="shared" si="123"/>
        <v>8</v>
      </c>
      <c r="AD186" s="88">
        <f t="shared" si="123"/>
        <v>8</v>
      </c>
      <c r="AE186" s="88">
        <f t="shared" si="123"/>
        <v>8</v>
      </c>
      <c r="AF186" s="88">
        <f t="shared" si="123"/>
        <v>8</v>
      </c>
      <c r="AG186" s="88">
        <f t="shared" si="123"/>
        <v>8</v>
      </c>
      <c r="AH186" s="88">
        <f t="shared" si="123"/>
        <v>8</v>
      </c>
      <c r="AI186" s="88">
        <f t="shared" si="123"/>
        <v>8</v>
      </c>
      <c r="AJ186" s="88">
        <f t="shared" si="123"/>
        <v>8</v>
      </c>
      <c r="AK186" s="88">
        <f t="shared" si="123"/>
        <v>8</v>
      </c>
      <c r="AL186" s="88">
        <f t="shared" si="123"/>
        <v>8</v>
      </c>
      <c r="AM186" s="88">
        <f t="shared" si="123"/>
        <v>8</v>
      </c>
      <c r="AN186" s="88">
        <f t="shared" si="123"/>
        <v>8</v>
      </c>
      <c r="AO186" s="88">
        <f t="shared" si="123"/>
        <v>8</v>
      </c>
      <c r="AP186" s="88">
        <f t="shared" si="123"/>
        <v>8</v>
      </c>
      <c r="AQ186" s="88">
        <f t="shared" si="123"/>
        <v>8</v>
      </c>
      <c r="AR186" s="88">
        <f t="shared" si="123"/>
        <v>8</v>
      </c>
      <c r="AS186" s="88">
        <f t="shared" si="123"/>
        <v>8</v>
      </c>
      <c r="AT186" s="88">
        <f t="shared" si="123"/>
        <v>8</v>
      </c>
      <c r="AU186" s="88">
        <f t="shared" si="123"/>
        <v>8</v>
      </c>
      <c r="AV186" s="88">
        <f t="shared" si="123"/>
        <v>8</v>
      </c>
      <c r="AW186" s="88">
        <f t="shared" si="123"/>
        <v>8</v>
      </c>
      <c r="AX186" s="88">
        <f t="shared" si="123"/>
        <v>8</v>
      </c>
      <c r="AY186" s="88">
        <f t="shared" si="123"/>
        <v>8</v>
      </c>
      <c r="AZ186" s="88">
        <f t="shared" si="123"/>
        <v>8</v>
      </c>
      <c r="BA186" s="88">
        <f t="shared" si="123"/>
        <v>8</v>
      </c>
      <c r="BB186" s="88">
        <f t="shared" si="123"/>
        <v>8</v>
      </c>
      <c r="BC186" s="88"/>
    </row>
    <row r="187" spans="1:55" x14ac:dyDescent="0.25">
      <c r="B187" s="88" t="s">
        <v>95</v>
      </c>
      <c r="C187" s="88">
        <f>IF(C190&gt;0,H3,0)</f>
        <v>3</v>
      </c>
      <c r="D187" s="88">
        <f>IF(D190&gt;0,C187,0)</f>
        <v>3</v>
      </c>
      <c r="E187" s="88">
        <f t="shared" ref="E187:BB187" si="124">IF(E190&gt;0,D187,0)</f>
        <v>3</v>
      </c>
      <c r="F187" s="88">
        <f t="shared" si="124"/>
        <v>3</v>
      </c>
      <c r="G187" s="88">
        <f t="shared" si="124"/>
        <v>3</v>
      </c>
      <c r="H187" s="88">
        <f t="shared" si="124"/>
        <v>3</v>
      </c>
      <c r="I187" s="88">
        <f t="shared" si="124"/>
        <v>3</v>
      </c>
      <c r="J187" s="88">
        <f t="shared" si="124"/>
        <v>3</v>
      </c>
      <c r="K187" s="88">
        <f t="shared" si="124"/>
        <v>3</v>
      </c>
      <c r="L187" s="88">
        <f t="shared" si="124"/>
        <v>3</v>
      </c>
      <c r="M187" s="88">
        <f t="shared" si="124"/>
        <v>3</v>
      </c>
      <c r="N187" s="88">
        <f t="shared" si="124"/>
        <v>3</v>
      </c>
      <c r="O187" s="88">
        <f t="shared" si="124"/>
        <v>3</v>
      </c>
      <c r="P187" s="88">
        <f t="shared" si="124"/>
        <v>3</v>
      </c>
      <c r="Q187" s="88">
        <f t="shared" si="124"/>
        <v>3</v>
      </c>
      <c r="R187" s="88">
        <f t="shared" si="124"/>
        <v>3</v>
      </c>
      <c r="S187" s="88">
        <f t="shared" si="124"/>
        <v>3</v>
      </c>
      <c r="T187" s="88">
        <f t="shared" si="124"/>
        <v>3</v>
      </c>
      <c r="U187" s="88">
        <f t="shared" si="124"/>
        <v>3</v>
      </c>
      <c r="V187" s="88">
        <f t="shared" si="124"/>
        <v>3</v>
      </c>
      <c r="W187" s="88">
        <f t="shared" si="124"/>
        <v>3</v>
      </c>
      <c r="X187" s="88">
        <f t="shared" si="124"/>
        <v>3</v>
      </c>
      <c r="Y187" s="88">
        <f t="shared" si="124"/>
        <v>3</v>
      </c>
      <c r="Z187" s="88">
        <f t="shared" si="124"/>
        <v>3</v>
      </c>
      <c r="AA187" s="88">
        <f t="shared" si="124"/>
        <v>3</v>
      </c>
      <c r="AB187" s="88">
        <f t="shared" si="124"/>
        <v>3</v>
      </c>
      <c r="AC187" s="88">
        <f t="shared" si="124"/>
        <v>3</v>
      </c>
      <c r="AD187" s="88">
        <f t="shared" si="124"/>
        <v>3</v>
      </c>
      <c r="AE187" s="88">
        <f t="shared" si="124"/>
        <v>3</v>
      </c>
      <c r="AF187" s="88">
        <f t="shared" si="124"/>
        <v>3</v>
      </c>
      <c r="AG187" s="88">
        <f t="shared" si="124"/>
        <v>3</v>
      </c>
      <c r="AH187" s="88">
        <f t="shared" si="124"/>
        <v>3</v>
      </c>
      <c r="AI187" s="88">
        <f t="shared" si="124"/>
        <v>3</v>
      </c>
      <c r="AJ187" s="88">
        <f t="shared" si="124"/>
        <v>3</v>
      </c>
      <c r="AK187" s="88">
        <f t="shared" si="124"/>
        <v>3</v>
      </c>
      <c r="AL187" s="88">
        <f t="shared" si="124"/>
        <v>3</v>
      </c>
      <c r="AM187" s="88">
        <f t="shared" si="124"/>
        <v>3</v>
      </c>
      <c r="AN187" s="88">
        <f t="shared" si="124"/>
        <v>3</v>
      </c>
      <c r="AO187" s="88">
        <f t="shared" si="124"/>
        <v>3</v>
      </c>
      <c r="AP187" s="88">
        <f t="shared" si="124"/>
        <v>3</v>
      </c>
      <c r="AQ187" s="88">
        <f t="shared" si="124"/>
        <v>3</v>
      </c>
      <c r="AR187" s="88">
        <f t="shared" si="124"/>
        <v>3</v>
      </c>
      <c r="AS187" s="88">
        <f t="shared" si="124"/>
        <v>3</v>
      </c>
      <c r="AT187" s="88">
        <f t="shared" si="124"/>
        <v>3</v>
      </c>
      <c r="AU187" s="88">
        <f t="shared" si="124"/>
        <v>3</v>
      </c>
      <c r="AV187" s="88">
        <f t="shared" si="124"/>
        <v>3</v>
      </c>
      <c r="AW187" s="88">
        <f t="shared" si="124"/>
        <v>3</v>
      </c>
      <c r="AX187" s="88">
        <f t="shared" si="124"/>
        <v>3</v>
      </c>
      <c r="AY187" s="88">
        <f t="shared" si="124"/>
        <v>3</v>
      </c>
      <c r="AZ187" s="88">
        <f t="shared" si="124"/>
        <v>3</v>
      </c>
      <c r="BA187" s="88">
        <f t="shared" si="124"/>
        <v>3</v>
      </c>
      <c r="BB187" s="88">
        <f t="shared" si="124"/>
        <v>3</v>
      </c>
      <c r="BC187" s="88"/>
    </row>
    <row r="188" spans="1:55" x14ac:dyDescent="0.25">
      <c r="B188" s="88" t="s">
        <v>96</v>
      </c>
      <c r="C188" s="88">
        <f>IF(C190&gt;0,C2,0)</f>
        <v>7</v>
      </c>
      <c r="D188" s="88">
        <f>IF(D190&gt;0,C188,0)</f>
        <v>7</v>
      </c>
      <c r="E188" s="88">
        <f t="shared" ref="E188:BB188" si="125">IF(E190&gt;0,D188,0)</f>
        <v>7</v>
      </c>
      <c r="F188" s="88">
        <f t="shared" si="125"/>
        <v>7</v>
      </c>
      <c r="G188" s="88">
        <f t="shared" si="125"/>
        <v>7</v>
      </c>
      <c r="H188" s="88">
        <f t="shared" si="125"/>
        <v>7</v>
      </c>
      <c r="I188" s="88">
        <f t="shared" si="125"/>
        <v>7</v>
      </c>
      <c r="J188" s="88">
        <f t="shared" si="125"/>
        <v>7</v>
      </c>
      <c r="K188" s="88">
        <f t="shared" si="125"/>
        <v>7</v>
      </c>
      <c r="L188" s="88">
        <f t="shared" si="125"/>
        <v>7</v>
      </c>
      <c r="M188" s="88">
        <f t="shared" si="125"/>
        <v>7</v>
      </c>
      <c r="N188" s="88">
        <f t="shared" si="125"/>
        <v>7</v>
      </c>
      <c r="O188" s="88">
        <f t="shared" si="125"/>
        <v>7</v>
      </c>
      <c r="P188" s="88">
        <f t="shared" si="125"/>
        <v>7</v>
      </c>
      <c r="Q188" s="88">
        <f t="shared" si="125"/>
        <v>7</v>
      </c>
      <c r="R188" s="88">
        <f t="shared" si="125"/>
        <v>7</v>
      </c>
      <c r="S188" s="88">
        <f t="shared" si="125"/>
        <v>7</v>
      </c>
      <c r="T188" s="88">
        <f t="shared" si="125"/>
        <v>7</v>
      </c>
      <c r="U188" s="88">
        <f t="shared" si="125"/>
        <v>7</v>
      </c>
      <c r="V188" s="88">
        <f t="shared" si="125"/>
        <v>7</v>
      </c>
      <c r="W188" s="88">
        <f t="shared" si="125"/>
        <v>7</v>
      </c>
      <c r="X188" s="88">
        <f t="shared" si="125"/>
        <v>7</v>
      </c>
      <c r="Y188" s="88">
        <f t="shared" si="125"/>
        <v>7</v>
      </c>
      <c r="Z188" s="88">
        <f t="shared" si="125"/>
        <v>7</v>
      </c>
      <c r="AA188" s="88">
        <f t="shared" si="125"/>
        <v>7</v>
      </c>
      <c r="AB188" s="88">
        <f t="shared" si="125"/>
        <v>7</v>
      </c>
      <c r="AC188" s="88">
        <f t="shared" si="125"/>
        <v>7</v>
      </c>
      <c r="AD188" s="88">
        <f t="shared" si="125"/>
        <v>7</v>
      </c>
      <c r="AE188" s="88">
        <f t="shared" si="125"/>
        <v>7</v>
      </c>
      <c r="AF188" s="88">
        <f t="shared" si="125"/>
        <v>7</v>
      </c>
      <c r="AG188" s="88">
        <f t="shared" si="125"/>
        <v>7</v>
      </c>
      <c r="AH188" s="88">
        <f t="shared" si="125"/>
        <v>7</v>
      </c>
      <c r="AI188" s="88">
        <f t="shared" si="125"/>
        <v>7</v>
      </c>
      <c r="AJ188" s="88">
        <f t="shared" si="125"/>
        <v>7</v>
      </c>
      <c r="AK188" s="88">
        <f t="shared" si="125"/>
        <v>7</v>
      </c>
      <c r="AL188" s="88">
        <f t="shared" si="125"/>
        <v>7</v>
      </c>
      <c r="AM188" s="88">
        <f t="shared" si="125"/>
        <v>7</v>
      </c>
      <c r="AN188" s="88">
        <f t="shared" si="125"/>
        <v>7</v>
      </c>
      <c r="AO188" s="88">
        <f t="shared" si="125"/>
        <v>7</v>
      </c>
      <c r="AP188" s="88">
        <f t="shared" si="125"/>
        <v>7</v>
      </c>
      <c r="AQ188" s="88">
        <f t="shared" si="125"/>
        <v>7</v>
      </c>
      <c r="AR188" s="88">
        <f t="shared" si="125"/>
        <v>7</v>
      </c>
      <c r="AS188" s="88">
        <f t="shared" si="125"/>
        <v>7</v>
      </c>
      <c r="AT188" s="88">
        <f t="shared" si="125"/>
        <v>7</v>
      </c>
      <c r="AU188" s="88">
        <f t="shared" si="125"/>
        <v>7</v>
      </c>
      <c r="AV188" s="88">
        <f t="shared" si="125"/>
        <v>7</v>
      </c>
      <c r="AW188" s="88">
        <f t="shared" si="125"/>
        <v>7</v>
      </c>
      <c r="AX188" s="88">
        <f t="shared" si="125"/>
        <v>7</v>
      </c>
      <c r="AY188" s="88">
        <f t="shared" si="125"/>
        <v>7</v>
      </c>
      <c r="AZ188" s="88">
        <f t="shared" si="125"/>
        <v>7</v>
      </c>
      <c r="BA188" s="88">
        <f t="shared" si="125"/>
        <v>7</v>
      </c>
      <c r="BB188" s="88">
        <f t="shared" si="125"/>
        <v>7</v>
      </c>
      <c r="BC188" s="88"/>
    </row>
    <row r="189" spans="1:55" x14ac:dyDescent="0.25">
      <c r="B189" s="88" t="s">
        <v>101</v>
      </c>
      <c r="C189" s="88">
        <f>IF(C3&gt;0,C3,0)</f>
        <v>52</v>
      </c>
      <c r="D189" s="88">
        <f>IF(C189-1&gt;0,C189-1,0)</f>
        <v>51</v>
      </c>
      <c r="E189" s="88">
        <f t="shared" ref="E189:BB189" si="126">IF(D189-1&gt;0,D189-1,0)</f>
        <v>50</v>
      </c>
      <c r="F189" s="88">
        <f t="shared" si="126"/>
        <v>49</v>
      </c>
      <c r="G189" s="88">
        <f t="shared" si="126"/>
        <v>48</v>
      </c>
      <c r="H189" s="88">
        <f t="shared" si="126"/>
        <v>47</v>
      </c>
      <c r="I189" s="88">
        <f t="shared" si="126"/>
        <v>46</v>
      </c>
      <c r="J189" s="88">
        <f t="shared" si="126"/>
        <v>45</v>
      </c>
      <c r="K189" s="88">
        <f t="shared" si="126"/>
        <v>44</v>
      </c>
      <c r="L189" s="88">
        <f t="shared" si="126"/>
        <v>43</v>
      </c>
      <c r="M189" s="88">
        <f t="shared" si="126"/>
        <v>42</v>
      </c>
      <c r="N189" s="88">
        <f t="shared" si="126"/>
        <v>41</v>
      </c>
      <c r="O189" s="88">
        <f t="shared" si="126"/>
        <v>40</v>
      </c>
      <c r="P189" s="88">
        <f t="shared" si="126"/>
        <v>39</v>
      </c>
      <c r="Q189" s="88">
        <f t="shared" si="126"/>
        <v>38</v>
      </c>
      <c r="R189" s="88">
        <f t="shared" si="126"/>
        <v>37</v>
      </c>
      <c r="S189" s="88">
        <f t="shared" si="126"/>
        <v>36</v>
      </c>
      <c r="T189" s="88">
        <f t="shared" si="126"/>
        <v>35</v>
      </c>
      <c r="U189" s="88">
        <f t="shared" si="126"/>
        <v>34</v>
      </c>
      <c r="V189" s="88">
        <f t="shared" si="126"/>
        <v>33</v>
      </c>
      <c r="W189" s="88">
        <f t="shared" si="126"/>
        <v>32</v>
      </c>
      <c r="X189" s="88">
        <f t="shared" si="126"/>
        <v>31</v>
      </c>
      <c r="Y189" s="88">
        <f t="shared" si="126"/>
        <v>30</v>
      </c>
      <c r="Z189" s="88">
        <f t="shared" si="126"/>
        <v>29</v>
      </c>
      <c r="AA189" s="88">
        <f t="shared" si="126"/>
        <v>28</v>
      </c>
      <c r="AB189" s="88">
        <f t="shared" si="126"/>
        <v>27</v>
      </c>
      <c r="AC189" s="88">
        <f t="shared" si="126"/>
        <v>26</v>
      </c>
      <c r="AD189" s="88">
        <f t="shared" si="126"/>
        <v>25</v>
      </c>
      <c r="AE189" s="88">
        <f t="shared" si="126"/>
        <v>24</v>
      </c>
      <c r="AF189" s="88">
        <f t="shared" si="126"/>
        <v>23</v>
      </c>
      <c r="AG189" s="88">
        <f t="shared" si="126"/>
        <v>22</v>
      </c>
      <c r="AH189" s="88">
        <f t="shared" si="126"/>
        <v>21</v>
      </c>
      <c r="AI189" s="88">
        <f t="shared" si="126"/>
        <v>20</v>
      </c>
      <c r="AJ189" s="88">
        <f t="shared" si="126"/>
        <v>19</v>
      </c>
      <c r="AK189" s="88">
        <f t="shared" si="126"/>
        <v>18</v>
      </c>
      <c r="AL189" s="88">
        <f t="shared" si="126"/>
        <v>17</v>
      </c>
      <c r="AM189" s="88">
        <f t="shared" si="126"/>
        <v>16</v>
      </c>
      <c r="AN189" s="88">
        <f t="shared" si="126"/>
        <v>15</v>
      </c>
      <c r="AO189" s="88">
        <f t="shared" si="126"/>
        <v>14</v>
      </c>
      <c r="AP189" s="88">
        <f t="shared" si="126"/>
        <v>13</v>
      </c>
      <c r="AQ189" s="88">
        <f t="shared" si="126"/>
        <v>12</v>
      </c>
      <c r="AR189" s="88">
        <f t="shared" si="126"/>
        <v>11</v>
      </c>
      <c r="AS189" s="88">
        <f t="shared" si="126"/>
        <v>10</v>
      </c>
      <c r="AT189" s="88">
        <f t="shared" si="126"/>
        <v>9</v>
      </c>
      <c r="AU189" s="88">
        <f t="shared" si="126"/>
        <v>8</v>
      </c>
      <c r="AV189" s="88">
        <f t="shared" si="126"/>
        <v>7</v>
      </c>
      <c r="AW189" s="88">
        <f t="shared" si="126"/>
        <v>6</v>
      </c>
      <c r="AX189" s="88">
        <f t="shared" si="126"/>
        <v>5</v>
      </c>
      <c r="AY189" s="88">
        <f t="shared" si="126"/>
        <v>4</v>
      </c>
      <c r="AZ189" s="88">
        <f t="shared" si="126"/>
        <v>3</v>
      </c>
      <c r="BA189" s="88">
        <f t="shared" si="126"/>
        <v>2</v>
      </c>
      <c r="BB189" s="88">
        <f t="shared" si="126"/>
        <v>1</v>
      </c>
      <c r="BC189" s="88"/>
    </row>
    <row r="190" spans="1:55" x14ac:dyDescent="0.25">
      <c r="B190" s="88" t="s">
        <v>102</v>
      </c>
      <c r="C190" s="88">
        <f t="shared" ref="C190:N190" si="127">IF(C189&gt;0,1,0)</f>
        <v>1</v>
      </c>
      <c r="D190" s="88">
        <f t="shared" si="127"/>
        <v>1</v>
      </c>
      <c r="E190" s="88">
        <f t="shared" si="127"/>
        <v>1</v>
      </c>
      <c r="F190" s="88">
        <f t="shared" si="127"/>
        <v>1</v>
      </c>
      <c r="G190" s="88">
        <f t="shared" si="127"/>
        <v>1</v>
      </c>
      <c r="H190" s="88">
        <f t="shared" si="127"/>
        <v>1</v>
      </c>
      <c r="I190" s="88">
        <f t="shared" si="127"/>
        <v>1</v>
      </c>
      <c r="J190" s="88">
        <f t="shared" si="127"/>
        <v>1</v>
      </c>
      <c r="K190" s="88">
        <f t="shared" si="127"/>
        <v>1</v>
      </c>
      <c r="L190" s="88">
        <f t="shared" si="127"/>
        <v>1</v>
      </c>
      <c r="M190" s="88">
        <f t="shared" si="127"/>
        <v>1</v>
      </c>
      <c r="N190" s="88">
        <f t="shared" si="127"/>
        <v>1</v>
      </c>
      <c r="O190" s="88">
        <f>IF(O189&gt;0,1,0)</f>
        <v>1</v>
      </c>
      <c r="P190" s="88">
        <f>IF(P189&gt;0,1,0)</f>
        <v>1</v>
      </c>
      <c r="Q190" s="88">
        <f t="shared" ref="Q190:BB190" si="128">IF(Q189&gt;0,1,0)</f>
        <v>1</v>
      </c>
      <c r="R190" s="88">
        <f t="shared" si="128"/>
        <v>1</v>
      </c>
      <c r="S190" s="88">
        <f t="shared" si="128"/>
        <v>1</v>
      </c>
      <c r="T190" s="88">
        <f t="shared" si="128"/>
        <v>1</v>
      </c>
      <c r="U190" s="88">
        <f t="shared" si="128"/>
        <v>1</v>
      </c>
      <c r="V190" s="88">
        <f t="shared" si="128"/>
        <v>1</v>
      </c>
      <c r="W190" s="88">
        <f t="shared" si="128"/>
        <v>1</v>
      </c>
      <c r="X190" s="88">
        <f t="shared" si="128"/>
        <v>1</v>
      </c>
      <c r="Y190" s="88">
        <f t="shared" si="128"/>
        <v>1</v>
      </c>
      <c r="Z190" s="88">
        <f t="shared" si="128"/>
        <v>1</v>
      </c>
      <c r="AA190" s="88">
        <f t="shared" si="128"/>
        <v>1</v>
      </c>
      <c r="AB190" s="88">
        <f t="shared" si="128"/>
        <v>1</v>
      </c>
      <c r="AC190" s="88">
        <f t="shared" si="128"/>
        <v>1</v>
      </c>
      <c r="AD190" s="88">
        <f t="shared" si="128"/>
        <v>1</v>
      </c>
      <c r="AE190" s="88">
        <f t="shared" si="128"/>
        <v>1</v>
      </c>
      <c r="AF190" s="88">
        <f t="shared" si="128"/>
        <v>1</v>
      </c>
      <c r="AG190" s="88">
        <f t="shared" si="128"/>
        <v>1</v>
      </c>
      <c r="AH190" s="88">
        <f t="shared" si="128"/>
        <v>1</v>
      </c>
      <c r="AI190" s="88">
        <f t="shared" si="128"/>
        <v>1</v>
      </c>
      <c r="AJ190" s="88">
        <f t="shared" si="128"/>
        <v>1</v>
      </c>
      <c r="AK190" s="88">
        <f t="shared" si="128"/>
        <v>1</v>
      </c>
      <c r="AL190" s="88">
        <f t="shared" si="128"/>
        <v>1</v>
      </c>
      <c r="AM190" s="88">
        <f t="shared" si="128"/>
        <v>1</v>
      </c>
      <c r="AN190" s="88">
        <f t="shared" si="128"/>
        <v>1</v>
      </c>
      <c r="AO190" s="88">
        <f t="shared" si="128"/>
        <v>1</v>
      </c>
      <c r="AP190" s="88">
        <f t="shared" si="128"/>
        <v>1</v>
      </c>
      <c r="AQ190" s="88">
        <f t="shared" si="128"/>
        <v>1</v>
      </c>
      <c r="AR190" s="88">
        <f t="shared" si="128"/>
        <v>1</v>
      </c>
      <c r="AS190" s="88">
        <f t="shared" si="128"/>
        <v>1</v>
      </c>
      <c r="AT190" s="88">
        <f t="shared" si="128"/>
        <v>1</v>
      </c>
      <c r="AU190" s="88">
        <f t="shared" si="128"/>
        <v>1</v>
      </c>
      <c r="AV190" s="88">
        <f t="shared" si="128"/>
        <v>1</v>
      </c>
      <c r="AW190" s="88">
        <f t="shared" si="128"/>
        <v>1</v>
      </c>
      <c r="AX190" s="88">
        <f t="shared" si="128"/>
        <v>1</v>
      </c>
      <c r="AY190" s="88">
        <f t="shared" si="128"/>
        <v>1</v>
      </c>
      <c r="AZ190" s="88">
        <f t="shared" si="128"/>
        <v>1</v>
      </c>
      <c r="BA190" s="88">
        <f t="shared" si="128"/>
        <v>1</v>
      </c>
      <c r="BB190" s="88">
        <f t="shared" si="128"/>
        <v>1</v>
      </c>
      <c r="BC190" s="88"/>
    </row>
    <row r="191" spans="1:55" s="103" customFormat="1" x14ac:dyDescent="0.25">
      <c r="A191" s="101">
        <f>'Client Data'!A241</f>
        <v>8</v>
      </c>
      <c r="B191" s="107" t="str">
        <f>'Client Data'!B241</f>
        <v>SDT Type A</v>
      </c>
      <c r="C191" s="102">
        <f t="shared" ref="C191" si="129">IF(OR(C$190&gt;0,$A191),SUM(C192:C197),0)</f>
        <v>0.8</v>
      </c>
      <c r="D191" s="102">
        <f t="shared" ref="D191" si="130">IF(OR(D$190&gt;0,$A191),SUM(D192:D197),0)</f>
        <v>1</v>
      </c>
      <c r="E191" s="102">
        <f t="shared" ref="E191" si="131">IF(OR(E$190&gt;0,$A191),SUM(E192:E197),0)</f>
        <v>0.6</v>
      </c>
      <c r="F191" s="102">
        <f t="shared" ref="F191" si="132">IF(OR(F$190&gt;0,$A191),SUM(F192:F197),0)</f>
        <v>1.2</v>
      </c>
      <c r="G191" s="102">
        <f t="shared" ref="G191" si="133">IF(OR(G$190&gt;0,$A191),SUM(G192:G197),0)</f>
        <v>0.6</v>
      </c>
      <c r="H191" s="102">
        <f t="shared" ref="H191" si="134">IF(OR(H$190&gt;0,$A191),SUM(H192:H197),0)</f>
        <v>0.8</v>
      </c>
      <c r="I191" s="102">
        <f t="shared" ref="I191" si="135">IF(OR(I$190&gt;0,$A191),SUM(I192:I197),0)</f>
        <v>0.8</v>
      </c>
      <c r="J191" s="102">
        <f t="shared" ref="J191" si="136">IF(OR(J$190&gt;0,$A191),SUM(J192:J197),0)</f>
        <v>1</v>
      </c>
      <c r="K191" s="102">
        <f t="shared" ref="K191" si="137">IF(OR(K$190&gt;0,$A191),SUM(K192:K197),0)</f>
        <v>0.6</v>
      </c>
      <c r="L191" s="102">
        <f t="shared" ref="L191" si="138">IF(OR(L$190&gt;0,$A191),SUM(L192:L197),0)</f>
        <v>1.2</v>
      </c>
      <c r="M191" s="102">
        <f t="shared" ref="M191" si="139">IF(OR(M$190&gt;0,$A191),SUM(M192:M197),0)</f>
        <v>0.6</v>
      </c>
      <c r="N191" s="102">
        <f t="shared" ref="N191" si="140">IF(OR(N$190&gt;0,$A191),SUM(N192:N197),0)</f>
        <v>0.8</v>
      </c>
      <c r="O191" s="102">
        <f t="shared" ref="O191" si="141">IF(OR(O$190&gt;0,$A191),SUM(O192:O197),0)</f>
        <v>1</v>
      </c>
      <c r="P191" s="102">
        <f t="shared" ref="P191" si="142">IF(OR(P$190&gt;0,$A191),SUM(P192:P197),0)</f>
        <v>0.6</v>
      </c>
      <c r="Q191" s="102">
        <f t="shared" ref="Q191" si="143">IF(OR(Q$190&gt;0,$A191),SUM(Q192:Q197),0)</f>
        <v>1.2</v>
      </c>
      <c r="R191" s="102">
        <f t="shared" ref="R191" si="144">IF(OR(R$190&gt;0,$A191),SUM(R192:R197),0)</f>
        <v>0.6</v>
      </c>
      <c r="S191" s="102">
        <f t="shared" ref="S191" si="145">IF(OR(S$190&gt;0,$A191),SUM(S192:S197),0)</f>
        <v>0.8</v>
      </c>
      <c r="T191" s="102">
        <f t="shared" ref="T191" si="146">IF(OR(T$190&gt;0,$A191),SUM(T192:T197),0)</f>
        <v>0.8</v>
      </c>
      <c r="U191" s="102">
        <f t="shared" ref="U191" si="147">IF(OR(U$190&gt;0,$A191),SUM(U192:U197),0)</f>
        <v>1</v>
      </c>
      <c r="V191" s="102">
        <f t="shared" ref="V191" si="148">IF(OR(V$190&gt;0,$A191),SUM(V192:V197),0)</f>
        <v>0.6</v>
      </c>
      <c r="W191" s="102">
        <f t="shared" ref="W191" si="149">IF(OR(W$190&gt;0,$A191),SUM(W192:W197),0)</f>
        <v>1.2</v>
      </c>
      <c r="X191" s="102">
        <f t="shared" ref="X191" si="150">IF(OR(X$190&gt;0,$A191),SUM(X192:X197),0)</f>
        <v>0.6</v>
      </c>
      <c r="Y191" s="102">
        <f t="shared" ref="Y191" si="151">IF(OR(Y$190&gt;0,$A191),SUM(Y192:Y197),0)</f>
        <v>0.8</v>
      </c>
      <c r="Z191" s="102">
        <f t="shared" ref="Z191" si="152">IF(OR(Z$190&gt;0,$A191),SUM(Z192:Z197),0)</f>
        <v>1</v>
      </c>
      <c r="AA191" s="102">
        <f t="shared" ref="AA191" si="153">IF(OR(AA$190&gt;0,$A191),SUM(AA192:AA197),0)</f>
        <v>0.6</v>
      </c>
      <c r="AB191" s="102">
        <f t="shared" ref="AB191" si="154">IF(OR(AB$190&gt;0,$A191),SUM(AB192:AB197),0)</f>
        <v>1.2</v>
      </c>
      <c r="AC191" s="102">
        <f t="shared" ref="AC191" si="155">IF(OR(AC$190&gt;0,$A191),SUM(AC192:AC197),0)</f>
        <v>0.6</v>
      </c>
      <c r="AD191" s="102">
        <f t="shared" ref="AD191" si="156">IF(OR(AD$190&gt;0,$A191),SUM(AD192:AD197),0)</f>
        <v>0.8</v>
      </c>
      <c r="AE191" s="102">
        <f t="shared" ref="AE191" si="157">IF(OR(AE$190&gt;0,$A191),SUM(AE192:AE197),0)</f>
        <v>0.8</v>
      </c>
      <c r="AF191" s="102">
        <f t="shared" ref="AF191" si="158">IF(OR(AF$190&gt;0,$A191),SUM(AF192:AF197),0)</f>
        <v>1</v>
      </c>
      <c r="AG191" s="102">
        <f t="shared" ref="AG191" si="159">IF(OR(AG$190&gt;0,$A191),SUM(AG192:AG197),0)</f>
        <v>0.6</v>
      </c>
      <c r="AH191" s="102">
        <f t="shared" ref="AH191" si="160">IF(OR(AH$190&gt;0,$A191),SUM(AH192:AH197),0)</f>
        <v>1.2</v>
      </c>
      <c r="AI191" s="102">
        <f t="shared" ref="AI191" si="161">IF(OR(AI$190&gt;0,$A191),SUM(AI192:AI197),0)</f>
        <v>0.6</v>
      </c>
      <c r="AJ191" s="102">
        <f t="shared" ref="AJ191" si="162">IF(OR(AJ$190&gt;0,$A191),SUM(AJ192:AJ197),0)</f>
        <v>0.8</v>
      </c>
      <c r="AK191" s="102">
        <f t="shared" ref="AK191" si="163">IF(OR(AK$190&gt;0,$A191),SUM(AK192:AK197),0)</f>
        <v>0.8</v>
      </c>
      <c r="AL191" s="102">
        <f t="shared" ref="AL191" si="164">IF(OR(AL$190&gt;0,$A191),SUM(AL192:AL197),0)</f>
        <v>0.8</v>
      </c>
      <c r="AM191" s="102">
        <f t="shared" ref="AM191" si="165">IF(OR(AM$190&gt;0,$A191),SUM(AM192:AM197),0)</f>
        <v>1</v>
      </c>
      <c r="AN191" s="102">
        <f t="shared" ref="AN191" si="166">IF(OR(AN$190&gt;0,$A191),SUM(AN192:AN197),0)</f>
        <v>0.6</v>
      </c>
      <c r="AO191" s="102">
        <f t="shared" ref="AO191" si="167">IF(OR(AO$190&gt;0,$A191),SUM(AO192:AO197),0)</f>
        <v>0.8</v>
      </c>
      <c r="AP191" s="102">
        <f t="shared" ref="AP191" si="168">IF(OR(AP$190&gt;0,$A191),SUM(AP192:AP197),0)</f>
        <v>1</v>
      </c>
      <c r="AQ191" s="102">
        <f t="shared" ref="AQ191" si="169">IF(OR(AQ$190&gt;0,$A191),SUM(AQ192:AQ197),0)</f>
        <v>0.6</v>
      </c>
      <c r="AR191" s="102">
        <f t="shared" ref="AR191" si="170">IF(OR(AR$190&gt;0,$A191),SUM(AR192:AR197),0)</f>
        <v>1.2</v>
      </c>
      <c r="AS191" s="102">
        <f t="shared" ref="AS191" si="171">IF(OR(AS$190&gt;0,$A191),SUM(AS192:AS197),0)</f>
        <v>0.6</v>
      </c>
      <c r="AT191" s="102">
        <f t="shared" ref="AT191" si="172">IF(OR(AT$190&gt;0,$A191),SUM(AT192:AT197),0)</f>
        <v>0.8</v>
      </c>
      <c r="AU191" s="102">
        <f t="shared" ref="AU191" si="173">IF(OR(AU$190&gt;0,$A191),SUM(AU192:AU197),0)</f>
        <v>0.8</v>
      </c>
      <c r="AV191" s="102">
        <f t="shared" ref="AV191" si="174">IF(OR(AV$190&gt;0,$A191),SUM(AV192:AV197),0)</f>
        <v>1</v>
      </c>
      <c r="AW191" s="102">
        <f t="shared" ref="AW191" si="175">IF(OR(AW$190&gt;0,$A191),SUM(AW192:AW197),0)</f>
        <v>0.6</v>
      </c>
      <c r="AX191" s="102">
        <f t="shared" ref="AX191" si="176">IF(OR(AX$190&gt;0,$A191),SUM(AX192:AX197),0)</f>
        <v>1.2</v>
      </c>
      <c r="AY191" s="102">
        <f t="shared" ref="AY191" si="177">IF(OR(AY$190&gt;0,$A191),SUM(AY192:AY197),0)</f>
        <v>0.6</v>
      </c>
      <c r="AZ191" s="102">
        <f t="shared" ref="AZ191" si="178">IF(OR(AZ$190&gt;0,$A191),SUM(AZ192:AZ197),0)</f>
        <v>0.8</v>
      </c>
      <c r="BA191" s="102">
        <f t="shared" ref="BA191" si="179">IF(OR(BA$190&gt;0,$A191),SUM(BA192:BA197),0)</f>
        <v>0.8</v>
      </c>
      <c r="BB191" s="102">
        <f t="shared" ref="BB191" si="180">IF(OR(BB$190&gt;0,$A191),SUM(BB192:BB197),0)</f>
        <v>0.4</v>
      </c>
      <c r="BC191" s="107">
        <f>SUM(C191:BB191)</f>
        <v>42.800000000000004</v>
      </c>
    </row>
    <row r="192" spans="1:55" x14ac:dyDescent="0.25">
      <c r="A192" s="64">
        <f>IF(A$191&gt;0,'Client Data'!A242,0)</f>
        <v>6</v>
      </c>
      <c r="B192" s="105" t="str">
        <f>'Client Data'!B242</f>
        <v>SDT1</v>
      </c>
      <c r="C192" s="106">
        <f>IF(OR(C$190,$A192),'Client Data'!C242,0)</f>
        <v>0.4</v>
      </c>
      <c r="D192" s="106">
        <f>IF(OR(D$190,$A192),'Client Data'!D242,0)</f>
        <v>0.5</v>
      </c>
      <c r="E192" s="106">
        <f>IF(OR(E$190,$A192),'Client Data'!E242,0)</f>
        <v>0.3</v>
      </c>
      <c r="F192" s="106">
        <f>IF(OR(F$190,$A192),'Client Data'!F242,0)</f>
        <v>0.6</v>
      </c>
      <c r="G192" s="106">
        <f>IF(OR(G$190,$A192),'Client Data'!G242,0)</f>
        <v>0.3</v>
      </c>
      <c r="H192" s="106">
        <f>IF(OR(H$190,$A192),'Client Data'!H242,0)</f>
        <v>0.4</v>
      </c>
      <c r="I192" s="106">
        <f>IF(OR(I$190,$A192),'Client Data'!I242,0)</f>
        <v>0.4</v>
      </c>
      <c r="J192" s="106">
        <f>IF(OR(J$190,$A192),'Client Data'!J242,0)</f>
        <v>0.5</v>
      </c>
      <c r="K192" s="106">
        <f>IF(OR(K$190,$A192),'Client Data'!K242,0)</f>
        <v>0.3</v>
      </c>
      <c r="L192" s="106">
        <f>IF(OR(L$190,$A192),'Client Data'!L242,0)</f>
        <v>0.6</v>
      </c>
      <c r="M192" s="106">
        <f>IF(OR(M$190,$A192),'Client Data'!M242,0)</f>
        <v>0.3</v>
      </c>
      <c r="N192" s="106">
        <f>IF(OR(N$190,$A192),'Client Data'!N242,0)</f>
        <v>0.4</v>
      </c>
      <c r="O192" s="106">
        <f>IF(OR(O$190,$A192),'Client Data'!O242,0)</f>
        <v>0.5</v>
      </c>
      <c r="P192" s="106">
        <f>IF(OR(P$190,$A192),'Client Data'!P242,0)</f>
        <v>0.3</v>
      </c>
      <c r="Q192" s="106">
        <f>IF(OR(Q$190,$A192),'Client Data'!Q242,0)</f>
        <v>0.6</v>
      </c>
      <c r="R192" s="106">
        <f>IF(OR(R$190,$A192),'Client Data'!R242,0)</f>
        <v>0.3</v>
      </c>
      <c r="S192" s="106">
        <f>IF(OR(S$190,$A192),'Client Data'!S242,0)</f>
        <v>0.4</v>
      </c>
      <c r="T192" s="106">
        <f>IF(OR(T$190,$A192),'Client Data'!T242,0)</f>
        <v>0.4</v>
      </c>
      <c r="U192" s="106">
        <f>IF(OR(U$190,$A192),'Client Data'!U242,0)</f>
        <v>0.5</v>
      </c>
      <c r="V192" s="106">
        <f>IF(OR(V$190,$A192),'Client Data'!V242,0)</f>
        <v>0.3</v>
      </c>
      <c r="W192" s="106">
        <f>IF(OR(W$190,$A192),'Client Data'!W242,0)</f>
        <v>0.6</v>
      </c>
      <c r="X192" s="106">
        <f>IF(OR(X$190,$A192),'Client Data'!X242,0)</f>
        <v>0.3</v>
      </c>
      <c r="Y192" s="106">
        <f>IF(OR(Y$190,$A192),'Client Data'!Y242,0)</f>
        <v>0.4</v>
      </c>
      <c r="Z192" s="106">
        <f>IF(OR(Z$190,$A192),'Client Data'!Z242,0)</f>
        <v>0.5</v>
      </c>
      <c r="AA192" s="106">
        <f>IF(OR(AA$190,$A192),'Client Data'!AA242,0)</f>
        <v>0.3</v>
      </c>
      <c r="AB192" s="106">
        <f>IF(OR(AB$190,$A192),'Client Data'!AB242,0)</f>
        <v>0.6</v>
      </c>
      <c r="AC192" s="106">
        <f>IF(OR(AC$190,$A192),'Client Data'!AC242,0)</f>
        <v>0.3</v>
      </c>
      <c r="AD192" s="106">
        <f>IF(OR(AD$190,$A192),'Client Data'!AD242,0)</f>
        <v>0.4</v>
      </c>
      <c r="AE192" s="106">
        <f>IF(OR(AE$190,$A192),'Client Data'!AE242,0)</f>
        <v>0.4</v>
      </c>
      <c r="AF192" s="106">
        <f>IF(OR(AF$190,$A192),'Client Data'!AF242,0)</f>
        <v>0.5</v>
      </c>
      <c r="AG192" s="106">
        <f>IF(OR(AG$190,$A192),'Client Data'!AG242,0)</f>
        <v>0.3</v>
      </c>
      <c r="AH192" s="106">
        <f>IF(OR(AH$190,$A192),'Client Data'!AH242,0)</f>
        <v>0.6</v>
      </c>
      <c r="AI192" s="106">
        <f>IF(OR(AI$190,$A192),'Client Data'!AI242,0)</f>
        <v>0.3</v>
      </c>
      <c r="AJ192" s="106">
        <f>IF(OR(AJ$190,$A192),'Client Data'!AJ242,0)</f>
        <v>0.4</v>
      </c>
      <c r="AK192" s="106">
        <f>IF(OR(AK$190,$A192),'Client Data'!AK242,0)</f>
        <v>0.4</v>
      </c>
      <c r="AL192" s="106">
        <f>IF(OR(AL$190,$A192),'Client Data'!AL242,0)</f>
        <v>0.4</v>
      </c>
      <c r="AM192" s="106">
        <f>IF(OR(AM$190,$A192),'Client Data'!AM242,0)</f>
        <v>0.5</v>
      </c>
      <c r="AN192" s="106">
        <f>IF(OR(AN$190,$A192),'Client Data'!AN242,0)</f>
        <v>0.3</v>
      </c>
      <c r="AO192" s="106">
        <f>IF(OR(AO$190,$A192),'Client Data'!AO242,0)</f>
        <v>0.4</v>
      </c>
      <c r="AP192" s="106">
        <f>IF(OR(AP$190,$A192),'Client Data'!AP242,0)</f>
        <v>0.5</v>
      </c>
      <c r="AQ192" s="106">
        <f>IF(OR(AQ$190,$A192),'Client Data'!AQ242,0)</f>
        <v>0.3</v>
      </c>
      <c r="AR192" s="106">
        <f>IF(OR(AR$190,$A192),'Client Data'!AR242,0)</f>
        <v>0.6</v>
      </c>
      <c r="AS192" s="106">
        <f>IF(OR(AS$190,$A192),'Client Data'!AS242,0)</f>
        <v>0.3</v>
      </c>
      <c r="AT192" s="106">
        <f>IF(OR(AT$190,$A192),'Client Data'!AT242,0)</f>
        <v>0.4</v>
      </c>
      <c r="AU192" s="106">
        <f>IF(OR(AU$190,$A192),'Client Data'!AU242,0)</f>
        <v>0.4</v>
      </c>
      <c r="AV192" s="106">
        <f>IF(OR(AV$190,$A192),'Client Data'!AV242,0)</f>
        <v>0.5</v>
      </c>
      <c r="AW192" s="106">
        <f>IF(OR(AW$190,$A192),'Client Data'!AW242,0)</f>
        <v>0.3</v>
      </c>
      <c r="AX192" s="106">
        <f>IF(OR(AX$190,$A192),'Client Data'!AX242,0)</f>
        <v>0.6</v>
      </c>
      <c r="AY192" s="106">
        <f>IF(OR(AY$190,$A192),'Client Data'!AY242,0)</f>
        <v>0.3</v>
      </c>
      <c r="AZ192" s="106">
        <f>IF(OR(AZ$190,$A192),'Client Data'!AZ242,0)</f>
        <v>0.4</v>
      </c>
      <c r="BA192" s="106">
        <f>IF(OR(BA$190,$A192),'Client Data'!BA242,0)</f>
        <v>0.4</v>
      </c>
      <c r="BB192" s="106">
        <f>IF(OR(BB$190,$A192),'Client Data'!BB242,0)</f>
        <v>0.2</v>
      </c>
      <c r="BC192" s="104">
        <f t="shared" ref="BC192:BC246" si="181">SUM(C192:BB192)</f>
        <v>21.400000000000002</v>
      </c>
    </row>
    <row r="193" spans="1:55" x14ac:dyDescent="0.25">
      <c r="A193">
        <f>IF(A$191&gt;0,A192-1,0)</f>
        <v>5</v>
      </c>
      <c r="B193" s="105" t="str">
        <f>'Client Data'!B243</f>
        <v>SDT2</v>
      </c>
      <c r="C193" s="106">
        <f>IF(OR(C$190,$A193),'Client Data'!C243,0)</f>
        <v>0</v>
      </c>
      <c r="D193" s="106">
        <f>IF(OR(D$190,$A193),'Client Data'!D243,0)</f>
        <v>0</v>
      </c>
      <c r="E193" s="106">
        <f>IF(OR(E$190,$A193),'Client Data'!E243,0)</f>
        <v>0</v>
      </c>
      <c r="F193" s="106">
        <f>IF(OR(F$190,$A193),'Client Data'!F243,0)</f>
        <v>0</v>
      </c>
      <c r="G193" s="106">
        <f>IF(OR(G$190,$A193),'Client Data'!G243,0)</f>
        <v>0</v>
      </c>
      <c r="H193" s="106">
        <f>IF(OR(H$190,$A193),'Client Data'!H243,0)</f>
        <v>0</v>
      </c>
      <c r="I193" s="106">
        <f>IF(OR(I$190,$A193),'Client Data'!I243,0)</f>
        <v>0</v>
      </c>
      <c r="J193" s="106">
        <f>IF(OR(J$190,$A193),'Client Data'!J243,0)</f>
        <v>0</v>
      </c>
      <c r="K193" s="106">
        <f>IF(OR(K$190,$A193),'Client Data'!K243,0)</f>
        <v>0</v>
      </c>
      <c r="L193" s="106">
        <f>IF(OR(L$190,$A193),'Client Data'!L243,0)</f>
        <v>0</v>
      </c>
      <c r="M193" s="106">
        <f>IF(OR(M$190,$A193),'Client Data'!M243,0)</f>
        <v>0</v>
      </c>
      <c r="N193" s="106">
        <f>IF(OR(N$190,$A193),'Client Data'!N243,0)</f>
        <v>0</v>
      </c>
      <c r="O193" s="106">
        <f>IF(OR(O$190,$A193),'Client Data'!O243,0)</f>
        <v>0</v>
      </c>
      <c r="P193" s="106">
        <f>IF(OR(P$190,$A193),'Client Data'!P243,0)</f>
        <v>0</v>
      </c>
      <c r="Q193" s="106">
        <f>IF(OR(Q$190,$A193),'Client Data'!Q243,0)</f>
        <v>0</v>
      </c>
      <c r="R193" s="106">
        <f>IF(OR(R$190,$A193),'Client Data'!R243,0)</f>
        <v>0</v>
      </c>
      <c r="S193" s="106">
        <f>IF(OR(S$190,$A193),'Client Data'!S243,0)</f>
        <v>0</v>
      </c>
      <c r="T193" s="106">
        <f>IF(OR(T$190,$A193),'Client Data'!T243,0)</f>
        <v>0</v>
      </c>
      <c r="U193" s="106">
        <f>IF(OR(U$190,$A193),'Client Data'!U243,0)</f>
        <v>0</v>
      </c>
      <c r="V193" s="106">
        <f>IF(OR(V$190,$A193),'Client Data'!V243,0)</f>
        <v>0</v>
      </c>
      <c r="W193" s="106">
        <f>IF(OR(W$190,$A193),'Client Data'!W243,0)</f>
        <v>0</v>
      </c>
      <c r="X193" s="106">
        <f>IF(OR(X$190,$A193),'Client Data'!X243,0)</f>
        <v>0</v>
      </c>
      <c r="Y193" s="106">
        <f>IF(OR(Y$190,$A193),'Client Data'!Y243,0)</f>
        <v>0</v>
      </c>
      <c r="Z193" s="106">
        <f>IF(OR(Z$190,$A193),'Client Data'!Z243,0)</f>
        <v>0</v>
      </c>
      <c r="AA193" s="106">
        <f>IF(OR(AA$190,$A193),'Client Data'!AA243,0)</f>
        <v>0</v>
      </c>
      <c r="AB193" s="106">
        <f>IF(OR(AB$190,$A193),'Client Data'!AB243,0)</f>
        <v>0</v>
      </c>
      <c r="AC193" s="106">
        <f>IF(OR(AC$190,$A193),'Client Data'!AC243,0)</f>
        <v>0</v>
      </c>
      <c r="AD193" s="106">
        <f>IF(OR(AD$190,$A193),'Client Data'!AD243,0)</f>
        <v>0</v>
      </c>
      <c r="AE193" s="106">
        <f>IF(OR(AE$190,$A193),'Client Data'!AE243,0)</f>
        <v>0</v>
      </c>
      <c r="AF193" s="106">
        <f>IF(OR(AF$190,$A193),'Client Data'!AF243,0)</f>
        <v>0</v>
      </c>
      <c r="AG193" s="106">
        <f>IF(OR(AG$190,$A193),'Client Data'!AG243,0)</f>
        <v>0</v>
      </c>
      <c r="AH193" s="106">
        <f>IF(OR(AH$190,$A193),'Client Data'!AH243,0)</f>
        <v>0</v>
      </c>
      <c r="AI193" s="106">
        <f>IF(OR(AI$190,$A193),'Client Data'!AI243,0)</f>
        <v>0</v>
      </c>
      <c r="AJ193" s="106">
        <f>IF(OR(AJ$190,$A193),'Client Data'!AJ243,0)</f>
        <v>0</v>
      </c>
      <c r="AK193" s="106">
        <f>IF(OR(AK$190,$A193),'Client Data'!AK243,0)</f>
        <v>0</v>
      </c>
      <c r="AL193" s="106">
        <f>IF(OR(AL$190,$A193),'Client Data'!AL243,0)</f>
        <v>0</v>
      </c>
      <c r="AM193" s="106">
        <f>IF(OR(AM$190,$A193),'Client Data'!AM243,0)</f>
        <v>0</v>
      </c>
      <c r="AN193" s="106">
        <f>IF(OR(AN$190,$A193),'Client Data'!AN243,0)</f>
        <v>0</v>
      </c>
      <c r="AO193" s="106">
        <f>IF(OR(AO$190,$A193),'Client Data'!AO243,0)</f>
        <v>0</v>
      </c>
      <c r="AP193" s="106">
        <f>IF(OR(AP$190,$A193),'Client Data'!AP243,0)</f>
        <v>0</v>
      </c>
      <c r="AQ193" s="106">
        <f>IF(OR(AQ$190,$A193),'Client Data'!AQ243,0)</f>
        <v>0</v>
      </c>
      <c r="AR193" s="106">
        <f>IF(OR(AR$190,$A193),'Client Data'!AR243,0)</f>
        <v>0</v>
      </c>
      <c r="AS193" s="106">
        <f>IF(OR(AS$190,$A193),'Client Data'!AS243,0)</f>
        <v>0</v>
      </c>
      <c r="AT193" s="106">
        <f>IF(OR(AT$190,$A193),'Client Data'!AT243,0)</f>
        <v>0</v>
      </c>
      <c r="AU193" s="106">
        <f>IF(OR(AU$190,$A193),'Client Data'!AU243,0)</f>
        <v>0</v>
      </c>
      <c r="AV193" s="106">
        <f>IF(OR(AV$190,$A193),'Client Data'!AV243,0)</f>
        <v>0</v>
      </c>
      <c r="AW193" s="106">
        <f>IF(OR(AW$190,$A193),'Client Data'!AW243,0)</f>
        <v>0</v>
      </c>
      <c r="AX193" s="106">
        <f>IF(OR(AX$190,$A193),'Client Data'!AX243,0)</f>
        <v>0</v>
      </c>
      <c r="AY193" s="106">
        <f>IF(OR(AY$190,$A193),'Client Data'!AY243,0)</f>
        <v>0</v>
      </c>
      <c r="AZ193" s="106">
        <f>IF(OR(AZ$190,$A193),'Client Data'!AZ243,0)</f>
        <v>0</v>
      </c>
      <c r="BA193" s="106">
        <f>IF(OR(BA$190,$A193),'Client Data'!BA243,0)</f>
        <v>0</v>
      </c>
      <c r="BB193" s="106">
        <f>IF(OR(BB$190,$A193),'Client Data'!BB243,0)</f>
        <v>0</v>
      </c>
      <c r="BC193" s="104">
        <f t="shared" si="181"/>
        <v>0</v>
      </c>
    </row>
    <row r="194" spans="1:55" x14ac:dyDescent="0.25">
      <c r="A194">
        <f t="shared" ref="A194:A197" si="182">IF(A$191&gt;0,A193-1,0)</f>
        <v>4</v>
      </c>
      <c r="B194" s="105" t="str">
        <f>'Client Data'!B244</f>
        <v>SDT3</v>
      </c>
      <c r="C194" s="106">
        <f>IF(OR(C$190,$A194),'Client Data'!C244,0)</f>
        <v>0</v>
      </c>
      <c r="D194" s="106">
        <f>IF(OR(D$190,$A194),'Client Data'!D244,0)</f>
        <v>0</v>
      </c>
      <c r="E194" s="106">
        <f>IF(OR(E$190,$A194),'Client Data'!E244,0)</f>
        <v>0</v>
      </c>
      <c r="F194" s="106">
        <f>IF(OR(F$190,$A194),'Client Data'!F244,0)</f>
        <v>0</v>
      </c>
      <c r="G194" s="106">
        <f>IF(OR(G$190,$A194),'Client Data'!G244,0)</f>
        <v>0</v>
      </c>
      <c r="H194" s="106">
        <f>IF(OR(H$190,$A194),'Client Data'!H244,0)</f>
        <v>0</v>
      </c>
      <c r="I194" s="106">
        <f>IF(OR(I$190,$A194),'Client Data'!I244,0)</f>
        <v>0</v>
      </c>
      <c r="J194" s="106">
        <f>IF(OR(J$190,$A194),'Client Data'!J244,0)</f>
        <v>0</v>
      </c>
      <c r="K194" s="106">
        <f>IF(OR(K$190,$A194),'Client Data'!K244,0)</f>
        <v>0</v>
      </c>
      <c r="L194" s="106">
        <f>IF(OR(L$190,$A194),'Client Data'!L244,0)</f>
        <v>0</v>
      </c>
      <c r="M194" s="106">
        <f>IF(OR(M$190,$A194),'Client Data'!M244,0)</f>
        <v>0</v>
      </c>
      <c r="N194" s="106">
        <f>IF(OR(N$190,$A194),'Client Data'!N244,0)</f>
        <v>0</v>
      </c>
      <c r="O194" s="106">
        <f>IF(OR(O$190,$A194),'Client Data'!O244,0)</f>
        <v>0</v>
      </c>
      <c r="P194" s="106">
        <f>IF(OR(P$190,$A194),'Client Data'!P244,0)</f>
        <v>0</v>
      </c>
      <c r="Q194" s="106">
        <f>IF(OR(Q$190,$A194),'Client Data'!Q244,0)</f>
        <v>0</v>
      </c>
      <c r="R194" s="106">
        <f>IF(OR(R$190,$A194),'Client Data'!R244,0)</f>
        <v>0</v>
      </c>
      <c r="S194" s="106">
        <f>IF(OR(S$190,$A194),'Client Data'!S244,0)</f>
        <v>0</v>
      </c>
      <c r="T194" s="106">
        <f>IF(OR(T$190,$A194),'Client Data'!T244,0)</f>
        <v>0</v>
      </c>
      <c r="U194" s="106">
        <f>IF(OR(U$190,$A194),'Client Data'!U244,0)</f>
        <v>0</v>
      </c>
      <c r="V194" s="106">
        <f>IF(OR(V$190,$A194),'Client Data'!V244,0)</f>
        <v>0</v>
      </c>
      <c r="W194" s="106">
        <f>IF(OR(W$190,$A194),'Client Data'!W244,0)</f>
        <v>0</v>
      </c>
      <c r="X194" s="106">
        <f>IF(OR(X$190,$A194),'Client Data'!X244,0)</f>
        <v>0</v>
      </c>
      <c r="Y194" s="106">
        <f>IF(OR(Y$190,$A194),'Client Data'!Y244,0)</f>
        <v>0</v>
      </c>
      <c r="Z194" s="106">
        <f>IF(OR(Z$190,$A194),'Client Data'!Z244,0)</f>
        <v>0</v>
      </c>
      <c r="AA194" s="106">
        <f>IF(OR(AA$190,$A194),'Client Data'!AA244,0)</f>
        <v>0</v>
      </c>
      <c r="AB194" s="106">
        <f>IF(OR(AB$190,$A194),'Client Data'!AB244,0)</f>
        <v>0</v>
      </c>
      <c r="AC194" s="106">
        <f>IF(OR(AC$190,$A194),'Client Data'!AC244,0)</f>
        <v>0</v>
      </c>
      <c r="AD194" s="106">
        <f>IF(OR(AD$190,$A194),'Client Data'!AD244,0)</f>
        <v>0</v>
      </c>
      <c r="AE194" s="106">
        <f>IF(OR(AE$190,$A194),'Client Data'!AE244,0)</f>
        <v>0</v>
      </c>
      <c r="AF194" s="106">
        <f>IF(OR(AF$190,$A194),'Client Data'!AF244,0)</f>
        <v>0</v>
      </c>
      <c r="AG194" s="106">
        <f>IF(OR(AG$190,$A194),'Client Data'!AG244,0)</f>
        <v>0</v>
      </c>
      <c r="AH194" s="106">
        <f>IF(OR(AH$190,$A194),'Client Data'!AH244,0)</f>
        <v>0</v>
      </c>
      <c r="AI194" s="106">
        <f>IF(OR(AI$190,$A194),'Client Data'!AI244,0)</f>
        <v>0</v>
      </c>
      <c r="AJ194" s="106">
        <f>IF(OR(AJ$190,$A194),'Client Data'!AJ244,0)</f>
        <v>0</v>
      </c>
      <c r="AK194" s="106">
        <f>IF(OR(AK$190,$A194),'Client Data'!AK244,0)</f>
        <v>0</v>
      </c>
      <c r="AL194" s="106">
        <f>IF(OR(AL$190,$A194),'Client Data'!AL244,0)</f>
        <v>0</v>
      </c>
      <c r="AM194" s="106">
        <f>IF(OR(AM$190,$A194),'Client Data'!AM244,0)</f>
        <v>0</v>
      </c>
      <c r="AN194" s="106">
        <f>IF(OR(AN$190,$A194),'Client Data'!AN244,0)</f>
        <v>0</v>
      </c>
      <c r="AO194" s="106">
        <f>IF(OR(AO$190,$A194),'Client Data'!AO244,0)</f>
        <v>0</v>
      </c>
      <c r="AP194" s="106">
        <f>IF(OR(AP$190,$A194),'Client Data'!AP244,0)</f>
        <v>0</v>
      </c>
      <c r="AQ194" s="106">
        <f>IF(OR(AQ$190,$A194),'Client Data'!AQ244,0)</f>
        <v>0</v>
      </c>
      <c r="AR194" s="106">
        <f>IF(OR(AR$190,$A194),'Client Data'!AR244,0)</f>
        <v>0</v>
      </c>
      <c r="AS194" s="106">
        <f>IF(OR(AS$190,$A194),'Client Data'!AS244,0)</f>
        <v>0</v>
      </c>
      <c r="AT194" s="106">
        <f>IF(OR(AT$190,$A194),'Client Data'!AT244,0)</f>
        <v>0</v>
      </c>
      <c r="AU194" s="106">
        <f>IF(OR(AU$190,$A194),'Client Data'!AU244,0)</f>
        <v>0</v>
      </c>
      <c r="AV194" s="106">
        <f>IF(OR(AV$190,$A194),'Client Data'!AV244,0)</f>
        <v>0</v>
      </c>
      <c r="AW194" s="106">
        <f>IF(OR(AW$190,$A194),'Client Data'!AW244,0)</f>
        <v>0</v>
      </c>
      <c r="AX194" s="106">
        <f>IF(OR(AX$190,$A194),'Client Data'!AX244,0)</f>
        <v>0</v>
      </c>
      <c r="AY194" s="106">
        <f>IF(OR(AY$190,$A194),'Client Data'!AY244,0)</f>
        <v>0</v>
      </c>
      <c r="AZ194" s="106">
        <f>IF(OR(AZ$190,$A194),'Client Data'!AZ244,0)</f>
        <v>0</v>
      </c>
      <c r="BA194" s="106">
        <f>IF(OR(BA$190,$A194),'Client Data'!BA244,0)</f>
        <v>0</v>
      </c>
      <c r="BB194" s="106">
        <f>IF(OR(BB$190,$A194),'Client Data'!BB244,0)</f>
        <v>0</v>
      </c>
      <c r="BC194" s="104">
        <f t="shared" si="181"/>
        <v>0</v>
      </c>
    </row>
    <row r="195" spans="1:55" x14ac:dyDescent="0.25">
      <c r="A195">
        <f t="shared" si="182"/>
        <v>3</v>
      </c>
      <c r="B195" s="105" t="str">
        <f>'Client Data'!B245</f>
        <v>SDT4</v>
      </c>
      <c r="C195" s="106">
        <f>IF(OR(C$190,$A195),'Client Data'!C245,0)</f>
        <v>0</v>
      </c>
      <c r="D195" s="106">
        <f>IF(OR(D$190,$A195),'Client Data'!D245,0)</f>
        <v>0</v>
      </c>
      <c r="E195" s="106">
        <f>IF(OR(E$190,$A195),'Client Data'!E245,0)</f>
        <v>0</v>
      </c>
      <c r="F195" s="106">
        <f>IF(OR(F$190,$A195),'Client Data'!F245,0)</f>
        <v>0</v>
      </c>
      <c r="G195" s="106">
        <f>IF(OR(G$190,$A195),'Client Data'!G245,0)</f>
        <v>0</v>
      </c>
      <c r="H195" s="106">
        <f>IF(OR(H$190,$A195),'Client Data'!H245,0)</f>
        <v>0</v>
      </c>
      <c r="I195" s="106">
        <f>IF(OR(I$190,$A195),'Client Data'!I245,0)</f>
        <v>0</v>
      </c>
      <c r="J195" s="106">
        <f>IF(OR(J$190,$A195),'Client Data'!J245,0)</f>
        <v>0</v>
      </c>
      <c r="K195" s="106">
        <f>IF(OR(K$190,$A195),'Client Data'!K245,0)</f>
        <v>0</v>
      </c>
      <c r="L195" s="106">
        <f>IF(OR(L$190,$A195),'Client Data'!L245,0)</f>
        <v>0</v>
      </c>
      <c r="M195" s="106">
        <f>IF(OR(M$190,$A195),'Client Data'!M245,0)</f>
        <v>0</v>
      </c>
      <c r="N195" s="106">
        <f>IF(OR(N$190,$A195),'Client Data'!N245,0)</f>
        <v>0</v>
      </c>
      <c r="O195" s="106">
        <f>IF(OR(O$190,$A195),'Client Data'!O245,0)</f>
        <v>0</v>
      </c>
      <c r="P195" s="106">
        <f>IF(OR(P$190,$A195),'Client Data'!P245,0)</f>
        <v>0</v>
      </c>
      <c r="Q195" s="106">
        <f>IF(OR(Q$190,$A195),'Client Data'!Q245,0)</f>
        <v>0</v>
      </c>
      <c r="R195" s="106">
        <f>IF(OR(R$190,$A195),'Client Data'!R245,0)</f>
        <v>0</v>
      </c>
      <c r="S195" s="106">
        <f>IF(OR(S$190,$A195),'Client Data'!S245,0)</f>
        <v>0</v>
      </c>
      <c r="T195" s="106">
        <f>IF(OR(T$190,$A195),'Client Data'!T245,0)</f>
        <v>0</v>
      </c>
      <c r="U195" s="106">
        <f>IF(OR(U$190,$A195),'Client Data'!U245,0)</f>
        <v>0</v>
      </c>
      <c r="V195" s="106">
        <f>IF(OR(V$190,$A195),'Client Data'!V245,0)</f>
        <v>0</v>
      </c>
      <c r="W195" s="106">
        <f>IF(OR(W$190,$A195),'Client Data'!W245,0)</f>
        <v>0</v>
      </c>
      <c r="X195" s="106">
        <f>IF(OR(X$190,$A195),'Client Data'!X245,0)</f>
        <v>0</v>
      </c>
      <c r="Y195" s="106">
        <f>IF(OR(Y$190,$A195),'Client Data'!Y245,0)</f>
        <v>0</v>
      </c>
      <c r="Z195" s="106">
        <f>IF(OR(Z$190,$A195),'Client Data'!Z245,0)</f>
        <v>0</v>
      </c>
      <c r="AA195" s="106">
        <f>IF(OR(AA$190,$A195),'Client Data'!AA245,0)</f>
        <v>0</v>
      </c>
      <c r="AB195" s="106">
        <f>IF(OR(AB$190,$A195),'Client Data'!AB245,0)</f>
        <v>0</v>
      </c>
      <c r="AC195" s="106">
        <f>IF(OR(AC$190,$A195),'Client Data'!AC245,0)</f>
        <v>0</v>
      </c>
      <c r="AD195" s="106">
        <f>IF(OR(AD$190,$A195),'Client Data'!AD245,0)</f>
        <v>0</v>
      </c>
      <c r="AE195" s="106">
        <f>IF(OR(AE$190,$A195),'Client Data'!AE245,0)</f>
        <v>0</v>
      </c>
      <c r="AF195" s="106">
        <f>IF(OR(AF$190,$A195),'Client Data'!AF245,0)</f>
        <v>0</v>
      </c>
      <c r="AG195" s="106">
        <f>IF(OR(AG$190,$A195),'Client Data'!AG245,0)</f>
        <v>0</v>
      </c>
      <c r="AH195" s="106">
        <f>IF(OR(AH$190,$A195),'Client Data'!AH245,0)</f>
        <v>0</v>
      </c>
      <c r="AI195" s="106">
        <f>IF(OR(AI$190,$A195),'Client Data'!AI245,0)</f>
        <v>0</v>
      </c>
      <c r="AJ195" s="106">
        <f>IF(OR(AJ$190,$A195),'Client Data'!AJ245,0)</f>
        <v>0</v>
      </c>
      <c r="AK195" s="106">
        <f>IF(OR(AK$190,$A195),'Client Data'!AK245,0)</f>
        <v>0</v>
      </c>
      <c r="AL195" s="106">
        <f>IF(OR(AL$190,$A195),'Client Data'!AL245,0)</f>
        <v>0</v>
      </c>
      <c r="AM195" s="106">
        <f>IF(OR(AM$190,$A195),'Client Data'!AM245,0)</f>
        <v>0</v>
      </c>
      <c r="AN195" s="106">
        <f>IF(OR(AN$190,$A195),'Client Data'!AN245,0)</f>
        <v>0</v>
      </c>
      <c r="AO195" s="106">
        <f>IF(OR(AO$190,$A195),'Client Data'!AO245,0)</f>
        <v>0</v>
      </c>
      <c r="AP195" s="106">
        <f>IF(OR(AP$190,$A195),'Client Data'!AP245,0)</f>
        <v>0</v>
      </c>
      <c r="AQ195" s="106">
        <f>IF(OR(AQ$190,$A195),'Client Data'!AQ245,0)</f>
        <v>0</v>
      </c>
      <c r="AR195" s="106">
        <f>IF(OR(AR$190,$A195),'Client Data'!AR245,0)</f>
        <v>0</v>
      </c>
      <c r="AS195" s="106">
        <f>IF(OR(AS$190,$A195),'Client Data'!AS245,0)</f>
        <v>0</v>
      </c>
      <c r="AT195" s="106">
        <f>IF(OR(AT$190,$A195),'Client Data'!AT245,0)</f>
        <v>0</v>
      </c>
      <c r="AU195" s="106">
        <f>IF(OR(AU$190,$A195),'Client Data'!AU245,0)</f>
        <v>0</v>
      </c>
      <c r="AV195" s="106">
        <f>IF(OR(AV$190,$A195),'Client Data'!AV245,0)</f>
        <v>0</v>
      </c>
      <c r="AW195" s="106">
        <f>IF(OR(AW$190,$A195),'Client Data'!AW245,0)</f>
        <v>0</v>
      </c>
      <c r="AX195" s="106">
        <f>IF(OR(AX$190,$A195),'Client Data'!AX245,0)</f>
        <v>0</v>
      </c>
      <c r="AY195" s="106">
        <f>IF(OR(AY$190,$A195),'Client Data'!AY245,0)</f>
        <v>0</v>
      </c>
      <c r="AZ195" s="106">
        <f>IF(OR(AZ$190,$A195),'Client Data'!AZ245,0)</f>
        <v>0</v>
      </c>
      <c r="BA195" s="106">
        <f>IF(OR(BA$190,$A195),'Client Data'!BA245,0)</f>
        <v>0</v>
      </c>
      <c r="BB195" s="106">
        <f>IF(OR(BB$190,$A195),'Client Data'!BB245,0)</f>
        <v>0</v>
      </c>
      <c r="BC195" s="104">
        <f t="shared" si="181"/>
        <v>0</v>
      </c>
    </row>
    <row r="196" spans="1:55" x14ac:dyDescent="0.25">
      <c r="A196">
        <f t="shared" si="182"/>
        <v>2</v>
      </c>
      <c r="B196" s="105" t="str">
        <f>'Client Data'!B246</f>
        <v>SDT5</v>
      </c>
      <c r="C196" s="106">
        <f>IF(OR(C$190,$A196),'Client Data'!C246,0)</f>
        <v>0</v>
      </c>
      <c r="D196" s="106">
        <f>IF(OR(D$190,$A196),'Client Data'!D246,0)</f>
        <v>0</v>
      </c>
      <c r="E196" s="106">
        <f>IF(OR(E$190,$A196),'Client Data'!E246,0)</f>
        <v>0</v>
      </c>
      <c r="F196" s="106">
        <f>IF(OR(F$190,$A196),'Client Data'!F246,0)</f>
        <v>0</v>
      </c>
      <c r="G196" s="106">
        <f>IF(OR(G$190,$A196),'Client Data'!G246,0)</f>
        <v>0</v>
      </c>
      <c r="H196" s="106">
        <f>IF(OR(H$190,$A196),'Client Data'!H246,0)</f>
        <v>0</v>
      </c>
      <c r="I196" s="106">
        <f>IF(OR(I$190,$A196),'Client Data'!I246,0)</f>
        <v>0</v>
      </c>
      <c r="J196" s="106">
        <f>IF(OR(J$190,$A196),'Client Data'!J246,0)</f>
        <v>0</v>
      </c>
      <c r="K196" s="106">
        <f>IF(OR(K$190,$A196),'Client Data'!K246,0)</f>
        <v>0</v>
      </c>
      <c r="L196" s="106">
        <f>IF(OR(L$190,$A196),'Client Data'!L246,0)</f>
        <v>0</v>
      </c>
      <c r="M196" s="106">
        <f>IF(OR(M$190,$A196),'Client Data'!M246,0)</f>
        <v>0</v>
      </c>
      <c r="N196" s="106">
        <f>IF(OR(N$190,$A196),'Client Data'!N246,0)</f>
        <v>0</v>
      </c>
      <c r="O196" s="106">
        <f>IF(OR(O$190,$A196),'Client Data'!O246,0)</f>
        <v>0</v>
      </c>
      <c r="P196" s="106">
        <f>IF(OR(P$190,$A196),'Client Data'!P246,0)</f>
        <v>0</v>
      </c>
      <c r="Q196" s="106">
        <f>IF(OR(Q$190,$A196),'Client Data'!Q246,0)</f>
        <v>0</v>
      </c>
      <c r="R196" s="106">
        <f>IF(OR(R$190,$A196),'Client Data'!R246,0)</f>
        <v>0</v>
      </c>
      <c r="S196" s="106">
        <f>IF(OR(S$190,$A196),'Client Data'!S246,0)</f>
        <v>0</v>
      </c>
      <c r="T196" s="106">
        <f>IF(OR(T$190,$A196),'Client Data'!T246,0)</f>
        <v>0</v>
      </c>
      <c r="U196" s="106">
        <f>IF(OR(U$190,$A196),'Client Data'!U246,0)</f>
        <v>0</v>
      </c>
      <c r="V196" s="106">
        <f>IF(OR(V$190,$A196),'Client Data'!V246,0)</f>
        <v>0</v>
      </c>
      <c r="W196" s="106">
        <f>IF(OR(W$190,$A196),'Client Data'!W246,0)</f>
        <v>0</v>
      </c>
      <c r="X196" s="106">
        <f>IF(OR(X$190,$A196),'Client Data'!X246,0)</f>
        <v>0</v>
      </c>
      <c r="Y196" s="106">
        <f>IF(OR(Y$190,$A196),'Client Data'!Y246,0)</f>
        <v>0</v>
      </c>
      <c r="Z196" s="106">
        <f>IF(OR(Z$190,$A196),'Client Data'!Z246,0)</f>
        <v>0</v>
      </c>
      <c r="AA196" s="106">
        <f>IF(OR(AA$190,$A196),'Client Data'!AA246,0)</f>
        <v>0</v>
      </c>
      <c r="AB196" s="106">
        <f>IF(OR(AB$190,$A196),'Client Data'!AB246,0)</f>
        <v>0</v>
      </c>
      <c r="AC196" s="106">
        <f>IF(OR(AC$190,$A196),'Client Data'!AC246,0)</f>
        <v>0</v>
      </c>
      <c r="AD196" s="106">
        <f>IF(OR(AD$190,$A196),'Client Data'!AD246,0)</f>
        <v>0</v>
      </c>
      <c r="AE196" s="106">
        <f>IF(OR(AE$190,$A196),'Client Data'!AE246,0)</f>
        <v>0</v>
      </c>
      <c r="AF196" s="106">
        <f>IF(OR(AF$190,$A196),'Client Data'!AF246,0)</f>
        <v>0</v>
      </c>
      <c r="AG196" s="106">
        <f>IF(OR(AG$190,$A196),'Client Data'!AG246,0)</f>
        <v>0</v>
      </c>
      <c r="AH196" s="106">
        <f>IF(OR(AH$190,$A196),'Client Data'!AH246,0)</f>
        <v>0</v>
      </c>
      <c r="AI196" s="106">
        <f>IF(OR(AI$190,$A196),'Client Data'!AI246,0)</f>
        <v>0</v>
      </c>
      <c r="AJ196" s="106">
        <f>IF(OR(AJ$190,$A196),'Client Data'!AJ246,0)</f>
        <v>0</v>
      </c>
      <c r="AK196" s="106">
        <f>IF(OR(AK$190,$A196),'Client Data'!AK246,0)</f>
        <v>0</v>
      </c>
      <c r="AL196" s="106">
        <f>IF(OR(AL$190,$A196),'Client Data'!AL246,0)</f>
        <v>0</v>
      </c>
      <c r="AM196" s="106">
        <f>IF(OR(AM$190,$A196),'Client Data'!AM246,0)</f>
        <v>0</v>
      </c>
      <c r="AN196" s="106">
        <f>IF(OR(AN$190,$A196),'Client Data'!AN246,0)</f>
        <v>0</v>
      </c>
      <c r="AO196" s="106">
        <f>IF(OR(AO$190,$A196),'Client Data'!AO246,0)</f>
        <v>0</v>
      </c>
      <c r="AP196" s="106">
        <f>IF(OR(AP$190,$A196),'Client Data'!AP246,0)</f>
        <v>0</v>
      </c>
      <c r="AQ196" s="106">
        <f>IF(OR(AQ$190,$A196),'Client Data'!AQ246,0)</f>
        <v>0</v>
      </c>
      <c r="AR196" s="106">
        <f>IF(OR(AR$190,$A196),'Client Data'!AR246,0)</f>
        <v>0</v>
      </c>
      <c r="AS196" s="106">
        <f>IF(OR(AS$190,$A196),'Client Data'!AS246,0)</f>
        <v>0</v>
      </c>
      <c r="AT196" s="106">
        <f>IF(OR(AT$190,$A196),'Client Data'!AT246,0)</f>
        <v>0</v>
      </c>
      <c r="AU196" s="106">
        <f>IF(OR(AU$190,$A196),'Client Data'!AU246,0)</f>
        <v>0</v>
      </c>
      <c r="AV196" s="106">
        <f>IF(OR(AV$190,$A196),'Client Data'!AV246,0)</f>
        <v>0</v>
      </c>
      <c r="AW196" s="106">
        <f>IF(OR(AW$190,$A196),'Client Data'!AW246,0)</f>
        <v>0</v>
      </c>
      <c r="AX196" s="106">
        <f>IF(OR(AX$190,$A196),'Client Data'!AX246,0)</f>
        <v>0</v>
      </c>
      <c r="AY196" s="106">
        <f>IF(OR(AY$190,$A196),'Client Data'!AY246,0)</f>
        <v>0</v>
      </c>
      <c r="AZ196" s="106">
        <f>IF(OR(AZ$190,$A196),'Client Data'!AZ246,0)</f>
        <v>0</v>
      </c>
      <c r="BA196" s="106">
        <f>IF(OR(BA$190,$A196),'Client Data'!BA246,0)</f>
        <v>0</v>
      </c>
      <c r="BB196" s="106">
        <f>IF(OR(BB$190,$A196),'Client Data'!BB246,0)</f>
        <v>0</v>
      </c>
      <c r="BC196" s="104">
        <f t="shared" si="181"/>
        <v>0</v>
      </c>
    </row>
    <row r="197" spans="1:55" x14ac:dyDescent="0.25">
      <c r="A197">
        <f t="shared" si="182"/>
        <v>1</v>
      </c>
      <c r="B197" s="105" t="str">
        <f>'Client Data'!B247</f>
        <v>SDT6</v>
      </c>
      <c r="C197" s="106">
        <f>IF(OR(C$190,$A197),'Client Data'!C247,0)</f>
        <v>0.4</v>
      </c>
      <c r="D197" s="106">
        <f>IF(OR(D$190,$A197),'Client Data'!D247,0)</f>
        <v>0.5</v>
      </c>
      <c r="E197" s="106">
        <f>IF(OR(E$190,$A197),'Client Data'!E247,0)</f>
        <v>0.3</v>
      </c>
      <c r="F197" s="106">
        <f>IF(OR(F$190,$A197),'Client Data'!F247,0)</f>
        <v>0.6</v>
      </c>
      <c r="G197" s="106">
        <f>IF(OR(G$190,$A197),'Client Data'!G247,0)</f>
        <v>0.3</v>
      </c>
      <c r="H197" s="106">
        <f>IF(OR(H$190,$A197),'Client Data'!H247,0)</f>
        <v>0.4</v>
      </c>
      <c r="I197" s="106">
        <f>IF(OR(I$190,$A197),'Client Data'!I247,0)</f>
        <v>0.4</v>
      </c>
      <c r="J197" s="106">
        <f>IF(OR(J$190,$A197),'Client Data'!J247,0)</f>
        <v>0.5</v>
      </c>
      <c r="K197" s="106">
        <f>IF(OR(K$190,$A197),'Client Data'!K247,0)</f>
        <v>0.3</v>
      </c>
      <c r="L197" s="106">
        <f>IF(OR(L$190,$A197),'Client Data'!L247,0)</f>
        <v>0.6</v>
      </c>
      <c r="M197" s="106">
        <f>IF(OR(M$190,$A197),'Client Data'!M247,0)</f>
        <v>0.3</v>
      </c>
      <c r="N197" s="106">
        <f>IF(OR(N$190,$A197),'Client Data'!N247,0)</f>
        <v>0.4</v>
      </c>
      <c r="O197" s="106">
        <f>IF(OR(O$190,$A197),'Client Data'!O247,0)</f>
        <v>0.5</v>
      </c>
      <c r="P197" s="106">
        <f>IF(OR(P$190,$A197),'Client Data'!P247,0)</f>
        <v>0.3</v>
      </c>
      <c r="Q197" s="106">
        <f>IF(OR(Q$190,$A197),'Client Data'!Q247,0)</f>
        <v>0.6</v>
      </c>
      <c r="R197" s="106">
        <f>IF(OR(R$190,$A197),'Client Data'!R247,0)</f>
        <v>0.3</v>
      </c>
      <c r="S197" s="106">
        <f>IF(OR(S$190,$A197),'Client Data'!S247,0)</f>
        <v>0.4</v>
      </c>
      <c r="T197" s="106">
        <f>IF(OR(T$190,$A197),'Client Data'!T247,0)</f>
        <v>0.4</v>
      </c>
      <c r="U197" s="106">
        <f>IF(OR(U$190,$A197),'Client Data'!U247,0)</f>
        <v>0.5</v>
      </c>
      <c r="V197" s="106">
        <f>IF(OR(V$190,$A197),'Client Data'!V247,0)</f>
        <v>0.3</v>
      </c>
      <c r="W197" s="106">
        <f>IF(OR(W$190,$A197),'Client Data'!W247,0)</f>
        <v>0.6</v>
      </c>
      <c r="X197" s="106">
        <f>IF(OR(X$190,$A197),'Client Data'!X247,0)</f>
        <v>0.3</v>
      </c>
      <c r="Y197" s="106">
        <f>IF(OR(Y$190,$A197),'Client Data'!Y247,0)</f>
        <v>0.4</v>
      </c>
      <c r="Z197" s="106">
        <f>IF(OR(Z$190,$A197),'Client Data'!Z247,0)</f>
        <v>0.5</v>
      </c>
      <c r="AA197" s="106">
        <f>IF(OR(AA$190,$A197),'Client Data'!AA247,0)</f>
        <v>0.3</v>
      </c>
      <c r="AB197" s="106">
        <f>IF(OR(AB$190,$A197),'Client Data'!AB247,0)</f>
        <v>0.6</v>
      </c>
      <c r="AC197" s="106">
        <f>IF(OR(AC$190,$A197),'Client Data'!AC247,0)</f>
        <v>0.3</v>
      </c>
      <c r="AD197" s="106">
        <f>IF(OR(AD$190,$A197),'Client Data'!AD247,0)</f>
        <v>0.4</v>
      </c>
      <c r="AE197" s="106">
        <f>IF(OR(AE$190,$A197),'Client Data'!AE247,0)</f>
        <v>0.4</v>
      </c>
      <c r="AF197" s="106">
        <f>IF(OR(AF$190,$A197),'Client Data'!AF247,0)</f>
        <v>0.5</v>
      </c>
      <c r="AG197" s="106">
        <f>IF(OR(AG$190,$A197),'Client Data'!AG247,0)</f>
        <v>0.3</v>
      </c>
      <c r="AH197" s="106">
        <f>IF(OR(AH$190,$A197),'Client Data'!AH247,0)</f>
        <v>0.6</v>
      </c>
      <c r="AI197" s="106">
        <f>IF(OR(AI$190,$A197),'Client Data'!AI247,0)</f>
        <v>0.3</v>
      </c>
      <c r="AJ197" s="106">
        <f>IF(OR(AJ$190,$A197),'Client Data'!AJ247,0)</f>
        <v>0.4</v>
      </c>
      <c r="AK197" s="106">
        <f>IF(OR(AK$190,$A197),'Client Data'!AK247,0)</f>
        <v>0.4</v>
      </c>
      <c r="AL197" s="106">
        <f>IF(OR(AL$190,$A197),'Client Data'!AL247,0)</f>
        <v>0.4</v>
      </c>
      <c r="AM197" s="106">
        <f>IF(OR(AM$190,$A197),'Client Data'!AM247,0)</f>
        <v>0.5</v>
      </c>
      <c r="AN197" s="106">
        <f>IF(OR(AN$190,$A197),'Client Data'!AN247,0)</f>
        <v>0.3</v>
      </c>
      <c r="AO197" s="106">
        <f>IF(OR(AO$190,$A197),'Client Data'!AO247,0)</f>
        <v>0.4</v>
      </c>
      <c r="AP197" s="106">
        <f>IF(OR(AP$190,$A197),'Client Data'!AP247,0)</f>
        <v>0.5</v>
      </c>
      <c r="AQ197" s="106">
        <f>IF(OR(AQ$190,$A197),'Client Data'!AQ247,0)</f>
        <v>0.3</v>
      </c>
      <c r="AR197" s="106">
        <f>IF(OR(AR$190,$A197),'Client Data'!AR247,0)</f>
        <v>0.6</v>
      </c>
      <c r="AS197" s="106">
        <f>IF(OR(AS$190,$A197),'Client Data'!AS247,0)</f>
        <v>0.3</v>
      </c>
      <c r="AT197" s="106">
        <f>IF(OR(AT$190,$A197),'Client Data'!AT247,0)</f>
        <v>0.4</v>
      </c>
      <c r="AU197" s="106">
        <f>IF(OR(AU$190,$A197),'Client Data'!AU247,0)</f>
        <v>0.4</v>
      </c>
      <c r="AV197" s="106">
        <f>IF(OR(AV$190,$A197),'Client Data'!AV247,0)</f>
        <v>0.5</v>
      </c>
      <c r="AW197" s="106">
        <f>IF(OR(AW$190,$A197),'Client Data'!AW247,0)</f>
        <v>0.3</v>
      </c>
      <c r="AX197" s="106">
        <f>IF(OR(AX$190,$A197),'Client Data'!AX247,0)</f>
        <v>0.6</v>
      </c>
      <c r="AY197" s="106">
        <f>IF(OR(AY$190,$A197),'Client Data'!AY247,0)</f>
        <v>0.3</v>
      </c>
      <c r="AZ197" s="106">
        <f>IF(OR(AZ$190,$A197),'Client Data'!AZ247,0)</f>
        <v>0.4</v>
      </c>
      <c r="BA197" s="106">
        <f>IF(OR(BA$190,$A197),'Client Data'!BA247,0)</f>
        <v>0.4</v>
      </c>
      <c r="BB197" s="106">
        <f>IF(OR(BB$190,$A197),'Client Data'!BB247,0)</f>
        <v>0.2</v>
      </c>
      <c r="BC197" s="104">
        <f t="shared" si="181"/>
        <v>21.400000000000002</v>
      </c>
    </row>
    <row r="198" spans="1:55" x14ac:dyDescent="0.25">
      <c r="A198">
        <f>A191-1</f>
        <v>7</v>
      </c>
      <c r="B198" s="107" t="str">
        <f>'Client Data'!B248</f>
        <v>SDT Type B</v>
      </c>
      <c r="C198" s="102">
        <f t="shared" ref="C198" si="183">IF(OR(C$190&gt;0,$A198),SUM(C199:C204),0)</f>
        <v>0.8</v>
      </c>
      <c r="D198" s="102">
        <f t="shared" ref="D198" si="184">IF(OR(D$190&gt;0,$A198),SUM(D199:D204),0)</f>
        <v>1</v>
      </c>
      <c r="E198" s="102">
        <f t="shared" ref="E198" si="185">IF(OR(E$190&gt;0,$A198),SUM(E199:E204),0)</f>
        <v>0.6</v>
      </c>
      <c r="F198" s="102">
        <f t="shared" ref="F198" si="186">IF(OR(F$190&gt;0,$A198),SUM(F199:F204),0)</f>
        <v>1.2</v>
      </c>
      <c r="G198" s="102">
        <f t="shared" ref="G198" si="187">IF(OR(G$190&gt;0,$A198),SUM(G199:G204),0)</f>
        <v>0.6</v>
      </c>
      <c r="H198" s="102">
        <f t="shared" ref="H198" si="188">IF(OR(H$190&gt;0,$A198),SUM(H199:H204),0)</f>
        <v>0.8</v>
      </c>
      <c r="I198" s="102">
        <f t="shared" ref="I198" si="189">IF(OR(I$190&gt;0,$A198),SUM(I199:I204),0)</f>
        <v>0.8</v>
      </c>
      <c r="J198" s="102">
        <f t="shared" ref="J198" si="190">IF(OR(J$190&gt;0,$A198),SUM(J199:J204),0)</f>
        <v>1</v>
      </c>
      <c r="K198" s="102">
        <f t="shared" ref="K198" si="191">IF(OR(K$190&gt;0,$A198),SUM(K199:K204),0)</f>
        <v>0.6</v>
      </c>
      <c r="L198" s="102">
        <f t="shared" ref="L198" si="192">IF(OR(L$190&gt;0,$A198),SUM(L199:L204),0)</f>
        <v>1.2</v>
      </c>
      <c r="M198" s="102">
        <f t="shared" ref="M198" si="193">IF(OR(M$190&gt;0,$A198),SUM(M199:M204),0)</f>
        <v>0.6</v>
      </c>
      <c r="N198" s="102">
        <f t="shared" ref="N198" si="194">IF(OR(N$190&gt;0,$A198),SUM(N199:N204),0)</f>
        <v>0.8</v>
      </c>
      <c r="O198" s="102">
        <f t="shared" ref="O198" si="195">IF(OR(O$190&gt;0,$A198),SUM(O199:O204),0)</f>
        <v>1</v>
      </c>
      <c r="P198" s="102">
        <f t="shared" ref="P198" si="196">IF(OR(P$190&gt;0,$A198),SUM(P199:P204),0)</f>
        <v>0.6</v>
      </c>
      <c r="Q198" s="102">
        <f t="shared" ref="Q198" si="197">IF(OR(Q$190&gt;0,$A198),SUM(Q199:Q204),0)</f>
        <v>1.2</v>
      </c>
      <c r="R198" s="102">
        <f t="shared" ref="R198" si="198">IF(OR(R$190&gt;0,$A198),SUM(R199:R204),0)</f>
        <v>0.6</v>
      </c>
      <c r="S198" s="102">
        <f t="shared" ref="S198" si="199">IF(OR(S$190&gt;0,$A198),SUM(S199:S204),0)</f>
        <v>0.8</v>
      </c>
      <c r="T198" s="102">
        <f t="shared" ref="T198" si="200">IF(OR(T$190&gt;0,$A198),SUM(T199:T204),0)</f>
        <v>0.8</v>
      </c>
      <c r="U198" s="102">
        <f t="shared" ref="U198" si="201">IF(OR(U$190&gt;0,$A198),SUM(U199:U204),0)</f>
        <v>1</v>
      </c>
      <c r="V198" s="102">
        <f t="shared" ref="V198" si="202">IF(OR(V$190&gt;0,$A198),SUM(V199:V204),0)</f>
        <v>0.6</v>
      </c>
      <c r="W198" s="102">
        <f t="shared" ref="W198" si="203">IF(OR(W$190&gt;0,$A198),SUM(W199:W204),0)</f>
        <v>1.2</v>
      </c>
      <c r="X198" s="102">
        <f t="shared" ref="X198" si="204">IF(OR(X$190&gt;0,$A198),SUM(X199:X204),0)</f>
        <v>0.6</v>
      </c>
      <c r="Y198" s="102">
        <f t="shared" ref="Y198" si="205">IF(OR(Y$190&gt;0,$A198),SUM(Y199:Y204),0)</f>
        <v>0.8</v>
      </c>
      <c r="Z198" s="102">
        <f t="shared" ref="Z198" si="206">IF(OR(Z$190&gt;0,$A198),SUM(Z199:Z204),0)</f>
        <v>1</v>
      </c>
      <c r="AA198" s="102">
        <f t="shared" ref="AA198" si="207">IF(OR(AA$190&gt;0,$A198),SUM(AA199:AA204),0)</f>
        <v>0.6</v>
      </c>
      <c r="AB198" s="102">
        <f t="shared" ref="AB198" si="208">IF(OR(AB$190&gt;0,$A198),SUM(AB199:AB204),0)</f>
        <v>1.2</v>
      </c>
      <c r="AC198" s="102">
        <f t="shared" ref="AC198" si="209">IF(OR(AC$190&gt;0,$A198),SUM(AC199:AC204),0)</f>
        <v>0.6</v>
      </c>
      <c r="AD198" s="102">
        <f t="shared" ref="AD198" si="210">IF(OR(AD$190&gt;0,$A198),SUM(AD199:AD204),0)</f>
        <v>0.8</v>
      </c>
      <c r="AE198" s="102">
        <f t="shared" ref="AE198" si="211">IF(OR(AE$190&gt;0,$A198),SUM(AE199:AE204),0)</f>
        <v>0.8</v>
      </c>
      <c r="AF198" s="102">
        <f t="shared" ref="AF198" si="212">IF(OR(AF$190&gt;0,$A198),SUM(AF199:AF204),0)</f>
        <v>1</v>
      </c>
      <c r="AG198" s="102">
        <f t="shared" ref="AG198" si="213">IF(OR(AG$190&gt;0,$A198),SUM(AG199:AG204),0)</f>
        <v>0.6</v>
      </c>
      <c r="AH198" s="102">
        <f t="shared" ref="AH198" si="214">IF(OR(AH$190&gt;0,$A198),SUM(AH199:AH204),0)</f>
        <v>1.2</v>
      </c>
      <c r="AI198" s="102">
        <f t="shared" ref="AI198" si="215">IF(OR(AI$190&gt;0,$A198),SUM(AI199:AI204),0)</f>
        <v>0.6</v>
      </c>
      <c r="AJ198" s="102">
        <f t="shared" ref="AJ198" si="216">IF(OR(AJ$190&gt;0,$A198),SUM(AJ199:AJ204),0)</f>
        <v>0.8</v>
      </c>
      <c r="AK198" s="102">
        <f t="shared" ref="AK198" si="217">IF(OR(AK$190&gt;0,$A198),SUM(AK199:AK204),0)</f>
        <v>0.8</v>
      </c>
      <c r="AL198" s="102">
        <f t="shared" ref="AL198" si="218">IF(OR(AL$190&gt;0,$A198),SUM(AL199:AL204),0)</f>
        <v>0.8</v>
      </c>
      <c r="AM198" s="102">
        <f t="shared" ref="AM198" si="219">IF(OR(AM$190&gt;0,$A198),SUM(AM199:AM204),0)</f>
        <v>1</v>
      </c>
      <c r="AN198" s="102">
        <f t="shared" ref="AN198" si="220">IF(OR(AN$190&gt;0,$A198),SUM(AN199:AN204),0)</f>
        <v>0.6</v>
      </c>
      <c r="AO198" s="102">
        <f t="shared" ref="AO198" si="221">IF(OR(AO$190&gt;0,$A198),SUM(AO199:AO204),0)</f>
        <v>0.8</v>
      </c>
      <c r="AP198" s="102">
        <f t="shared" ref="AP198" si="222">IF(OR(AP$190&gt;0,$A198),SUM(AP199:AP204),0)</f>
        <v>1</v>
      </c>
      <c r="AQ198" s="102">
        <f t="shared" ref="AQ198" si="223">IF(OR(AQ$190&gt;0,$A198),SUM(AQ199:AQ204),0)</f>
        <v>0.6</v>
      </c>
      <c r="AR198" s="102">
        <f t="shared" ref="AR198" si="224">IF(OR(AR$190&gt;0,$A198),SUM(AR199:AR204),0)</f>
        <v>1.2</v>
      </c>
      <c r="AS198" s="102">
        <f t="shared" ref="AS198" si="225">IF(OR(AS$190&gt;0,$A198),SUM(AS199:AS204),0)</f>
        <v>0.6</v>
      </c>
      <c r="AT198" s="102">
        <f t="shared" ref="AT198" si="226">IF(OR(AT$190&gt;0,$A198),SUM(AT199:AT204),0)</f>
        <v>0.8</v>
      </c>
      <c r="AU198" s="102">
        <f t="shared" ref="AU198" si="227">IF(OR(AU$190&gt;0,$A198),SUM(AU199:AU204),0)</f>
        <v>0.8</v>
      </c>
      <c r="AV198" s="102">
        <f t="shared" ref="AV198" si="228">IF(OR(AV$190&gt;0,$A198),SUM(AV199:AV204),0)</f>
        <v>1</v>
      </c>
      <c r="AW198" s="102">
        <f t="shared" ref="AW198" si="229">IF(OR(AW$190&gt;0,$A198),SUM(AW199:AW204),0)</f>
        <v>0.6</v>
      </c>
      <c r="AX198" s="102">
        <f t="shared" ref="AX198" si="230">IF(OR(AX$190&gt;0,$A198),SUM(AX199:AX204),0)</f>
        <v>1.2</v>
      </c>
      <c r="AY198" s="102">
        <f t="shared" ref="AY198" si="231">IF(OR(AY$190&gt;0,$A198),SUM(AY199:AY204),0)</f>
        <v>0.6</v>
      </c>
      <c r="AZ198" s="102">
        <f t="shared" ref="AZ198" si="232">IF(OR(AZ$190&gt;0,$A198),SUM(AZ199:AZ204),0)</f>
        <v>0.8</v>
      </c>
      <c r="BA198" s="102">
        <f t="shared" ref="BA198" si="233">IF(OR(BA$190&gt;0,$A198),SUM(BA199:BA204),0)</f>
        <v>0.8</v>
      </c>
      <c r="BB198" s="102">
        <f t="shared" ref="BB198" si="234">IF(OR(BB$190&gt;0,$A198),SUM(BB199:BB204),0)</f>
        <v>0.4</v>
      </c>
      <c r="BC198" s="107">
        <f t="shared" si="181"/>
        <v>42.800000000000004</v>
      </c>
    </row>
    <row r="199" spans="1:55" x14ac:dyDescent="0.25">
      <c r="A199">
        <f>IF(A$198&gt;0,A192,0)</f>
        <v>6</v>
      </c>
      <c r="B199" s="105" t="str">
        <f>'Client Data'!B249</f>
        <v>SDT1</v>
      </c>
      <c r="C199" s="106">
        <f>IF(OR(C$190,$A199),'Client Data'!C249,0)</f>
        <v>0</v>
      </c>
      <c r="D199" s="106">
        <f>IF(OR(D$190,$A199),'Client Data'!D249,0)</f>
        <v>0</v>
      </c>
      <c r="E199" s="106">
        <f>IF(OR(E$190,$A199),'Client Data'!E249,0)</f>
        <v>0</v>
      </c>
      <c r="F199" s="106">
        <f>IF(OR(F$190,$A199),'Client Data'!F249,0)</f>
        <v>0</v>
      </c>
      <c r="G199" s="106">
        <f>IF(OR(G$190,$A199),'Client Data'!G249,0)</f>
        <v>0</v>
      </c>
      <c r="H199" s="106">
        <f>IF(OR(H$190,$A199),'Client Data'!H249,0)</f>
        <v>0</v>
      </c>
      <c r="I199" s="106">
        <f>IF(OR(I$190,$A199),'Client Data'!I249,0)</f>
        <v>0</v>
      </c>
      <c r="J199" s="106">
        <f>IF(OR(J$190,$A199),'Client Data'!J249,0)</f>
        <v>0</v>
      </c>
      <c r="K199" s="106">
        <f>IF(OR(K$190,$A199),'Client Data'!K249,0)</f>
        <v>0</v>
      </c>
      <c r="L199" s="106">
        <f>IF(OR(L$190,$A199),'Client Data'!L249,0)</f>
        <v>0</v>
      </c>
      <c r="M199" s="106">
        <f>IF(OR(M$190,$A199),'Client Data'!M249,0)</f>
        <v>0</v>
      </c>
      <c r="N199" s="106">
        <f>IF(OR(N$190,$A199),'Client Data'!N249,0)</f>
        <v>0</v>
      </c>
      <c r="O199" s="106">
        <f>IF(OR(O$190,$A199),'Client Data'!O249,0)</f>
        <v>0</v>
      </c>
      <c r="P199" s="106">
        <f>IF(OR(P$190,$A199),'Client Data'!P249,0)</f>
        <v>0</v>
      </c>
      <c r="Q199" s="106">
        <f>IF(OR(Q$190,$A199),'Client Data'!Q249,0)</f>
        <v>0</v>
      </c>
      <c r="R199" s="106">
        <f>IF(OR(R$190,$A199),'Client Data'!R249,0)</f>
        <v>0</v>
      </c>
      <c r="S199" s="106">
        <f>IF(OR(S$190,$A199),'Client Data'!S249,0)</f>
        <v>0</v>
      </c>
      <c r="T199" s="106">
        <f>IF(OR(T$190,$A199),'Client Data'!T249,0)</f>
        <v>0</v>
      </c>
      <c r="U199" s="106">
        <f>IF(OR(U$190,$A199),'Client Data'!U249,0)</f>
        <v>0</v>
      </c>
      <c r="V199" s="106">
        <f>IF(OR(V$190,$A199),'Client Data'!V249,0)</f>
        <v>0</v>
      </c>
      <c r="W199" s="106">
        <f>IF(OR(W$190,$A199),'Client Data'!W249,0)</f>
        <v>0</v>
      </c>
      <c r="X199" s="106">
        <f>IF(OR(X$190,$A199),'Client Data'!X249,0)</f>
        <v>0</v>
      </c>
      <c r="Y199" s="106">
        <f>IF(OR(Y$190,$A199),'Client Data'!Y249,0)</f>
        <v>0</v>
      </c>
      <c r="Z199" s="106">
        <f>IF(OR(Z$190,$A199),'Client Data'!Z249,0)</f>
        <v>0</v>
      </c>
      <c r="AA199" s="106">
        <f>IF(OR(AA$190,$A199),'Client Data'!AA249,0)</f>
        <v>0</v>
      </c>
      <c r="AB199" s="106">
        <f>IF(OR(AB$190,$A199),'Client Data'!AB249,0)</f>
        <v>0</v>
      </c>
      <c r="AC199" s="106">
        <f>IF(OR(AC$190,$A199),'Client Data'!AC249,0)</f>
        <v>0</v>
      </c>
      <c r="AD199" s="106">
        <f>IF(OR(AD$190,$A199),'Client Data'!AD249,0)</f>
        <v>0</v>
      </c>
      <c r="AE199" s="106">
        <f>IF(OR(AE$190,$A199),'Client Data'!AE249,0)</f>
        <v>0</v>
      </c>
      <c r="AF199" s="106">
        <f>IF(OR(AF$190,$A199),'Client Data'!AF249,0)</f>
        <v>0</v>
      </c>
      <c r="AG199" s="106">
        <f>IF(OR(AG$190,$A199),'Client Data'!AG249,0)</f>
        <v>0</v>
      </c>
      <c r="AH199" s="106">
        <f>IF(OR(AH$190,$A199),'Client Data'!AH249,0)</f>
        <v>0</v>
      </c>
      <c r="AI199" s="106">
        <f>IF(OR(AI$190,$A199),'Client Data'!AI249,0)</f>
        <v>0</v>
      </c>
      <c r="AJ199" s="106">
        <f>IF(OR(AJ$190,$A199),'Client Data'!AJ249,0)</f>
        <v>0</v>
      </c>
      <c r="AK199" s="106">
        <f>IF(OR(AK$190,$A199),'Client Data'!AK249,0)</f>
        <v>0</v>
      </c>
      <c r="AL199" s="106">
        <f>IF(OR(AL$190,$A199),'Client Data'!AL249,0)</f>
        <v>0</v>
      </c>
      <c r="AM199" s="106">
        <f>IF(OR(AM$190,$A199),'Client Data'!AM249,0)</f>
        <v>0</v>
      </c>
      <c r="AN199" s="106">
        <f>IF(OR(AN$190,$A199),'Client Data'!AN249,0)</f>
        <v>0</v>
      </c>
      <c r="AO199" s="106">
        <f>IF(OR(AO$190,$A199),'Client Data'!AO249,0)</f>
        <v>0</v>
      </c>
      <c r="AP199" s="106">
        <f>IF(OR(AP$190,$A199),'Client Data'!AP249,0)</f>
        <v>0</v>
      </c>
      <c r="AQ199" s="106">
        <f>IF(OR(AQ$190,$A199),'Client Data'!AQ249,0)</f>
        <v>0</v>
      </c>
      <c r="AR199" s="106">
        <f>IF(OR(AR$190,$A199),'Client Data'!AR249,0)</f>
        <v>0</v>
      </c>
      <c r="AS199" s="106">
        <f>IF(OR(AS$190,$A199),'Client Data'!AS249,0)</f>
        <v>0</v>
      </c>
      <c r="AT199" s="106">
        <f>IF(OR(AT$190,$A199),'Client Data'!AT249,0)</f>
        <v>0</v>
      </c>
      <c r="AU199" s="106">
        <f>IF(OR(AU$190,$A199),'Client Data'!AU249,0)</f>
        <v>0</v>
      </c>
      <c r="AV199" s="106">
        <f>IF(OR(AV$190,$A199),'Client Data'!AV249,0)</f>
        <v>0</v>
      </c>
      <c r="AW199" s="106">
        <f>IF(OR(AW$190,$A199),'Client Data'!AW249,0)</f>
        <v>0</v>
      </c>
      <c r="AX199" s="106">
        <f>IF(OR(AX$190,$A199),'Client Data'!AX249,0)</f>
        <v>0</v>
      </c>
      <c r="AY199" s="106">
        <f>IF(OR(AY$190,$A199),'Client Data'!AY249,0)</f>
        <v>0</v>
      </c>
      <c r="AZ199" s="106">
        <f>IF(OR(AZ$190,$A199),'Client Data'!AZ249,0)</f>
        <v>0</v>
      </c>
      <c r="BA199" s="106">
        <f>IF(OR(BA$190,$A199),'Client Data'!BA249,0)</f>
        <v>0</v>
      </c>
      <c r="BB199" s="106">
        <f>IF(OR(BB$190,$A199),'Client Data'!BB249,0)</f>
        <v>0</v>
      </c>
      <c r="BC199" s="104">
        <f t="shared" si="181"/>
        <v>0</v>
      </c>
    </row>
    <row r="200" spans="1:55" x14ac:dyDescent="0.25">
      <c r="A200">
        <f>IF(A$198&gt;0,A199-1,0)</f>
        <v>5</v>
      </c>
      <c r="B200" s="105" t="str">
        <f>'Client Data'!B250</f>
        <v>SDT2</v>
      </c>
      <c r="C200" s="106">
        <f>IF(OR(C$190,$A200),'Client Data'!C250,0)</f>
        <v>0</v>
      </c>
      <c r="D200" s="106">
        <f>IF(OR(D$190,$A200),'Client Data'!D250,0)</f>
        <v>0</v>
      </c>
      <c r="E200" s="106">
        <f>IF(OR(E$190,$A200),'Client Data'!E250,0)</f>
        <v>0</v>
      </c>
      <c r="F200" s="106">
        <f>IF(OR(F$190,$A200),'Client Data'!F250,0)</f>
        <v>0</v>
      </c>
      <c r="G200" s="106">
        <f>IF(OR(G$190,$A200),'Client Data'!G250,0)</f>
        <v>0</v>
      </c>
      <c r="H200" s="106">
        <f>IF(OR(H$190,$A200),'Client Data'!H250,0)</f>
        <v>0</v>
      </c>
      <c r="I200" s="106">
        <f>IF(OR(I$190,$A200),'Client Data'!I250,0)</f>
        <v>0</v>
      </c>
      <c r="J200" s="106">
        <f>IF(OR(J$190,$A200),'Client Data'!J250,0)</f>
        <v>0</v>
      </c>
      <c r="K200" s="106">
        <f>IF(OR(K$190,$A200),'Client Data'!K250,0)</f>
        <v>0</v>
      </c>
      <c r="L200" s="106">
        <f>IF(OR(L$190,$A200),'Client Data'!L250,0)</f>
        <v>0</v>
      </c>
      <c r="M200" s="106">
        <f>IF(OR(M$190,$A200),'Client Data'!M250,0)</f>
        <v>0</v>
      </c>
      <c r="N200" s="106">
        <f>IF(OR(N$190,$A200),'Client Data'!N250,0)</f>
        <v>0</v>
      </c>
      <c r="O200" s="106">
        <f>IF(OR(O$190,$A200),'Client Data'!O250,0)</f>
        <v>0</v>
      </c>
      <c r="P200" s="106">
        <f>IF(OR(P$190,$A200),'Client Data'!P250,0)</f>
        <v>0</v>
      </c>
      <c r="Q200" s="106">
        <f>IF(OR(Q$190,$A200),'Client Data'!Q250,0)</f>
        <v>0</v>
      </c>
      <c r="R200" s="106">
        <f>IF(OR(R$190,$A200),'Client Data'!R250,0)</f>
        <v>0</v>
      </c>
      <c r="S200" s="106">
        <f>IF(OR(S$190,$A200),'Client Data'!S250,0)</f>
        <v>0</v>
      </c>
      <c r="T200" s="106">
        <f>IF(OR(T$190,$A200),'Client Data'!T250,0)</f>
        <v>0</v>
      </c>
      <c r="U200" s="106">
        <f>IF(OR(U$190,$A200),'Client Data'!U250,0)</f>
        <v>0</v>
      </c>
      <c r="V200" s="106">
        <f>IF(OR(V$190,$A200),'Client Data'!V250,0)</f>
        <v>0</v>
      </c>
      <c r="W200" s="106">
        <f>IF(OR(W$190,$A200),'Client Data'!W250,0)</f>
        <v>0</v>
      </c>
      <c r="X200" s="106">
        <f>IF(OR(X$190,$A200),'Client Data'!X250,0)</f>
        <v>0</v>
      </c>
      <c r="Y200" s="106">
        <f>IF(OR(Y$190,$A200),'Client Data'!Y250,0)</f>
        <v>0</v>
      </c>
      <c r="Z200" s="106">
        <f>IF(OR(Z$190,$A200),'Client Data'!Z250,0)</f>
        <v>0</v>
      </c>
      <c r="AA200" s="106">
        <f>IF(OR(AA$190,$A200),'Client Data'!AA250,0)</f>
        <v>0</v>
      </c>
      <c r="AB200" s="106">
        <f>IF(OR(AB$190,$A200),'Client Data'!AB250,0)</f>
        <v>0</v>
      </c>
      <c r="AC200" s="106">
        <f>IF(OR(AC$190,$A200),'Client Data'!AC250,0)</f>
        <v>0</v>
      </c>
      <c r="AD200" s="106">
        <f>IF(OR(AD$190,$A200),'Client Data'!AD250,0)</f>
        <v>0</v>
      </c>
      <c r="AE200" s="106">
        <f>IF(OR(AE$190,$A200),'Client Data'!AE250,0)</f>
        <v>0</v>
      </c>
      <c r="AF200" s="106">
        <f>IF(OR(AF$190,$A200),'Client Data'!AF250,0)</f>
        <v>0</v>
      </c>
      <c r="AG200" s="106">
        <f>IF(OR(AG$190,$A200),'Client Data'!AG250,0)</f>
        <v>0</v>
      </c>
      <c r="AH200" s="106">
        <f>IF(OR(AH$190,$A200),'Client Data'!AH250,0)</f>
        <v>0</v>
      </c>
      <c r="AI200" s="106">
        <f>IF(OR(AI$190,$A200),'Client Data'!AI250,0)</f>
        <v>0</v>
      </c>
      <c r="AJ200" s="106">
        <f>IF(OR(AJ$190,$A200),'Client Data'!AJ250,0)</f>
        <v>0</v>
      </c>
      <c r="AK200" s="106">
        <f>IF(OR(AK$190,$A200),'Client Data'!AK250,0)</f>
        <v>0</v>
      </c>
      <c r="AL200" s="106">
        <f>IF(OR(AL$190,$A200),'Client Data'!AL250,0)</f>
        <v>0</v>
      </c>
      <c r="AM200" s="106">
        <f>IF(OR(AM$190,$A200),'Client Data'!AM250,0)</f>
        <v>0</v>
      </c>
      <c r="AN200" s="106">
        <f>IF(OR(AN$190,$A200),'Client Data'!AN250,0)</f>
        <v>0</v>
      </c>
      <c r="AO200" s="106">
        <f>IF(OR(AO$190,$A200),'Client Data'!AO250,0)</f>
        <v>0</v>
      </c>
      <c r="AP200" s="106">
        <f>IF(OR(AP$190,$A200),'Client Data'!AP250,0)</f>
        <v>0</v>
      </c>
      <c r="AQ200" s="106">
        <f>IF(OR(AQ$190,$A200),'Client Data'!AQ250,0)</f>
        <v>0</v>
      </c>
      <c r="AR200" s="106">
        <f>IF(OR(AR$190,$A200),'Client Data'!AR250,0)</f>
        <v>0</v>
      </c>
      <c r="AS200" s="106">
        <f>IF(OR(AS$190,$A200),'Client Data'!AS250,0)</f>
        <v>0</v>
      </c>
      <c r="AT200" s="106">
        <f>IF(OR(AT$190,$A200),'Client Data'!AT250,0)</f>
        <v>0</v>
      </c>
      <c r="AU200" s="106">
        <f>IF(OR(AU$190,$A200),'Client Data'!AU250,0)</f>
        <v>0</v>
      </c>
      <c r="AV200" s="106">
        <f>IF(OR(AV$190,$A200),'Client Data'!AV250,0)</f>
        <v>0</v>
      </c>
      <c r="AW200" s="106">
        <f>IF(OR(AW$190,$A200),'Client Data'!AW250,0)</f>
        <v>0</v>
      </c>
      <c r="AX200" s="106">
        <f>IF(OR(AX$190,$A200),'Client Data'!AX250,0)</f>
        <v>0</v>
      </c>
      <c r="AY200" s="106">
        <f>IF(OR(AY$190,$A200),'Client Data'!AY250,0)</f>
        <v>0</v>
      </c>
      <c r="AZ200" s="106">
        <f>IF(OR(AZ$190,$A200),'Client Data'!AZ250,0)</f>
        <v>0</v>
      </c>
      <c r="BA200" s="106">
        <f>IF(OR(BA$190,$A200),'Client Data'!BA250,0)</f>
        <v>0</v>
      </c>
      <c r="BB200" s="106">
        <f>IF(OR(BB$190,$A200),'Client Data'!BB250,0)</f>
        <v>0</v>
      </c>
      <c r="BC200" s="104">
        <f t="shared" si="181"/>
        <v>0</v>
      </c>
    </row>
    <row r="201" spans="1:55" x14ac:dyDescent="0.25">
      <c r="A201">
        <f t="shared" ref="A201:A204" si="235">IF(A$198&gt;0,A200-1,0)</f>
        <v>4</v>
      </c>
      <c r="B201" s="105" t="str">
        <f>'Client Data'!B251</f>
        <v>SDT3</v>
      </c>
      <c r="C201" s="106">
        <f>IF(OR(C$190,$A201),'Client Data'!C251,0)</f>
        <v>0</v>
      </c>
      <c r="D201" s="106">
        <f>IF(OR(D$190,$A201),'Client Data'!D251,0)</f>
        <v>0</v>
      </c>
      <c r="E201" s="106">
        <f>IF(OR(E$190,$A201),'Client Data'!E251,0)</f>
        <v>0</v>
      </c>
      <c r="F201" s="106">
        <f>IF(OR(F$190,$A201),'Client Data'!F251,0)</f>
        <v>0</v>
      </c>
      <c r="G201" s="106">
        <f>IF(OR(G$190,$A201),'Client Data'!G251,0)</f>
        <v>0</v>
      </c>
      <c r="H201" s="106">
        <f>IF(OR(H$190,$A201),'Client Data'!H251,0)</f>
        <v>0</v>
      </c>
      <c r="I201" s="106">
        <f>IF(OR(I$190,$A201),'Client Data'!I251,0)</f>
        <v>0</v>
      </c>
      <c r="J201" s="106">
        <f>IF(OR(J$190,$A201),'Client Data'!J251,0)</f>
        <v>0</v>
      </c>
      <c r="K201" s="106">
        <f>IF(OR(K$190,$A201),'Client Data'!K251,0)</f>
        <v>0</v>
      </c>
      <c r="L201" s="106">
        <f>IF(OR(L$190,$A201),'Client Data'!L251,0)</f>
        <v>0</v>
      </c>
      <c r="M201" s="106">
        <f>IF(OR(M$190,$A201),'Client Data'!M251,0)</f>
        <v>0</v>
      </c>
      <c r="N201" s="106">
        <f>IF(OR(N$190,$A201),'Client Data'!N251,0)</f>
        <v>0</v>
      </c>
      <c r="O201" s="106">
        <f>IF(OR(O$190,$A201),'Client Data'!O251,0)</f>
        <v>0</v>
      </c>
      <c r="P201" s="106">
        <f>IF(OR(P$190,$A201),'Client Data'!P251,0)</f>
        <v>0</v>
      </c>
      <c r="Q201" s="106">
        <f>IF(OR(Q$190,$A201),'Client Data'!Q251,0)</f>
        <v>0</v>
      </c>
      <c r="R201" s="106">
        <f>IF(OR(R$190,$A201),'Client Data'!R251,0)</f>
        <v>0</v>
      </c>
      <c r="S201" s="106">
        <f>IF(OR(S$190,$A201),'Client Data'!S251,0)</f>
        <v>0</v>
      </c>
      <c r="T201" s="106">
        <f>IF(OR(T$190,$A201),'Client Data'!T251,0)</f>
        <v>0</v>
      </c>
      <c r="U201" s="106">
        <f>IF(OR(U$190,$A201),'Client Data'!U251,0)</f>
        <v>0</v>
      </c>
      <c r="V201" s="106">
        <f>IF(OR(V$190,$A201),'Client Data'!V251,0)</f>
        <v>0</v>
      </c>
      <c r="W201" s="106">
        <f>IF(OR(W$190,$A201),'Client Data'!W251,0)</f>
        <v>0</v>
      </c>
      <c r="X201" s="106">
        <f>IF(OR(X$190,$A201),'Client Data'!X251,0)</f>
        <v>0</v>
      </c>
      <c r="Y201" s="106">
        <f>IF(OR(Y$190,$A201),'Client Data'!Y251,0)</f>
        <v>0</v>
      </c>
      <c r="Z201" s="106">
        <f>IF(OR(Z$190,$A201),'Client Data'!Z251,0)</f>
        <v>0</v>
      </c>
      <c r="AA201" s="106">
        <f>IF(OR(AA$190,$A201),'Client Data'!AA251,0)</f>
        <v>0</v>
      </c>
      <c r="AB201" s="106">
        <f>IF(OR(AB$190,$A201),'Client Data'!AB251,0)</f>
        <v>0</v>
      </c>
      <c r="AC201" s="106">
        <f>IF(OR(AC$190,$A201),'Client Data'!AC251,0)</f>
        <v>0</v>
      </c>
      <c r="AD201" s="106">
        <f>IF(OR(AD$190,$A201),'Client Data'!AD251,0)</f>
        <v>0</v>
      </c>
      <c r="AE201" s="106">
        <f>IF(OR(AE$190,$A201),'Client Data'!AE251,0)</f>
        <v>0</v>
      </c>
      <c r="AF201" s="106">
        <f>IF(OR(AF$190,$A201),'Client Data'!AF251,0)</f>
        <v>0</v>
      </c>
      <c r="AG201" s="106">
        <f>IF(OR(AG$190,$A201),'Client Data'!AG251,0)</f>
        <v>0</v>
      </c>
      <c r="AH201" s="106">
        <f>IF(OR(AH$190,$A201),'Client Data'!AH251,0)</f>
        <v>0</v>
      </c>
      <c r="AI201" s="106">
        <f>IF(OR(AI$190,$A201),'Client Data'!AI251,0)</f>
        <v>0</v>
      </c>
      <c r="AJ201" s="106">
        <f>IF(OR(AJ$190,$A201),'Client Data'!AJ251,0)</f>
        <v>0</v>
      </c>
      <c r="AK201" s="106">
        <f>IF(OR(AK$190,$A201),'Client Data'!AK251,0)</f>
        <v>0</v>
      </c>
      <c r="AL201" s="106">
        <f>IF(OR(AL$190,$A201),'Client Data'!AL251,0)</f>
        <v>0</v>
      </c>
      <c r="AM201" s="106">
        <f>IF(OR(AM$190,$A201),'Client Data'!AM251,0)</f>
        <v>0</v>
      </c>
      <c r="AN201" s="106">
        <f>IF(OR(AN$190,$A201),'Client Data'!AN251,0)</f>
        <v>0</v>
      </c>
      <c r="AO201" s="106">
        <f>IF(OR(AO$190,$A201),'Client Data'!AO251,0)</f>
        <v>0</v>
      </c>
      <c r="AP201" s="106">
        <f>IF(OR(AP$190,$A201),'Client Data'!AP251,0)</f>
        <v>0</v>
      </c>
      <c r="AQ201" s="106">
        <f>IF(OR(AQ$190,$A201),'Client Data'!AQ251,0)</f>
        <v>0</v>
      </c>
      <c r="AR201" s="106">
        <f>IF(OR(AR$190,$A201),'Client Data'!AR251,0)</f>
        <v>0</v>
      </c>
      <c r="AS201" s="106">
        <f>IF(OR(AS$190,$A201),'Client Data'!AS251,0)</f>
        <v>0</v>
      </c>
      <c r="AT201" s="106">
        <f>IF(OR(AT$190,$A201),'Client Data'!AT251,0)</f>
        <v>0</v>
      </c>
      <c r="AU201" s="106">
        <f>IF(OR(AU$190,$A201),'Client Data'!AU251,0)</f>
        <v>0</v>
      </c>
      <c r="AV201" s="106">
        <f>IF(OR(AV$190,$A201),'Client Data'!AV251,0)</f>
        <v>0</v>
      </c>
      <c r="AW201" s="106">
        <f>IF(OR(AW$190,$A201),'Client Data'!AW251,0)</f>
        <v>0</v>
      </c>
      <c r="AX201" s="106">
        <f>IF(OR(AX$190,$A201),'Client Data'!AX251,0)</f>
        <v>0</v>
      </c>
      <c r="AY201" s="106">
        <f>IF(OR(AY$190,$A201),'Client Data'!AY251,0)</f>
        <v>0</v>
      </c>
      <c r="AZ201" s="106">
        <f>IF(OR(AZ$190,$A201),'Client Data'!AZ251,0)</f>
        <v>0</v>
      </c>
      <c r="BA201" s="106">
        <f>IF(OR(BA$190,$A201),'Client Data'!BA251,0)</f>
        <v>0</v>
      </c>
      <c r="BB201" s="106">
        <f>IF(OR(BB$190,$A201),'Client Data'!BB251,0)</f>
        <v>0</v>
      </c>
      <c r="BC201" s="104">
        <f t="shared" si="181"/>
        <v>0</v>
      </c>
    </row>
    <row r="202" spans="1:55" x14ac:dyDescent="0.25">
      <c r="A202">
        <f t="shared" si="235"/>
        <v>3</v>
      </c>
      <c r="B202" s="105" t="str">
        <f>'Client Data'!B252</f>
        <v>SDT4</v>
      </c>
      <c r="C202" s="106">
        <f>IF(OR(C$190,$A202),'Client Data'!C252,0)</f>
        <v>0.4</v>
      </c>
      <c r="D202" s="106">
        <f>IF(OR(D$190,$A202),'Client Data'!D252,0)</f>
        <v>0.5</v>
      </c>
      <c r="E202" s="106">
        <f>IF(OR(E$190,$A202),'Client Data'!E252,0)</f>
        <v>0.3</v>
      </c>
      <c r="F202" s="106">
        <f>IF(OR(F$190,$A202),'Client Data'!F252,0)</f>
        <v>0.6</v>
      </c>
      <c r="G202" s="106">
        <f>IF(OR(G$190,$A202),'Client Data'!G252,0)</f>
        <v>0.3</v>
      </c>
      <c r="H202" s="106">
        <f>IF(OR(H$190,$A202),'Client Data'!H252,0)</f>
        <v>0.4</v>
      </c>
      <c r="I202" s="106">
        <f>IF(OR(I$190,$A202),'Client Data'!I252,0)</f>
        <v>0.4</v>
      </c>
      <c r="J202" s="106">
        <f>IF(OR(J$190,$A202),'Client Data'!J252,0)</f>
        <v>0.5</v>
      </c>
      <c r="K202" s="106">
        <f>IF(OR(K$190,$A202),'Client Data'!K252,0)</f>
        <v>0.3</v>
      </c>
      <c r="L202" s="106">
        <f>IF(OR(L$190,$A202),'Client Data'!L252,0)</f>
        <v>0.6</v>
      </c>
      <c r="M202" s="106">
        <f>IF(OR(M$190,$A202),'Client Data'!M252,0)</f>
        <v>0.3</v>
      </c>
      <c r="N202" s="106">
        <f>IF(OR(N$190,$A202),'Client Data'!N252,0)</f>
        <v>0.4</v>
      </c>
      <c r="O202" s="106">
        <f>IF(OR(O$190,$A202),'Client Data'!O252,0)</f>
        <v>0.5</v>
      </c>
      <c r="P202" s="106">
        <f>IF(OR(P$190,$A202),'Client Data'!P252,0)</f>
        <v>0.3</v>
      </c>
      <c r="Q202" s="106">
        <f>IF(OR(Q$190,$A202),'Client Data'!Q252,0)</f>
        <v>0.6</v>
      </c>
      <c r="R202" s="106">
        <f>IF(OR(R$190,$A202),'Client Data'!R252,0)</f>
        <v>0.3</v>
      </c>
      <c r="S202" s="106">
        <f>IF(OR(S$190,$A202),'Client Data'!S252,0)</f>
        <v>0.4</v>
      </c>
      <c r="T202" s="106">
        <f>IF(OR(T$190,$A202),'Client Data'!T252,0)</f>
        <v>0.4</v>
      </c>
      <c r="U202" s="106">
        <f>IF(OR(U$190,$A202),'Client Data'!U252,0)</f>
        <v>0.5</v>
      </c>
      <c r="V202" s="106">
        <f>IF(OR(V$190,$A202),'Client Data'!V252,0)</f>
        <v>0.3</v>
      </c>
      <c r="W202" s="106">
        <f>IF(OR(W$190,$A202),'Client Data'!W252,0)</f>
        <v>0.6</v>
      </c>
      <c r="X202" s="106">
        <f>IF(OR(X$190,$A202),'Client Data'!X252,0)</f>
        <v>0.3</v>
      </c>
      <c r="Y202" s="106">
        <f>IF(OR(Y$190,$A202),'Client Data'!Y252,0)</f>
        <v>0.4</v>
      </c>
      <c r="Z202" s="106">
        <f>IF(OR(Z$190,$A202),'Client Data'!Z252,0)</f>
        <v>0.5</v>
      </c>
      <c r="AA202" s="106">
        <f>IF(OR(AA$190,$A202),'Client Data'!AA252,0)</f>
        <v>0.3</v>
      </c>
      <c r="AB202" s="106">
        <f>IF(OR(AB$190,$A202),'Client Data'!AB252,0)</f>
        <v>0.6</v>
      </c>
      <c r="AC202" s="106">
        <f>IF(OR(AC$190,$A202),'Client Data'!AC252,0)</f>
        <v>0.3</v>
      </c>
      <c r="AD202" s="106">
        <f>IF(OR(AD$190,$A202),'Client Data'!AD252,0)</f>
        <v>0.4</v>
      </c>
      <c r="AE202" s="106">
        <f>IF(OR(AE$190,$A202),'Client Data'!AE252,0)</f>
        <v>0.4</v>
      </c>
      <c r="AF202" s="106">
        <f>IF(OR(AF$190,$A202),'Client Data'!AF252,0)</f>
        <v>0.5</v>
      </c>
      <c r="AG202" s="106">
        <f>IF(OR(AG$190,$A202),'Client Data'!AG252,0)</f>
        <v>0.3</v>
      </c>
      <c r="AH202" s="106">
        <f>IF(OR(AH$190,$A202),'Client Data'!AH252,0)</f>
        <v>0.6</v>
      </c>
      <c r="AI202" s="106">
        <f>IF(OR(AI$190,$A202),'Client Data'!AI252,0)</f>
        <v>0.3</v>
      </c>
      <c r="AJ202" s="106">
        <f>IF(OR(AJ$190,$A202),'Client Data'!AJ252,0)</f>
        <v>0.4</v>
      </c>
      <c r="AK202" s="106">
        <f>IF(OR(AK$190,$A202),'Client Data'!AK252,0)</f>
        <v>0.4</v>
      </c>
      <c r="AL202" s="106">
        <f>IF(OR(AL$190,$A202),'Client Data'!AL252,0)</f>
        <v>0.4</v>
      </c>
      <c r="AM202" s="106">
        <f>IF(OR(AM$190,$A202),'Client Data'!AM252,0)</f>
        <v>0.5</v>
      </c>
      <c r="AN202" s="106">
        <f>IF(OR(AN$190,$A202),'Client Data'!AN252,0)</f>
        <v>0.3</v>
      </c>
      <c r="AO202" s="106">
        <f>IF(OR(AO$190,$A202),'Client Data'!AO252,0)</f>
        <v>0.4</v>
      </c>
      <c r="AP202" s="106">
        <f>IF(OR(AP$190,$A202),'Client Data'!AP252,0)</f>
        <v>0.5</v>
      </c>
      <c r="AQ202" s="106">
        <f>IF(OR(AQ$190,$A202),'Client Data'!AQ252,0)</f>
        <v>0.3</v>
      </c>
      <c r="AR202" s="106">
        <f>IF(OR(AR$190,$A202),'Client Data'!AR252,0)</f>
        <v>0.6</v>
      </c>
      <c r="AS202" s="106">
        <f>IF(OR(AS$190,$A202),'Client Data'!AS252,0)</f>
        <v>0.3</v>
      </c>
      <c r="AT202" s="106">
        <f>IF(OR(AT$190,$A202),'Client Data'!AT252,0)</f>
        <v>0.4</v>
      </c>
      <c r="AU202" s="106">
        <f>IF(OR(AU$190,$A202),'Client Data'!AU252,0)</f>
        <v>0.4</v>
      </c>
      <c r="AV202" s="106">
        <f>IF(OR(AV$190,$A202),'Client Data'!AV252,0)</f>
        <v>0.5</v>
      </c>
      <c r="AW202" s="106">
        <f>IF(OR(AW$190,$A202),'Client Data'!AW252,0)</f>
        <v>0.3</v>
      </c>
      <c r="AX202" s="106">
        <f>IF(OR(AX$190,$A202),'Client Data'!AX252,0)</f>
        <v>0.6</v>
      </c>
      <c r="AY202" s="106">
        <f>IF(OR(AY$190,$A202),'Client Data'!AY252,0)</f>
        <v>0.3</v>
      </c>
      <c r="AZ202" s="106">
        <f>IF(OR(AZ$190,$A202),'Client Data'!AZ252,0)</f>
        <v>0.4</v>
      </c>
      <c r="BA202" s="106">
        <f>IF(OR(BA$190,$A202),'Client Data'!BA252,0)</f>
        <v>0.4</v>
      </c>
      <c r="BB202" s="106">
        <f>IF(OR(BB$190,$A202),'Client Data'!BB252,0)</f>
        <v>0.2</v>
      </c>
      <c r="BC202" s="104">
        <f t="shared" si="181"/>
        <v>21.400000000000002</v>
      </c>
    </row>
    <row r="203" spans="1:55" x14ac:dyDescent="0.25">
      <c r="A203">
        <f t="shared" si="235"/>
        <v>2</v>
      </c>
      <c r="B203" s="105" t="str">
        <f>'Client Data'!B253</f>
        <v>SDT5</v>
      </c>
      <c r="C203" s="106">
        <f>IF(OR(C$190,$A203),'Client Data'!C253,0)</f>
        <v>0.4</v>
      </c>
      <c r="D203" s="106">
        <f>IF(OR(D$190,$A203),'Client Data'!D253,0)</f>
        <v>0.5</v>
      </c>
      <c r="E203" s="106">
        <f>IF(OR(E$190,$A203),'Client Data'!E253,0)</f>
        <v>0.3</v>
      </c>
      <c r="F203" s="106">
        <f>IF(OR(F$190,$A203),'Client Data'!F253,0)</f>
        <v>0.6</v>
      </c>
      <c r="G203" s="106">
        <f>IF(OR(G$190,$A203),'Client Data'!G253,0)</f>
        <v>0.3</v>
      </c>
      <c r="H203" s="106">
        <f>IF(OR(H$190,$A203),'Client Data'!H253,0)</f>
        <v>0.4</v>
      </c>
      <c r="I203" s="106">
        <f>IF(OR(I$190,$A203),'Client Data'!I253,0)</f>
        <v>0.4</v>
      </c>
      <c r="J203" s="106">
        <f>IF(OR(J$190,$A203),'Client Data'!J253,0)</f>
        <v>0.5</v>
      </c>
      <c r="K203" s="106">
        <f>IF(OR(K$190,$A203),'Client Data'!K253,0)</f>
        <v>0.3</v>
      </c>
      <c r="L203" s="106">
        <f>IF(OR(L$190,$A203),'Client Data'!L253,0)</f>
        <v>0.6</v>
      </c>
      <c r="M203" s="106">
        <f>IF(OR(M$190,$A203),'Client Data'!M253,0)</f>
        <v>0.3</v>
      </c>
      <c r="N203" s="106">
        <f>IF(OR(N$190,$A203),'Client Data'!N253,0)</f>
        <v>0.4</v>
      </c>
      <c r="O203" s="106">
        <f>IF(OR(O$190,$A203),'Client Data'!O253,0)</f>
        <v>0.5</v>
      </c>
      <c r="P203" s="106">
        <f>IF(OR(P$190,$A203),'Client Data'!P253,0)</f>
        <v>0.3</v>
      </c>
      <c r="Q203" s="106">
        <f>IF(OR(Q$190,$A203),'Client Data'!Q253,0)</f>
        <v>0.6</v>
      </c>
      <c r="R203" s="106">
        <f>IF(OR(R$190,$A203),'Client Data'!R253,0)</f>
        <v>0.3</v>
      </c>
      <c r="S203" s="106">
        <f>IF(OR(S$190,$A203),'Client Data'!S253,0)</f>
        <v>0.4</v>
      </c>
      <c r="T203" s="106">
        <f>IF(OR(T$190,$A203),'Client Data'!T253,0)</f>
        <v>0.4</v>
      </c>
      <c r="U203" s="106">
        <f>IF(OR(U$190,$A203),'Client Data'!U253,0)</f>
        <v>0.5</v>
      </c>
      <c r="V203" s="106">
        <f>IF(OR(V$190,$A203),'Client Data'!V253,0)</f>
        <v>0.3</v>
      </c>
      <c r="W203" s="106">
        <f>IF(OR(W$190,$A203),'Client Data'!W253,0)</f>
        <v>0.6</v>
      </c>
      <c r="X203" s="106">
        <f>IF(OR(X$190,$A203),'Client Data'!X253,0)</f>
        <v>0.3</v>
      </c>
      <c r="Y203" s="106">
        <f>IF(OR(Y$190,$A203),'Client Data'!Y253,0)</f>
        <v>0.4</v>
      </c>
      <c r="Z203" s="106">
        <f>IF(OR(Z$190,$A203),'Client Data'!Z253,0)</f>
        <v>0.5</v>
      </c>
      <c r="AA203" s="106">
        <f>IF(OR(AA$190,$A203),'Client Data'!AA253,0)</f>
        <v>0.3</v>
      </c>
      <c r="AB203" s="106">
        <f>IF(OR(AB$190,$A203),'Client Data'!AB253,0)</f>
        <v>0.6</v>
      </c>
      <c r="AC203" s="106">
        <f>IF(OR(AC$190,$A203),'Client Data'!AC253,0)</f>
        <v>0.3</v>
      </c>
      <c r="AD203" s="106">
        <f>IF(OR(AD$190,$A203),'Client Data'!AD253,0)</f>
        <v>0.4</v>
      </c>
      <c r="AE203" s="106">
        <f>IF(OR(AE$190,$A203),'Client Data'!AE253,0)</f>
        <v>0.4</v>
      </c>
      <c r="AF203" s="106">
        <f>IF(OR(AF$190,$A203),'Client Data'!AF253,0)</f>
        <v>0.5</v>
      </c>
      <c r="AG203" s="106">
        <f>IF(OR(AG$190,$A203),'Client Data'!AG253,0)</f>
        <v>0.3</v>
      </c>
      <c r="AH203" s="106">
        <f>IF(OR(AH$190,$A203),'Client Data'!AH253,0)</f>
        <v>0.6</v>
      </c>
      <c r="AI203" s="106">
        <f>IF(OR(AI$190,$A203),'Client Data'!AI253,0)</f>
        <v>0.3</v>
      </c>
      <c r="AJ203" s="106">
        <f>IF(OR(AJ$190,$A203),'Client Data'!AJ253,0)</f>
        <v>0.4</v>
      </c>
      <c r="AK203" s="106">
        <f>IF(OR(AK$190,$A203),'Client Data'!AK253,0)</f>
        <v>0.4</v>
      </c>
      <c r="AL203" s="106">
        <f>IF(OR(AL$190,$A203),'Client Data'!AL253,0)</f>
        <v>0.4</v>
      </c>
      <c r="AM203" s="106">
        <f>IF(OR(AM$190,$A203),'Client Data'!AM253,0)</f>
        <v>0.5</v>
      </c>
      <c r="AN203" s="106">
        <f>IF(OR(AN$190,$A203),'Client Data'!AN253,0)</f>
        <v>0.3</v>
      </c>
      <c r="AO203" s="106">
        <f>IF(OR(AO$190,$A203),'Client Data'!AO253,0)</f>
        <v>0.4</v>
      </c>
      <c r="AP203" s="106">
        <f>IF(OR(AP$190,$A203),'Client Data'!AP253,0)</f>
        <v>0.5</v>
      </c>
      <c r="AQ203" s="106">
        <f>IF(OR(AQ$190,$A203),'Client Data'!AQ253,0)</f>
        <v>0.3</v>
      </c>
      <c r="AR203" s="106">
        <f>IF(OR(AR$190,$A203),'Client Data'!AR253,0)</f>
        <v>0.6</v>
      </c>
      <c r="AS203" s="106">
        <f>IF(OR(AS$190,$A203),'Client Data'!AS253,0)</f>
        <v>0.3</v>
      </c>
      <c r="AT203" s="106">
        <f>IF(OR(AT$190,$A203),'Client Data'!AT253,0)</f>
        <v>0.4</v>
      </c>
      <c r="AU203" s="106">
        <f>IF(OR(AU$190,$A203),'Client Data'!AU253,0)</f>
        <v>0.4</v>
      </c>
      <c r="AV203" s="106">
        <f>IF(OR(AV$190,$A203),'Client Data'!AV253,0)</f>
        <v>0.5</v>
      </c>
      <c r="AW203" s="106">
        <f>IF(OR(AW$190,$A203),'Client Data'!AW253,0)</f>
        <v>0.3</v>
      </c>
      <c r="AX203" s="106">
        <f>IF(OR(AX$190,$A203),'Client Data'!AX253,0)</f>
        <v>0.6</v>
      </c>
      <c r="AY203" s="106">
        <f>IF(OR(AY$190,$A203),'Client Data'!AY253,0)</f>
        <v>0.3</v>
      </c>
      <c r="AZ203" s="106">
        <f>IF(OR(AZ$190,$A203),'Client Data'!AZ253,0)</f>
        <v>0.4</v>
      </c>
      <c r="BA203" s="106">
        <f>IF(OR(BA$190,$A203),'Client Data'!BA253,0)</f>
        <v>0.4</v>
      </c>
      <c r="BB203" s="106">
        <f>IF(OR(BB$190,$A203),'Client Data'!BB253,0)</f>
        <v>0.2</v>
      </c>
      <c r="BC203" s="104">
        <f t="shared" si="181"/>
        <v>21.400000000000002</v>
      </c>
    </row>
    <row r="204" spans="1:55" x14ac:dyDescent="0.25">
      <c r="A204">
        <f t="shared" si="235"/>
        <v>1</v>
      </c>
      <c r="B204" s="105" t="str">
        <f>'Client Data'!B254</f>
        <v>SDT6</v>
      </c>
      <c r="C204" s="106">
        <f>IF(OR(C$190,$A204),'Client Data'!C254,0)</f>
        <v>0</v>
      </c>
      <c r="D204" s="106">
        <f>IF(OR(D$190,$A204),'Client Data'!D254,0)</f>
        <v>0</v>
      </c>
      <c r="E204" s="106">
        <f>IF(OR(E$190,$A204),'Client Data'!E254,0)</f>
        <v>0</v>
      </c>
      <c r="F204" s="106">
        <f>IF(OR(F$190,$A204),'Client Data'!F254,0)</f>
        <v>0</v>
      </c>
      <c r="G204" s="106">
        <f>IF(OR(G$190,$A204),'Client Data'!G254,0)</f>
        <v>0</v>
      </c>
      <c r="H204" s="106">
        <f>IF(OR(H$190,$A204),'Client Data'!H254,0)</f>
        <v>0</v>
      </c>
      <c r="I204" s="106">
        <f>IF(OR(I$190,$A204),'Client Data'!I254,0)</f>
        <v>0</v>
      </c>
      <c r="J204" s="106">
        <f>IF(OR(J$190,$A204),'Client Data'!J254,0)</f>
        <v>0</v>
      </c>
      <c r="K204" s="106">
        <f>IF(OR(K$190,$A204),'Client Data'!K254,0)</f>
        <v>0</v>
      </c>
      <c r="L204" s="106">
        <f>IF(OR(L$190,$A204),'Client Data'!L254,0)</f>
        <v>0</v>
      </c>
      <c r="M204" s="106">
        <f>IF(OR(M$190,$A204),'Client Data'!M254,0)</f>
        <v>0</v>
      </c>
      <c r="N204" s="106">
        <f>IF(OR(N$190,$A204),'Client Data'!N254,0)</f>
        <v>0</v>
      </c>
      <c r="O204" s="106">
        <f>IF(OR(O$190,$A204),'Client Data'!O254,0)</f>
        <v>0</v>
      </c>
      <c r="P204" s="106">
        <f>IF(OR(P$190,$A204),'Client Data'!P254,0)</f>
        <v>0</v>
      </c>
      <c r="Q204" s="106">
        <f>IF(OR(Q$190,$A204),'Client Data'!Q254,0)</f>
        <v>0</v>
      </c>
      <c r="R204" s="106">
        <f>IF(OR(R$190,$A204),'Client Data'!R254,0)</f>
        <v>0</v>
      </c>
      <c r="S204" s="106">
        <f>IF(OR(S$190,$A204),'Client Data'!S254,0)</f>
        <v>0</v>
      </c>
      <c r="T204" s="106">
        <f>IF(OR(T$190,$A204),'Client Data'!T254,0)</f>
        <v>0</v>
      </c>
      <c r="U204" s="106">
        <f>IF(OR(U$190,$A204),'Client Data'!U254,0)</f>
        <v>0</v>
      </c>
      <c r="V204" s="106">
        <f>IF(OR(V$190,$A204),'Client Data'!V254,0)</f>
        <v>0</v>
      </c>
      <c r="W204" s="106">
        <f>IF(OR(W$190,$A204),'Client Data'!W254,0)</f>
        <v>0</v>
      </c>
      <c r="X204" s="106">
        <f>IF(OR(X$190,$A204),'Client Data'!X254,0)</f>
        <v>0</v>
      </c>
      <c r="Y204" s="106">
        <f>IF(OR(Y$190,$A204),'Client Data'!Y254,0)</f>
        <v>0</v>
      </c>
      <c r="Z204" s="106">
        <f>IF(OR(Z$190,$A204),'Client Data'!Z254,0)</f>
        <v>0</v>
      </c>
      <c r="AA204" s="106">
        <f>IF(OR(AA$190,$A204),'Client Data'!AA254,0)</f>
        <v>0</v>
      </c>
      <c r="AB204" s="106">
        <f>IF(OR(AB$190,$A204),'Client Data'!AB254,0)</f>
        <v>0</v>
      </c>
      <c r="AC204" s="106">
        <f>IF(OR(AC$190,$A204),'Client Data'!AC254,0)</f>
        <v>0</v>
      </c>
      <c r="AD204" s="106">
        <f>IF(OR(AD$190,$A204),'Client Data'!AD254,0)</f>
        <v>0</v>
      </c>
      <c r="AE204" s="106">
        <f>IF(OR(AE$190,$A204),'Client Data'!AE254,0)</f>
        <v>0</v>
      </c>
      <c r="AF204" s="106">
        <f>IF(OR(AF$190,$A204),'Client Data'!AF254,0)</f>
        <v>0</v>
      </c>
      <c r="AG204" s="106">
        <f>IF(OR(AG$190,$A204),'Client Data'!AG254,0)</f>
        <v>0</v>
      </c>
      <c r="AH204" s="106">
        <f>IF(OR(AH$190,$A204),'Client Data'!AH254,0)</f>
        <v>0</v>
      </c>
      <c r="AI204" s="106">
        <f>IF(OR(AI$190,$A204),'Client Data'!AI254,0)</f>
        <v>0</v>
      </c>
      <c r="AJ204" s="106">
        <f>IF(OR(AJ$190,$A204),'Client Data'!AJ254,0)</f>
        <v>0</v>
      </c>
      <c r="AK204" s="106">
        <f>IF(OR(AK$190,$A204),'Client Data'!AK254,0)</f>
        <v>0</v>
      </c>
      <c r="AL204" s="106">
        <f>IF(OR(AL$190,$A204),'Client Data'!AL254,0)</f>
        <v>0</v>
      </c>
      <c r="AM204" s="106">
        <f>IF(OR(AM$190,$A204),'Client Data'!AM254,0)</f>
        <v>0</v>
      </c>
      <c r="AN204" s="106">
        <f>IF(OR(AN$190,$A204),'Client Data'!AN254,0)</f>
        <v>0</v>
      </c>
      <c r="AO204" s="106">
        <f>IF(OR(AO$190,$A204),'Client Data'!AO254,0)</f>
        <v>0</v>
      </c>
      <c r="AP204" s="106">
        <f>IF(OR(AP$190,$A204),'Client Data'!AP254,0)</f>
        <v>0</v>
      </c>
      <c r="AQ204" s="106">
        <f>IF(OR(AQ$190,$A204),'Client Data'!AQ254,0)</f>
        <v>0</v>
      </c>
      <c r="AR204" s="106">
        <f>IF(OR(AR$190,$A204),'Client Data'!AR254,0)</f>
        <v>0</v>
      </c>
      <c r="AS204" s="106">
        <f>IF(OR(AS$190,$A204),'Client Data'!AS254,0)</f>
        <v>0</v>
      </c>
      <c r="AT204" s="106">
        <f>IF(OR(AT$190,$A204),'Client Data'!AT254,0)</f>
        <v>0</v>
      </c>
      <c r="AU204" s="106">
        <f>IF(OR(AU$190,$A204),'Client Data'!AU254,0)</f>
        <v>0</v>
      </c>
      <c r="AV204" s="106">
        <f>IF(OR(AV$190,$A204),'Client Data'!AV254,0)</f>
        <v>0</v>
      </c>
      <c r="AW204" s="106">
        <f>IF(OR(AW$190,$A204),'Client Data'!AW254,0)</f>
        <v>0</v>
      </c>
      <c r="AX204" s="106">
        <f>IF(OR(AX$190,$A204),'Client Data'!AX254,0)</f>
        <v>0</v>
      </c>
      <c r="AY204" s="106">
        <f>IF(OR(AY$190,$A204),'Client Data'!AY254,0)</f>
        <v>0</v>
      </c>
      <c r="AZ204" s="106">
        <f>IF(OR(AZ$190,$A204),'Client Data'!AZ254,0)</f>
        <v>0</v>
      </c>
      <c r="BA204" s="106">
        <f>IF(OR(BA$190,$A204),'Client Data'!BA254,0)</f>
        <v>0</v>
      </c>
      <c r="BB204" s="106">
        <f>IF(OR(BB$190,$A204),'Client Data'!BB254,0)</f>
        <v>0</v>
      </c>
      <c r="BC204" s="104">
        <f t="shared" si="181"/>
        <v>0</v>
      </c>
    </row>
    <row r="205" spans="1:55" x14ac:dyDescent="0.25">
      <c r="A205">
        <f>A198-1</f>
        <v>6</v>
      </c>
      <c r="B205" s="107" t="str">
        <f>'Client Data'!B255</f>
        <v>SDT Type C</v>
      </c>
      <c r="C205" s="102">
        <f t="shared" ref="C205" si="236">IF(OR(C$190&gt;0,$A205),SUM(C206:C211),0)</f>
        <v>0.8</v>
      </c>
      <c r="D205" s="102">
        <f t="shared" ref="D205" si="237">IF(OR(D$190&gt;0,$A205),SUM(D206:D211),0)</f>
        <v>0.9</v>
      </c>
      <c r="E205" s="102">
        <f t="shared" ref="E205" si="238">IF(OR(E$190&gt;0,$A205),SUM(E206:E211),0)</f>
        <v>0.7</v>
      </c>
      <c r="F205" s="102">
        <f t="shared" ref="F205" si="239">IF(OR(F$190&gt;0,$A205),SUM(F206:F211),0)</f>
        <v>1</v>
      </c>
      <c r="G205" s="102">
        <f t="shared" ref="G205" si="240">IF(OR(G$190&gt;0,$A205),SUM(G206:G211),0)</f>
        <v>0.8</v>
      </c>
      <c r="H205" s="102">
        <f t="shared" ref="H205" si="241">IF(OR(H$190&gt;0,$A205),SUM(H206:H211),0)</f>
        <v>0.7</v>
      </c>
      <c r="I205" s="102">
        <f t="shared" ref="I205" si="242">IF(OR(I$190&gt;0,$A205),SUM(I206:I211),0)</f>
        <v>1</v>
      </c>
      <c r="J205" s="102">
        <f t="shared" ref="J205" si="243">IF(OR(J$190&gt;0,$A205),SUM(J206:J211),0)</f>
        <v>0.8</v>
      </c>
      <c r="K205" s="102">
        <f t="shared" ref="K205" si="244">IF(OR(K$190&gt;0,$A205),SUM(K206:K211),0)</f>
        <v>0.7</v>
      </c>
      <c r="L205" s="102">
        <f t="shared" ref="L205" si="245">IF(OR(L$190&gt;0,$A205),SUM(L206:L211),0)</f>
        <v>1</v>
      </c>
      <c r="M205" s="102">
        <f t="shared" ref="M205" si="246">IF(OR(M$190&gt;0,$A205),SUM(M206:M211),0)</f>
        <v>0.8</v>
      </c>
      <c r="N205" s="102">
        <f t="shared" ref="N205" si="247">IF(OR(N$190&gt;0,$A205),SUM(N206:N211),0)</f>
        <v>0.7</v>
      </c>
      <c r="O205" s="102">
        <f t="shared" ref="O205" si="248">IF(OR(O$190&gt;0,$A205),SUM(O206:O211),0)</f>
        <v>1.1000000000000001</v>
      </c>
      <c r="P205" s="102">
        <f t="shared" ref="P205" si="249">IF(OR(P$190&gt;0,$A205),SUM(P206:P211),0)</f>
        <v>0.6</v>
      </c>
      <c r="Q205" s="102">
        <f t="shared" ref="Q205" si="250">IF(OR(Q$190&gt;0,$A205),SUM(Q206:Q211),0)</f>
        <v>1</v>
      </c>
      <c r="R205" s="102">
        <f t="shared" ref="R205" si="251">IF(OR(R$190&gt;0,$A205),SUM(R206:R211),0)</f>
        <v>0.8</v>
      </c>
      <c r="S205" s="102">
        <f t="shared" ref="S205" si="252">IF(OR(S$190&gt;0,$A205),SUM(S206:S211),0)</f>
        <v>0.7</v>
      </c>
      <c r="T205" s="102">
        <f t="shared" ref="T205" si="253">IF(OR(T$190&gt;0,$A205),SUM(T206:T211),0)</f>
        <v>1</v>
      </c>
      <c r="U205" s="102">
        <f t="shared" ref="U205" si="254">IF(OR(U$190&gt;0,$A205),SUM(U206:U211),0)</f>
        <v>0.8</v>
      </c>
      <c r="V205" s="102">
        <f t="shared" ref="V205" si="255">IF(OR(V$190&gt;0,$A205),SUM(V206:V211),0)</f>
        <v>0.7</v>
      </c>
      <c r="W205" s="102">
        <f t="shared" ref="W205" si="256">IF(OR(W$190&gt;0,$A205),SUM(W206:W211),0)</f>
        <v>1</v>
      </c>
      <c r="X205" s="102">
        <f t="shared" ref="X205" si="257">IF(OR(X$190&gt;0,$A205),SUM(X206:X211),0)</f>
        <v>0.8</v>
      </c>
      <c r="Y205" s="102">
        <f t="shared" ref="Y205" si="258">IF(OR(Y$190&gt;0,$A205),SUM(Y206:Y211),0)</f>
        <v>0.7</v>
      </c>
      <c r="Z205" s="102">
        <f t="shared" ref="Z205" si="259">IF(OR(Z$190&gt;0,$A205),SUM(Z206:Z211),0)</f>
        <v>1.1000000000000001</v>
      </c>
      <c r="AA205" s="102">
        <f t="shared" ref="AA205" si="260">IF(OR(AA$190&gt;0,$A205),SUM(AA206:AA211),0)</f>
        <v>0.6</v>
      </c>
      <c r="AB205" s="102">
        <f t="shared" ref="AB205" si="261">IF(OR(AB$190&gt;0,$A205),SUM(AB206:AB211),0)</f>
        <v>1</v>
      </c>
      <c r="AC205" s="102">
        <f t="shared" ref="AC205" si="262">IF(OR(AC$190&gt;0,$A205),SUM(AC206:AC211),0)</f>
        <v>0.8</v>
      </c>
      <c r="AD205" s="102">
        <f t="shared" ref="AD205" si="263">IF(OR(AD$190&gt;0,$A205),SUM(AD206:AD211),0)</f>
        <v>0.7</v>
      </c>
      <c r="AE205" s="102">
        <f t="shared" ref="AE205" si="264">IF(OR(AE$190&gt;0,$A205),SUM(AE206:AE211),0)</f>
        <v>1</v>
      </c>
      <c r="AF205" s="102">
        <f t="shared" ref="AF205" si="265">IF(OR(AF$190&gt;0,$A205),SUM(AF206:AF211),0)</f>
        <v>0.8</v>
      </c>
      <c r="AG205" s="102">
        <f t="shared" ref="AG205" si="266">IF(OR(AG$190&gt;0,$A205),SUM(AG206:AG211),0)</f>
        <v>0.7</v>
      </c>
      <c r="AH205" s="102">
        <f t="shared" ref="AH205" si="267">IF(OR(AH$190&gt;0,$A205),SUM(AH206:AH211),0)</f>
        <v>1</v>
      </c>
      <c r="AI205" s="102">
        <f t="shared" ref="AI205" si="268">IF(OR(AI$190&gt;0,$A205),SUM(AI206:AI211),0)</f>
        <v>0.8</v>
      </c>
      <c r="AJ205" s="102">
        <f t="shared" ref="AJ205" si="269">IF(OR(AJ$190&gt;0,$A205),SUM(AJ206:AJ211),0)</f>
        <v>0.7</v>
      </c>
      <c r="AK205" s="102">
        <f t="shared" ref="AK205" si="270">IF(OR(AK$190&gt;0,$A205),SUM(AK206:AK211),0)</f>
        <v>1</v>
      </c>
      <c r="AL205" s="102">
        <f t="shared" ref="AL205" si="271">IF(OR(AL$190&gt;0,$A205),SUM(AL206:AL211),0)</f>
        <v>0.7</v>
      </c>
      <c r="AM205" s="102">
        <f t="shared" ref="AM205" si="272">IF(OR(AM$190&gt;0,$A205),SUM(AM206:AM211),0)</f>
        <v>0.9</v>
      </c>
      <c r="AN205" s="102">
        <f t="shared" ref="AN205" si="273">IF(OR(AN$190&gt;0,$A205),SUM(AN206:AN211),0)</f>
        <v>0.7</v>
      </c>
      <c r="AO205" s="102">
        <f t="shared" ref="AO205" si="274">IF(OR(AO$190&gt;0,$A205),SUM(AO206:AO211),0)</f>
        <v>0.8</v>
      </c>
      <c r="AP205" s="102">
        <f t="shared" ref="AP205" si="275">IF(OR(AP$190&gt;0,$A205),SUM(AP206:AP211),0)</f>
        <v>1</v>
      </c>
      <c r="AQ205" s="102">
        <f t="shared" ref="AQ205" si="276">IF(OR(AQ$190&gt;0,$A205),SUM(AQ206:AQ211),0)</f>
        <v>0.6</v>
      </c>
      <c r="AR205" s="102">
        <f t="shared" ref="AR205" si="277">IF(OR(AR$190&gt;0,$A205),SUM(AR206:AR211),0)</f>
        <v>1</v>
      </c>
      <c r="AS205" s="102">
        <f t="shared" ref="AS205" si="278">IF(OR(AS$190&gt;0,$A205),SUM(AS206:AS211),0)</f>
        <v>0.8</v>
      </c>
      <c r="AT205" s="102">
        <f t="shared" ref="AT205" si="279">IF(OR(AT$190&gt;0,$A205),SUM(AT206:AT211),0)</f>
        <v>0.7</v>
      </c>
      <c r="AU205" s="102">
        <f t="shared" ref="AU205" si="280">IF(OR(AU$190&gt;0,$A205),SUM(AU206:AU211),0)</f>
        <v>1</v>
      </c>
      <c r="AV205" s="102">
        <f t="shared" ref="AV205" si="281">IF(OR(AV$190&gt;0,$A205),SUM(AV206:AV211),0)</f>
        <v>0.8</v>
      </c>
      <c r="AW205" s="102">
        <f t="shared" ref="AW205" si="282">IF(OR(AW$190&gt;0,$A205),SUM(AW206:AW211),0)</f>
        <v>0.7</v>
      </c>
      <c r="AX205" s="102">
        <f t="shared" ref="AX205" si="283">IF(OR(AX$190&gt;0,$A205),SUM(AX206:AX211),0)</f>
        <v>1</v>
      </c>
      <c r="AY205" s="102">
        <f t="shared" ref="AY205" si="284">IF(OR(AY$190&gt;0,$A205),SUM(AY206:AY211),0)</f>
        <v>0.7</v>
      </c>
      <c r="AZ205" s="102">
        <f t="shared" ref="AZ205" si="285">IF(OR(AZ$190&gt;0,$A205),SUM(AZ206:AZ211),0)</f>
        <v>0.8</v>
      </c>
      <c r="BA205" s="102">
        <f t="shared" ref="BA205" si="286">IF(OR(BA$190&gt;0,$A205),SUM(BA206:BA211),0)</f>
        <v>0.8</v>
      </c>
      <c r="BB205" s="102">
        <f t="shared" ref="BB205" si="287">IF(OR(BB$190&gt;0,$A205),SUM(BB206:BB211),0)</f>
        <v>0.4</v>
      </c>
      <c r="BC205" s="107">
        <f t="shared" si="181"/>
        <v>42.699999999999996</v>
      </c>
    </row>
    <row r="206" spans="1:55" x14ac:dyDescent="0.25">
      <c r="A206">
        <f>IF(A$205&gt;0,A199,0)</f>
        <v>6</v>
      </c>
      <c r="B206" s="105" t="str">
        <f>'Client Data'!B256</f>
        <v>SDT1</v>
      </c>
      <c r="C206" s="106">
        <f>IF(OR(C$190,$A206),'Client Data'!C256,0)</f>
        <v>0</v>
      </c>
      <c r="D206" s="106">
        <f>IF(OR(D$190,$A206),'Client Data'!D256,0)</f>
        <v>0</v>
      </c>
      <c r="E206" s="106">
        <f>IF(OR(E$190,$A206),'Client Data'!E256,0)</f>
        <v>0</v>
      </c>
      <c r="F206" s="106">
        <f>IF(OR(F$190,$A206),'Client Data'!F256,0)</f>
        <v>0</v>
      </c>
      <c r="G206" s="106">
        <f>IF(OR(G$190,$A206),'Client Data'!G256,0)</f>
        <v>0</v>
      </c>
      <c r="H206" s="106">
        <f>IF(OR(H$190,$A206),'Client Data'!H256,0)</f>
        <v>0</v>
      </c>
      <c r="I206" s="106">
        <f>IF(OR(I$190,$A206),'Client Data'!I256,0)</f>
        <v>0</v>
      </c>
      <c r="J206" s="106">
        <f>IF(OR(J$190,$A206),'Client Data'!J256,0)</f>
        <v>0</v>
      </c>
      <c r="K206" s="106">
        <f>IF(OR(K$190,$A206),'Client Data'!K256,0)</f>
        <v>0</v>
      </c>
      <c r="L206" s="106">
        <f>IF(OR(L$190,$A206),'Client Data'!L256,0)</f>
        <v>0</v>
      </c>
      <c r="M206" s="106">
        <f>IF(OR(M$190,$A206),'Client Data'!M256,0)</f>
        <v>0</v>
      </c>
      <c r="N206" s="106">
        <f>IF(OR(N$190,$A206),'Client Data'!N256,0)</f>
        <v>0</v>
      </c>
      <c r="O206" s="106">
        <f>IF(OR(O$190,$A206),'Client Data'!O256,0)</f>
        <v>0</v>
      </c>
      <c r="P206" s="106">
        <f>IF(OR(P$190,$A206),'Client Data'!P256,0)</f>
        <v>0</v>
      </c>
      <c r="Q206" s="106">
        <f>IF(OR(Q$190,$A206),'Client Data'!Q256,0)</f>
        <v>0</v>
      </c>
      <c r="R206" s="106">
        <f>IF(OR(R$190,$A206),'Client Data'!R256,0)</f>
        <v>0</v>
      </c>
      <c r="S206" s="106">
        <f>IF(OR(S$190,$A206),'Client Data'!S256,0)</f>
        <v>0</v>
      </c>
      <c r="T206" s="106">
        <f>IF(OR(T$190,$A206),'Client Data'!T256,0)</f>
        <v>0</v>
      </c>
      <c r="U206" s="106">
        <f>IF(OR(U$190,$A206),'Client Data'!U256,0)</f>
        <v>0</v>
      </c>
      <c r="V206" s="106">
        <f>IF(OR(V$190,$A206),'Client Data'!V256,0)</f>
        <v>0</v>
      </c>
      <c r="W206" s="106">
        <f>IF(OR(W$190,$A206),'Client Data'!W256,0)</f>
        <v>0</v>
      </c>
      <c r="X206" s="106">
        <f>IF(OR(X$190,$A206),'Client Data'!X256,0)</f>
        <v>0</v>
      </c>
      <c r="Y206" s="106">
        <f>IF(OR(Y$190,$A206),'Client Data'!Y256,0)</f>
        <v>0</v>
      </c>
      <c r="Z206" s="106">
        <f>IF(OR(Z$190,$A206),'Client Data'!Z256,0)</f>
        <v>0</v>
      </c>
      <c r="AA206" s="106">
        <f>IF(OR(AA$190,$A206),'Client Data'!AA256,0)</f>
        <v>0</v>
      </c>
      <c r="AB206" s="106">
        <f>IF(OR(AB$190,$A206),'Client Data'!AB256,0)</f>
        <v>0</v>
      </c>
      <c r="AC206" s="106">
        <f>IF(OR(AC$190,$A206),'Client Data'!AC256,0)</f>
        <v>0</v>
      </c>
      <c r="AD206" s="106">
        <f>IF(OR(AD$190,$A206),'Client Data'!AD256,0)</f>
        <v>0</v>
      </c>
      <c r="AE206" s="106">
        <f>IF(OR(AE$190,$A206),'Client Data'!AE256,0)</f>
        <v>0</v>
      </c>
      <c r="AF206" s="106">
        <f>IF(OR(AF$190,$A206),'Client Data'!AF256,0)</f>
        <v>0</v>
      </c>
      <c r="AG206" s="106">
        <f>IF(OR(AG$190,$A206),'Client Data'!AG256,0)</f>
        <v>0</v>
      </c>
      <c r="AH206" s="106">
        <f>IF(OR(AH$190,$A206),'Client Data'!AH256,0)</f>
        <v>0</v>
      </c>
      <c r="AI206" s="106">
        <f>IF(OR(AI$190,$A206),'Client Data'!AI256,0)</f>
        <v>0</v>
      </c>
      <c r="AJ206" s="106">
        <f>IF(OR(AJ$190,$A206),'Client Data'!AJ256,0)</f>
        <v>0</v>
      </c>
      <c r="AK206" s="106">
        <f>IF(OR(AK$190,$A206),'Client Data'!AK256,0)</f>
        <v>0</v>
      </c>
      <c r="AL206" s="106">
        <f>IF(OR(AL$190,$A206),'Client Data'!AL256,0)</f>
        <v>0</v>
      </c>
      <c r="AM206" s="106">
        <f>IF(OR(AM$190,$A206),'Client Data'!AM256,0)</f>
        <v>0</v>
      </c>
      <c r="AN206" s="106">
        <f>IF(OR(AN$190,$A206),'Client Data'!AN256,0)</f>
        <v>0</v>
      </c>
      <c r="AO206" s="106">
        <f>IF(OR(AO$190,$A206),'Client Data'!AO256,0)</f>
        <v>0</v>
      </c>
      <c r="AP206" s="106">
        <f>IF(OR(AP$190,$A206),'Client Data'!AP256,0)</f>
        <v>0</v>
      </c>
      <c r="AQ206" s="106">
        <f>IF(OR(AQ$190,$A206),'Client Data'!AQ256,0)</f>
        <v>0</v>
      </c>
      <c r="AR206" s="106">
        <f>IF(OR(AR$190,$A206),'Client Data'!AR256,0)</f>
        <v>0</v>
      </c>
      <c r="AS206" s="106">
        <f>IF(OR(AS$190,$A206),'Client Data'!AS256,0)</f>
        <v>0</v>
      </c>
      <c r="AT206" s="106">
        <f>IF(OR(AT$190,$A206),'Client Data'!AT256,0)</f>
        <v>0</v>
      </c>
      <c r="AU206" s="106">
        <f>IF(OR(AU$190,$A206),'Client Data'!AU256,0)</f>
        <v>0</v>
      </c>
      <c r="AV206" s="106">
        <f>IF(OR(AV$190,$A206),'Client Data'!AV256,0)</f>
        <v>0</v>
      </c>
      <c r="AW206" s="106">
        <f>IF(OR(AW$190,$A206),'Client Data'!AW256,0)</f>
        <v>0</v>
      </c>
      <c r="AX206" s="106">
        <f>IF(OR(AX$190,$A206),'Client Data'!AX256,0)</f>
        <v>0</v>
      </c>
      <c r="AY206" s="106">
        <f>IF(OR(AY$190,$A206),'Client Data'!AY256,0)</f>
        <v>0</v>
      </c>
      <c r="AZ206" s="106">
        <f>IF(OR(AZ$190,$A206),'Client Data'!AZ256,0)</f>
        <v>0</v>
      </c>
      <c r="BA206" s="106">
        <f>IF(OR(BA$190,$A206),'Client Data'!BA256,0)</f>
        <v>0</v>
      </c>
      <c r="BB206" s="106">
        <f>IF(OR(BB$190,$A206),'Client Data'!BB256,0)</f>
        <v>0</v>
      </c>
      <c r="BC206" s="104">
        <f t="shared" si="181"/>
        <v>0</v>
      </c>
    </row>
    <row r="207" spans="1:55" x14ac:dyDescent="0.25">
      <c r="A207">
        <f>IF(A$205&gt;0,A206-1,0)</f>
        <v>5</v>
      </c>
      <c r="B207" s="105" t="str">
        <f>'Client Data'!B257</f>
        <v>SDT2</v>
      </c>
      <c r="C207" s="106">
        <f>IF(OR(C$190,$A207),'Client Data'!C257,0)</f>
        <v>0</v>
      </c>
      <c r="D207" s="106">
        <f>IF(OR(D$190,$A207),'Client Data'!D257,0)</f>
        <v>0</v>
      </c>
      <c r="E207" s="106">
        <f>IF(OR(E$190,$A207),'Client Data'!E257,0)</f>
        <v>0</v>
      </c>
      <c r="F207" s="106">
        <f>IF(OR(F$190,$A207),'Client Data'!F257,0)</f>
        <v>0</v>
      </c>
      <c r="G207" s="106">
        <f>IF(OR(G$190,$A207),'Client Data'!G257,0)</f>
        <v>0</v>
      </c>
      <c r="H207" s="106">
        <f>IF(OR(H$190,$A207),'Client Data'!H257,0)</f>
        <v>0</v>
      </c>
      <c r="I207" s="106">
        <f>IF(OR(I$190,$A207),'Client Data'!I257,0)</f>
        <v>0</v>
      </c>
      <c r="J207" s="106">
        <f>IF(OR(J$190,$A207),'Client Data'!J257,0)</f>
        <v>0</v>
      </c>
      <c r="K207" s="106">
        <f>IF(OR(K$190,$A207),'Client Data'!K257,0)</f>
        <v>0</v>
      </c>
      <c r="L207" s="106">
        <f>IF(OR(L$190,$A207),'Client Data'!L257,0)</f>
        <v>0</v>
      </c>
      <c r="M207" s="106">
        <f>IF(OR(M$190,$A207),'Client Data'!M257,0)</f>
        <v>0</v>
      </c>
      <c r="N207" s="106">
        <f>IF(OR(N$190,$A207),'Client Data'!N257,0)</f>
        <v>0</v>
      </c>
      <c r="O207" s="106">
        <f>IF(OR(O$190,$A207),'Client Data'!O257,0)</f>
        <v>0</v>
      </c>
      <c r="P207" s="106">
        <f>IF(OR(P$190,$A207),'Client Data'!P257,0)</f>
        <v>0</v>
      </c>
      <c r="Q207" s="106">
        <f>IF(OR(Q$190,$A207),'Client Data'!Q257,0)</f>
        <v>0</v>
      </c>
      <c r="R207" s="106">
        <f>IF(OR(R$190,$A207),'Client Data'!R257,0)</f>
        <v>0</v>
      </c>
      <c r="S207" s="106">
        <f>IF(OR(S$190,$A207),'Client Data'!S257,0)</f>
        <v>0</v>
      </c>
      <c r="T207" s="106">
        <f>IF(OR(T$190,$A207),'Client Data'!T257,0)</f>
        <v>0</v>
      </c>
      <c r="U207" s="106">
        <f>IF(OR(U$190,$A207),'Client Data'!U257,0)</f>
        <v>0</v>
      </c>
      <c r="V207" s="106">
        <f>IF(OR(V$190,$A207),'Client Data'!V257,0)</f>
        <v>0</v>
      </c>
      <c r="W207" s="106">
        <f>IF(OR(W$190,$A207),'Client Data'!W257,0)</f>
        <v>0</v>
      </c>
      <c r="X207" s="106">
        <f>IF(OR(X$190,$A207),'Client Data'!X257,0)</f>
        <v>0</v>
      </c>
      <c r="Y207" s="106">
        <f>IF(OR(Y$190,$A207),'Client Data'!Y257,0)</f>
        <v>0</v>
      </c>
      <c r="Z207" s="106">
        <f>IF(OR(Z$190,$A207),'Client Data'!Z257,0)</f>
        <v>0</v>
      </c>
      <c r="AA207" s="106">
        <f>IF(OR(AA$190,$A207),'Client Data'!AA257,0)</f>
        <v>0</v>
      </c>
      <c r="AB207" s="106">
        <f>IF(OR(AB$190,$A207),'Client Data'!AB257,0)</f>
        <v>0</v>
      </c>
      <c r="AC207" s="106">
        <f>IF(OR(AC$190,$A207),'Client Data'!AC257,0)</f>
        <v>0</v>
      </c>
      <c r="AD207" s="106">
        <f>IF(OR(AD$190,$A207),'Client Data'!AD257,0)</f>
        <v>0</v>
      </c>
      <c r="AE207" s="106">
        <f>IF(OR(AE$190,$A207),'Client Data'!AE257,0)</f>
        <v>0</v>
      </c>
      <c r="AF207" s="106">
        <f>IF(OR(AF$190,$A207),'Client Data'!AF257,0)</f>
        <v>0</v>
      </c>
      <c r="AG207" s="106">
        <f>IF(OR(AG$190,$A207),'Client Data'!AG257,0)</f>
        <v>0</v>
      </c>
      <c r="AH207" s="106">
        <f>IF(OR(AH$190,$A207),'Client Data'!AH257,0)</f>
        <v>0</v>
      </c>
      <c r="AI207" s="106">
        <f>IF(OR(AI$190,$A207),'Client Data'!AI257,0)</f>
        <v>0</v>
      </c>
      <c r="AJ207" s="106">
        <f>IF(OR(AJ$190,$A207),'Client Data'!AJ257,0)</f>
        <v>0</v>
      </c>
      <c r="AK207" s="106">
        <f>IF(OR(AK$190,$A207),'Client Data'!AK257,0)</f>
        <v>0</v>
      </c>
      <c r="AL207" s="106">
        <f>IF(OR(AL$190,$A207),'Client Data'!AL257,0)</f>
        <v>0</v>
      </c>
      <c r="AM207" s="106">
        <f>IF(OR(AM$190,$A207),'Client Data'!AM257,0)</f>
        <v>0</v>
      </c>
      <c r="AN207" s="106">
        <f>IF(OR(AN$190,$A207),'Client Data'!AN257,0)</f>
        <v>0</v>
      </c>
      <c r="AO207" s="106">
        <f>IF(OR(AO$190,$A207),'Client Data'!AO257,0)</f>
        <v>0</v>
      </c>
      <c r="AP207" s="106">
        <f>IF(OR(AP$190,$A207),'Client Data'!AP257,0)</f>
        <v>0</v>
      </c>
      <c r="AQ207" s="106">
        <f>IF(OR(AQ$190,$A207),'Client Data'!AQ257,0)</f>
        <v>0</v>
      </c>
      <c r="AR207" s="106">
        <f>IF(OR(AR$190,$A207),'Client Data'!AR257,0)</f>
        <v>0</v>
      </c>
      <c r="AS207" s="106">
        <f>IF(OR(AS$190,$A207),'Client Data'!AS257,0)</f>
        <v>0</v>
      </c>
      <c r="AT207" s="106">
        <f>IF(OR(AT$190,$A207),'Client Data'!AT257,0)</f>
        <v>0</v>
      </c>
      <c r="AU207" s="106">
        <f>IF(OR(AU$190,$A207),'Client Data'!AU257,0)</f>
        <v>0</v>
      </c>
      <c r="AV207" s="106">
        <f>IF(OR(AV$190,$A207),'Client Data'!AV257,0)</f>
        <v>0</v>
      </c>
      <c r="AW207" s="106">
        <f>IF(OR(AW$190,$A207),'Client Data'!AW257,0)</f>
        <v>0</v>
      </c>
      <c r="AX207" s="106">
        <f>IF(OR(AX$190,$A207),'Client Data'!AX257,0)</f>
        <v>0</v>
      </c>
      <c r="AY207" s="106">
        <f>IF(OR(AY$190,$A207),'Client Data'!AY257,0)</f>
        <v>0</v>
      </c>
      <c r="AZ207" s="106">
        <f>IF(OR(AZ$190,$A207),'Client Data'!AZ257,0)</f>
        <v>0</v>
      </c>
      <c r="BA207" s="106">
        <f>IF(OR(BA$190,$A207),'Client Data'!BA257,0)</f>
        <v>0</v>
      </c>
      <c r="BB207" s="106">
        <f>IF(OR(BB$190,$A207),'Client Data'!BB257,0)</f>
        <v>0</v>
      </c>
      <c r="BC207" s="104">
        <f t="shared" si="181"/>
        <v>0</v>
      </c>
    </row>
    <row r="208" spans="1:55" x14ac:dyDescent="0.25">
      <c r="A208">
        <f t="shared" ref="A208:A211" si="288">IF(A$205&gt;0,A207-1,0)</f>
        <v>4</v>
      </c>
      <c r="B208" s="105" t="str">
        <f>'Client Data'!B258</f>
        <v>SDT3</v>
      </c>
      <c r="C208" s="106">
        <f>IF(OR(C$190,$A208),'Client Data'!C258,0)</f>
        <v>0.4</v>
      </c>
      <c r="D208" s="106">
        <f>IF(OR(D$190,$A208),'Client Data'!D258,0)</f>
        <v>0.4</v>
      </c>
      <c r="E208" s="106">
        <f>IF(OR(E$190,$A208),'Client Data'!E258,0)</f>
        <v>0.4</v>
      </c>
      <c r="F208" s="106">
        <f>IF(OR(F$190,$A208),'Client Data'!F258,0)</f>
        <v>0.4</v>
      </c>
      <c r="G208" s="106">
        <f>IF(OR(G$190,$A208),'Client Data'!G258,0)</f>
        <v>0.5</v>
      </c>
      <c r="H208" s="106">
        <f>IF(OR(H$190,$A208),'Client Data'!H258,0)</f>
        <v>0.3</v>
      </c>
      <c r="I208" s="106">
        <f>IF(OR(I$190,$A208),'Client Data'!I258,0)</f>
        <v>0.6</v>
      </c>
      <c r="J208" s="106">
        <f>IF(OR(J$190,$A208),'Client Data'!J258,0)</f>
        <v>0.3</v>
      </c>
      <c r="K208" s="106">
        <f>IF(OR(K$190,$A208),'Client Data'!K258,0)</f>
        <v>0.4</v>
      </c>
      <c r="L208" s="106">
        <f>IF(OR(L$190,$A208),'Client Data'!L258,0)</f>
        <v>0.4</v>
      </c>
      <c r="M208" s="106">
        <f>IF(OR(M$190,$A208),'Client Data'!M258,0)</f>
        <v>0.5</v>
      </c>
      <c r="N208" s="106">
        <f>IF(OR(N$190,$A208),'Client Data'!N258,0)</f>
        <v>0.3</v>
      </c>
      <c r="O208" s="106">
        <f>IF(OR(O$190,$A208),'Client Data'!O258,0)</f>
        <v>0.6</v>
      </c>
      <c r="P208" s="106">
        <f>IF(OR(P$190,$A208),'Client Data'!P258,0)</f>
        <v>0.3</v>
      </c>
      <c r="Q208" s="106">
        <f>IF(OR(Q$190,$A208),'Client Data'!Q258,0)</f>
        <v>0.4</v>
      </c>
      <c r="R208" s="106">
        <f>IF(OR(R$190,$A208),'Client Data'!R258,0)</f>
        <v>0.5</v>
      </c>
      <c r="S208" s="106">
        <f>IF(OR(S$190,$A208),'Client Data'!S258,0)</f>
        <v>0.3</v>
      </c>
      <c r="T208" s="106">
        <f>IF(OR(T$190,$A208),'Client Data'!T258,0)</f>
        <v>0.6</v>
      </c>
      <c r="U208" s="106">
        <f>IF(OR(U$190,$A208),'Client Data'!U258,0)</f>
        <v>0.3</v>
      </c>
      <c r="V208" s="106">
        <f>IF(OR(V$190,$A208),'Client Data'!V258,0)</f>
        <v>0.4</v>
      </c>
      <c r="W208" s="106">
        <f>IF(OR(W$190,$A208),'Client Data'!W258,0)</f>
        <v>0.4</v>
      </c>
      <c r="X208" s="106">
        <f>IF(OR(X$190,$A208),'Client Data'!X258,0)</f>
        <v>0.5</v>
      </c>
      <c r="Y208" s="106">
        <f>IF(OR(Y$190,$A208),'Client Data'!Y258,0)</f>
        <v>0.3</v>
      </c>
      <c r="Z208" s="106">
        <f>IF(OR(Z$190,$A208),'Client Data'!Z258,0)</f>
        <v>0.6</v>
      </c>
      <c r="AA208" s="106">
        <f>IF(OR(AA$190,$A208),'Client Data'!AA258,0)</f>
        <v>0.3</v>
      </c>
      <c r="AB208" s="106">
        <f>IF(OR(AB$190,$A208),'Client Data'!AB258,0)</f>
        <v>0.4</v>
      </c>
      <c r="AC208" s="106">
        <f>IF(OR(AC$190,$A208),'Client Data'!AC258,0)</f>
        <v>0.5</v>
      </c>
      <c r="AD208" s="106">
        <f>IF(OR(AD$190,$A208),'Client Data'!AD258,0)</f>
        <v>0.3</v>
      </c>
      <c r="AE208" s="106">
        <f>IF(OR(AE$190,$A208),'Client Data'!AE258,0)</f>
        <v>0.6</v>
      </c>
      <c r="AF208" s="106">
        <f>IF(OR(AF$190,$A208),'Client Data'!AF258,0)</f>
        <v>0.3</v>
      </c>
      <c r="AG208" s="106">
        <f>IF(OR(AG$190,$A208),'Client Data'!AG258,0)</f>
        <v>0.4</v>
      </c>
      <c r="AH208" s="106">
        <f>IF(OR(AH$190,$A208),'Client Data'!AH258,0)</f>
        <v>0.4</v>
      </c>
      <c r="AI208" s="106">
        <f>IF(OR(AI$190,$A208),'Client Data'!AI258,0)</f>
        <v>0.5</v>
      </c>
      <c r="AJ208" s="106">
        <f>IF(OR(AJ$190,$A208),'Client Data'!AJ258,0)</f>
        <v>0.3</v>
      </c>
      <c r="AK208" s="106">
        <f>IF(OR(AK$190,$A208),'Client Data'!AK258,0)</f>
        <v>0.6</v>
      </c>
      <c r="AL208" s="106">
        <f>IF(OR(AL$190,$A208),'Client Data'!AL258,0)</f>
        <v>0.3</v>
      </c>
      <c r="AM208" s="106">
        <f>IF(OR(AM$190,$A208),'Client Data'!AM258,0)</f>
        <v>0.4</v>
      </c>
      <c r="AN208" s="106">
        <f>IF(OR(AN$190,$A208),'Client Data'!AN258,0)</f>
        <v>0.4</v>
      </c>
      <c r="AO208" s="106">
        <f>IF(OR(AO$190,$A208),'Client Data'!AO258,0)</f>
        <v>0.4</v>
      </c>
      <c r="AP208" s="106">
        <f>IF(OR(AP$190,$A208),'Client Data'!AP258,0)</f>
        <v>0.5</v>
      </c>
      <c r="AQ208" s="106">
        <f>IF(OR(AQ$190,$A208),'Client Data'!AQ258,0)</f>
        <v>0.3</v>
      </c>
      <c r="AR208" s="106">
        <f>IF(OR(AR$190,$A208),'Client Data'!AR258,0)</f>
        <v>0.4</v>
      </c>
      <c r="AS208" s="106">
        <f>IF(OR(AS$190,$A208),'Client Data'!AS258,0)</f>
        <v>0.5</v>
      </c>
      <c r="AT208" s="106">
        <f>IF(OR(AT$190,$A208),'Client Data'!AT258,0)</f>
        <v>0.3</v>
      </c>
      <c r="AU208" s="106">
        <f>IF(OR(AU$190,$A208),'Client Data'!AU258,0)</f>
        <v>0.6</v>
      </c>
      <c r="AV208" s="106">
        <f>IF(OR(AV$190,$A208),'Client Data'!AV258,0)</f>
        <v>0.3</v>
      </c>
      <c r="AW208" s="106">
        <f>IF(OR(AW$190,$A208),'Client Data'!AW258,0)</f>
        <v>0.4</v>
      </c>
      <c r="AX208" s="106">
        <f>IF(OR(AX$190,$A208),'Client Data'!AX258,0)</f>
        <v>0.4</v>
      </c>
      <c r="AY208" s="106">
        <f>IF(OR(AY$190,$A208),'Client Data'!AY258,0)</f>
        <v>0.4</v>
      </c>
      <c r="AZ208" s="106">
        <f>IF(OR(AZ$190,$A208),'Client Data'!AZ258,0)</f>
        <v>0.4</v>
      </c>
      <c r="BA208" s="106">
        <f>IF(OR(BA$190,$A208),'Client Data'!BA258,0)</f>
        <v>0.4</v>
      </c>
      <c r="BB208" s="106">
        <f>IF(OR(BB$190,$A208),'Client Data'!BB258,0)</f>
        <v>0.2</v>
      </c>
      <c r="BC208" s="104">
        <f t="shared" si="181"/>
        <v>21.299999999999997</v>
      </c>
    </row>
    <row r="209" spans="1:55" x14ac:dyDescent="0.25">
      <c r="A209">
        <f t="shared" si="288"/>
        <v>3</v>
      </c>
      <c r="B209" s="105" t="str">
        <f>'Client Data'!B259</f>
        <v>SDT4</v>
      </c>
      <c r="C209" s="106">
        <f>IF(OR(C$190,$A209),'Client Data'!C259,0)</f>
        <v>0</v>
      </c>
      <c r="D209" s="106">
        <f>IF(OR(D$190,$A209),'Client Data'!D259,0)</f>
        <v>0</v>
      </c>
      <c r="E209" s="106">
        <f>IF(OR(E$190,$A209),'Client Data'!E259,0)</f>
        <v>0</v>
      </c>
      <c r="F209" s="106">
        <f>IF(OR(F$190,$A209),'Client Data'!F259,0)</f>
        <v>0</v>
      </c>
      <c r="G209" s="106">
        <f>IF(OR(G$190,$A209),'Client Data'!G259,0)</f>
        <v>0</v>
      </c>
      <c r="H209" s="106">
        <f>IF(OR(H$190,$A209),'Client Data'!H259,0)</f>
        <v>0</v>
      </c>
      <c r="I209" s="106">
        <f>IF(OR(I$190,$A209),'Client Data'!I259,0)</f>
        <v>0</v>
      </c>
      <c r="J209" s="106">
        <f>IF(OR(J$190,$A209),'Client Data'!J259,0)</f>
        <v>0</v>
      </c>
      <c r="K209" s="106">
        <f>IF(OR(K$190,$A209),'Client Data'!K259,0)</f>
        <v>0</v>
      </c>
      <c r="L209" s="106">
        <f>IF(OR(L$190,$A209),'Client Data'!L259,0)</f>
        <v>0</v>
      </c>
      <c r="M209" s="106">
        <f>IF(OR(M$190,$A209),'Client Data'!M259,0)</f>
        <v>0</v>
      </c>
      <c r="N209" s="106">
        <f>IF(OR(N$190,$A209),'Client Data'!N259,0)</f>
        <v>0</v>
      </c>
      <c r="O209" s="106">
        <f>IF(OR(O$190,$A209),'Client Data'!O259,0)</f>
        <v>0</v>
      </c>
      <c r="P209" s="106">
        <f>IF(OR(P$190,$A209),'Client Data'!P259,0)</f>
        <v>0</v>
      </c>
      <c r="Q209" s="106">
        <f>IF(OR(Q$190,$A209),'Client Data'!Q259,0)</f>
        <v>0</v>
      </c>
      <c r="R209" s="106">
        <f>IF(OR(R$190,$A209),'Client Data'!R259,0)</f>
        <v>0</v>
      </c>
      <c r="S209" s="106">
        <f>IF(OR(S$190,$A209),'Client Data'!S259,0)</f>
        <v>0</v>
      </c>
      <c r="T209" s="106">
        <f>IF(OR(T$190,$A209),'Client Data'!T259,0)</f>
        <v>0</v>
      </c>
      <c r="U209" s="106">
        <f>IF(OR(U$190,$A209),'Client Data'!U259,0)</f>
        <v>0</v>
      </c>
      <c r="V209" s="106">
        <f>IF(OR(V$190,$A209),'Client Data'!V259,0)</f>
        <v>0</v>
      </c>
      <c r="W209" s="106">
        <f>IF(OR(W$190,$A209),'Client Data'!W259,0)</f>
        <v>0</v>
      </c>
      <c r="X209" s="106">
        <f>IF(OR(X$190,$A209),'Client Data'!X259,0)</f>
        <v>0</v>
      </c>
      <c r="Y209" s="106">
        <f>IF(OR(Y$190,$A209),'Client Data'!Y259,0)</f>
        <v>0</v>
      </c>
      <c r="Z209" s="106">
        <f>IF(OR(Z$190,$A209),'Client Data'!Z259,0)</f>
        <v>0</v>
      </c>
      <c r="AA209" s="106">
        <f>IF(OR(AA$190,$A209),'Client Data'!AA259,0)</f>
        <v>0</v>
      </c>
      <c r="AB209" s="106">
        <f>IF(OR(AB$190,$A209),'Client Data'!AB259,0)</f>
        <v>0</v>
      </c>
      <c r="AC209" s="106">
        <f>IF(OR(AC$190,$A209),'Client Data'!AC259,0)</f>
        <v>0</v>
      </c>
      <c r="AD209" s="106">
        <f>IF(OR(AD$190,$A209),'Client Data'!AD259,0)</f>
        <v>0</v>
      </c>
      <c r="AE209" s="106">
        <f>IF(OR(AE$190,$A209),'Client Data'!AE259,0)</f>
        <v>0</v>
      </c>
      <c r="AF209" s="106">
        <f>IF(OR(AF$190,$A209),'Client Data'!AF259,0)</f>
        <v>0</v>
      </c>
      <c r="AG209" s="106">
        <f>IF(OR(AG$190,$A209),'Client Data'!AG259,0)</f>
        <v>0</v>
      </c>
      <c r="AH209" s="106">
        <f>IF(OR(AH$190,$A209),'Client Data'!AH259,0)</f>
        <v>0</v>
      </c>
      <c r="AI209" s="106">
        <f>IF(OR(AI$190,$A209),'Client Data'!AI259,0)</f>
        <v>0</v>
      </c>
      <c r="AJ209" s="106">
        <f>IF(OR(AJ$190,$A209),'Client Data'!AJ259,0)</f>
        <v>0</v>
      </c>
      <c r="AK209" s="106">
        <f>IF(OR(AK$190,$A209),'Client Data'!AK259,0)</f>
        <v>0</v>
      </c>
      <c r="AL209" s="106">
        <f>IF(OR(AL$190,$A209),'Client Data'!AL259,0)</f>
        <v>0</v>
      </c>
      <c r="AM209" s="106">
        <f>IF(OR(AM$190,$A209),'Client Data'!AM259,0)</f>
        <v>0</v>
      </c>
      <c r="AN209" s="106">
        <f>IF(OR(AN$190,$A209),'Client Data'!AN259,0)</f>
        <v>0</v>
      </c>
      <c r="AO209" s="106">
        <f>IF(OR(AO$190,$A209),'Client Data'!AO259,0)</f>
        <v>0</v>
      </c>
      <c r="AP209" s="106">
        <f>IF(OR(AP$190,$A209),'Client Data'!AP259,0)</f>
        <v>0</v>
      </c>
      <c r="AQ209" s="106">
        <f>IF(OR(AQ$190,$A209),'Client Data'!AQ259,0)</f>
        <v>0</v>
      </c>
      <c r="AR209" s="106">
        <f>IF(OR(AR$190,$A209),'Client Data'!AR259,0)</f>
        <v>0</v>
      </c>
      <c r="AS209" s="106">
        <f>IF(OR(AS$190,$A209),'Client Data'!AS259,0)</f>
        <v>0</v>
      </c>
      <c r="AT209" s="106">
        <f>IF(OR(AT$190,$A209),'Client Data'!AT259,0)</f>
        <v>0</v>
      </c>
      <c r="AU209" s="106">
        <f>IF(OR(AU$190,$A209),'Client Data'!AU259,0)</f>
        <v>0</v>
      </c>
      <c r="AV209" s="106">
        <f>IF(OR(AV$190,$A209),'Client Data'!AV259,0)</f>
        <v>0</v>
      </c>
      <c r="AW209" s="106">
        <f>IF(OR(AW$190,$A209),'Client Data'!AW259,0)</f>
        <v>0</v>
      </c>
      <c r="AX209" s="106">
        <f>IF(OR(AX$190,$A209),'Client Data'!AX259,0)</f>
        <v>0</v>
      </c>
      <c r="AY209" s="106">
        <f>IF(OR(AY$190,$A209),'Client Data'!AY259,0)</f>
        <v>0</v>
      </c>
      <c r="AZ209" s="106">
        <f>IF(OR(AZ$190,$A209),'Client Data'!AZ259,0)</f>
        <v>0</v>
      </c>
      <c r="BA209" s="106">
        <f>IF(OR(BA$190,$A209),'Client Data'!BA259,0)</f>
        <v>0</v>
      </c>
      <c r="BB209" s="106">
        <f>IF(OR(BB$190,$A209),'Client Data'!BB259,0)</f>
        <v>0</v>
      </c>
      <c r="BC209" s="104">
        <f t="shared" si="181"/>
        <v>0</v>
      </c>
    </row>
    <row r="210" spans="1:55" x14ac:dyDescent="0.25">
      <c r="A210">
        <f t="shared" si="288"/>
        <v>2</v>
      </c>
      <c r="B210" s="105" t="str">
        <f>'Client Data'!B260</f>
        <v>SDT5</v>
      </c>
      <c r="C210" s="106">
        <f>IF(OR(C$190,$A210),'Client Data'!C260,0)</f>
        <v>0</v>
      </c>
      <c r="D210" s="106">
        <f>IF(OR(D$190,$A210),'Client Data'!D260,0)</f>
        <v>0</v>
      </c>
      <c r="E210" s="106">
        <f>IF(OR(E$190,$A210),'Client Data'!E260,0)</f>
        <v>0</v>
      </c>
      <c r="F210" s="106">
        <f>IF(OR(F$190,$A210),'Client Data'!F260,0)</f>
        <v>0</v>
      </c>
      <c r="G210" s="106">
        <f>IF(OR(G$190,$A210),'Client Data'!G260,0)</f>
        <v>0</v>
      </c>
      <c r="H210" s="106">
        <f>IF(OR(H$190,$A210),'Client Data'!H260,0)</f>
        <v>0</v>
      </c>
      <c r="I210" s="106">
        <f>IF(OR(I$190,$A210),'Client Data'!I260,0)</f>
        <v>0</v>
      </c>
      <c r="J210" s="106">
        <f>IF(OR(J$190,$A210),'Client Data'!J260,0)</f>
        <v>0</v>
      </c>
      <c r="K210" s="106">
        <f>IF(OR(K$190,$A210),'Client Data'!K260,0)</f>
        <v>0</v>
      </c>
      <c r="L210" s="106">
        <f>IF(OR(L$190,$A210),'Client Data'!L260,0)</f>
        <v>0</v>
      </c>
      <c r="M210" s="106">
        <f>IF(OR(M$190,$A210),'Client Data'!M260,0)</f>
        <v>0</v>
      </c>
      <c r="N210" s="106">
        <f>IF(OR(N$190,$A210),'Client Data'!N260,0)</f>
        <v>0</v>
      </c>
      <c r="O210" s="106">
        <f>IF(OR(O$190,$A210),'Client Data'!O260,0)</f>
        <v>0</v>
      </c>
      <c r="P210" s="106">
        <f>IF(OR(P$190,$A210),'Client Data'!P260,0)</f>
        <v>0</v>
      </c>
      <c r="Q210" s="106">
        <f>IF(OR(Q$190,$A210),'Client Data'!Q260,0)</f>
        <v>0</v>
      </c>
      <c r="R210" s="106">
        <f>IF(OR(R$190,$A210),'Client Data'!R260,0)</f>
        <v>0</v>
      </c>
      <c r="S210" s="106">
        <f>IF(OR(S$190,$A210),'Client Data'!S260,0)</f>
        <v>0</v>
      </c>
      <c r="T210" s="106">
        <f>IF(OR(T$190,$A210),'Client Data'!T260,0)</f>
        <v>0</v>
      </c>
      <c r="U210" s="106">
        <f>IF(OR(U$190,$A210),'Client Data'!U260,0)</f>
        <v>0</v>
      </c>
      <c r="V210" s="106">
        <f>IF(OR(V$190,$A210),'Client Data'!V260,0)</f>
        <v>0</v>
      </c>
      <c r="W210" s="106">
        <f>IF(OR(W$190,$A210),'Client Data'!W260,0)</f>
        <v>0</v>
      </c>
      <c r="X210" s="106">
        <f>IF(OR(X$190,$A210),'Client Data'!X260,0)</f>
        <v>0</v>
      </c>
      <c r="Y210" s="106">
        <f>IF(OR(Y$190,$A210),'Client Data'!Y260,0)</f>
        <v>0</v>
      </c>
      <c r="Z210" s="106">
        <f>IF(OR(Z$190,$A210),'Client Data'!Z260,0)</f>
        <v>0</v>
      </c>
      <c r="AA210" s="106">
        <f>IF(OR(AA$190,$A210),'Client Data'!AA260,0)</f>
        <v>0</v>
      </c>
      <c r="AB210" s="106">
        <f>IF(OR(AB$190,$A210),'Client Data'!AB260,0)</f>
        <v>0</v>
      </c>
      <c r="AC210" s="106">
        <f>IF(OR(AC$190,$A210),'Client Data'!AC260,0)</f>
        <v>0</v>
      </c>
      <c r="AD210" s="106">
        <f>IF(OR(AD$190,$A210),'Client Data'!AD260,0)</f>
        <v>0</v>
      </c>
      <c r="AE210" s="106">
        <f>IF(OR(AE$190,$A210),'Client Data'!AE260,0)</f>
        <v>0</v>
      </c>
      <c r="AF210" s="106">
        <f>IF(OR(AF$190,$A210),'Client Data'!AF260,0)</f>
        <v>0</v>
      </c>
      <c r="AG210" s="106">
        <f>IF(OR(AG$190,$A210),'Client Data'!AG260,0)</f>
        <v>0</v>
      </c>
      <c r="AH210" s="106">
        <f>IF(OR(AH$190,$A210),'Client Data'!AH260,0)</f>
        <v>0</v>
      </c>
      <c r="AI210" s="106">
        <f>IF(OR(AI$190,$A210),'Client Data'!AI260,0)</f>
        <v>0</v>
      </c>
      <c r="AJ210" s="106">
        <f>IF(OR(AJ$190,$A210),'Client Data'!AJ260,0)</f>
        <v>0</v>
      </c>
      <c r="AK210" s="106">
        <f>IF(OR(AK$190,$A210),'Client Data'!AK260,0)</f>
        <v>0</v>
      </c>
      <c r="AL210" s="106">
        <f>IF(OR(AL$190,$A210),'Client Data'!AL260,0)</f>
        <v>0</v>
      </c>
      <c r="AM210" s="106">
        <f>IF(OR(AM$190,$A210),'Client Data'!AM260,0)</f>
        <v>0</v>
      </c>
      <c r="AN210" s="106">
        <f>IF(OR(AN$190,$A210),'Client Data'!AN260,0)</f>
        <v>0</v>
      </c>
      <c r="AO210" s="106">
        <f>IF(OR(AO$190,$A210),'Client Data'!AO260,0)</f>
        <v>0</v>
      </c>
      <c r="AP210" s="106">
        <f>IF(OR(AP$190,$A210),'Client Data'!AP260,0)</f>
        <v>0</v>
      </c>
      <c r="AQ210" s="106">
        <f>IF(OR(AQ$190,$A210),'Client Data'!AQ260,0)</f>
        <v>0</v>
      </c>
      <c r="AR210" s="106">
        <f>IF(OR(AR$190,$A210),'Client Data'!AR260,0)</f>
        <v>0</v>
      </c>
      <c r="AS210" s="106">
        <f>IF(OR(AS$190,$A210),'Client Data'!AS260,0)</f>
        <v>0</v>
      </c>
      <c r="AT210" s="106">
        <f>IF(OR(AT$190,$A210),'Client Data'!AT260,0)</f>
        <v>0</v>
      </c>
      <c r="AU210" s="106">
        <f>IF(OR(AU$190,$A210),'Client Data'!AU260,0)</f>
        <v>0</v>
      </c>
      <c r="AV210" s="106">
        <f>IF(OR(AV$190,$A210),'Client Data'!AV260,0)</f>
        <v>0</v>
      </c>
      <c r="AW210" s="106">
        <f>IF(OR(AW$190,$A210),'Client Data'!AW260,0)</f>
        <v>0</v>
      </c>
      <c r="AX210" s="106">
        <f>IF(OR(AX$190,$A210),'Client Data'!AX260,0)</f>
        <v>0</v>
      </c>
      <c r="AY210" s="106">
        <f>IF(OR(AY$190,$A210),'Client Data'!AY260,0)</f>
        <v>0</v>
      </c>
      <c r="AZ210" s="106">
        <f>IF(OR(AZ$190,$A210),'Client Data'!AZ260,0)</f>
        <v>0</v>
      </c>
      <c r="BA210" s="106">
        <f>IF(OR(BA$190,$A210),'Client Data'!BA260,0)</f>
        <v>0</v>
      </c>
      <c r="BB210" s="106">
        <f>IF(OR(BB$190,$A210),'Client Data'!BB260,0)</f>
        <v>0</v>
      </c>
      <c r="BC210" s="104">
        <f t="shared" si="181"/>
        <v>0</v>
      </c>
    </row>
    <row r="211" spans="1:55" x14ac:dyDescent="0.25">
      <c r="A211">
        <f t="shared" si="288"/>
        <v>1</v>
      </c>
      <c r="B211" s="105" t="str">
        <f>'Client Data'!B261</f>
        <v>SDT6</v>
      </c>
      <c r="C211" s="106">
        <f>IF(OR(C$190,$A211),'Client Data'!C261,0)</f>
        <v>0.4</v>
      </c>
      <c r="D211" s="106">
        <f>IF(OR(D$190,$A211),'Client Data'!D261,0)</f>
        <v>0.5</v>
      </c>
      <c r="E211" s="106">
        <f>IF(OR(E$190,$A211),'Client Data'!E261,0)</f>
        <v>0.3</v>
      </c>
      <c r="F211" s="106">
        <f>IF(OR(F$190,$A211),'Client Data'!F261,0)</f>
        <v>0.6</v>
      </c>
      <c r="G211" s="106">
        <f>IF(OR(G$190,$A211),'Client Data'!G261,0)</f>
        <v>0.3</v>
      </c>
      <c r="H211" s="106">
        <f>IF(OR(H$190,$A211),'Client Data'!H261,0)</f>
        <v>0.4</v>
      </c>
      <c r="I211" s="106">
        <f>IF(OR(I$190,$A211),'Client Data'!I261,0)</f>
        <v>0.4</v>
      </c>
      <c r="J211" s="106">
        <f>IF(OR(J$190,$A211),'Client Data'!J261,0)</f>
        <v>0.5</v>
      </c>
      <c r="K211" s="106">
        <f>IF(OR(K$190,$A211),'Client Data'!K261,0)</f>
        <v>0.3</v>
      </c>
      <c r="L211" s="106">
        <f>IF(OR(L$190,$A211),'Client Data'!L261,0)</f>
        <v>0.6</v>
      </c>
      <c r="M211" s="106">
        <f>IF(OR(M$190,$A211),'Client Data'!M261,0)</f>
        <v>0.3</v>
      </c>
      <c r="N211" s="106">
        <f>IF(OR(N$190,$A211),'Client Data'!N261,0)</f>
        <v>0.4</v>
      </c>
      <c r="O211" s="106">
        <f>IF(OR(O$190,$A211),'Client Data'!O261,0)</f>
        <v>0.5</v>
      </c>
      <c r="P211" s="106">
        <f>IF(OR(P$190,$A211),'Client Data'!P261,0)</f>
        <v>0.3</v>
      </c>
      <c r="Q211" s="106">
        <f>IF(OR(Q$190,$A211),'Client Data'!Q261,0)</f>
        <v>0.6</v>
      </c>
      <c r="R211" s="106">
        <f>IF(OR(R$190,$A211),'Client Data'!R261,0)</f>
        <v>0.3</v>
      </c>
      <c r="S211" s="106">
        <f>IF(OR(S$190,$A211),'Client Data'!S261,0)</f>
        <v>0.4</v>
      </c>
      <c r="T211" s="106">
        <f>IF(OR(T$190,$A211),'Client Data'!T261,0)</f>
        <v>0.4</v>
      </c>
      <c r="U211" s="106">
        <f>IF(OR(U$190,$A211),'Client Data'!U261,0)</f>
        <v>0.5</v>
      </c>
      <c r="V211" s="106">
        <f>IF(OR(V$190,$A211),'Client Data'!V261,0)</f>
        <v>0.3</v>
      </c>
      <c r="W211" s="106">
        <f>IF(OR(W$190,$A211),'Client Data'!W261,0)</f>
        <v>0.6</v>
      </c>
      <c r="X211" s="106">
        <f>IF(OR(X$190,$A211),'Client Data'!X261,0)</f>
        <v>0.3</v>
      </c>
      <c r="Y211" s="106">
        <f>IF(OR(Y$190,$A211),'Client Data'!Y261,0)</f>
        <v>0.4</v>
      </c>
      <c r="Z211" s="106">
        <f>IF(OR(Z$190,$A211),'Client Data'!Z261,0)</f>
        <v>0.5</v>
      </c>
      <c r="AA211" s="106">
        <f>IF(OR(AA$190,$A211),'Client Data'!AA261,0)</f>
        <v>0.3</v>
      </c>
      <c r="AB211" s="106">
        <f>IF(OR(AB$190,$A211),'Client Data'!AB261,0)</f>
        <v>0.6</v>
      </c>
      <c r="AC211" s="106">
        <f>IF(OR(AC$190,$A211),'Client Data'!AC261,0)</f>
        <v>0.3</v>
      </c>
      <c r="AD211" s="106">
        <f>IF(OR(AD$190,$A211),'Client Data'!AD261,0)</f>
        <v>0.4</v>
      </c>
      <c r="AE211" s="106">
        <f>IF(OR(AE$190,$A211),'Client Data'!AE261,0)</f>
        <v>0.4</v>
      </c>
      <c r="AF211" s="106">
        <f>IF(OR(AF$190,$A211),'Client Data'!AF261,0)</f>
        <v>0.5</v>
      </c>
      <c r="AG211" s="106">
        <f>IF(OR(AG$190,$A211),'Client Data'!AG261,0)</f>
        <v>0.3</v>
      </c>
      <c r="AH211" s="106">
        <f>IF(OR(AH$190,$A211),'Client Data'!AH261,0)</f>
        <v>0.6</v>
      </c>
      <c r="AI211" s="106">
        <f>IF(OR(AI$190,$A211),'Client Data'!AI261,0)</f>
        <v>0.3</v>
      </c>
      <c r="AJ211" s="106">
        <f>IF(OR(AJ$190,$A211),'Client Data'!AJ261,0)</f>
        <v>0.4</v>
      </c>
      <c r="AK211" s="106">
        <f>IF(OR(AK$190,$A211),'Client Data'!AK261,0)</f>
        <v>0.4</v>
      </c>
      <c r="AL211" s="106">
        <f>IF(OR(AL$190,$A211),'Client Data'!AL261,0)</f>
        <v>0.4</v>
      </c>
      <c r="AM211" s="106">
        <f>IF(OR(AM$190,$A211),'Client Data'!AM261,0)</f>
        <v>0.5</v>
      </c>
      <c r="AN211" s="106">
        <f>IF(OR(AN$190,$A211),'Client Data'!AN261,0)</f>
        <v>0.3</v>
      </c>
      <c r="AO211" s="106">
        <f>IF(OR(AO$190,$A211),'Client Data'!AO261,0)</f>
        <v>0.4</v>
      </c>
      <c r="AP211" s="106">
        <f>IF(OR(AP$190,$A211),'Client Data'!AP261,0)</f>
        <v>0.5</v>
      </c>
      <c r="AQ211" s="106">
        <f>IF(OR(AQ$190,$A211),'Client Data'!AQ261,0)</f>
        <v>0.3</v>
      </c>
      <c r="AR211" s="106">
        <f>IF(OR(AR$190,$A211),'Client Data'!AR261,0)</f>
        <v>0.6</v>
      </c>
      <c r="AS211" s="106">
        <f>IF(OR(AS$190,$A211),'Client Data'!AS261,0)</f>
        <v>0.3</v>
      </c>
      <c r="AT211" s="106">
        <f>IF(OR(AT$190,$A211),'Client Data'!AT261,0)</f>
        <v>0.4</v>
      </c>
      <c r="AU211" s="106">
        <f>IF(OR(AU$190,$A211),'Client Data'!AU261,0)</f>
        <v>0.4</v>
      </c>
      <c r="AV211" s="106">
        <f>IF(OR(AV$190,$A211),'Client Data'!AV261,0)</f>
        <v>0.5</v>
      </c>
      <c r="AW211" s="106">
        <f>IF(OR(AW$190,$A211),'Client Data'!AW261,0)</f>
        <v>0.3</v>
      </c>
      <c r="AX211" s="106">
        <f>IF(OR(AX$190,$A211),'Client Data'!AX261,0)</f>
        <v>0.6</v>
      </c>
      <c r="AY211" s="106">
        <f>IF(OR(AY$190,$A211),'Client Data'!AY261,0)</f>
        <v>0.3</v>
      </c>
      <c r="AZ211" s="106">
        <f>IF(OR(AZ$190,$A211),'Client Data'!AZ261,0)</f>
        <v>0.4</v>
      </c>
      <c r="BA211" s="106">
        <f>IF(OR(BA$190,$A211),'Client Data'!BA261,0)</f>
        <v>0.4</v>
      </c>
      <c r="BB211" s="106">
        <f>IF(OR(BB$190,$A211),'Client Data'!BB261,0)</f>
        <v>0.2</v>
      </c>
      <c r="BC211" s="104">
        <f t="shared" si="181"/>
        <v>21.400000000000002</v>
      </c>
    </row>
    <row r="212" spans="1:55" x14ac:dyDescent="0.25">
      <c r="A212">
        <f>A205-1</f>
        <v>5</v>
      </c>
      <c r="B212" s="107" t="str">
        <f>'Client Data'!B262</f>
        <v>SDT Type D</v>
      </c>
      <c r="C212" s="102">
        <f t="shared" ref="C212" si="289">IF(OR(C$190&gt;0,$A212),SUM(C213:C218),0)</f>
        <v>0.9</v>
      </c>
      <c r="D212" s="102">
        <f t="shared" ref="D212" si="290">IF(OR(D$190&gt;0,$A212),SUM(D213:D218),0)</f>
        <v>0.8</v>
      </c>
      <c r="E212" s="102">
        <f t="shared" ref="E212" si="291">IF(OR(E$190&gt;0,$A212),SUM(E213:E218),0)</f>
        <v>0.89999999999999991</v>
      </c>
      <c r="F212" s="102">
        <f t="shared" ref="F212" si="292">IF(OR(F$190&gt;0,$A212),SUM(F213:F218),0)</f>
        <v>0.89999999999999991</v>
      </c>
      <c r="G212" s="102">
        <f t="shared" ref="G212" si="293">IF(OR(G$190&gt;0,$A212),SUM(G213:G218),0)</f>
        <v>0.7</v>
      </c>
      <c r="H212" s="102">
        <f t="shared" ref="H212" si="294">IF(OR(H$190&gt;0,$A212),SUM(H213:H218),0)</f>
        <v>0.8</v>
      </c>
      <c r="I212" s="102">
        <f t="shared" ref="I212" si="295">IF(OR(I$190&gt;0,$A212),SUM(I213:I218),0)</f>
        <v>0.9</v>
      </c>
      <c r="J212" s="102">
        <f t="shared" ref="J212" si="296">IF(OR(J$190&gt;0,$A212),SUM(J213:J218),0)</f>
        <v>0.8</v>
      </c>
      <c r="K212" s="102">
        <f t="shared" ref="K212" si="297">IF(OR(K$190&gt;0,$A212),SUM(K213:K218),0)</f>
        <v>0.89999999999999991</v>
      </c>
      <c r="L212" s="102">
        <f t="shared" ref="L212" si="298">IF(OR(L$190&gt;0,$A212),SUM(L213:L218),0)</f>
        <v>0.89999999999999991</v>
      </c>
      <c r="M212" s="102">
        <f t="shared" ref="M212" si="299">IF(OR(M$190&gt;0,$A212),SUM(M213:M218),0)</f>
        <v>0.7</v>
      </c>
      <c r="N212" s="102">
        <f t="shared" ref="N212" si="300">IF(OR(N$190&gt;0,$A212),SUM(N213:N218),0)</f>
        <v>0.9</v>
      </c>
      <c r="O212" s="102">
        <f t="shared" ref="O212" si="301">IF(OR(O$190&gt;0,$A212),SUM(O213:O218),0)</f>
        <v>0.8</v>
      </c>
      <c r="P212" s="102">
        <f t="shared" ref="P212" si="302">IF(OR(P$190&gt;0,$A212),SUM(P213:P218),0)</f>
        <v>0.89999999999999991</v>
      </c>
      <c r="Q212" s="102">
        <f t="shared" ref="Q212" si="303">IF(OR(Q$190&gt;0,$A212),SUM(Q213:Q218),0)</f>
        <v>0.89999999999999991</v>
      </c>
      <c r="R212" s="102">
        <f t="shared" ref="R212" si="304">IF(OR(R$190&gt;0,$A212),SUM(R213:R218),0)</f>
        <v>0.7</v>
      </c>
      <c r="S212" s="102">
        <f t="shared" ref="S212" si="305">IF(OR(S$190&gt;0,$A212),SUM(S213:S218),0)</f>
        <v>0.8</v>
      </c>
      <c r="T212" s="102">
        <f t="shared" ref="T212" si="306">IF(OR(T$190&gt;0,$A212),SUM(T213:T218),0)</f>
        <v>0.9</v>
      </c>
      <c r="U212" s="102">
        <f t="shared" ref="U212" si="307">IF(OR(U$190&gt;0,$A212),SUM(U213:U218),0)</f>
        <v>0.8</v>
      </c>
      <c r="V212" s="102">
        <f t="shared" ref="V212" si="308">IF(OR(V$190&gt;0,$A212),SUM(V213:V218),0)</f>
        <v>0.89999999999999991</v>
      </c>
      <c r="W212" s="102">
        <f t="shared" ref="W212" si="309">IF(OR(W$190&gt;0,$A212),SUM(W213:W218),0)</f>
        <v>0.89999999999999991</v>
      </c>
      <c r="X212" s="102">
        <f t="shared" ref="X212" si="310">IF(OR(X$190&gt;0,$A212),SUM(X213:X218),0)</f>
        <v>0.7</v>
      </c>
      <c r="Y212" s="102">
        <f t="shared" ref="Y212" si="311">IF(OR(Y$190&gt;0,$A212),SUM(Y213:Y218),0)</f>
        <v>0.9</v>
      </c>
      <c r="Z212" s="102">
        <f t="shared" ref="Z212" si="312">IF(OR(Z$190&gt;0,$A212),SUM(Z213:Z218),0)</f>
        <v>0.8</v>
      </c>
      <c r="AA212" s="102">
        <f t="shared" ref="AA212" si="313">IF(OR(AA$190&gt;0,$A212),SUM(AA213:AA218),0)</f>
        <v>0.89999999999999991</v>
      </c>
      <c r="AB212" s="102">
        <f t="shared" ref="AB212" si="314">IF(OR(AB$190&gt;0,$A212),SUM(AB213:AB218),0)</f>
        <v>0.89999999999999991</v>
      </c>
      <c r="AC212" s="102">
        <f t="shared" ref="AC212" si="315">IF(OR(AC$190&gt;0,$A212),SUM(AC213:AC218),0)</f>
        <v>0.7</v>
      </c>
      <c r="AD212" s="102">
        <f t="shared" ref="AD212" si="316">IF(OR(AD$190&gt;0,$A212),SUM(AD213:AD218),0)</f>
        <v>0.8</v>
      </c>
      <c r="AE212" s="102">
        <f t="shared" ref="AE212" si="317">IF(OR(AE$190&gt;0,$A212),SUM(AE213:AE218),0)</f>
        <v>0.9</v>
      </c>
      <c r="AF212" s="102">
        <f t="shared" ref="AF212" si="318">IF(OR(AF$190&gt;0,$A212),SUM(AF213:AF218),0)</f>
        <v>0.8</v>
      </c>
      <c r="AG212" s="102">
        <f t="shared" ref="AG212" si="319">IF(OR(AG$190&gt;0,$A212),SUM(AG213:AG218),0)</f>
        <v>0.89999999999999991</v>
      </c>
      <c r="AH212" s="102">
        <f t="shared" ref="AH212" si="320">IF(OR(AH$190&gt;0,$A212),SUM(AH213:AH218),0)</f>
        <v>0.89999999999999991</v>
      </c>
      <c r="AI212" s="102">
        <f t="shared" ref="AI212" si="321">IF(OR(AI$190&gt;0,$A212),SUM(AI213:AI218),0)</f>
        <v>0.7</v>
      </c>
      <c r="AJ212" s="102">
        <f t="shared" ref="AJ212" si="322">IF(OR(AJ$190&gt;0,$A212),SUM(AJ213:AJ218),0)</f>
        <v>0.8</v>
      </c>
      <c r="AK212" s="102">
        <f t="shared" ref="AK212" si="323">IF(OR(AK$190&gt;0,$A212),SUM(AK213:AK218),0)</f>
        <v>0.8</v>
      </c>
      <c r="AL212" s="102">
        <f t="shared" ref="AL212" si="324">IF(OR(AL$190&gt;0,$A212),SUM(AL213:AL218),0)</f>
        <v>0.9</v>
      </c>
      <c r="AM212" s="102">
        <f t="shared" ref="AM212" si="325">IF(OR(AM$190&gt;0,$A212),SUM(AM213:AM218),0)</f>
        <v>0.8</v>
      </c>
      <c r="AN212" s="102">
        <f t="shared" ref="AN212" si="326">IF(OR(AN$190&gt;0,$A212),SUM(AN213:AN218),0)</f>
        <v>0.7</v>
      </c>
      <c r="AO212" s="102">
        <f t="shared" ref="AO212" si="327">IF(OR(AO$190&gt;0,$A212),SUM(AO213:AO218),0)</f>
        <v>0.9</v>
      </c>
      <c r="AP212" s="102">
        <f t="shared" ref="AP212" si="328">IF(OR(AP$190&gt;0,$A212),SUM(AP213:AP218),0)</f>
        <v>0.8</v>
      </c>
      <c r="AQ212" s="102">
        <f t="shared" ref="AQ212" si="329">IF(OR(AQ$190&gt;0,$A212),SUM(AQ213:AQ218),0)</f>
        <v>0.89999999999999991</v>
      </c>
      <c r="AR212" s="102">
        <f t="shared" ref="AR212" si="330">IF(OR(AR$190&gt;0,$A212),SUM(AR213:AR218),0)</f>
        <v>0.89999999999999991</v>
      </c>
      <c r="AS212" s="102">
        <f t="shared" ref="AS212" si="331">IF(OR(AS$190&gt;0,$A212),SUM(AS213:AS218),0)</f>
        <v>0.7</v>
      </c>
      <c r="AT212" s="102">
        <f t="shared" ref="AT212" si="332">IF(OR(AT$190&gt;0,$A212),SUM(AT213:AT218),0)</f>
        <v>0.8</v>
      </c>
      <c r="AU212" s="102">
        <f t="shared" ref="AU212" si="333">IF(OR(AU$190&gt;0,$A212),SUM(AU213:AU218),0)</f>
        <v>0.8</v>
      </c>
      <c r="AV212" s="102">
        <f t="shared" ref="AV212" si="334">IF(OR(AV$190&gt;0,$A212),SUM(AV213:AV218),0)</f>
        <v>0.9</v>
      </c>
      <c r="AW212" s="102">
        <f t="shared" ref="AW212" si="335">IF(OR(AW$190&gt;0,$A212),SUM(AW213:AW218),0)</f>
        <v>0.7</v>
      </c>
      <c r="AX212" s="102">
        <f t="shared" ref="AX212" si="336">IF(OR(AX$190&gt;0,$A212),SUM(AX213:AX218),0)</f>
        <v>1.2</v>
      </c>
      <c r="AY212" s="102">
        <f t="shared" ref="AY212" si="337">IF(OR(AY$190&gt;0,$A212),SUM(AY213:AY218),0)</f>
        <v>0.7</v>
      </c>
      <c r="AZ212" s="102">
        <f t="shared" ref="AZ212" si="338">IF(OR(AZ$190&gt;0,$A212),SUM(AZ213:AZ218),0)</f>
        <v>0.8</v>
      </c>
      <c r="BA212" s="102">
        <f t="shared" ref="BA212" si="339">IF(OR(BA$190&gt;0,$A212),SUM(BA213:BA218),0)</f>
        <v>0.8</v>
      </c>
      <c r="BB212" s="102">
        <f t="shared" ref="BB212" si="340">IF(OR(BB$190&gt;0,$A212),SUM(BB213:BB218),0)</f>
        <v>0.4</v>
      </c>
      <c r="BC212" s="107">
        <f t="shared" si="181"/>
        <v>42.899999999999984</v>
      </c>
    </row>
    <row r="213" spans="1:55" x14ac:dyDescent="0.25">
      <c r="A213">
        <f>IF(A$212&gt;0,A206,0)</f>
        <v>6</v>
      </c>
      <c r="B213" s="105" t="str">
        <f>'Client Data'!B263</f>
        <v>SDT1</v>
      </c>
      <c r="C213" s="106">
        <f>IF(OR(C$190,$A213),'Client Data'!C263,0)</f>
        <v>0.4</v>
      </c>
      <c r="D213" s="106">
        <f>IF(OR(D$190,$A213),'Client Data'!D263,0)</f>
        <v>0.5</v>
      </c>
      <c r="E213" s="106">
        <f>IF(OR(E$190,$A213),'Client Data'!E263,0)</f>
        <v>0.3</v>
      </c>
      <c r="F213" s="106">
        <f>IF(OR(F$190,$A213),'Client Data'!F263,0)</f>
        <v>0.6</v>
      </c>
      <c r="G213" s="106">
        <f>IF(OR(G$190,$A213),'Client Data'!G263,0)</f>
        <v>0.3</v>
      </c>
      <c r="H213" s="106">
        <f>IF(OR(H$190,$A213),'Client Data'!H263,0)</f>
        <v>0.4</v>
      </c>
      <c r="I213" s="106">
        <f>IF(OR(I$190,$A213),'Client Data'!I263,0)</f>
        <v>0.4</v>
      </c>
      <c r="J213" s="106">
        <f>IF(OR(J$190,$A213),'Client Data'!J263,0)</f>
        <v>0.5</v>
      </c>
      <c r="K213" s="106">
        <f>IF(OR(K$190,$A213),'Client Data'!K263,0)</f>
        <v>0.3</v>
      </c>
      <c r="L213" s="106">
        <f>IF(OR(L$190,$A213),'Client Data'!L263,0)</f>
        <v>0.6</v>
      </c>
      <c r="M213" s="106">
        <f>IF(OR(M$190,$A213),'Client Data'!M263,0)</f>
        <v>0.3</v>
      </c>
      <c r="N213" s="106">
        <f>IF(OR(N$190,$A213),'Client Data'!N263,0)</f>
        <v>0.4</v>
      </c>
      <c r="O213" s="106">
        <f>IF(OR(O$190,$A213),'Client Data'!O263,0)</f>
        <v>0.5</v>
      </c>
      <c r="P213" s="106">
        <f>IF(OR(P$190,$A213),'Client Data'!P263,0)</f>
        <v>0.3</v>
      </c>
      <c r="Q213" s="106">
        <f>IF(OR(Q$190,$A213),'Client Data'!Q263,0)</f>
        <v>0.6</v>
      </c>
      <c r="R213" s="106">
        <f>IF(OR(R$190,$A213),'Client Data'!R263,0)</f>
        <v>0.3</v>
      </c>
      <c r="S213" s="106">
        <f>IF(OR(S$190,$A213),'Client Data'!S263,0)</f>
        <v>0.4</v>
      </c>
      <c r="T213" s="106">
        <f>IF(OR(T$190,$A213),'Client Data'!T263,0)</f>
        <v>0.4</v>
      </c>
      <c r="U213" s="106">
        <f>IF(OR(U$190,$A213),'Client Data'!U263,0)</f>
        <v>0.5</v>
      </c>
      <c r="V213" s="106">
        <f>IF(OR(V$190,$A213),'Client Data'!V263,0)</f>
        <v>0.3</v>
      </c>
      <c r="W213" s="106">
        <f>IF(OR(W$190,$A213),'Client Data'!W263,0)</f>
        <v>0.6</v>
      </c>
      <c r="X213" s="106">
        <f>IF(OR(X$190,$A213),'Client Data'!X263,0)</f>
        <v>0.3</v>
      </c>
      <c r="Y213" s="106">
        <f>IF(OR(Y$190,$A213),'Client Data'!Y263,0)</f>
        <v>0.4</v>
      </c>
      <c r="Z213" s="106">
        <f>IF(OR(Z$190,$A213),'Client Data'!Z263,0)</f>
        <v>0.5</v>
      </c>
      <c r="AA213" s="106">
        <f>IF(OR(AA$190,$A213),'Client Data'!AA263,0)</f>
        <v>0.3</v>
      </c>
      <c r="AB213" s="106">
        <f>IF(OR(AB$190,$A213),'Client Data'!AB263,0)</f>
        <v>0.6</v>
      </c>
      <c r="AC213" s="106">
        <f>IF(OR(AC$190,$A213),'Client Data'!AC263,0)</f>
        <v>0.3</v>
      </c>
      <c r="AD213" s="106">
        <f>IF(OR(AD$190,$A213),'Client Data'!AD263,0)</f>
        <v>0.4</v>
      </c>
      <c r="AE213" s="106">
        <f>IF(OR(AE$190,$A213),'Client Data'!AE263,0)</f>
        <v>0.4</v>
      </c>
      <c r="AF213" s="106">
        <f>IF(OR(AF$190,$A213),'Client Data'!AF263,0)</f>
        <v>0.5</v>
      </c>
      <c r="AG213" s="106">
        <f>IF(OR(AG$190,$A213),'Client Data'!AG263,0)</f>
        <v>0.3</v>
      </c>
      <c r="AH213" s="106">
        <f>IF(OR(AH$190,$A213),'Client Data'!AH263,0)</f>
        <v>0.6</v>
      </c>
      <c r="AI213" s="106">
        <f>IF(OR(AI$190,$A213),'Client Data'!AI263,0)</f>
        <v>0.3</v>
      </c>
      <c r="AJ213" s="106">
        <f>IF(OR(AJ$190,$A213),'Client Data'!AJ263,0)</f>
        <v>0.4</v>
      </c>
      <c r="AK213" s="106">
        <f>IF(OR(AK$190,$A213),'Client Data'!AK263,0)</f>
        <v>0.4</v>
      </c>
      <c r="AL213" s="106">
        <f>IF(OR(AL$190,$A213),'Client Data'!AL263,0)</f>
        <v>0.4</v>
      </c>
      <c r="AM213" s="106">
        <f>IF(OR(AM$190,$A213),'Client Data'!AM263,0)</f>
        <v>0.5</v>
      </c>
      <c r="AN213" s="106">
        <f>IF(OR(AN$190,$A213),'Client Data'!AN263,0)</f>
        <v>0.3</v>
      </c>
      <c r="AO213" s="106">
        <f>IF(OR(AO$190,$A213),'Client Data'!AO263,0)</f>
        <v>0.4</v>
      </c>
      <c r="AP213" s="106">
        <f>IF(OR(AP$190,$A213),'Client Data'!AP263,0)</f>
        <v>0.5</v>
      </c>
      <c r="AQ213" s="106">
        <f>IF(OR(AQ$190,$A213),'Client Data'!AQ263,0)</f>
        <v>0.3</v>
      </c>
      <c r="AR213" s="106">
        <f>IF(OR(AR$190,$A213),'Client Data'!AR263,0)</f>
        <v>0.6</v>
      </c>
      <c r="AS213" s="106">
        <f>IF(OR(AS$190,$A213),'Client Data'!AS263,0)</f>
        <v>0.3</v>
      </c>
      <c r="AT213" s="106">
        <f>IF(OR(AT$190,$A213),'Client Data'!AT263,0)</f>
        <v>0.4</v>
      </c>
      <c r="AU213" s="106">
        <f>IF(OR(AU$190,$A213),'Client Data'!AU263,0)</f>
        <v>0.4</v>
      </c>
      <c r="AV213" s="106">
        <f>IF(OR(AV$190,$A213),'Client Data'!AV263,0)</f>
        <v>0.5</v>
      </c>
      <c r="AW213" s="106">
        <f>IF(OR(AW$190,$A213),'Client Data'!AW263,0)</f>
        <v>0.3</v>
      </c>
      <c r="AX213" s="106">
        <f>IF(OR(AX$190,$A213),'Client Data'!AX263,0)</f>
        <v>0.6</v>
      </c>
      <c r="AY213" s="106">
        <f>IF(OR(AY$190,$A213),'Client Data'!AY263,0)</f>
        <v>0.3</v>
      </c>
      <c r="AZ213" s="106">
        <f>IF(OR(AZ$190,$A213),'Client Data'!AZ263,0)</f>
        <v>0.4</v>
      </c>
      <c r="BA213" s="106">
        <f>IF(OR(BA$190,$A213),'Client Data'!BA263,0)</f>
        <v>0.4</v>
      </c>
      <c r="BB213" s="106">
        <f>IF(OR(BB$190,$A213),'Client Data'!BB263,0)</f>
        <v>0.2</v>
      </c>
      <c r="BC213" s="104">
        <f t="shared" si="181"/>
        <v>21.400000000000002</v>
      </c>
    </row>
    <row r="214" spans="1:55" x14ac:dyDescent="0.25">
      <c r="A214">
        <f>IF(A$212&gt;0,A213-1,0)</f>
        <v>5</v>
      </c>
      <c r="B214" s="105" t="str">
        <f>'Client Data'!B264</f>
        <v>SDT2</v>
      </c>
      <c r="C214" s="106">
        <f>IF(OR(C$190,$A214),'Client Data'!C264,0)</f>
        <v>0</v>
      </c>
      <c r="D214" s="106">
        <f>IF(OR(D$190,$A214),'Client Data'!D264,0)</f>
        <v>0</v>
      </c>
      <c r="E214" s="106">
        <f>IF(OR(E$190,$A214),'Client Data'!E264,0)</f>
        <v>0</v>
      </c>
      <c r="F214" s="106">
        <f>IF(OR(F$190,$A214),'Client Data'!F264,0)</f>
        <v>0</v>
      </c>
      <c r="G214" s="106">
        <f>IF(OR(G$190,$A214),'Client Data'!G264,0)</f>
        <v>0</v>
      </c>
      <c r="H214" s="106">
        <f>IF(OR(H$190,$A214),'Client Data'!H264,0)</f>
        <v>0</v>
      </c>
      <c r="I214" s="106">
        <f>IF(OR(I$190,$A214),'Client Data'!I264,0)</f>
        <v>0</v>
      </c>
      <c r="J214" s="106">
        <f>IF(OR(J$190,$A214),'Client Data'!J264,0)</f>
        <v>0</v>
      </c>
      <c r="K214" s="106">
        <f>IF(OR(K$190,$A214),'Client Data'!K264,0)</f>
        <v>0</v>
      </c>
      <c r="L214" s="106">
        <f>IF(OR(L$190,$A214),'Client Data'!L264,0)</f>
        <v>0</v>
      </c>
      <c r="M214" s="106">
        <f>IF(OR(M$190,$A214),'Client Data'!M264,0)</f>
        <v>0</v>
      </c>
      <c r="N214" s="106">
        <f>IF(OR(N$190,$A214),'Client Data'!N264,0)</f>
        <v>0</v>
      </c>
      <c r="O214" s="106">
        <f>IF(OR(O$190,$A214),'Client Data'!O264,0)</f>
        <v>0</v>
      </c>
      <c r="P214" s="106">
        <f>IF(OR(P$190,$A214),'Client Data'!P264,0)</f>
        <v>0</v>
      </c>
      <c r="Q214" s="106">
        <f>IF(OR(Q$190,$A214),'Client Data'!Q264,0)</f>
        <v>0</v>
      </c>
      <c r="R214" s="106">
        <f>IF(OR(R$190,$A214),'Client Data'!R264,0)</f>
        <v>0</v>
      </c>
      <c r="S214" s="106">
        <f>IF(OR(S$190,$A214),'Client Data'!S264,0)</f>
        <v>0</v>
      </c>
      <c r="T214" s="106">
        <f>IF(OR(T$190,$A214),'Client Data'!T264,0)</f>
        <v>0</v>
      </c>
      <c r="U214" s="106">
        <f>IF(OR(U$190,$A214),'Client Data'!U264,0)</f>
        <v>0</v>
      </c>
      <c r="V214" s="106">
        <f>IF(OR(V$190,$A214),'Client Data'!V264,0)</f>
        <v>0</v>
      </c>
      <c r="W214" s="106">
        <f>IF(OR(W$190,$A214),'Client Data'!W264,0)</f>
        <v>0</v>
      </c>
      <c r="X214" s="106">
        <f>IF(OR(X$190,$A214),'Client Data'!X264,0)</f>
        <v>0</v>
      </c>
      <c r="Y214" s="106">
        <f>IF(OR(Y$190,$A214),'Client Data'!Y264,0)</f>
        <v>0</v>
      </c>
      <c r="Z214" s="106">
        <f>IF(OR(Z$190,$A214),'Client Data'!Z264,0)</f>
        <v>0</v>
      </c>
      <c r="AA214" s="106">
        <f>IF(OR(AA$190,$A214),'Client Data'!AA264,0)</f>
        <v>0</v>
      </c>
      <c r="AB214" s="106">
        <f>IF(OR(AB$190,$A214),'Client Data'!AB264,0)</f>
        <v>0</v>
      </c>
      <c r="AC214" s="106">
        <f>IF(OR(AC$190,$A214),'Client Data'!AC264,0)</f>
        <v>0</v>
      </c>
      <c r="AD214" s="106">
        <f>IF(OR(AD$190,$A214),'Client Data'!AD264,0)</f>
        <v>0</v>
      </c>
      <c r="AE214" s="106">
        <f>IF(OR(AE$190,$A214),'Client Data'!AE264,0)</f>
        <v>0</v>
      </c>
      <c r="AF214" s="106">
        <f>IF(OR(AF$190,$A214),'Client Data'!AF264,0)</f>
        <v>0</v>
      </c>
      <c r="AG214" s="106">
        <f>IF(OR(AG$190,$A214),'Client Data'!AG264,0)</f>
        <v>0</v>
      </c>
      <c r="AH214" s="106">
        <f>IF(OR(AH$190,$A214),'Client Data'!AH264,0)</f>
        <v>0</v>
      </c>
      <c r="AI214" s="106">
        <f>IF(OR(AI$190,$A214),'Client Data'!AI264,0)</f>
        <v>0</v>
      </c>
      <c r="AJ214" s="106">
        <f>IF(OR(AJ$190,$A214),'Client Data'!AJ264,0)</f>
        <v>0</v>
      </c>
      <c r="AK214" s="106">
        <f>IF(OR(AK$190,$A214),'Client Data'!AK264,0)</f>
        <v>0</v>
      </c>
      <c r="AL214" s="106">
        <f>IF(OR(AL$190,$A214),'Client Data'!AL264,0)</f>
        <v>0</v>
      </c>
      <c r="AM214" s="106">
        <f>IF(OR(AM$190,$A214),'Client Data'!AM264,0)</f>
        <v>0</v>
      </c>
      <c r="AN214" s="106">
        <f>IF(OR(AN$190,$A214),'Client Data'!AN264,0)</f>
        <v>0</v>
      </c>
      <c r="AO214" s="106">
        <f>IF(OR(AO$190,$A214),'Client Data'!AO264,0)</f>
        <v>0</v>
      </c>
      <c r="AP214" s="106">
        <f>IF(OR(AP$190,$A214),'Client Data'!AP264,0)</f>
        <v>0</v>
      </c>
      <c r="AQ214" s="106">
        <f>IF(OR(AQ$190,$A214),'Client Data'!AQ264,0)</f>
        <v>0</v>
      </c>
      <c r="AR214" s="106">
        <f>IF(OR(AR$190,$A214),'Client Data'!AR264,0)</f>
        <v>0</v>
      </c>
      <c r="AS214" s="106">
        <f>IF(OR(AS$190,$A214),'Client Data'!AS264,0)</f>
        <v>0</v>
      </c>
      <c r="AT214" s="106">
        <f>IF(OR(AT$190,$A214),'Client Data'!AT264,0)</f>
        <v>0</v>
      </c>
      <c r="AU214" s="106">
        <f>IF(OR(AU$190,$A214),'Client Data'!AU264,0)</f>
        <v>0</v>
      </c>
      <c r="AV214" s="106">
        <f>IF(OR(AV$190,$A214),'Client Data'!AV264,0)</f>
        <v>0</v>
      </c>
      <c r="AW214" s="106">
        <f>IF(OR(AW$190,$A214),'Client Data'!AW264,0)</f>
        <v>0</v>
      </c>
      <c r="AX214" s="106">
        <f>IF(OR(AX$190,$A214),'Client Data'!AX264,0)</f>
        <v>0</v>
      </c>
      <c r="AY214" s="106">
        <f>IF(OR(AY$190,$A214),'Client Data'!AY264,0)</f>
        <v>0</v>
      </c>
      <c r="AZ214" s="106">
        <f>IF(OR(AZ$190,$A214),'Client Data'!AZ264,0)</f>
        <v>0</v>
      </c>
      <c r="BA214" s="106">
        <f>IF(OR(BA$190,$A214),'Client Data'!BA264,0)</f>
        <v>0</v>
      </c>
      <c r="BB214" s="106">
        <f>IF(OR(BB$190,$A214),'Client Data'!BB264,0)</f>
        <v>0</v>
      </c>
      <c r="BC214" s="104">
        <f t="shared" si="181"/>
        <v>0</v>
      </c>
    </row>
    <row r="215" spans="1:55" x14ac:dyDescent="0.25">
      <c r="A215">
        <f t="shared" ref="A215:A218" si="341">IF(A$212&gt;0,A214-1,0)</f>
        <v>4</v>
      </c>
      <c r="B215" s="105" t="str">
        <f>'Client Data'!B265</f>
        <v>SDT3</v>
      </c>
      <c r="C215" s="106">
        <f>IF(OR(C$190,$A215),'Client Data'!C265,0)</f>
        <v>0</v>
      </c>
      <c r="D215" s="106">
        <f>IF(OR(D$190,$A215),'Client Data'!D265,0)</f>
        <v>0</v>
      </c>
      <c r="E215" s="106">
        <f>IF(OR(E$190,$A215),'Client Data'!E265,0)</f>
        <v>0</v>
      </c>
      <c r="F215" s="106">
        <f>IF(OR(F$190,$A215),'Client Data'!F265,0)</f>
        <v>0</v>
      </c>
      <c r="G215" s="106">
        <f>IF(OR(G$190,$A215),'Client Data'!G265,0)</f>
        <v>0</v>
      </c>
      <c r="H215" s="106">
        <f>IF(OR(H$190,$A215),'Client Data'!H265,0)</f>
        <v>0</v>
      </c>
      <c r="I215" s="106">
        <f>IF(OR(I$190,$A215),'Client Data'!I265,0)</f>
        <v>0</v>
      </c>
      <c r="J215" s="106">
        <f>IF(OR(J$190,$A215),'Client Data'!J265,0)</f>
        <v>0</v>
      </c>
      <c r="K215" s="106">
        <f>IF(OR(K$190,$A215),'Client Data'!K265,0)</f>
        <v>0</v>
      </c>
      <c r="L215" s="106">
        <f>IF(OR(L$190,$A215),'Client Data'!L265,0)</f>
        <v>0</v>
      </c>
      <c r="M215" s="106">
        <f>IF(OR(M$190,$A215),'Client Data'!M265,0)</f>
        <v>0</v>
      </c>
      <c r="N215" s="106">
        <f>IF(OR(N$190,$A215),'Client Data'!N265,0)</f>
        <v>0</v>
      </c>
      <c r="O215" s="106">
        <f>IF(OR(O$190,$A215),'Client Data'!O265,0)</f>
        <v>0</v>
      </c>
      <c r="P215" s="106">
        <f>IF(OR(P$190,$A215),'Client Data'!P265,0)</f>
        <v>0</v>
      </c>
      <c r="Q215" s="106">
        <f>IF(OR(Q$190,$A215),'Client Data'!Q265,0)</f>
        <v>0</v>
      </c>
      <c r="R215" s="106">
        <f>IF(OR(R$190,$A215),'Client Data'!R265,0)</f>
        <v>0</v>
      </c>
      <c r="S215" s="106">
        <f>IF(OR(S$190,$A215),'Client Data'!S265,0)</f>
        <v>0</v>
      </c>
      <c r="T215" s="106">
        <f>IF(OR(T$190,$A215),'Client Data'!T265,0)</f>
        <v>0</v>
      </c>
      <c r="U215" s="106">
        <f>IF(OR(U$190,$A215),'Client Data'!U265,0)</f>
        <v>0</v>
      </c>
      <c r="V215" s="106">
        <f>IF(OR(V$190,$A215),'Client Data'!V265,0)</f>
        <v>0</v>
      </c>
      <c r="W215" s="106">
        <f>IF(OR(W$190,$A215),'Client Data'!W265,0)</f>
        <v>0</v>
      </c>
      <c r="X215" s="106">
        <f>IF(OR(X$190,$A215),'Client Data'!X265,0)</f>
        <v>0</v>
      </c>
      <c r="Y215" s="106">
        <f>IF(OR(Y$190,$A215),'Client Data'!Y265,0)</f>
        <v>0</v>
      </c>
      <c r="Z215" s="106">
        <f>IF(OR(Z$190,$A215),'Client Data'!Z265,0)</f>
        <v>0</v>
      </c>
      <c r="AA215" s="106">
        <f>IF(OR(AA$190,$A215),'Client Data'!AA265,0)</f>
        <v>0</v>
      </c>
      <c r="AB215" s="106">
        <f>IF(OR(AB$190,$A215),'Client Data'!AB265,0)</f>
        <v>0</v>
      </c>
      <c r="AC215" s="106">
        <f>IF(OR(AC$190,$A215),'Client Data'!AC265,0)</f>
        <v>0</v>
      </c>
      <c r="AD215" s="106">
        <f>IF(OR(AD$190,$A215),'Client Data'!AD265,0)</f>
        <v>0</v>
      </c>
      <c r="AE215" s="106">
        <f>IF(OR(AE$190,$A215),'Client Data'!AE265,0)</f>
        <v>0</v>
      </c>
      <c r="AF215" s="106">
        <f>IF(OR(AF$190,$A215),'Client Data'!AF265,0)</f>
        <v>0</v>
      </c>
      <c r="AG215" s="106">
        <f>IF(OR(AG$190,$A215),'Client Data'!AG265,0)</f>
        <v>0</v>
      </c>
      <c r="AH215" s="106">
        <f>IF(OR(AH$190,$A215),'Client Data'!AH265,0)</f>
        <v>0</v>
      </c>
      <c r="AI215" s="106">
        <f>IF(OR(AI$190,$A215),'Client Data'!AI265,0)</f>
        <v>0</v>
      </c>
      <c r="AJ215" s="106">
        <f>IF(OR(AJ$190,$A215),'Client Data'!AJ265,0)</f>
        <v>0</v>
      </c>
      <c r="AK215" s="106">
        <f>IF(OR(AK$190,$A215),'Client Data'!AK265,0)</f>
        <v>0</v>
      </c>
      <c r="AL215" s="106">
        <f>IF(OR(AL$190,$A215),'Client Data'!AL265,0)</f>
        <v>0</v>
      </c>
      <c r="AM215" s="106">
        <f>IF(OR(AM$190,$A215),'Client Data'!AM265,0)</f>
        <v>0</v>
      </c>
      <c r="AN215" s="106">
        <f>IF(OR(AN$190,$A215),'Client Data'!AN265,0)</f>
        <v>0</v>
      </c>
      <c r="AO215" s="106">
        <f>IF(OR(AO$190,$A215),'Client Data'!AO265,0)</f>
        <v>0</v>
      </c>
      <c r="AP215" s="106">
        <f>IF(OR(AP$190,$A215),'Client Data'!AP265,0)</f>
        <v>0</v>
      </c>
      <c r="AQ215" s="106">
        <f>IF(OR(AQ$190,$A215),'Client Data'!AQ265,0)</f>
        <v>0</v>
      </c>
      <c r="AR215" s="106">
        <f>IF(OR(AR$190,$A215),'Client Data'!AR265,0)</f>
        <v>0</v>
      </c>
      <c r="AS215" s="106">
        <f>IF(OR(AS$190,$A215),'Client Data'!AS265,0)</f>
        <v>0</v>
      </c>
      <c r="AT215" s="106">
        <f>IF(OR(AT$190,$A215),'Client Data'!AT265,0)</f>
        <v>0</v>
      </c>
      <c r="AU215" s="106">
        <f>IF(OR(AU$190,$A215),'Client Data'!AU265,0)</f>
        <v>0</v>
      </c>
      <c r="AV215" s="106">
        <f>IF(OR(AV$190,$A215),'Client Data'!AV265,0)</f>
        <v>0</v>
      </c>
      <c r="AW215" s="106">
        <f>IF(OR(AW$190,$A215),'Client Data'!AW265,0)</f>
        <v>0</v>
      </c>
      <c r="AX215" s="106">
        <f>IF(OR(AX$190,$A215),'Client Data'!AX265,0)</f>
        <v>0</v>
      </c>
      <c r="AY215" s="106">
        <f>IF(OR(AY$190,$A215),'Client Data'!AY265,0)</f>
        <v>0</v>
      </c>
      <c r="AZ215" s="106">
        <f>IF(OR(AZ$190,$A215),'Client Data'!AZ265,0)</f>
        <v>0</v>
      </c>
      <c r="BA215" s="106">
        <f>IF(OR(BA$190,$A215),'Client Data'!BA265,0)</f>
        <v>0</v>
      </c>
      <c r="BB215" s="106">
        <f>IF(OR(BB$190,$A215),'Client Data'!BB265,0)</f>
        <v>0</v>
      </c>
      <c r="BC215" s="104">
        <f t="shared" si="181"/>
        <v>0</v>
      </c>
    </row>
    <row r="216" spans="1:55" x14ac:dyDescent="0.25">
      <c r="A216">
        <f t="shared" si="341"/>
        <v>3</v>
      </c>
      <c r="B216" s="105" t="str">
        <f>'Client Data'!B266</f>
        <v>SDT4</v>
      </c>
      <c r="C216" s="106">
        <f>IF(OR(C$190,$A216),'Client Data'!C266,0)</f>
        <v>0.5</v>
      </c>
      <c r="D216" s="106">
        <f>IF(OR(D$190,$A216),'Client Data'!D266,0)</f>
        <v>0.3</v>
      </c>
      <c r="E216" s="106">
        <f>IF(OR(E$190,$A216),'Client Data'!E266,0)</f>
        <v>0.6</v>
      </c>
      <c r="F216" s="106">
        <f>IF(OR(F$190,$A216),'Client Data'!F266,0)</f>
        <v>0.3</v>
      </c>
      <c r="G216" s="106">
        <f>IF(OR(G$190,$A216),'Client Data'!G266,0)</f>
        <v>0.4</v>
      </c>
      <c r="H216" s="106">
        <f>IF(OR(H$190,$A216),'Client Data'!H266,0)</f>
        <v>0.4</v>
      </c>
      <c r="I216" s="106">
        <f>IF(OR(I$190,$A216),'Client Data'!I266,0)</f>
        <v>0.5</v>
      </c>
      <c r="J216" s="106">
        <f>IF(OR(J$190,$A216),'Client Data'!J266,0)</f>
        <v>0.3</v>
      </c>
      <c r="K216" s="106">
        <f>IF(OR(K$190,$A216),'Client Data'!K266,0)</f>
        <v>0.6</v>
      </c>
      <c r="L216" s="106">
        <f>IF(OR(L$190,$A216),'Client Data'!L266,0)</f>
        <v>0.3</v>
      </c>
      <c r="M216" s="106">
        <f>IF(OR(M$190,$A216),'Client Data'!M266,0)</f>
        <v>0.4</v>
      </c>
      <c r="N216" s="106">
        <f>IF(OR(N$190,$A216),'Client Data'!N266,0)</f>
        <v>0.5</v>
      </c>
      <c r="O216" s="106">
        <f>IF(OR(O$190,$A216),'Client Data'!O266,0)</f>
        <v>0.3</v>
      </c>
      <c r="P216" s="106">
        <f>IF(OR(P$190,$A216),'Client Data'!P266,0)</f>
        <v>0.6</v>
      </c>
      <c r="Q216" s="106">
        <f>IF(OR(Q$190,$A216),'Client Data'!Q266,0)</f>
        <v>0.3</v>
      </c>
      <c r="R216" s="106">
        <f>IF(OR(R$190,$A216),'Client Data'!R266,0)</f>
        <v>0.4</v>
      </c>
      <c r="S216" s="106">
        <f>IF(OR(S$190,$A216),'Client Data'!S266,0)</f>
        <v>0.4</v>
      </c>
      <c r="T216" s="106">
        <f>IF(OR(T$190,$A216),'Client Data'!T266,0)</f>
        <v>0.5</v>
      </c>
      <c r="U216" s="106">
        <f>IF(OR(U$190,$A216),'Client Data'!U266,0)</f>
        <v>0.3</v>
      </c>
      <c r="V216" s="106">
        <f>IF(OR(V$190,$A216),'Client Data'!V266,0)</f>
        <v>0.6</v>
      </c>
      <c r="W216" s="106">
        <f>IF(OR(W$190,$A216),'Client Data'!W266,0)</f>
        <v>0.3</v>
      </c>
      <c r="X216" s="106">
        <f>IF(OR(X$190,$A216),'Client Data'!X266,0)</f>
        <v>0.4</v>
      </c>
      <c r="Y216" s="106">
        <f>IF(OR(Y$190,$A216),'Client Data'!Y266,0)</f>
        <v>0.5</v>
      </c>
      <c r="Z216" s="106">
        <f>IF(OR(Z$190,$A216),'Client Data'!Z266,0)</f>
        <v>0.3</v>
      </c>
      <c r="AA216" s="106">
        <f>IF(OR(AA$190,$A216),'Client Data'!AA266,0)</f>
        <v>0.6</v>
      </c>
      <c r="AB216" s="106">
        <f>IF(OR(AB$190,$A216),'Client Data'!AB266,0)</f>
        <v>0.3</v>
      </c>
      <c r="AC216" s="106">
        <f>IF(OR(AC$190,$A216),'Client Data'!AC266,0)</f>
        <v>0.4</v>
      </c>
      <c r="AD216" s="106">
        <f>IF(OR(AD$190,$A216),'Client Data'!AD266,0)</f>
        <v>0.4</v>
      </c>
      <c r="AE216" s="106">
        <f>IF(OR(AE$190,$A216),'Client Data'!AE266,0)</f>
        <v>0.5</v>
      </c>
      <c r="AF216" s="106">
        <f>IF(OR(AF$190,$A216),'Client Data'!AF266,0)</f>
        <v>0.3</v>
      </c>
      <c r="AG216" s="106">
        <f>IF(OR(AG$190,$A216),'Client Data'!AG266,0)</f>
        <v>0.6</v>
      </c>
      <c r="AH216" s="106">
        <f>IF(OR(AH$190,$A216),'Client Data'!AH266,0)</f>
        <v>0.3</v>
      </c>
      <c r="AI216" s="106">
        <f>IF(OR(AI$190,$A216),'Client Data'!AI266,0)</f>
        <v>0.4</v>
      </c>
      <c r="AJ216" s="106">
        <f>IF(OR(AJ$190,$A216),'Client Data'!AJ266,0)</f>
        <v>0.4</v>
      </c>
      <c r="AK216" s="106">
        <f>IF(OR(AK$190,$A216),'Client Data'!AK266,0)</f>
        <v>0.4</v>
      </c>
      <c r="AL216" s="106">
        <f>IF(OR(AL$190,$A216),'Client Data'!AL266,0)</f>
        <v>0.5</v>
      </c>
      <c r="AM216" s="106">
        <f>IF(OR(AM$190,$A216),'Client Data'!AM266,0)</f>
        <v>0.3</v>
      </c>
      <c r="AN216" s="106">
        <f>IF(OR(AN$190,$A216),'Client Data'!AN266,0)</f>
        <v>0.4</v>
      </c>
      <c r="AO216" s="106">
        <f>IF(OR(AO$190,$A216),'Client Data'!AO266,0)</f>
        <v>0.5</v>
      </c>
      <c r="AP216" s="106">
        <f>IF(OR(AP$190,$A216),'Client Data'!AP266,0)</f>
        <v>0.3</v>
      </c>
      <c r="AQ216" s="106">
        <f>IF(OR(AQ$190,$A216),'Client Data'!AQ266,0)</f>
        <v>0.6</v>
      </c>
      <c r="AR216" s="106">
        <f>IF(OR(AR$190,$A216),'Client Data'!AR266,0)</f>
        <v>0.3</v>
      </c>
      <c r="AS216" s="106">
        <f>IF(OR(AS$190,$A216),'Client Data'!AS266,0)</f>
        <v>0.4</v>
      </c>
      <c r="AT216" s="106">
        <f>IF(OR(AT$190,$A216),'Client Data'!AT266,0)</f>
        <v>0.4</v>
      </c>
      <c r="AU216" s="106">
        <f>IF(OR(AU$190,$A216),'Client Data'!AU266,0)</f>
        <v>0.4</v>
      </c>
      <c r="AV216" s="106">
        <f>IF(OR(AV$190,$A216),'Client Data'!AV266,0)</f>
        <v>0.4</v>
      </c>
      <c r="AW216" s="106">
        <f>IF(OR(AW$190,$A216),'Client Data'!AW266,0)</f>
        <v>0.4</v>
      </c>
      <c r="AX216" s="106">
        <f>IF(OR(AX$190,$A216),'Client Data'!AX266,0)</f>
        <v>0.6</v>
      </c>
      <c r="AY216" s="106">
        <f>IF(OR(AY$190,$A216),'Client Data'!AY266,0)</f>
        <v>0.4</v>
      </c>
      <c r="AZ216" s="106">
        <f>IF(OR(AZ$190,$A216),'Client Data'!AZ266,0)</f>
        <v>0.4</v>
      </c>
      <c r="BA216" s="106">
        <f>IF(OR(BA$190,$A216),'Client Data'!BA266,0)</f>
        <v>0.4</v>
      </c>
      <c r="BB216" s="106">
        <f>IF(OR(BB$190,$A216),'Client Data'!BB266,0)</f>
        <v>0.2</v>
      </c>
      <c r="BC216" s="104">
        <f t="shared" si="181"/>
        <v>21.499999999999996</v>
      </c>
    </row>
    <row r="217" spans="1:55" x14ac:dyDescent="0.25">
      <c r="A217">
        <f t="shared" si="341"/>
        <v>2</v>
      </c>
      <c r="B217" s="105" t="str">
        <f>'Client Data'!B267</f>
        <v>SDT5</v>
      </c>
      <c r="C217" s="106">
        <f>IF(OR(C$190,$A217),'Client Data'!C267,0)</f>
        <v>0</v>
      </c>
      <c r="D217" s="106">
        <f>IF(OR(D$190,$A217),'Client Data'!D267,0)</f>
        <v>0</v>
      </c>
      <c r="E217" s="106">
        <f>IF(OR(E$190,$A217),'Client Data'!E267,0)</f>
        <v>0</v>
      </c>
      <c r="F217" s="106">
        <f>IF(OR(F$190,$A217),'Client Data'!F267,0)</f>
        <v>0</v>
      </c>
      <c r="G217" s="106">
        <f>IF(OR(G$190,$A217),'Client Data'!G267,0)</f>
        <v>0</v>
      </c>
      <c r="H217" s="106">
        <f>IF(OR(H$190,$A217),'Client Data'!H267,0)</f>
        <v>0</v>
      </c>
      <c r="I217" s="106">
        <f>IF(OR(I$190,$A217),'Client Data'!I267,0)</f>
        <v>0</v>
      </c>
      <c r="J217" s="106">
        <f>IF(OR(J$190,$A217),'Client Data'!J267,0)</f>
        <v>0</v>
      </c>
      <c r="K217" s="106">
        <f>IF(OR(K$190,$A217),'Client Data'!K267,0)</f>
        <v>0</v>
      </c>
      <c r="L217" s="106">
        <f>IF(OR(L$190,$A217),'Client Data'!L267,0)</f>
        <v>0</v>
      </c>
      <c r="M217" s="106">
        <f>IF(OR(M$190,$A217),'Client Data'!M267,0)</f>
        <v>0</v>
      </c>
      <c r="N217" s="106">
        <f>IF(OR(N$190,$A217),'Client Data'!N267,0)</f>
        <v>0</v>
      </c>
      <c r="O217" s="106">
        <f>IF(OR(O$190,$A217),'Client Data'!O267,0)</f>
        <v>0</v>
      </c>
      <c r="P217" s="106">
        <f>IF(OR(P$190,$A217),'Client Data'!P267,0)</f>
        <v>0</v>
      </c>
      <c r="Q217" s="106">
        <f>IF(OR(Q$190,$A217),'Client Data'!Q267,0)</f>
        <v>0</v>
      </c>
      <c r="R217" s="106">
        <f>IF(OR(R$190,$A217),'Client Data'!R267,0)</f>
        <v>0</v>
      </c>
      <c r="S217" s="106">
        <f>IF(OR(S$190,$A217),'Client Data'!S267,0)</f>
        <v>0</v>
      </c>
      <c r="T217" s="106">
        <f>IF(OR(T$190,$A217),'Client Data'!T267,0)</f>
        <v>0</v>
      </c>
      <c r="U217" s="106">
        <f>IF(OR(U$190,$A217),'Client Data'!U267,0)</f>
        <v>0</v>
      </c>
      <c r="V217" s="106">
        <f>IF(OR(V$190,$A217),'Client Data'!V267,0)</f>
        <v>0</v>
      </c>
      <c r="W217" s="106">
        <f>IF(OR(W$190,$A217),'Client Data'!W267,0)</f>
        <v>0</v>
      </c>
      <c r="X217" s="106">
        <f>IF(OR(X$190,$A217),'Client Data'!X267,0)</f>
        <v>0</v>
      </c>
      <c r="Y217" s="106">
        <f>IF(OR(Y$190,$A217),'Client Data'!Y267,0)</f>
        <v>0</v>
      </c>
      <c r="Z217" s="106">
        <f>IF(OR(Z$190,$A217),'Client Data'!Z267,0)</f>
        <v>0</v>
      </c>
      <c r="AA217" s="106">
        <f>IF(OR(AA$190,$A217),'Client Data'!AA267,0)</f>
        <v>0</v>
      </c>
      <c r="AB217" s="106">
        <f>IF(OR(AB$190,$A217),'Client Data'!AB267,0)</f>
        <v>0</v>
      </c>
      <c r="AC217" s="106">
        <f>IF(OR(AC$190,$A217),'Client Data'!AC267,0)</f>
        <v>0</v>
      </c>
      <c r="AD217" s="106">
        <f>IF(OR(AD$190,$A217),'Client Data'!AD267,0)</f>
        <v>0</v>
      </c>
      <c r="AE217" s="106">
        <f>IF(OR(AE$190,$A217),'Client Data'!AE267,0)</f>
        <v>0</v>
      </c>
      <c r="AF217" s="106">
        <f>IF(OR(AF$190,$A217),'Client Data'!AF267,0)</f>
        <v>0</v>
      </c>
      <c r="AG217" s="106">
        <f>IF(OR(AG$190,$A217),'Client Data'!AG267,0)</f>
        <v>0</v>
      </c>
      <c r="AH217" s="106">
        <f>IF(OR(AH$190,$A217),'Client Data'!AH267,0)</f>
        <v>0</v>
      </c>
      <c r="AI217" s="106">
        <f>IF(OR(AI$190,$A217),'Client Data'!AI267,0)</f>
        <v>0</v>
      </c>
      <c r="AJ217" s="106">
        <f>IF(OR(AJ$190,$A217),'Client Data'!AJ267,0)</f>
        <v>0</v>
      </c>
      <c r="AK217" s="106">
        <f>IF(OR(AK$190,$A217),'Client Data'!AK267,0)</f>
        <v>0</v>
      </c>
      <c r="AL217" s="106">
        <f>IF(OR(AL$190,$A217),'Client Data'!AL267,0)</f>
        <v>0</v>
      </c>
      <c r="AM217" s="106">
        <f>IF(OR(AM$190,$A217),'Client Data'!AM267,0)</f>
        <v>0</v>
      </c>
      <c r="AN217" s="106">
        <f>IF(OR(AN$190,$A217),'Client Data'!AN267,0)</f>
        <v>0</v>
      </c>
      <c r="AO217" s="106">
        <f>IF(OR(AO$190,$A217),'Client Data'!AO267,0)</f>
        <v>0</v>
      </c>
      <c r="AP217" s="106">
        <f>IF(OR(AP$190,$A217),'Client Data'!AP267,0)</f>
        <v>0</v>
      </c>
      <c r="AQ217" s="106">
        <f>IF(OR(AQ$190,$A217),'Client Data'!AQ267,0)</f>
        <v>0</v>
      </c>
      <c r="AR217" s="106">
        <f>IF(OR(AR$190,$A217),'Client Data'!AR267,0)</f>
        <v>0</v>
      </c>
      <c r="AS217" s="106">
        <f>IF(OR(AS$190,$A217),'Client Data'!AS267,0)</f>
        <v>0</v>
      </c>
      <c r="AT217" s="106">
        <f>IF(OR(AT$190,$A217),'Client Data'!AT267,0)</f>
        <v>0</v>
      </c>
      <c r="AU217" s="106">
        <f>IF(OR(AU$190,$A217),'Client Data'!AU267,0)</f>
        <v>0</v>
      </c>
      <c r="AV217" s="106">
        <f>IF(OR(AV$190,$A217),'Client Data'!AV267,0)</f>
        <v>0</v>
      </c>
      <c r="AW217" s="106">
        <f>IF(OR(AW$190,$A217),'Client Data'!AW267,0)</f>
        <v>0</v>
      </c>
      <c r="AX217" s="106">
        <f>IF(OR(AX$190,$A217),'Client Data'!AX267,0)</f>
        <v>0</v>
      </c>
      <c r="AY217" s="106">
        <f>IF(OR(AY$190,$A217),'Client Data'!AY267,0)</f>
        <v>0</v>
      </c>
      <c r="AZ217" s="106">
        <f>IF(OR(AZ$190,$A217),'Client Data'!AZ267,0)</f>
        <v>0</v>
      </c>
      <c r="BA217" s="106">
        <f>IF(OR(BA$190,$A217),'Client Data'!BA267,0)</f>
        <v>0</v>
      </c>
      <c r="BB217" s="106">
        <f>IF(OR(BB$190,$A217),'Client Data'!BB267,0)</f>
        <v>0</v>
      </c>
      <c r="BC217" s="104">
        <f t="shared" si="181"/>
        <v>0</v>
      </c>
    </row>
    <row r="218" spans="1:55" x14ac:dyDescent="0.25">
      <c r="A218">
        <f t="shared" si="341"/>
        <v>1</v>
      </c>
      <c r="B218" s="105" t="str">
        <f>'Client Data'!B268</f>
        <v>SDT6</v>
      </c>
      <c r="C218" s="106">
        <f>IF(OR(C$190,$A218),'Client Data'!C268,0)</f>
        <v>0</v>
      </c>
      <c r="D218" s="106">
        <f>IF(OR(D$190,$A218),'Client Data'!D268,0)</f>
        <v>0</v>
      </c>
      <c r="E218" s="106">
        <f>IF(OR(E$190,$A218),'Client Data'!E268,0)</f>
        <v>0</v>
      </c>
      <c r="F218" s="106">
        <f>IF(OR(F$190,$A218),'Client Data'!F268,0)</f>
        <v>0</v>
      </c>
      <c r="G218" s="106">
        <f>IF(OR(G$190,$A218),'Client Data'!G268,0)</f>
        <v>0</v>
      </c>
      <c r="H218" s="106">
        <f>IF(OR(H$190,$A218),'Client Data'!H268,0)</f>
        <v>0</v>
      </c>
      <c r="I218" s="106">
        <f>IF(OR(I$190,$A218),'Client Data'!I268,0)</f>
        <v>0</v>
      </c>
      <c r="J218" s="106">
        <f>IF(OR(J$190,$A218),'Client Data'!J268,0)</f>
        <v>0</v>
      </c>
      <c r="K218" s="106">
        <f>IF(OR(K$190,$A218),'Client Data'!K268,0)</f>
        <v>0</v>
      </c>
      <c r="L218" s="106">
        <f>IF(OR(L$190,$A218),'Client Data'!L268,0)</f>
        <v>0</v>
      </c>
      <c r="M218" s="106">
        <f>IF(OR(M$190,$A218),'Client Data'!M268,0)</f>
        <v>0</v>
      </c>
      <c r="N218" s="106">
        <f>IF(OR(N$190,$A218),'Client Data'!N268,0)</f>
        <v>0</v>
      </c>
      <c r="O218" s="106">
        <f>IF(OR(O$190,$A218),'Client Data'!O268,0)</f>
        <v>0</v>
      </c>
      <c r="P218" s="106">
        <f>IF(OR(P$190,$A218),'Client Data'!P268,0)</f>
        <v>0</v>
      </c>
      <c r="Q218" s="106">
        <f>IF(OR(Q$190,$A218),'Client Data'!Q268,0)</f>
        <v>0</v>
      </c>
      <c r="R218" s="106">
        <f>IF(OR(R$190,$A218),'Client Data'!R268,0)</f>
        <v>0</v>
      </c>
      <c r="S218" s="106">
        <f>IF(OR(S$190,$A218),'Client Data'!S268,0)</f>
        <v>0</v>
      </c>
      <c r="T218" s="106">
        <f>IF(OR(T$190,$A218),'Client Data'!T268,0)</f>
        <v>0</v>
      </c>
      <c r="U218" s="106">
        <f>IF(OR(U$190,$A218),'Client Data'!U268,0)</f>
        <v>0</v>
      </c>
      <c r="V218" s="106">
        <f>IF(OR(V$190,$A218),'Client Data'!V268,0)</f>
        <v>0</v>
      </c>
      <c r="W218" s="106">
        <f>IF(OR(W$190,$A218),'Client Data'!W268,0)</f>
        <v>0</v>
      </c>
      <c r="X218" s="106">
        <f>IF(OR(X$190,$A218),'Client Data'!X268,0)</f>
        <v>0</v>
      </c>
      <c r="Y218" s="106">
        <f>IF(OR(Y$190,$A218),'Client Data'!Y268,0)</f>
        <v>0</v>
      </c>
      <c r="Z218" s="106">
        <f>IF(OR(Z$190,$A218),'Client Data'!Z268,0)</f>
        <v>0</v>
      </c>
      <c r="AA218" s="106">
        <f>IF(OR(AA$190,$A218),'Client Data'!AA268,0)</f>
        <v>0</v>
      </c>
      <c r="AB218" s="106">
        <f>IF(OR(AB$190,$A218),'Client Data'!AB268,0)</f>
        <v>0</v>
      </c>
      <c r="AC218" s="106">
        <f>IF(OR(AC$190,$A218),'Client Data'!AC268,0)</f>
        <v>0</v>
      </c>
      <c r="AD218" s="106">
        <f>IF(OR(AD$190,$A218),'Client Data'!AD268,0)</f>
        <v>0</v>
      </c>
      <c r="AE218" s="106">
        <f>IF(OR(AE$190,$A218),'Client Data'!AE268,0)</f>
        <v>0</v>
      </c>
      <c r="AF218" s="106">
        <f>IF(OR(AF$190,$A218),'Client Data'!AF268,0)</f>
        <v>0</v>
      </c>
      <c r="AG218" s="106">
        <f>IF(OR(AG$190,$A218),'Client Data'!AG268,0)</f>
        <v>0</v>
      </c>
      <c r="AH218" s="106">
        <f>IF(OR(AH$190,$A218),'Client Data'!AH268,0)</f>
        <v>0</v>
      </c>
      <c r="AI218" s="106">
        <f>IF(OR(AI$190,$A218),'Client Data'!AI268,0)</f>
        <v>0</v>
      </c>
      <c r="AJ218" s="106">
        <f>IF(OR(AJ$190,$A218),'Client Data'!AJ268,0)</f>
        <v>0</v>
      </c>
      <c r="AK218" s="106">
        <f>IF(OR(AK$190,$A218),'Client Data'!AK268,0)</f>
        <v>0</v>
      </c>
      <c r="AL218" s="106">
        <f>IF(OR(AL$190,$A218),'Client Data'!AL268,0)</f>
        <v>0</v>
      </c>
      <c r="AM218" s="106">
        <f>IF(OR(AM$190,$A218),'Client Data'!AM268,0)</f>
        <v>0</v>
      </c>
      <c r="AN218" s="106">
        <f>IF(OR(AN$190,$A218),'Client Data'!AN268,0)</f>
        <v>0</v>
      </c>
      <c r="AO218" s="106">
        <f>IF(OR(AO$190,$A218),'Client Data'!AO268,0)</f>
        <v>0</v>
      </c>
      <c r="AP218" s="106">
        <f>IF(OR(AP$190,$A218),'Client Data'!AP268,0)</f>
        <v>0</v>
      </c>
      <c r="AQ218" s="106">
        <f>IF(OR(AQ$190,$A218),'Client Data'!AQ268,0)</f>
        <v>0</v>
      </c>
      <c r="AR218" s="106">
        <f>IF(OR(AR$190,$A218),'Client Data'!AR268,0)</f>
        <v>0</v>
      </c>
      <c r="AS218" s="106">
        <f>IF(OR(AS$190,$A218),'Client Data'!AS268,0)</f>
        <v>0</v>
      </c>
      <c r="AT218" s="106">
        <f>IF(OR(AT$190,$A218),'Client Data'!AT268,0)</f>
        <v>0</v>
      </c>
      <c r="AU218" s="106">
        <f>IF(OR(AU$190,$A218),'Client Data'!AU268,0)</f>
        <v>0</v>
      </c>
      <c r="AV218" s="106">
        <f>IF(OR(AV$190,$A218),'Client Data'!AV268,0)</f>
        <v>0</v>
      </c>
      <c r="AW218" s="106">
        <f>IF(OR(AW$190,$A218),'Client Data'!AW268,0)</f>
        <v>0</v>
      </c>
      <c r="AX218" s="106">
        <f>IF(OR(AX$190,$A218),'Client Data'!AX268,0)</f>
        <v>0</v>
      </c>
      <c r="AY218" s="106">
        <f>IF(OR(AY$190,$A218),'Client Data'!AY268,0)</f>
        <v>0</v>
      </c>
      <c r="AZ218" s="106">
        <f>IF(OR(AZ$190,$A218),'Client Data'!AZ268,0)</f>
        <v>0</v>
      </c>
      <c r="BA218" s="106">
        <f>IF(OR(BA$190,$A218),'Client Data'!BA268,0)</f>
        <v>0</v>
      </c>
      <c r="BB218" s="106">
        <f>IF(OR(BB$190,$A218),'Client Data'!BB268,0)</f>
        <v>0</v>
      </c>
      <c r="BC218" s="104">
        <f t="shared" si="181"/>
        <v>0</v>
      </c>
    </row>
    <row r="219" spans="1:55" x14ac:dyDescent="0.25">
      <c r="A219">
        <f>A212-1</f>
        <v>4</v>
      </c>
      <c r="B219" s="107" t="str">
        <f>'Client Data'!B269</f>
        <v>SDT Type E</v>
      </c>
      <c r="C219" s="102">
        <f t="shared" ref="C219" si="342">IF(OR(C$190&gt;0,$A219),SUM(C220:C225),0)</f>
        <v>1.2000000000000002</v>
      </c>
      <c r="D219" s="102">
        <f t="shared" ref="D219" si="343">IF(OR(D$190&gt;0,$A219),SUM(D220:D225),0)</f>
        <v>1.1000000000000001</v>
      </c>
      <c r="E219" s="102">
        <f t="shared" ref="E219" si="344">IF(OR(E$190&gt;0,$A219),SUM(E220:E225),0)</f>
        <v>0.6</v>
      </c>
      <c r="F219" s="102">
        <f t="shared" ref="F219" si="345">IF(OR(F$190&gt;0,$A219),SUM(F220:F225),0)</f>
        <v>1.5</v>
      </c>
      <c r="G219" s="102">
        <f t="shared" ref="G219" si="346">IF(OR(G$190&gt;0,$A219),SUM(G220:G225),0)</f>
        <v>0.5</v>
      </c>
      <c r="H219" s="102">
        <f t="shared" ref="H219" si="347">IF(OR(H$190&gt;0,$A219),SUM(H220:H225),0)</f>
        <v>0.5</v>
      </c>
      <c r="I219" s="102">
        <f t="shared" ref="I219" si="348">IF(OR(I$190&gt;0,$A219),SUM(I220:I225),0)</f>
        <v>0.7</v>
      </c>
      <c r="J219" s="102">
        <f t="shared" ref="J219" si="349">IF(OR(J$190&gt;0,$A219),SUM(J220:J225),0)</f>
        <v>0.6</v>
      </c>
      <c r="K219" s="102">
        <f t="shared" ref="K219" si="350">IF(OR(K$190&gt;0,$A219),SUM(K220:K225),0)</f>
        <v>0.5</v>
      </c>
      <c r="L219" s="102">
        <f t="shared" ref="L219" si="351">IF(OR(L$190&gt;0,$A219),SUM(L220:L225),0)</f>
        <v>1.2</v>
      </c>
      <c r="M219" s="102">
        <f t="shared" ref="M219" si="352">IF(OR(M$190&gt;0,$A219),SUM(M220:M225),0)</f>
        <v>1.1000000000000001</v>
      </c>
      <c r="N219" s="102">
        <f t="shared" ref="N219" si="353">IF(OR(N$190&gt;0,$A219),SUM(N220:N225),0)</f>
        <v>1</v>
      </c>
      <c r="O219" s="102">
        <f t="shared" ref="O219" si="354">IF(OR(O$190&gt;0,$A219),SUM(O220:O225),0)</f>
        <v>0.8</v>
      </c>
      <c r="P219" s="102">
        <f t="shared" ref="P219" si="355">IF(OR(P$190&gt;0,$A219),SUM(P220:P225),0)</f>
        <v>1.2</v>
      </c>
      <c r="Q219" s="102">
        <f t="shared" ref="Q219" si="356">IF(OR(Q$190&gt;0,$A219),SUM(Q220:Q225),0)</f>
        <v>0.8</v>
      </c>
      <c r="R219" s="102">
        <f t="shared" ref="R219" si="357">IF(OR(R$190&gt;0,$A219),SUM(R220:R225),0)</f>
        <v>0.4</v>
      </c>
      <c r="S219" s="102">
        <f t="shared" ref="S219" si="358">IF(OR(S$190&gt;0,$A219),SUM(S220:S225),0)</f>
        <v>0.7</v>
      </c>
      <c r="T219" s="102">
        <f t="shared" ref="T219" si="359">IF(OR(T$190&gt;0,$A219),SUM(T220:T225),0)</f>
        <v>0.5</v>
      </c>
      <c r="U219" s="102">
        <f t="shared" ref="U219" si="360">IF(OR(U$190&gt;0,$A219),SUM(U220:U225),0)</f>
        <v>0.7</v>
      </c>
      <c r="V219" s="102">
        <f t="shared" ref="V219" si="361">IF(OR(V$190&gt;0,$A219),SUM(V220:V225),0)</f>
        <v>0.89999999999999991</v>
      </c>
      <c r="W219" s="102">
        <f t="shared" ref="W219" si="362">IF(OR(W$190&gt;0,$A219),SUM(W220:W225),0)</f>
        <v>0.8</v>
      </c>
      <c r="X219" s="102">
        <f t="shared" ref="X219" si="363">IF(OR(X$190&gt;0,$A219),SUM(X220:X225),0)</f>
        <v>0.89999999999999991</v>
      </c>
      <c r="Y219" s="102">
        <f t="shared" ref="Y219" si="364">IF(OR(Y$190&gt;0,$A219),SUM(Y220:Y225),0)</f>
        <v>1.2000000000000002</v>
      </c>
      <c r="Z219" s="102">
        <f t="shared" ref="Z219" si="365">IF(OR(Z$190&gt;0,$A219),SUM(Z220:Z225),0)</f>
        <v>1.1000000000000001</v>
      </c>
      <c r="AA219" s="102">
        <f t="shared" ref="AA219" si="366">IF(OR(AA$190&gt;0,$A219),SUM(AA220:AA225),0)</f>
        <v>0.6</v>
      </c>
      <c r="AB219" s="102">
        <f t="shared" ref="AB219" si="367">IF(OR(AB$190&gt;0,$A219),SUM(AB220:AB225),0)</f>
        <v>1.5</v>
      </c>
      <c r="AC219" s="102">
        <f t="shared" ref="AC219" si="368">IF(OR(AC$190&gt;0,$A219),SUM(AC220:AC225),0)</f>
        <v>0.5</v>
      </c>
      <c r="AD219" s="102">
        <f t="shared" ref="AD219" si="369">IF(OR(AD$190&gt;0,$A219),SUM(AD220:AD225),0)</f>
        <v>0.5</v>
      </c>
      <c r="AE219" s="102">
        <f t="shared" ref="AE219" si="370">IF(OR(AE$190&gt;0,$A219),SUM(AE220:AE225),0)</f>
        <v>0.7</v>
      </c>
      <c r="AF219" s="102">
        <f t="shared" ref="AF219" si="371">IF(OR(AF$190&gt;0,$A219),SUM(AF220:AF225),0)</f>
        <v>0.6</v>
      </c>
      <c r="AG219" s="102">
        <f t="shared" ref="AG219" si="372">IF(OR(AG$190&gt;0,$A219),SUM(AG220:AG225),0)</f>
        <v>0.5</v>
      </c>
      <c r="AH219" s="102">
        <f t="shared" ref="AH219" si="373">IF(OR(AH$190&gt;0,$A219),SUM(AH220:AH225),0)</f>
        <v>1.2</v>
      </c>
      <c r="AI219" s="102">
        <f t="shared" ref="AI219" si="374">IF(OR(AI$190&gt;0,$A219),SUM(AI220:AI225),0)</f>
        <v>0.4</v>
      </c>
      <c r="AJ219" s="102">
        <f t="shared" ref="AJ219" si="375">IF(OR(AJ$190&gt;0,$A219),SUM(AJ220:AJ225),0)</f>
        <v>0.9</v>
      </c>
      <c r="AK219" s="102">
        <f t="shared" ref="AK219" si="376">IF(OR(AK$190&gt;0,$A219),SUM(AK220:AK225),0)</f>
        <v>0.7</v>
      </c>
      <c r="AL219" s="102">
        <f t="shared" ref="AL219" si="377">IF(OR(AL$190&gt;0,$A219),SUM(AL220:AL225),0)</f>
        <v>1</v>
      </c>
      <c r="AM219" s="102">
        <f t="shared" ref="AM219" si="378">IF(OR(AM$190&gt;0,$A219),SUM(AM220:AM225),0)</f>
        <v>0.8</v>
      </c>
      <c r="AN219" s="102">
        <f t="shared" ref="AN219" si="379">IF(OR(AN$190&gt;0,$A219),SUM(AN220:AN225),0)</f>
        <v>0.7</v>
      </c>
      <c r="AO219" s="102">
        <f t="shared" ref="AO219" si="380">IF(OR(AO$190&gt;0,$A219),SUM(AO220:AO225),0)</f>
        <v>0.8</v>
      </c>
      <c r="AP219" s="102">
        <f t="shared" ref="AP219" si="381">IF(OR(AP$190&gt;0,$A219),SUM(AP220:AP225),0)</f>
        <v>0.9</v>
      </c>
      <c r="AQ219" s="102">
        <f t="shared" ref="AQ219" si="382">IF(OR(AQ$190&gt;0,$A219),SUM(AQ220:AQ225),0)</f>
        <v>0.8</v>
      </c>
      <c r="AR219" s="102">
        <f t="shared" ref="AR219" si="383">IF(OR(AR$190&gt;0,$A219),SUM(AR220:AR225),0)</f>
        <v>0.89999999999999991</v>
      </c>
      <c r="AS219" s="102">
        <f t="shared" ref="AS219" si="384">IF(OR(AS$190&gt;0,$A219),SUM(AS220:AS225),0)</f>
        <v>0.7</v>
      </c>
      <c r="AT219" s="102">
        <f t="shared" ref="AT219" si="385">IF(OR(AT$190&gt;0,$A219),SUM(AT220:AT225),0)</f>
        <v>0.9</v>
      </c>
      <c r="AU219" s="102">
        <f t="shared" ref="AU219" si="386">IF(OR(AU$190&gt;0,$A219),SUM(AU220:AU225),0)</f>
        <v>0.7</v>
      </c>
      <c r="AV219" s="102">
        <f t="shared" ref="AV219" si="387">IF(OR(AV$190&gt;0,$A219),SUM(AV220:AV225),0)</f>
        <v>1.1000000000000001</v>
      </c>
      <c r="AW219" s="102">
        <f t="shared" ref="AW219" si="388">IF(OR(AW$190&gt;0,$A219),SUM(AW220:AW225),0)</f>
        <v>0.6</v>
      </c>
      <c r="AX219" s="102">
        <f t="shared" ref="AX219" si="389">IF(OR(AX$190&gt;0,$A219),SUM(AX220:AX225),0)</f>
        <v>1</v>
      </c>
      <c r="AY219" s="102">
        <f t="shared" ref="AY219" si="390">IF(OR(AY$190&gt;0,$A219),SUM(AY220:AY225),0)</f>
        <v>0.7</v>
      </c>
      <c r="AZ219" s="102">
        <f t="shared" ref="AZ219" si="391">IF(OR(AZ$190&gt;0,$A219),SUM(AZ220:AZ225),0)</f>
        <v>0.8</v>
      </c>
      <c r="BA219" s="102">
        <f t="shared" ref="BA219" si="392">IF(OR(BA$190&gt;0,$A219),SUM(BA220:BA225),0)</f>
        <v>0.8</v>
      </c>
      <c r="BB219" s="102">
        <f t="shared" ref="BB219" si="393">IF(OR(BB$190&gt;0,$A219),SUM(BB220:BB225),0)</f>
        <v>0.60000000000000009</v>
      </c>
      <c r="BC219" s="107">
        <f t="shared" si="181"/>
        <v>42.4</v>
      </c>
    </row>
    <row r="220" spans="1:55" x14ac:dyDescent="0.25">
      <c r="A220">
        <f>IF(A$219&gt;0,A213,0)</f>
        <v>6</v>
      </c>
      <c r="B220" s="105" t="str">
        <f>'Client Data'!B270</f>
        <v>SDT1</v>
      </c>
      <c r="C220" s="106">
        <f>IF(OR(C$190,$A220),'Client Data'!C270,0)</f>
        <v>0</v>
      </c>
      <c r="D220" s="106">
        <f>IF(OR(D$190,$A220),'Client Data'!D270,0)</f>
        <v>0</v>
      </c>
      <c r="E220" s="106">
        <f>IF(OR(E$190,$A220),'Client Data'!E270,0)</f>
        <v>0</v>
      </c>
      <c r="F220" s="106">
        <f>IF(OR(F$190,$A220),'Client Data'!F270,0)</f>
        <v>0</v>
      </c>
      <c r="G220" s="106">
        <f>IF(OR(G$190,$A220),'Client Data'!G270,0)</f>
        <v>0</v>
      </c>
      <c r="H220" s="106">
        <f>IF(OR(H$190,$A220),'Client Data'!H270,0)</f>
        <v>0</v>
      </c>
      <c r="I220" s="106">
        <f>IF(OR(I$190,$A220),'Client Data'!I270,0)</f>
        <v>0</v>
      </c>
      <c r="J220" s="106">
        <f>IF(OR(J$190,$A220),'Client Data'!J270,0)</f>
        <v>0</v>
      </c>
      <c r="K220" s="106">
        <f>IF(OR(K$190,$A220),'Client Data'!K270,0)</f>
        <v>0</v>
      </c>
      <c r="L220" s="106">
        <f>IF(OR(L$190,$A220),'Client Data'!L270,0)</f>
        <v>0</v>
      </c>
      <c r="M220" s="106">
        <f>IF(OR(M$190,$A220),'Client Data'!M270,0)</f>
        <v>0</v>
      </c>
      <c r="N220" s="106">
        <f>IF(OR(N$190,$A220),'Client Data'!N270,0)</f>
        <v>0</v>
      </c>
      <c r="O220" s="106">
        <f>IF(OR(O$190,$A220),'Client Data'!O270,0)</f>
        <v>0</v>
      </c>
      <c r="P220" s="106">
        <f>IF(OR(P$190,$A220),'Client Data'!P270,0)</f>
        <v>0</v>
      </c>
      <c r="Q220" s="106">
        <f>IF(OR(Q$190,$A220),'Client Data'!Q270,0)</f>
        <v>0</v>
      </c>
      <c r="R220" s="106">
        <f>IF(OR(R$190,$A220),'Client Data'!R270,0)</f>
        <v>0</v>
      </c>
      <c r="S220" s="106">
        <f>IF(OR(S$190,$A220),'Client Data'!S270,0)</f>
        <v>0</v>
      </c>
      <c r="T220" s="106">
        <f>IF(OR(T$190,$A220),'Client Data'!T270,0)</f>
        <v>0</v>
      </c>
      <c r="U220" s="106">
        <f>IF(OR(U$190,$A220),'Client Data'!U270,0)</f>
        <v>0</v>
      </c>
      <c r="V220" s="106">
        <f>IF(OR(V$190,$A220),'Client Data'!V270,0)</f>
        <v>0</v>
      </c>
      <c r="W220" s="106">
        <f>IF(OR(W$190,$A220),'Client Data'!W270,0)</f>
        <v>0</v>
      </c>
      <c r="X220" s="106">
        <f>IF(OR(X$190,$A220),'Client Data'!X270,0)</f>
        <v>0</v>
      </c>
      <c r="Y220" s="106">
        <f>IF(OR(Y$190,$A220),'Client Data'!Y270,0)</f>
        <v>0</v>
      </c>
      <c r="Z220" s="106">
        <f>IF(OR(Z$190,$A220),'Client Data'!Z270,0)</f>
        <v>0</v>
      </c>
      <c r="AA220" s="106">
        <f>IF(OR(AA$190,$A220),'Client Data'!AA270,0)</f>
        <v>0</v>
      </c>
      <c r="AB220" s="106">
        <f>IF(OR(AB$190,$A220),'Client Data'!AB270,0)</f>
        <v>0</v>
      </c>
      <c r="AC220" s="106">
        <f>IF(OR(AC$190,$A220),'Client Data'!AC270,0)</f>
        <v>0</v>
      </c>
      <c r="AD220" s="106">
        <f>IF(OR(AD$190,$A220),'Client Data'!AD270,0)</f>
        <v>0</v>
      </c>
      <c r="AE220" s="106">
        <f>IF(OR(AE$190,$A220),'Client Data'!AE270,0)</f>
        <v>0</v>
      </c>
      <c r="AF220" s="106">
        <f>IF(OR(AF$190,$A220),'Client Data'!AF270,0)</f>
        <v>0</v>
      </c>
      <c r="AG220" s="106">
        <f>IF(OR(AG$190,$A220),'Client Data'!AG270,0)</f>
        <v>0</v>
      </c>
      <c r="AH220" s="106">
        <f>IF(OR(AH$190,$A220),'Client Data'!AH270,0)</f>
        <v>0</v>
      </c>
      <c r="AI220" s="106">
        <f>IF(OR(AI$190,$A220),'Client Data'!AI270,0)</f>
        <v>0</v>
      </c>
      <c r="AJ220" s="106">
        <f>IF(OR(AJ$190,$A220),'Client Data'!AJ270,0)</f>
        <v>0</v>
      </c>
      <c r="AK220" s="106">
        <f>IF(OR(AK$190,$A220),'Client Data'!AK270,0)</f>
        <v>0</v>
      </c>
      <c r="AL220" s="106">
        <f>IF(OR(AL$190,$A220),'Client Data'!AL270,0)</f>
        <v>0</v>
      </c>
      <c r="AM220" s="106">
        <f>IF(OR(AM$190,$A220),'Client Data'!AM270,0)</f>
        <v>0</v>
      </c>
      <c r="AN220" s="106">
        <f>IF(OR(AN$190,$A220),'Client Data'!AN270,0)</f>
        <v>0</v>
      </c>
      <c r="AO220" s="106">
        <f>IF(OR(AO$190,$A220),'Client Data'!AO270,0)</f>
        <v>0</v>
      </c>
      <c r="AP220" s="106">
        <f>IF(OR(AP$190,$A220),'Client Data'!AP270,0)</f>
        <v>0</v>
      </c>
      <c r="AQ220" s="106">
        <f>IF(OR(AQ$190,$A220),'Client Data'!AQ270,0)</f>
        <v>0</v>
      </c>
      <c r="AR220" s="106">
        <f>IF(OR(AR$190,$A220),'Client Data'!AR270,0)</f>
        <v>0</v>
      </c>
      <c r="AS220" s="106">
        <f>IF(OR(AS$190,$A220),'Client Data'!AS270,0)</f>
        <v>0</v>
      </c>
      <c r="AT220" s="106">
        <f>IF(OR(AT$190,$A220),'Client Data'!AT270,0)</f>
        <v>0</v>
      </c>
      <c r="AU220" s="106">
        <f>IF(OR(AU$190,$A220),'Client Data'!AU270,0)</f>
        <v>0</v>
      </c>
      <c r="AV220" s="106">
        <f>IF(OR(AV$190,$A220),'Client Data'!AV270,0)</f>
        <v>0</v>
      </c>
      <c r="AW220" s="106">
        <f>IF(OR(AW$190,$A220),'Client Data'!AW270,0)</f>
        <v>0</v>
      </c>
      <c r="AX220" s="106">
        <f>IF(OR(AX$190,$A220),'Client Data'!AX270,0)</f>
        <v>0</v>
      </c>
      <c r="AY220" s="106">
        <f>IF(OR(AY$190,$A220),'Client Data'!AY270,0)</f>
        <v>0</v>
      </c>
      <c r="AZ220" s="106">
        <f>IF(OR(AZ$190,$A220),'Client Data'!AZ270,0)</f>
        <v>0</v>
      </c>
      <c r="BA220" s="106">
        <f>IF(OR(BA$190,$A220),'Client Data'!BA270,0)</f>
        <v>0</v>
      </c>
      <c r="BB220" s="106">
        <f>IF(OR(BB$190,$A220),'Client Data'!BB270,0)</f>
        <v>0</v>
      </c>
      <c r="BC220" s="104">
        <f t="shared" si="181"/>
        <v>0</v>
      </c>
    </row>
    <row r="221" spans="1:55" x14ac:dyDescent="0.25">
      <c r="A221">
        <f>IF(A$219&gt;0,A220-1,0)</f>
        <v>5</v>
      </c>
      <c r="B221" s="105" t="str">
        <f>'Client Data'!B271</f>
        <v>SDT2</v>
      </c>
      <c r="C221" s="106">
        <f>IF(OR(C$190,$A221),'Client Data'!C271,0)</f>
        <v>0</v>
      </c>
      <c r="D221" s="106">
        <f>IF(OR(D$190,$A221),'Client Data'!D271,0)</f>
        <v>0</v>
      </c>
      <c r="E221" s="106">
        <f>IF(OR(E$190,$A221),'Client Data'!E271,0)</f>
        <v>0</v>
      </c>
      <c r="F221" s="106">
        <f>IF(OR(F$190,$A221),'Client Data'!F271,0)</f>
        <v>0</v>
      </c>
      <c r="G221" s="106">
        <f>IF(OR(G$190,$A221),'Client Data'!G271,0)</f>
        <v>0</v>
      </c>
      <c r="H221" s="106">
        <f>IF(OR(H$190,$A221),'Client Data'!H271,0)</f>
        <v>0</v>
      </c>
      <c r="I221" s="106">
        <f>IF(OR(I$190,$A221),'Client Data'!I271,0)</f>
        <v>0</v>
      </c>
      <c r="J221" s="106">
        <f>IF(OR(J$190,$A221),'Client Data'!J271,0)</f>
        <v>0</v>
      </c>
      <c r="K221" s="106">
        <f>IF(OR(K$190,$A221),'Client Data'!K271,0)</f>
        <v>0</v>
      </c>
      <c r="L221" s="106">
        <f>IF(OR(L$190,$A221),'Client Data'!L271,0)</f>
        <v>0</v>
      </c>
      <c r="M221" s="106">
        <f>IF(OR(M$190,$A221),'Client Data'!M271,0)</f>
        <v>0</v>
      </c>
      <c r="N221" s="106">
        <f>IF(OR(N$190,$A221),'Client Data'!N271,0)</f>
        <v>0</v>
      </c>
      <c r="O221" s="106">
        <f>IF(OR(O$190,$A221),'Client Data'!O271,0)</f>
        <v>0</v>
      </c>
      <c r="P221" s="106">
        <f>IF(OR(P$190,$A221),'Client Data'!P271,0)</f>
        <v>0</v>
      </c>
      <c r="Q221" s="106">
        <f>IF(OR(Q$190,$A221),'Client Data'!Q271,0)</f>
        <v>0</v>
      </c>
      <c r="R221" s="106">
        <f>IF(OR(R$190,$A221),'Client Data'!R271,0)</f>
        <v>0</v>
      </c>
      <c r="S221" s="106">
        <f>IF(OR(S$190,$A221),'Client Data'!S271,0)</f>
        <v>0</v>
      </c>
      <c r="T221" s="106">
        <f>IF(OR(T$190,$A221),'Client Data'!T271,0)</f>
        <v>0</v>
      </c>
      <c r="U221" s="106">
        <f>IF(OR(U$190,$A221),'Client Data'!U271,0)</f>
        <v>0</v>
      </c>
      <c r="V221" s="106">
        <f>IF(OR(V$190,$A221),'Client Data'!V271,0)</f>
        <v>0</v>
      </c>
      <c r="W221" s="106">
        <f>IF(OR(W$190,$A221),'Client Data'!W271,0)</f>
        <v>0</v>
      </c>
      <c r="X221" s="106">
        <f>IF(OR(X$190,$A221),'Client Data'!X271,0)</f>
        <v>0</v>
      </c>
      <c r="Y221" s="106">
        <f>IF(OR(Y$190,$A221),'Client Data'!Y271,0)</f>
        <v>0</v>
      </c>
      <c r="Z221" s="106">
        <f>IF(OR(Z$190,$A221),'Client Data'!Z271,0)</f>
        <v>0</v>
      </c>
      <c r="AA221" s="106">
        <f>IF(OR(AA$190,$A221),'Client Data'!AA271,0)</f>
        <v>0</v>
      </c>
      <c r="AB221" s="106">
        <f>IF(OR(AB$190,$A221),'Client Data'!AB271,0)</f>
        <v>0</v>
      </c>
      <c r="AC221" s="106">
        <f>IF(OR(AC$190,$A221),'Client Data'!AC271,0)</f>
        <v>0</v>
      </c>
      <c r="AD221" s="106">
        <f>IF(OR(AD$190,$A221),'Client Data'!AD271,0)</f>
        <v>0</v>
      </c>
      <c r="AE221" s="106">
        <f>IF(OR(AE$190,$A221),'Client Data'!AE271,0)</f>
        <v>0</v>
      </c>
      <c r="AF221" s="106">
        <f>IF(OR(AF$190,$A221),'Client Data'!AF271,0)</f>
        <v>0</v>
      </c>
      <c r="AG221" s="106">
        <f>IF(OR(AG$190,$A221),'Client Data'!AG271,0)</f>
        <v>0</v>
      </c>
      <c r="AH221" s="106">
        <f>IF(OR(AH$190,$A221),'Client Data'!AH271,0)</f>
        <v>0</v>
      </c>
      <c r="AI221" s="106">
        <f>IF(OR(AI$190,$A221),'Client Data'!AI271,0)</f>
        <v>0</v>
      </c>
      <c r="AJ221" s="106">
        <f>IF(OR(AJ$190,$A221),'Client Data'!AJ271,0)</f>
        <v>0</v>
      </c>
      <c r="AK221" s="106">
        <f>IF(OR(AK$190,$A221),'Client Data'!AK271,0)</f>
        <v>0</v>
      </c>
      <c r="AL221" s="106">
        <f>IF(OR(AL$190,$A221),'Client Data'!AL271,0)</f>
        <v>0</v>
      </c>
      <c r="AM221" s="106">
        <f>IF(OR(AM$190,$A221),'Client Data'!AM271,0)</f>
        <v>0</v>
      </c>
      <c r="AN221" s="106">
        <f>IF(OR(AN$190,$A221),'Client Data'!AN271,0)</f>
        <v>0</v>
      </c>
      <c r="AO221" s="106">
        <f>IF(OR(AO$190,$A221),'Client Data'!AO271,0)</f>
        <v>0</v>
      </c>
      <c r="AP221" s="106">
        <f>IF(OR(AP$190,$A221),'Client Data'!AP271,0)</f>
        <v>0</v>
      </c>
      <c r="AQ221" s="106">
        <f>IF(OR(AQ$190,$A221),'Client Data'!AQ271,0)</f>
        <v>0</v>
      </c>
      <c r="AR221" s="106">
        <f>IF(OR(AR$190,$A221),'Client Data'!AR271,0)</f>
        <v>0</v>
      </c>
      <c r="AS221" s="106">
        <f>IF(OR(AS$190,$A221),'Client Data'!AS271,0)</f>
        <v>0</v>
      </c>
      <c r="AT221" s="106">
        <f>IF(OR(AT$190,$A221),'Client Data'!AT271,0)</f>
        <v>0</v>
      </c>
      <c r="AU221" s="106">
        <f>IF(OR(AU$190,$A221),'Client Data'!AU271,0)</f>
        <v>0</v>
      </c>
      <c r="AV221" s="106">
        <f>IF(OR(AV$190,$A221),'Client Data'!AV271,0)</f>
        <v>0</v>
      </c>
      <c r="AW221" s="106">
        <f>IF(OR(AW$190,$A221),'Client Data'!AW271,0)</f>
        <v>0</v>
      </c>
      <c r="AX221" s="106">
        <f>IF(OR(AX$190,$A221),'Client Data'!AX271,0)</f>
        <v>0</v>
      </c>
      <c r="AY221" s="106">
        <f>IF(OR(AY$190,$A221),'Client Data'!AY271,0)</f>
        <v>0</v>
      </c>
      <c r="AZ221" s="106">
        <f>IF(OR(AZ$190,$A221),'Client Data'!AZ271,0)</f>
        <v>0</v>
      </c>
      <c r="BA221" s="106">
        <f>IF(OR(BA$190,$A221),'Client Data'!BA271,0)</f>
        <v>0</v>
      </c>
      <c r="BB221" s="106">
        <f>IF(OR(BB$190,$A221),'Client Data'!BB271,0)</f>
        <v>0</v>
      </c>
      <c r="BC221" s="104">
        <f t="shared" si="181"/>
        <v>0</v>
      </c>
    </row>
    <row r="222" spans="1:55" x14ac:dyDescent="0.25">
      <c r="A222">
        <f t="shared" ref="A222:A225" si="394">IF(A$219&gt;0,A221-1,0)</f>
        <v>4</v>
      </c>
      <c r="B222" s="105" t="str">
        <f>'Client Data'!B272</f>
        <v>SDT3</v>
      </c>
      <c r="C222" s="106">
        <f>IF(OR(C$190,$A222),'Client Data'!C272,0)</f>
        <v>0</v>
      </c>
      <c r="D222" s="106">
        <f>IF(OR(D$190,$A222),'Client Data'!D272,0)</f>
        <v>0</v>
      </c>
      <c r="E222" s="106">
        <f>IF(OR(E$190,$A222),'Client Data'!E272,0)</f>
        <v>0</v>
      </c>
      <c r="F222" s="106">
        <f>IF(OR(F$190,$A222),'Client Data'!F272,0)</f>
        <v>0</v>
      </c>
      <c r="G222" s="106">
        <f>IF(OR(G$190,$A222),'Client Data'!G272,0)</f>
        <v>0</v>
      </c>
      <c r="H222" s="106">
        <f>IF(OR(H$190,$A222),'Client Data'!H272,0)</f>
        <v>0</v>
      </c>
      <c r="I222" s="106">
        <f>IF(OR(I$190,$A222),'Client Data'!I272,0)</f>
        <v>0</v>
      </c>
      <c r="J222" s="106">
        <f>IF(OR(J$190,$A222),'Client Data'!J272,0)</f>
        <v>0</v>
      </c>
      <c r="K222" s="106">
        <f>IF(OR(K$190,$A222),'Client Data'!K272,0)</f>
        <v>0</v>
      </c>
      <c r="L222" s="106">
        <f>IF(OR(L$190,$A222),'Client Data'!L272,0)</f>
        <v>0</v>
      </c>
      <c r="M222" s="106">
        <f>IF(OR(M$190,$A222),'Client Data'!M272,0)</f>
        <v>0</v>
      </c>
      <c r="N222" s="106">
        <f>IF(OR(N$190,$A222),'Client Data'!N272,0)</f>
        <v>0</v>
      </c>
      <c r="O222" s="106">
        <f>IF(OR(O$190,$A222),'Client Data'!O272,0)</f>
        <v>0</v>
      </c>
      <c r="P222" s="106">
        <f>IF(OR(P$190,$A222),'Client Data'!P272,0)</f>
        <v>0</v>
      </c>
      <c r="Q222" s="106">
        <f>IF(OR(Q$190,$A222),'Client Data'!Q272,0)</f>
        <v>0</v>
      </c>
      <c r="R222" s="106">
        <f>IF(OR(R$190,$A222),'Client Data'!R272,0)</f>
        <v>0</v>
      </c>
      <c r="S222" s="106">
        <f>IF(OR(S$190,$A222),'Client Data'!S272,0)</f>
        <v>0</v>
      </c>
      <c r="T222" s="106">
        <f>IF(OR(T$190,$A222),'Client Data'!T272,0)</f>
        <v>0</v>
      </c>
      <c r="U222" s="106">
        <f>IF(OR(U$190,$A222),'Client Data'!U272,0)</f>
        <v>0</v>
      </c>
      <c r="V222" s="106">
        <f>IF(OR(V$190,$A222),'Client Data'!V272,0)</f>
        <v>0</v>
      </c>
      <c r="W222" s="106">
        <f>IF(OR(W$190,$A222),'Client Data'!W272,0)</f>
        <v>0</v>
      </c>
      <c r="X222" s="106">
        <f>IF(OR(X$190,$A222),'Client Data'!X272,0)</f>
        <v>0</v>
      </c>
      <c r="Y222" s="106">
        <f>IF(OR(Y$190,$A222),'Client Data'!Y272,0)</f>
        <v>0</v>
      </c>
      <c r="Z222" s="106">
        <f>IF(OR(Z$190,$A222),'Client Data'!Z272,0)</f>
        <v>0</v>
      </c>
      <c r="AA222" s="106">
        <f>IF(OR(AA$190,$A222),'Client Data'!AA272,0)</f>
        <v>0</v>
      </c>
      <c r="AB222" s="106">
        <f>IF(OR(AB$190,$A222),'Client Data'!AB272,0)</f>
        <v>0</v>
      </c>
      <c r="AC222" s="106">
        <f>IF(OR(AC$190,$A222),'Client Data'!AC272,0)</f>
        <v>0</v>
      </c>
      <c r="AD222" s="106">
        <f>IF(OR(AD$190,$A222),'Client Data'!AD272,0)</f>
        <v>0</v>
      </c>
      <c r="AE222" s="106">
        <f>IF(OR(AE$190,$A222),'Client Data'!AE272,0)</f>
        <v>0</v>
      </c>
      <c r="AF222" s="106">
        <f>IF(OR(AF$190,$A222),'Client Data'!AF272,0)</f>
        <v>0</v>
      </c>
      <c r="AG222" s="106">
        <f>IF(OR(AG$190,$A222),'Client Data'!AG272,0)</f>
        <v>0</v>
      </c>
      <c r="AH222" s="106">
        <f>IF(OR(AH$190,$A222),'Client Data'!AH272,0)</f>
        <v>0</v>
      </c>
      <c r="AI222" s="106">
        <f>IF(OR(AI$190,$A222),'Client Data'!AI272,0)</f>
        <v>0</v>
      </c>
      <c r="AJ222" s="106">
        <f>IF(OR(AJ$190,$A222),'Client Data'!AJ272,0)</f>
        <v>0</v>
      </c>
      <c r="AK222" s="106">
        <f>IF(OR(AK$190,$A222),'Client Data'!AK272,0)</f>
        <v>0</v>
      </c>
      <c r="AL222" s="106">
        <f>IF(OR(AL$190,$A222),'Client Data'!AL272,0)</f>
        <v>0</v>
      </c>
      <c r="AM222" s="106">
        <f>IF(OR(AM$190,$A222),'Client Data'!AM272,0)</f>
        <v>0</v>
      </c>
      <c r="AN222" s="106">
        <f>IF(OR(AN$190,$A222),'Client Data'!AN272,0)</f>
        <v>0</v>
      </c>
      <c r="AO222" s="106">
        <f>IF(OR(AO$190,$A222),'Client Data'!AO272,0)</f>
        <v>0</v>
      </c>
      <c r="AP222" s="106">
        <f>IF(OR(AP$190,$A222),'Client Data'!AP272,0)</f>
        <v>0</v>
      </c>
      <c r="AQ222" s="106">
        <f>IF(OR(AQ$190,$A222),'Client Data'!AQ272,0)</f>
        <v>0</v>
      </c>
      <c r="AR222" s="106">
        <f>IF(OR(AR$190,$A222),'Client Data'!AR272,0)</f>
        <v>0</v>
      </c>
      <c r="AS222" s="106">
        <f>IF(OR(AS$190,$A222),'Client Data'!AS272,0)</f>
        <v>0</v>
      </c>
      <c r="AT222" s="106">
        <f>IF(OR(AT$190,$A222),'Client Data'!AT272,0)</f>
        <v>0</v>
      </c>
      <c r="AU222" s="106">
        <f>IF(OR(AU$190,$A222),'Client Data'!AU272,0)</f>
        <v>0</v>
      </c>
      <c r="AV222" s="106">
        <f>IF(OR(AV$190,$A222),'Client Data'!AV272,0)</f>
        <v>0</v>
      </c>
      <c r="AW222" s="106">
        <f>IF(OR(AW$190,$A222),'Client Data'!AW272,0)</f>
        <v>0</v>
      </c>
      <c r="AX222" s="106">
        <f>IF(OR(AX$190,$A222),'Client Data'!AX272,0)</f>
        <v>0</v>
      </c>
      <c r="AY222" s="106">
        <f>IF(OR(AY$190,$A222),'Client Data'!AY272,0)</f>
        <v>0</v>
      </c>
      <c r="AZ222" s="106">
        <f>IF(OR(AZ$190,$A222),'Client Data'!AZ272,0)</f>
        <v>0</v>
      </c>
      <c r="BA222" s="106">
        <f>IF(OR(BA$190,$A222),'Client Data'!BA272,0)</f>
        <v>0</v>
      </c>
      <c r="BB222" s="106">
        <f>IF(OR(BB$190,$A222),'Client Data'!BB272,0)</f>
        <v>0</v>
      </c>
      <c r="BC222" s="104">
        <f t="shared" si="181"/>
        <v>0</v>
      </c>
    </row>
    <row r="223" spans="1:55" x14ac:dyDescent="0.25">
      <c r="A223">
        <f t="shared" si="394"/>
        <v>3</v>
      </c>
      <c r="B223" s="105" t="str">
        <f>'Client Data'!B273</f>
        <v>SDT4</v>
      </c>
      <c r="C223" s="106">
        <f>IF(OR(C$190,$A223),'Client Data'!C273,0)</f>
        <v>0</v>
      </c>
      <c r="D223" s="106">
        <f>IF(OR(D$190,$A223),'Client Data'!D273,0)</f>
        <v>0</v>
      </c>
      <c r="E223" s="106">
        <f>IF(OR(E$190,$A223),'Client Data'!E273,0)</f>
        <v>0</v>
      </c>
      <c r="F223" s="106">
        <f>IF(OR(F$190,$A223),'Client Data'!F273,0)</f>
        <v>0</v>
      </c>
      <c r="G223" s="106">
        <f>IF(OR(G$190,$A223),'Client Data'!G273,0)</f>
        <v>0</v>
      </c>
      <c r="H223" s="106">
        <f>IF(OR(H$190,$A223),'Client Data'!H273,0)</f>
        <v>0</v>
      </c>
      <c r="I223" s="106">
        <f>IF(OR(I$190,$A223),'Client Data'!I273,0)</f>
        <v>0</v>
      </c>
      <c r="J223" s="106">
        <f>IF(OR(J$190,$A223),'Client Data'!J273,0)</f>
        <v>0</v>
      </c>
      <c r="K223" s="106">
        <f>IF(OR(K$190,$A223),'Client Data'!K273,0)</f>
        <v>0</v>
      </c>
      <c r="L223" s="106">
        <f>IF(OR(L$190,$A223),'Client Data'!L273,0)</f>
        <v>0</v>
      </c>
      <c r="M223" s="106">
        <f>IF(OR(M$190,$A223),'Client Data'!M273,0)</f>
        <v>0</v>
      </c>
      <c r="N223" s="106">
        <f>IF(OR(N$190,$A223),'Client Data'!N273,0)</f>
        <v>0</v>
      </c>
      <c r="O223" s="106">
        <f>IF(OR(O$190,$A223),'Client Data'!O273,0)</f>
        <v>0</v>
      </c>
      <c r="P223" s="106">
        <f>IF(OR(P$190,$A223),'Client Data'!P273,0)</f>
        <v>0</v>
      </c>
      <c r="Q223" s="106">
        <f>IF(OR(Q$190,$A223),'Client Data'!Q273,0)</f>
        <v>0</v>
      </c>
      <c r="R223" s="106">
        <f>IF(OR(R$190,$A223),'Client Data'!R273,0)</f>
        <v>0</v>
      </c>
      <c r="S223" s="106">
        <f>IF(OR(S$190,$A223),'Client Data'!S273,0)</f>
        <v>0</v>
      </c>
      <c r="T223" s="106">
        <f>IF(OR(T$190,$A223),'Client Data'!T273,0)</f>
        <v>0</v>
      </c>
      <c r="U223" s="106">
        <f>IF(OR(U$190,$A223),'Client Data'!U273,0)</f>
        <v>0</v>
      </c>
      <c r="V223" s="106">
        <f>IF(OR(V$190,$A223),'Client Data'!V273,0)</f>
        <v>0</v>
      </c>
      <c r="W223" s="106">
        <f>IF(OR(W$190,$A223),'Client Data'!W273,0)</f>
        <v>0</v>
      </c>
      <c r="X223" s="106">
        <f>IF(OR(X$190,$A223),'Client Data'!X273,0)</f>
        <v>0</v>
      </c>
      <c r="Y223" s="106">
        <f>IF(OR(Y$190,$A223),'Client Data'!Y273,0)</f>
        <v>0</v>
      </c>
      <c r="Z223" s="106">
        <f>IF(OR(Z$190,$A223),'Client Data'!Z273,0)</f>
        <v>0</v>
      </c>
      <c r="AA223" s="106">
        <f>IF(OR(AA$190,$A223),'Client Data'!AA273,0)</f>
        <v>0</v>
      </c>
      <c r="AB223" s="106">
        <f>IF(OR(AB$190,$A223),'Client Data'!AB273,0)</f>
        <v>0</v>
      </c>
      <c r="AC223" s="106">
        <f>IF(OR(AC$190,$A223),'Client Data'!AC273,0)</f>
        <v>0</v>
      </c>
      <c r="AD223" s="106">
        <f>IF(OR(AD$190,$A223),'Client Data'!AD273,0)</f>
        <v>0</v>
      </c>
      <c r="AE223" s="106">
        <f>IF(OR(AE$190,$A223),'Client Data'!AE273,0)</f>
        <v>0</v>
      </c>
      <c r="AF223" s="106">
        <f>IF(OR(AF$190,$A223),'Client Data'!AF273,0)</f>
        <v>0</v>
      </c>
      <c r="AG223" s="106">
        <f>IF(OR(AG$190,$A223),'Client Data'!AG273,0)</f>
        <v>0</v>
      </c>
      <c r="AH223" s="106">
        <f>IF(OR(AH$190,$A223),'Client Data'!AH273,0)</f>
        <v>0</v>
      </c>
      <c r="AI223" s="106">
        <f>IF(OR(AI$190,$A223),'Client Data'!AI273,0)</f>
        <v>0</v>
      </c>
      <c r="AJ223" s="106">
        <f>IF(OR(AJ$190,$A223),'Client Data'!AJ273,0)</f>
        <v>0</v>
      </c>
      <c r="AK223" s="106">
        <f>IF(OR(AK$190,$A223),'Client Data'!AK273,0)</f>
        <v>0</v>
      </c>
      <c r="AL223" s="106">
        <f>IF(OR(AL$190,$A223),'Client Data'!AL273,0)</f>
        <v>0</v>
      </c>
      <c r="AM223" s="106">
        <f>IF(OR(AM$190,$A223),'Client Data'!AM273,0)</f>
        <v>0</v>
      </c>
      <c r="AN223" s="106">
        <f>IF(OR(AN$190,$A223),'Client Data'!AN273,0)</f>
        <v>0</v>
      </c>
      <c r="AO223" s="106">
        <f>IF(OR(AO$190,$A223),'Client Data'!AO273,0)</f>
        <v>0</v>
      </c>
      <c r="AP223" s="106">
        <f>IF(OR(AP$190,$A223),'Client Data'!AP273,0)</f>
        <v>0</v>
      </c>
      <c r="AQ223" s="106">
        <f>IF(OR(AQ$190,$A223),'Client Data'!AQ273,0)</f>
        <v>0</v>
      </c>
      <c r="AR223" s="106">
        <f>IF(OR(AR$190,$A223),'Client Data'!AR273,0)</f>
        <v>0</v>
      </c>
      <c r="AS223" s="106">
        <f>IF(OR(AS$190,$A223),'Client Data'!AS273,0)</f>
        <v>0</v>
      </c>
      <c r="AT223" s="106">
        <f>IF(OR(AT$190,$A223),'Client Data'!AT273,0)</f>
        <v>0</v>
      </c>
      <c r="AU223" s="106">
        <f>IF(OR(AU$190,$A223),'Client Data'!AU273,0)</f>
        <v>0</v>
      </c>
      <c r="AV223" s="106">
        <f>IF(OR(AV$190,$A223),'Client Data'!AV273,0)</f>
        <v>0</v>
      </c>
      <c r="AW223" s="106">
        <f>IF(OR(AW$190,$A223),'Client Data'!AW273,0)</f>
        <v>0</v>
      </c>
      <c r="AX223" s="106">
        <f>IF(OR(AX$190,$A223),'Client Data'!AX273,0)</f>
        <v>0</v>
      </c>
      <c r="AY223" s="106">
        <f>IF(OR(AY$190,$A223),'Client Data'!AY273,0)</f>
        <v>0</v>
      </c>
      <c r="AZ223" s="106">
        <f>IF(OR(AZ$190,$A223),'Client Data'!AZ273,0)</f>
        <v>0</v>
      </c>
      <c r="BA223" s="106">
        <f>IF(OR(BA$190,$A223),'Client Data'!BA273,0)</f>
        <v>0</v>
      </c>
      <c r="BB223" s="106">
        <f>IF(OR(BB$190,$A223),'Client Data'!BB273,0)</f>
        <v>0</v>
      </c>
      <c r="BC223" s="104">
        <f t="shared" si="181"/>
        <v>0</v>
      </c>
    </row>
    <row r="224" spans="1:55" x14ac:dyDescent="0.25">
      <c r="A224">
        <f t="shared" si="394"/>
        <v>2</v>
      </c>
      <c r="B224" s="105" t="str">
        <f>'Client Data'!B274</f>
        <v>SDT5</v>
      </c>
      <c r="C224" s="106">
        <f>IF(OR(C$190,$A224),'Client Data'!C274,0)</f>
        <v>0.8</v>
      </c>
      <c r="D224" s="106">
        <f>IF(OR(D$190,$A224),'Client Data'!D274,0)</f>
        <v>0.6</v>
      </c>
      <c r="E224" s="106">
        <f>IF(OR(E$190,$A224),'Client Data'!E274,0)</f>
        <v>0.3</v>
      </c>
      <c r="F224" s="106">
        <f>IF(OR(F$190,$A224),'Client Data'!F274,0)</f>
        <v>0.9</v>
      </c>
      <c r="G224" s="106">
        <f>IF(OR(G$190,$A224),'Client Data'!G274,0)</f>
        <v>0.2</v>
      </c>
      <c r="H224" s="106">
        <f>IF(OR(H$190,$A224),'Client Data'!H274,0)</f>
        <v>0.1</v>
      </c>
      <c r="I224" s="106">
        <f>IF(OR(I$190,$A224),'Client Data'!I274,0)</f>
        <v>0.3</v>
      </c>
      <c r="J224" s="106">
        <f>IF(OR(J$190,$A224),'Client Data'!J274,0)</f>
        <v>0.1</v>
      </c>
      <c r="K224" s="106">
        <f>IF(OR(K$190,$A224),'Client Data'!K274,0)</f>
        <v>0.2</v>
      </c>
      <c r="L224" s="106">
        <f>IF(OR(L$190,$A224),'Client Data'!L274,0)</f>
        <v>0.6</v>
      </c>
      <c r="M224" s="106">
        <f>IF(OR(M$190,$A224),'Client Data'!M274,0)</f>
        <v>0.8</v>
      </c>
      <c r="N224" s="106">
        <f>IF(OR(N$190,$A224),'Client Data'!N274,0)</f>
        <v>0.6</v>
      </c>
      <c r="O224" s="106">
        <f>IF(OR(O$190,$A224),'Client Data'!O274,0)</f>
        <v>0.3</v>
      </c>
      <c r="P224" s="106">
        <f>IF(OR(P$190,$A224),'Client Data'!P274,0)</f>
        <v>0.9</v>
      </c>
      <c r="Q224" s="106">
        <f>IF(OR(Q$190,$A224),'Client Data'!Q274,0)</f>
        <v>0.2</v>
      </c>
      <c r="R224" s="106">
        <f>IF(OR(R$190,$A224),'Client Data'!R274,0)</f>
        <v>0.1</v>
      </c>
      <c r="S224" s="106">
        <f>IF(OR(S$190,$A224),'Client Data'!S274,0)</f>
        <v>0.3</v>
      </c>
      <c r="T224" s="106">
        <f>IF(OR(T$190,$A224),'Client Data'!T274,0)</f>
        <v>0.1</v>
      </c>
      <c r="U224" s="106">
        <f>IF(OR(U$190,$A224),'Client Data'!U274,0)</f>
        <v>0.2</v>
      </c>
      <c r="V224" s="106">
        <f>IF(OR(V$190,$A224),'Client Data'!V274,0)</f>
        <v>0.6</v>
      </c>
      <c r="W224" s="106">
        <f>IF(OR(W$190,$A224),'Client Data'!W274,0)</f>
        <v>0.2</v>
      </c>
      <c r="X224" s="106">
        <f>IF(OR(X$190,$A224),'Client Data'!X274,0)</f>
        <v>0.6</v>
      </c>
      <c r="Y224" s="106">
        <f>IF(OR(Y$190,$A224),'Client Data'!Y274,0)</f>
        <v>0.8</v>
      </c>
      <c r="Z224" s="106">
        <f>IF(OR(Z$190,$A224),'Client Data'!Z274,0)</f>
        <v>0.6</v>
      </c>
      <c r="AA224" s="106">
        <f>IF(OR(AA$190,$A224),'Client Data'!AA274,0)</f>
        <v>0.3</v>
      </c>
      <c r="AB224" s="106">
        <f>IF(OR(AB$190,$A224),'Client Data'!AB274,0)</f>
        <v>0.9</v>
      </c>
      <c r="AC224" s="106">
        <f>IF(OR(AC$190,$A224),'Client Data'!AC274,0)</f>
        <v>0.2</v>
      </c>
      <c r="AD224" s="106">
        <f>IF(OR(AD$190,$A224),'Client Data'!AD274,0)</f>
        <v>0.1</v>
      </c>
      <c r="AE224" s="106">
        <f>IF(OR(AE$190,$A224),'Client Data'!AE274,0)</f>
        <v>0.3</v>
      </c>
      <c r="AF224" s="106">
        <f>IF(OR(AF$190,$A224),'Client Data'!AF274,0)</f>
        <v>0.1</v>
      </c>
      <c r="AG224" s="106">
        <f>IF(OR(AG$190,$A224),'Client Data'!AG274,0)</f>
        <v>0.2</v>
      </c>
      <c r="AH224" s="106">
        <f>IF(OR(AH$190,$A224),'Client Data'!AH274,0)</f>
        <v>0.6</v>
      </c>
      <c r="AI224" s="106">
        <f>IF(OR(AI$190,$A224),'Client Data'!AI274,0)</f>
        <v>0.1</v>
      </c>
      <c r="AJ224" s="106">
        <f>IF(OR(AJ$190,$A224),'Client Data'!AJ274,0)</f>
        <v>0.5</v>
      </c>
      <c r="AK224" s="106">
        <f>IF(OR(AK$190,$A224),'Client Data'!AK274,0)</f>
        <v>0.3</v>
      </c>
      <c r="AL224" s="106">
        <f>IF(OR(AL$190,$A224),'Client Data'!AL274,0)</f>
        <v>0.6</v>
      </c>
      <c r="AM224" s="106">
        <f>IF(OR(AM$190,$A224),'Client Data'!AM274,0)</f>
        <v>0.3</v>
      </c>
      <c r="AN224" s="106">
        <f>IF(OR(AN$190,$A224),'Client Data'!AN274,0)</f>
        <v>0.4</v>
      </c>
      <c r="AO224" s="106">
        <f>IF(OR(AO$190,$A224),'Client Data'!AO274,0)</f>
        <v>0.4</v>
      </c>
      <c r="AP224" s="106">
        <f>IF(OR(AP$190,$A224),'Client Data'!AP274,0)</f>
        <v>0.4</v>
      </c>
      <c r="AQ224" s="106">
        <f>IF(OR(AQ$190,$A224),'Client Data'!AQ274,0)</f>
        <v>0.5</v>
      </c>
      <c r="AR224" s="106">
        <f>IF(OR(AR$190,$A224),'Client Data'!AR274,0)</f>
        <v>0.3</v>
      </c>
      <c r="AS224" s="106">
        <f>IF(OR(AS$190,$A224),'Client Data'!AS274,0)</f>
        <v>0.4</v>
      </c>
      <c r="AT224" s="106">
        <f>IF(OR(AT$190,$A224),'Client Data'!AT274,0)</f>
        <v>0.5</v>
      </c>
      <c r="AU224" s="106">
        <f>IF(OR(AU$190,$A224),'Client Data'!AU274,0)</f>
        <v>0.3</v>
      </c>
      <c r="AV224" s="106">
        <f>IF(OR(AV$190,$A224),'Client Data'!AV274,0)</f>
        <v>0.6</v>
      </c>
      <c r="AW224" s="106">
        <f>IF(OR(AW$190,$A224),'Client Data'!AW274,0)</f>
        <v>0.3</v>
      </c>
      <c r="AX224" s="106">
        <f>IF(OR(AX$190,$A224),'Client Data'!AX274,0)</f>
        <v>0.4</v>
      </c>
      <c r="AY224" s="106">
        <f>IF(OR(AY$190,$A224),'Client Data'!AY274,0)</f>
        <v>0.4</v>
      </c>
      <c r="AZ224" s="106">
        <f>IF(OR(AZ$190,$A224),'Client Data'!AZ274,0)</f>
        <v>0.4</v>
      </c>
      <c r="BA224" s="106">
        <f>IF(OR(BA$190,$A224),'Client Data'!BA274,0)</f>
        <v>0.4</v>
      </c>
      <c r="BB224" s="106">
        <f>IF(OR(BB$190,$A224),'Client Data'!BB274,0)</f>
        <v>0.4</v>
      </c>
      <c r="BC224" s="104">
        <f t="shared" si="181"/>
        <v>20.999999999999993</v>
      </c>
    </row>
    <row r="225" spans="1:55" x14ac:dyDescent="0.25">
      <c r="A225">
        <f t="shared" si="394"/>
        <v>1</v>
      </c>
      <c r="B225" s="105" t="str">
        <f>'Client Data'!B275</f>
        <v>SDT6</v>
      </c>
      <c r="C225" s="106">
        <f>IF(OR(C$190,$A225),'Client Data'!C275,0)</f>
        <v>0.4</v>
      </c>
      <c r="D225" s="106">
        <f>IF(OR(D$190,$A225),'Client Data'!D275,0)</f>
        <v>0.5</v>
      </c>
      <c r="E225" s="106">
        <f>IF(OR(E$190,$A225),'Client Data'!E275,0)</f>
        <v>0.3</v>
      </c>
      <c r="F225" s="106">
        <f>IF(OR(F$190,$A225),'Client Data'!F275,0)</f>
        <v>0.6</v>
      </c>
      <c r="G225" s="106">
        <f>IF(OR(G$190,$A225),'Client Data'!G275,0)</f>
        <v>0.3</v>
      </c>
      <c r="H225" s="106">
        <f>IF(OR(H$190,$A225),'Client Data'!H275,0)</f>
        <v>0.4</v>
      </c>
      <c r="I225" s="106">
        <f>IF(OR(I$190,$A225),'Client Data'!I275,0)</f>
        <v>0.4</v>
      </c>
      <c r="J225" s="106">
        <f>IF(OR(J$190,$A225),'Client Data'!J275,0)</f>
        <v>0.5</v>
      </c>
      <c r="K225" s="106">
        <f>IF(OR(K$190,$A225),'Client Data'!K275,0)</f>
        <v>0.3</v>
      </c>
      <c r="L225" s="106">
        <f>IF(OR(L$190,$A225),'Client Data'!L275,0)</f>
        <v>0.6</v>
      </c>
      <c r="M225" s="106">
        <f>IF(OR(M$190,$A225),'Client Data'!M275,0)</f>
        <v>0.3</v>
      </c>
      <c r="N225" s="106">
        <f>IF(OR(N$190,$A225),'Client Data'!N275,0)</f>
        <v>0.4</v>
      </c>
      <c r="O225" s="106">
        <f>IF(OR(O$190,$A225),'Client Data'!O275,0)</f>
        <v>0.5</v>
      </c>
      <c r="P225" s="106">
        <f>IF(OR(P$190,$A225),'Client Data'!P275,0)</f>
        <v>0.3</v>
      </c>
      <c r="Q225" s="106">
        <f>IF(OR(Q$190,$A225),'Client Data'!Q275,0)</f>
        <v>0.6</v>
      </c>
      <c r="R225" s="106">
        <f>IF(OR(R$190,$A225),'Client Data'!R275,0)</f>
        <v>0.3</v>
      </c>
      <c r="S225" s="106">
        <f>IF(OR(S$190,$A225),'Client Data'!S275,0)</f>
        <v>0.4</v>
      </c>
      <c r="T225" s="106">
        <f>IF(OR(T$190,$A225),'Client Data'!T275,0)</f>
        <v>0.4</v>
      </c>
      <c r="U225" s="106">
        <f>IF(OR(U$190,$A225),'Client Data'!U275,0)</f>
        <v>0.5</v>
      </c>
      <c r="V225" s="106">
        <f>IF(OR(V$190,$A225),'Client Data'!V275,0)</f>
        <v>0.3</v>
      </c>
      <c r="W225" s="106">
        <f>IF(OR(W$190,$A225),'Client Data'!W275,0)</f>
        <v>0.6</v>
      </c>
      <c r="X225" s="106">
        <f>IF(OR(X$190,$A225),'Client Data'!X275,0)</f>
        <v>0.3</v>
      </c>
      <c r="Y225" s="106">
        <f>IF(OR(Y$190,$A225),'Client Data'!Y275,0)</f>
        <v>0.4</v>
      </c>
      <c r="Z225" s="106">
        <f>IF(OR(Z$190,$A225),'Client Data'!Z275,0)</f>
        <v>0.5</v>
      </c>
      <c r="AA225" s="106">
        <f>IF(OR(AA$190,$A225),'Client Data'!AA275,0)</f>
        <v>0.3</v>
      </c>
      <c r="AB225" s="106">
        <f>IF(OR(AB$190,$A225),'Client Data'!AB275,0)</f>
        <v>0.6</v>
      </c>
      <c r="AC225" s="106">
        <f>IF(OR(AC$190,$A225),'Client Data'!AC275,0)</f>
        <v>0.3</v>
      </c>
      <c r="AD225" s="106">
        <f>IF(OR(AD$190,$A225),'Client Data'!AD275,0)</f>
        <v>0.4</v>
      </c>
      <c r="AE225" s="106">
        <f>IF(OR(AE$190,$A225),'Client Data'!AE275,0)</f>
        <v>0.4</v>
      </c>
      <c r="AF225" s="106">
        <f>IF(OR(AF$190,$A225),'Client Data'!AF275,0)</f>
        <v>0.5</v>
      </c>
      <c r="AG225" s="106">
        <f>IF(OR(AG$190,$A225),'Client Data'!AG275,0)</f>
        <v>0.3</v>
      </c>
      <c r="AH225" s="106">
        <f>IF(OR(AH$190,$A225),'Client Data'!AH275,0)</f>
        <v>0.6</v>
      </c>
      <c r="AI225" s="106">
        <f>IF(OR(AI$190,$A225),'Client Data'!AI275,0)</f>
        <v>0.3</v>
      </c>
      <c r="AJ225" s="106">
        <f>IF(OR(AJ$190,$A225),'Client Data'!AJ275,0)</f>
        <v>0.4</v>
      </c>
      <c r="AK225" s="106">
        <f>IF(OR(AK$190,$A225),'Client Data'!AK275,0)</f>
        <v>0.4</v>
      </c>
      <c r="AL225" s="106">
        <f>IF(OR(AL$190,$A225),'Client Data'!AL275,0)</f>
        <v>0.4</v>
      </c>
      <c r="AM225" s="106">
        <f>IF(OR(AM$190,$A225),'Client Data'!AM275,0)</f>
        <v>0.5</v>
      </c>
      <c r="AN225" s="106">
        <f>IF(OR(AN$190,$A225),'Client Data'!AN275,0)</f>
        <v>0.3</v>
      </c>
      <c r="AO225" s="106">
        <f>IF(OR(AO$190,$A225),'Client Data'!AO275,0)</f>
        <v>0.4</v>
      </c>
      <c r="AP225" s="106">
        <f>IF(OR(AP$190,$A225),'Client Data'!AP275,0)</f>
        <v>0.5</v>
      </c>
      <c r="AQ225" s="106">
        <f>IF(OR(AQ$190,$A225),'Client Data'!AQ275,0)</f>
        <v>0.3</v>
      </c>
      <c r="AR225" s="106">
        <f>IF(OR(AR$190,$A225),'Client Data'!AR275,0)</f>
        <v>0.6</v>
      </c>
      <c r="AS225" s="106">
        <f>IF(OR(AS$190,$A225),'Client Data'!AS275,0)</f>
        <v>0.3</v>
      </c>
      <c r="AT225" s="106">
        <f>IF(OR(AT$190,$A225),'Client Data'!AT275,0)</f>
        <v>0.4</v>
      </c>
      <c r="AU225" s="106">
        <f>IF(OR(AU$190,$A225),'Client Data'!AU275,0)</f>
        <v>0.4</v>
      </c>
      <c r="AV225" s="106">
        <f>IF(OR(AV$190,$A225),'Client Data'!AV275,0)</f>
        <v>0.5</v>
      </c>
      <c r="AW225" s="106">
        <f>IF(OR(AW$190,$A225),'Client Data'!AW275,0)</f>
        <v>0.3</v>
      </c>
      <c r="AX225" s="106">
        <f>IF(OR(AX$190,$A225),'Client Data'!AX275,0)</f>
        <v>0.6</v>
      </c>
      <c r="AY225" s="106">
        <f>IF(OR(AY$190,$A225),'Client Data'!AY275,0)</f>
        <v>0.3</v>
      </c>
      <c r="AZ225" s="106">
        <f>IF(OR(AZ$190,$A225),'Client Data'!AZ275,0)</f>
        <v>0.4</v>
      </c>
      <c r="BA225" s="106">
        <f>IF(OR(BA$190,$A225),'Client Data'!BA275,0)</f>
        <v>0.4</v>
      </c>
      <c r="BB225" s="106">
        <f>IF(OR(BB$190,$A225),'Client Data'!BB275,0)</f>
        <v>0.2</v>
      </c>
      <c r="BC225" s="104">
        <f t="shared" si="181"/>
        <v>21.400000000000002</v>
      </c>
    </row>
    <row r="226" spans="1:55" s="108" customFormat="1" x14ac:dyDescent="0.25">
      <c r="A226">
        <f>A219-1</f>
        <v>3</v>
      </c>
      <c r="B226" s="107" t="str">
        <f>'Client Data'!B276</f>
        <v>SDT Type F</v>
      </c>
      <c r="C226" s="110">
        <f t="shared" ref="C226" si="395">IF(OR(C$190&gt;0,$A226),SUM(C227:C232),0)</f>
        <v>0.8</v>
      </c>
      <c r="D226" s="110">
        <f t="shared" ref="D226" si="396">IF(OR(D$190&gt;0,$A226),SUM(D227:D232),0)</f>
        <v>1</v>
      </c>
      <c r="E226" s="110">
        <f t="shared" ref="E226" si="397">IF(OR(E$190&gt;0,$A226),SUM(E227:E232),0)</f>
        <v>0.6</v>
      </c>
      <c r="F226" s="110">
        <f t="shared" ref="F226" si="398">IF(OR(F$190&gt;0,$A226),SUM(F227:F232),0)</f>
        <v>1.2</v>
      </c>
      <c r="G226" s="110">
        <f t="shared" ref="G226" si="399">IF(OR(G$190&gt;0,$A226),SUM(G227:G232),0)</f>
        <v>0.6</v>
      </c>
      <c r="H226" s="110">
        <f t="shared" ref="H226" si="400">IF(OR(H$190&gt;0,$A226),SUM(H227:H232),0)</f>
        <v>0.8</v>
      </c>
      <c r="I226" s="110">
        <f t="shared" ref="I226" si="401">IF(OR(I$190&gt;0,$A226),SUM(I227:I232),0)</f>
        <v>0.8</v>
      </c>
      <c r="J226" s="110">
        <f t="shared" ref="J226" si="402">IF(OR(J$190&gt;0,$A226),SUM(J227:J232),0)</f>
        <v>1</v>
      </c>
      <c r="K226" s="110">
        <f t="shared" ref="K226" si="403">IF(OR(K$190&gt;0,$A226),SUM(K227:K232),0)</f>
        <v>0.6</v>
      </c>
      <c r="L226" s="110">
        <f t="shared" ref="L226" si="404">IF(OR(L$190&gt;0,$A226),SUM(L227:L232),0)</f>
        <v>1.2</v>
      </c>
      <c r="M226" s="110">
        <f t="shared" ref="M226" si="405">IF(OR(M$190&gt;0,$A226),SUM(M227:M232),0)</f>
        <v>0.6</v>
      </c>
      <c r="N226" s="110">
        <f t="shared" ref="N226" si="406">IF(OR(N$190&gt;0,$A226),SUM(N227:N232),0)</f>
        <v>0.8</v>
      </c>
      <c r="O226" s="110">
        <f t="shared" ref="O226" si="407">IF(OR(O$190&gt;0,$A226),SUM(O227:O232),0)</f>
        <v>1</v>
      </c>
      <c r="P226" s="110">
        <f t="shared" ref="P226" si="408">IF(OR(P$190&gt;0,$A226),SUM(P227:P232),0)</f>
        <v>0.6</v>
      </c>
      <c r="Q226" s="110">
        <f t="shared" ref="Q226" si="409">IF(OR(Q$190&gt;0,$A226),SUM(Q227:Q232),0)</f>
        <v>1.2</v>
      </c>
      <c r="R226" s="110">
        <f t="shared" ref="R226" si="410">IF(OR(R$190&gt;0,$A226),SUM(R227:R232),0)</f>
        <v>0.6</v>
      </c>
      <c r="S226" s="110">
        <f t="shared" ref="S226" si="411">IF(OR(S$190&gt;0,$A226),SUM(S227:S232),0)</f>
        <v>0.8</v>
      </c>
      <c r="T226" s="110">
        <f t="shared" ref="T226" si="412">IF(OR(T$190&gt;0,$A226),SUM(T227:T232),0)</f>
        <v>0.8</v>
      </c>
      <c r="U226" s="110">
        <f t="shared" ref="U226" si="413">IF(OR(U$190&gt;0,$A226),SUM(U227:U232),0)</f>
        <v>1</v>
      </c>
      <c r="V226" s="110">
        <f t="shared" ref="V226" si="414">IF(OR(V$190&gt;0,$A226),SUM(V227:V232),0)</f>
        <v>0.6</v>
      </c>
      <c r="W226" s="110">
        <f t="shared" ref="W226" si="415">IF(OR(W$190&gt;0,$A226),SUM(W227:W232),0)</f>
        <v>1.2</v>
      </c>
      <c r="X226" s="110">
        <f t="shared" ref="X226" si="416">IF(OR(X$190&gt;0,$A226),SUM(X227:X232),0)</f>
        <v>0.6</v>
      </c>
      <c r="Y226" s="110">
        <f t="shared" ref="Y226" si="417">IF(OR(Y$190&gt;0,$A226),SUM(Y227:Y232),0)</f>
        <v>0.8</v>
      </c>
      <c r="Z226" s="110">
        <f t="shared" ref="Z226" si="418">IF(OR(Z$190&gt;0,$A226),SUM(Z227:Z232),0)</f>
        <v>1</v>
      </c>
      <c r="AA226" s="110">
        <f t="shared" ref="AA226" si="419">IF(OR(AA$190&gt;0,$A226),SUM(AA227:AA232),0)</f>
        <v>0.6</v>
      </c>
      <c r="AB226" s="110">
        <f t="shared" ref="AB226" si="420">IF(OR(AB$190&gt;0,$A226),SUM(AB227:AB232),0)</f>
        <v>1.2</v>
      </c>
      <c r="AC226" s="110">
        <f t="shared" ref="AC226" si="421">IF(OR(AC$190&gt;0,$A226),SUM(AC227:AC232),0)</f>
        <v>0.6</v>
      </c>
      <c r="AD226" s="110">
        <f t="shared" ref="AD226" si="422">IF(OR(AD$190&gt;0,$A226),SUM(AD227:AD232),0)</f>
        <v>0.8</v>
      </c>
      <c r="AE226" s="110">
        <f t="shared" ref="AE226" si="423">IF(OR(AE$190&gt;0,$A226),SUM(AE227:AE232),0)</f>
        <v>0.8</v>
      </c>
      <c r="AF226" s="110">
        <f t="shared" ref="AF226" si="424">IF(OR(AF$190&gt;0,$A226),SUM(AF227:AF232),0)</f>
        <v>1</v>
      </c>
      <c r="AG226" s="110">
        <f t="shared" ref="AG226" si="425">IF(OR(AG$190&gt;0,$A226),SUM(AG227:AG232),0)</f>
        <v>0.6</v>
      </c>
      <c r="AH226" s="110">
        <f t="shared" ref="AH226" si="426">IF(OR(AH$190&gt;0,$A226),SUM(AH227:AH232),0)</f>
        <v>1.2</v>
      </c>
      <c r="AI226" s="110">
        <f t="shared" ref="AI226" si="427">IF(OR(AI$190&gt;0,$A226),SUM(AI227:AI232),0)</f>
        <v>0.6</v>
      </c>
      <c r="AJ226" s="110">
        <f t="shared" ref="AJ226" si="428">IF(OR(AJ$190&gt;0,$A226),SUM(AJ227:AJ232),0)</f>
        <v>0.8</v>
      </c>
      <c r="AK226" s="110">
        <f t="shared" ref="AK226" si="429">IF(OR(AK$190&gt;0,$A226),SUM(AK227:AK232),0)</f>
        <v>0.8</v>
      </c>
      <c r="AL226" s="110">
        <f t="shared" ref="AL226" si="430">IF(OR(AL$190&gt;0,$A226),SUM(AL227:AL232),0)</f>
        <v>0.8</v>
      </c>
      <c r="AM226" s="110">
        <f t="shared" ref="AM226" si="431">IF(OR(AM$190&gt;0,$A226),SUM(AM227:AM232),0)</f>
        <v>1</v>
      </c>
      <c r="AN226" s="110">
        <f t="shared" ref="AN226" si="432">IF(OR(AN$190&gt;0,$A226),SUM(AN227:AN232),0)</f>
        <v>0.6</v>
      </c>
      <c r="AO226" s="110">
        <f t="shared" ref="AO226" si="433">IF(OR(AO$190&gt;0,$A226),SUM(AO227:AO232),0)</f>
        <v>0.8</v>
      </c>
      <c r="AP226" s="110">
        <f t="shared" ref="AP226" si="434">IF(OR(AP$190&gt;0,$A226),SUM(AP227:AP232),0)</f>
        <v>1</v>
      </c>
      <c r="AQ226" s="110">
        <f t="shared" ref="AQ226" si="435">IF(OR(AQ$190&gt;0,$A226),SUM(AQ227:AQ232),0)</f>
        <v>0.6</v>
      </c>
      <c r="AR226" s="110">
        <f t="shared" ref="AR226" si="436">IF(OR(AR$190&gt;0,$A226),SUM(AR227:AR232),0)</f>
        <v>1.2</v>
      </c>
      <c r="AS226" s="110">
        <f t="shared" ref="AS226" si="437">IF(OR(AS$190&gt;0,$A226),SUM(AS227:AS232),0)</f>
        <v>0.6</v>
      </c>
      <c r="AT226" s="110">
        <f t="shared" ref="AT226" si="438">IF(OR(AT$190&gt;0,$A226),SUM(AT227:AT232),0)</f>
        <v>0.8</v>
      </c>
      <c r="AU226" s="110">
        <f t="shared" ref="AU226" si="439">IF(OR(AU$190&gt;0,$A226),SUM(AU227:AU232),0)</f>
        <v>0.8</v>
      </c>
      <c r="AV226" s="110">
        <f t="shared" ref="AV226" si="440">IF(OR(AV$190&gt;0,$A226),SUM(AV227:AV232),0)</f>
        <v>1</v>
      </c>
      <c r="AW226" s="110">
        <f t="shared" ref="AW226" si="441">IF(OR(AW$190&gt;0,$A226),SUM(AW227:AW232),0)</f>
        <v>0.6</v>
      </c>
      <c r="AX226" s="110">
        <f t="shared" ref="AX226" si="442">IF(OR(AX$190&gt;0,$A226),SUM(AX227:AX232),0)</f>
        <v>1.2</v>
      </c>
      <c r="AY226" s="110">
        <f t="shared" ref="AY226" si="443">IF(OR(AY$190&gt;0,$A226),SUM(AY227:AY232),0)</f>
        <v>0.6</v>
      </c>
      <c r="AZ226" s="110">
        <f t="shared" ref="AZ226" si="444">IF(OR(AZ$190&gt;0,$A226),SUM(AZ227:AZ232),0)</f>
        <v>0.8</v>
      </c>
      <c r="BA226" s="110">
        <f t="shared" ref="BA226" si="445">IF(OR(BA$190&gt;0,$A226),SUM(BA227:BA232),0)</f>
        <v>0.8</v>
      </c>
      <c r="BB226" s="110">
        <f t="shared" ref="BB226" si="446">IF(OR(BB$190&gt;0,$A226),SUM(BB227:BB232),0)</f>
        <v>0.4</v>
      </c>
      <c r="BC226" s="107">
        <f t="shared" si="181"/>
        <v>42.800000000000004</v>
      </c>
    </row>
    <row r="227" spans="1:55" x14ac:dyDescent="0.25">
      <c r="A227">
        <f>IF(A$226&gt;0,A220,0)</f>
        <v>6</v>
      </c>
      <c r="B227" s="105" t="str">
        <f>'Client Data'!B277</f>
        <v>SDT1</v>
      </c>
      <c r="C227" s="106">
        <f>IF(OR(C$190,$A227),'Client Data'!C277,0)</f>
        <v>0</v>
      </c>
      <c r="D227" s="106">
        <f>IF(OR(D$190,$A227),'Client Data'!D277,0)</f>
        <v>0</v>
      </c>
      <c r="E227" s="106">
        <f>IF(OR(E$190,$A227),'Client Data'!E277,0)</f>
        <v>0</v>
      </c>
      <c r="F227" s="106">
        <f>IF(OR(F$190,$A227),'Client Data'!F277,0)</f>
        <v>0</v>
      </c>
      <c r="G227" s="106">
        <f>IF(OR(G$190,$A227),'Client Data'!G277,0)</f>
        <v>0</v>
      </c>
      <c r="H227" s="106">
        <f>IF(OR(H$190,$A227),'Client Data'!H277,0)</f>
        <v>0</v>
      </c>
      <c r="I227" s="106">
        <f>IF(OR(I$190,$A227),'Client Data'!I277,0)</f>
        <v>0</v>
      </c>
      <c r="J227" s="106">
        <f>IF(OR(J$190,$A227),'Client Data'!J277,0)</f>
        <v>0</v>
      </c>
      <c r="K227" s="106">
        <f>IF(OR(K$190,$A227),'Client Data'!K277,0)</f>
        <v>0</v>
      </c>
      <c r="L227" s="106">
        <f>IF(OR(L$190,$A227),'Client Data'!L277,0)</f>
        <v>0</v>
      </c>
      <c r="M227" s="106">
        <f>IF(OR(M$190,$A227),'Client Data'!M277,0)</f>
        <v>0</v>
      </c>
      <c r="N227" s="106">
        <f>IF(OR(N$190,$A227),'Client Data'!N277,0)</f>
        <v>0</v>
      </c>
      <c r="O227" s="106">
        <f>IF(OR(O$190,$A227),'Client Data'!O277,0)</f>
        <v>0</v>
      </c>
      <c r="P227" s="106">
        <f>IF(OR(P$190,$A227),'Client Data'!P277,0)</f>
        <v>0</v>
      </c>
      <c r="Q227" s="106">
        <f>IF(OR(Q$190,$A227),'Client Data'!Q277,0)</f>
        <v>0</v>
      </c>
      <c r="R227" s="106">
        <f>IF(OR(R$190,$A227),'Client Data'!R277,0)</f>
        <v>0</v>
      </c>
      <c r="S227" s="106">
        <f>IF(OR(S$190,$A227),'Client Data'!S277,0)</f>
        <v>0</v>
      </c>
      <c r="T227" s="106">
        <f>IF(OR(T$190,$A227),'Client Data'!T277,0)</f>
        <v>0</v>
      </c>
      <c r="U227" s="106">
        <f>IF(OR(U$190,$A227),'Client Data'!U277,0)</f>
        <v>0</v>
      </c>
      <c r="V227" s="106">
        <f>IF(OR(V$190,$A227),'Client Data'!V277,0)</f>
        <v>0</v>
      </c>
      <c r="W227" s="106">
        <f>IF(OR(W$190,$A227),'Client Data'!W277,0)</f>
        <v>0</v>
      </c>
      <c r="X227" s="106">
        <f>IF(OR(X$190,$A227),'Client Data'!X277,0)</f>
        <v>0</v>
      </c>
      <c r="Y227" s="106">
        <f>IF(OR(Y$190,$A227),'Client Data'!Y277,0)</f>
        <v>0</v>
      </c>
      <c r="Z227" s="106">
        <f>IF(OR(Z$190,$A227),'Client Data'!Z277,0)</f>
        <v>0</v>
      </c>
      <c r="AA227" s="106">
        <f>IF(OR(AA$190,$A227),'Client Data'!AA277,0)</f>
        <v>0</v>
      </c>
      <c r="AB227" s="106">
        <f>IF(OR(AB$190,$A227),'Client Data'!AB277,0)</f>
        <v>0</v>
      </c>
      <c r="AC227" s="106">
        <f>IF(OR(AC$190,$A227),'Client Data'!AC277,0)</f>
        <v>0</v>
      </c>
      <c r="AD227" s="106">
        <f>IF(OR(AD$190,$A227),'Client Data'!AD277,0)</f>
        <v>0</v>
      </c>
      <c r="AE227" s="106">
        <f>IF(OR(AE$190,$A227),'Client Data'!AE277,0)</f>
        <v>0</v>
      </c>
      <c r="AF227" s="106">
        <f>IF(OR(AF$190,$A227),'Client Data'!AF277,0)</f>
        <v>0</v>
      </c>
      <c r="AG227" s="106">
        <f>IF(OR(AG$190,$A227),'Client Data'!AG277,0)</f>
        <v>0</v>
      </c>
      <c r="AH227" s="106">
        <f>IF(OR(AH$190,$A227),'Client Data'!AH277,0)</f>
        <v>0</v>
      </c>
      <c r="AI227" s="106">
        <f>IF(OR(AI$190,$A227),'Client Data'!AI277,0)</f>
        <v>0</v>
      </c>
      <c r="AJ227" s="106">
        <f>IF(OR(AJ$190,$A227),'Client Data'!AJ277,0)</f>
        <v>0</v>
      </c>
      <c r="AK227" s="106">
        <f>IF(OR(AK$190,$A227),'Client Data'!AK277,0)</f>
        <v>0</v>
      </c>
      <c r="AL227" s="106">
        <f>IF(OR(AL$190,$A227),'Client Data'!AL277,0)</f>
        <v>0</v>
      </c>
      <c r="AM227" s="106">
        <f>IF(OR(AM$190,$A227),'Client Data'!AM277,0)</f>
        <v>0</v>
      </c>
      <c r="AN227" s="106">
        <f>IF(OR(AN$190,$A227),'Client Data'!AN277,0)</f>
        <v>0</v>
      </c>
      <c r="AO227" s="106">
        <f>IF(OR(AO$190,$A227),'Client Data'!AO277,0)</f>
        <v>0</v>
      </c>
      <c r="AP227" s="106">
        <f>IF(OR(AP$190,$A227),'Client Data'!AP277,0)</f>
        <v>0</v>
      </c>
      <c r="AQ227" s="106">
        <f>IF(OR(AQ$190,$A227),'Client Data'!AQ277,0)</f>
        <v>0</v>
      </c>
      <c r="AR227" s="106">
        <f>IF(OR(AR$190,$A227),'Client Data'!AR277,0)</f>
        <v>0</v>
      </c>
      <c r="AS227" s="106">
        <f>IF(OR(AS$190,$A227),'Client Data'!AS277,0)</f>
        <v>0</v>
      </c>
      <c r="AT227" s="106">
        <f>IF(OR(AT$190,$A227),'Client Data'!AT277,0)</f>
        <v>0</v>
      </c>
      <c r="AU227" s="106">
        <f>IF(OR(AU$190,$A227),'Client Data'!AU277,0)</f>
        <v>0</v>
      </c>
      <c r="AV227" s="106">
        <f>IF(OR(AV$190,$A227),'Client Data'!AV277,0)</f>
        <v>0</v>
      </c>
      <c r="AW227" s="106">
        <f>IF(OR(AW$190,$A227),'Client Data'!AW277,0)</f>
        <v>0</v>
      </c>
      <c r="AX227" s="106">
        <f>IF(OR(AX$190,$A227),'Client Data'!AX277,0)</f>
        <v>0</v>
      </c>
      <c r="AY227" s="106">
        <f>IF(OR(AY$190,$A227),'Client Data'!AY277,0)</f>
        <v>0</v>
      </c>
      <c r="AZ227" s="106">
        <f>IF(OR(AZ$190,$A227),'Client Data'!AZ277,0)</f>
        <v>0</v>
      </c>
      <c r="BA227" s="106">
        <f>IF(OR(BA$190,$A227),'Client Data'!BA277,0)</f>
        <v>0</v>
      </c>
      <c r="BB227" s="106">
        <f>IF(OR(BB$190,$A227),'Client Data'!BB277,0)</f>
        <v>0</v>
      </c>
      <c r="BC227" s="104">
        <f t="shared" si="181"/>
        <v>0</v>
      </c>
    </row>
    <row r="228" spans="1:55" x14ac:dyDescent="0.25">
      <c r="A228">
        <f>IF(A$226&gt;0,A227-1,0)</f>
        <v>5</v>
      </c>
      <c r="B228" s="105" t="str">
        <f>'Client Data'!B278</f>
        <v>SDT2</v>
      </c>
      <c r="C228" s="106">
        <f>IF(OR(C$190,$A228),'Client Data'!C278,0)</f>
        <v>0.4</v>
      </c>
      <c r="D228" s="106">
        <f>IF(OR(D$190,$A228),'Client Data'!D278,0)</f>
        <v>0.5</v>
      </c>
      <c r="E228" s="106">
        <f>IF(OR(E$190,$A228),'Client Data'!E278,0)</f>
        <v>0.3</v>
      </c>
      <c r="F228" s="106">
        <f>IF(OR(F$190,$A228),'Client Data'!F278,0)</f>
        <v>0.6</v>
      </c>
      <c r="G228" s="106">
        <f>IF(OR(G$190,$A228),'Client Data'!G278,0)</f>
        <v>0.3</v>
      </c>
      <c r="H228" s="106">
        <f>IF(OR(H$190,$A228),'Client Data'!H278,0)</f>
        <v>0.4</v>
      </c>
      <c r="I228" s="106">
        <f>IF(OR(I$190,$A228),'Client Data'!I278,0)</f>
        <v>0.4</v>
      </c>
      <c r="J228" s="106">
        <f>IF(OR(J$190,$A228),'Client Data'!J278,0)</f>
        <v>0.5</v>
      </c>
      <c r="K228" s="106">
        <f>IF(OR(K$190,$A228),'Client Data'!K278,0)</f>
        <v>0.3</v>
      </c>
      <c r="L228" s="106">
        <f>IF(OR(L$190,$A228),'Client Data'!L278,0)</f>
        <v>0.6</v>
      </c>
      <c r="M228" s="106">
        <f>IF(OR(M$190,$A228),'Client Data'!M278,0)</f>
        <v>0.3</v>
      </c>
      <c r="N228" s="106">
        <f>IF(OR(N$190,$A228),'Client Data'!N278,0)</f>
        <v>0.4</v>
      </c>
      <c r="O228" s="106">
        <f>IF(OR(O$190,$A228),'Client Data'!O278,0)</f>
        <v>0.5</v>
      </c>
      <c r="P228" s="106">
        <f>IF(OR(P$190,$A228),'Client Data'!P278,0)</f>
        <v>0.3</v>
      </c>
      <c r="Q228" s="106">
        <f>IF(OR(Q$190,$A228),'Client Data'!Q278,0)</f>
        <v>0.6</v>
      </c>
      <c r="R228" s="106">
        <f>IF(OR(R$190,$A228),'Client Data'!R278,0)</f>
        <v>0.3</v>
      </c>
      <c r="S228" s="106">
        <f>IF(OR(S$190,$A228),'Client Data'!S278,0)</f>
        <v>0.4</v>
      </c>
      <c r="T228" s="106">
        <f>IF(OR(T$190,$A228),'Client Data'!T278,0)</f>
        <v>0.4</v>
      </c>
      <c r="U228" s="106">
        <f>IF(OR(U$190,$A228),'Client Data'!U278,0)</f>
        <v>0.5</v>
      </c>
      <c r="V228" s="106">
        <f>IF(OR(V$190,$A228),'Client Data'!V278,0)</f>
        <v>0.3</v>
      </c>
      <c r="W228" s="106">
        <f>IF(OR(W$190,$A228),'Client Data'!W278,0)</f>
        <v>0.6</v>
      </c>
      <c r="X228" s="106">
        <f>IF(OR(X$190,$A228),'Client Data'!X278,0)</f>
        <v>0.3</v>
      </c>
      <c r="Y228" s="106">
        <f>IF(OR(Y$190,$A228),'Client Data'!Y278,0)</f>
        <v>0.4</v>
      </c>
      <c r="Z228" s="106">
        <f>IF(OR(Z$190,$A228),'Client Data'!Z278,0)</f>
        <v>0.5</v>
      </c>
      <c r="AA228" s="106">
        <f>IF(OR(AA$190,$A228),'Client Data'!AA278,0)</f>
        <v>0.3</v>
      </c>
      <c r="AB228" s="106">
        <f>IF(OR(AB$190,$A228),'Client Data'!AB278,0)</f>
        <v>0.6</v>
      </c>
      <c r="AC228" s="106">
        <f>IF(OR(AC$190,$A228),'Client Data'!AC278,0)</f>
        <v>0.3</v>
      </c>
      <c r="AD228" s="106">
        <f>IF(OR(AD$190,$A228),'Client Data'!AD278,0)</f>
        <v>0.4</v>
      </c>
      <c r="AE228" s="106">
        <f>IF(OR(AE$190,$A228),'Client Data'!AE278,0)</f>
        <v>0.4</v>
      </c>
      <c r="AF228" s="106">
        <f>IF(OR(AF$190,$A228),'Client Data'!AF278,0)</f>
        <v>0.5</v>
      </c>
      <c r="AG228" s="106">
        <f>IF(OR(AG$190,$A228),'Client Data'!AG278,0)</f>
        <v>0.3</v>
      </c>
      <c r="AH228" s="106">
        <f>IF(OR(AH$190,$A228),'Client Data'!AH278,0)</f>
        <v>0.6</v>
      </c>
      <c r="AI228" s="106">
        <f>IF(OR(AI$190,$A228),'Client Data'!AI278,0)</f>
        <v>0.3</v>
      </c>
      <c r="AJ228" s="106">
        <f>IF(OR(AJ$190,$A228),'Client Data'!AJ278,0)</f>
        <v>0.4</v>
      </c>
      <c r="AK228" s="106">
        <f>IF(OR(AK$190,$A228),'Client Data'!AK278,0)</f>
        <v>0.4</v>
      </c>
      <c r="AL228" s="106">
        <f>IF(OR(AL$190,$A228),'Client Data'!AL278,0)</f>
        <v>0.4</v>
      </c>
      <c r="AM228" s="106">
        <f>IF(OR(AM$190,$A228),'Client Data'!AM278,0)</f>
        <v>0.5</v>
      </c>
      <c r="AN228" s="106">
        <f>IF(OR(AN$190,$A228),'Client Data'!AN278,0)</f>
        <v>0.3</v>
      </c>
      <c r="AO228" s="106">
        <f>IF(OR(AO$190,$A228),'Client Data'!AO278,0)</f>
        <v>0.4</v>
      </c>
      <c r="AP228" s="106">
        <f>IF(OR(AP$190,$A228),'Client Data'!AP278,0)</f>
        <v>0.5</v>
      </c>
      <c r="AQ228" s="106">
        <f>IF(OR(AQ$190,$A228),'Client Data'!AQ278,0)</f>
        <v>0.3</v>
      </c>
      <c r="AR228" s="106">
        <f>IF(OR(AR$190,$A228),'Client Data'!AR278,0)</f>
        <v>0.6</v>
      </c>
      <c r="AS228" s="106">
        <f>IF(OR(AS$190,$A228),'Client Data'!AS278,0)</f>
        <v>0.3</v>
      </c>
      <c r="AT228" s="106">
        <f>IF(OR(AT$190,$A228),'Client Data'!AT278,0)</f>
        <v>0.4</v>
      </c>
      <c r="AU228" s="106">
        <f>IF(OR(AU$190,$A228),'Client Data'!AU278,0)</f>
        <v>0.4</v>
      </c>
      <c r="AV228" s="106">
        <f>IF(OR(AV$190,$A228),'Client Data'!AV278,0)</f>
        <v>0.5</v>
      </c>
      <c r="AW228" s="106">
        <f>IF(OR(AW$190,$A228),'Client Data'!AW278,0)</f>
        <v>0.3</v>
      </c>
      <c r="AX228" s="106">
        <f>IF(OR(AX$190,$A228),'Client Data'!AX278,0)</f>
        <v>0.6</v>
      </c>
      <c r="AY228" s="106">
        <f>IF(OR(AY$190,$A228),'Client Data'!AY278,0)</f>
        <v>0.3</v>
      </c>
      <c r="AZ228" s="106">
        <f>IF(OR(AZ$190,$A228),'Client Data'!AZ278,0)</f>
        <v>0.4</v>
      </c>
      <c r="BA228" s="106">
        <f>IF(OR(BA$190,$A228),'Client Data'!BA278,0)</f>
        <v>0.4</v>
      </c>
      <c r="BB228" s="106">
        <f>IF(OR(BB$190,$A228),'Client Data'!BB278,0)</f>
        <v>0.2</v>
      </c>
      <c r="BC228" s="104">
        <f t="shared" si="181"/>
        <v>21.400000000000002</v>
      </c>
    </row>
    <row r="229" spans="1:55" x14ac:dyDescent="0.25">
      <c r="A229">
        <f t="shared" ref="A229:A232" si="447">IF(A$226&gt;0,A228-1,0)</f>
        <v>4</v>
      </c>
      <c r="B229" s="105" t="str">
        <f>'Client Data'!B279</f>
        <v>SDT3</v>
      </c>
      <c r="C229" s="106">
        <f>IF(OR(C$190,$A229),'Client Data'!C279,0)</f>
        <v>0</v>
      </c>
      <c r="D229" s="106">
        <f>IF(OR(D$190,$A229),'Client Data'!D279,0)</f>
        <v>0</v>
      </c>
      <c r="E229" s="106">
        <f>IF(OR(E$190,$A229),'Client Data'!E279,0)</f>
        <v>0</v>
      </c>
      <c r="F229" s="106">
        <f>IF(OR(F$190,$A229),'Client Data'!F279,0)</f>
        <v>0</v>
      </c>
      <c r="G229" s="106">
        <f>IF(OR(G$190,$A229),'Client Data'!G279,0)</f>
        <v>0</v>
      </c>
      <c r="H229" s="106">
        <f>IF(OR(H$190,$A229),'Client Data'!H279,0)</f>
        <v>0</v>
      </c>
      <c r="I229" s="106">
        <f>IF(OR(I$190,$A229),'Client Data'!I279,0)</f>
        <v>0</v>
      </c>
      <c r="J229" s="106">
        <f>IF(OR(J$190,$A229),'Client Data'!J279,0)</f>
        <v>0</v>
      </c>
      <c r="K229" s="106">
        <f>IF(OR(K$190,$A229),'Client Data'!K279,0)</f>
        <v>0</v>
      </c>
      <c r="L229" s="106">
        <f>IF(OR(L$190,$A229),'Client Data'!L279,0)</f>
        <v>0</v>
      </c>
      <c r="M229" s="106">
        <f>IF(OR(M$190,$A229),'Client Data'!M279,0)</f>
        <v>0</v>
      </c>
      <c r="N229" s="106">
        <f>IF(OR(N$190,$A229),'Client Data'!N279,0)</f>
        <v>0</v>
      </c>
      <c r="O229" s="106">
        <f>IF(OR(O$190,$A229),'Client Data'!O279,0)</f>
        <v>0</v>
      </c>
      <c r="P229" s="106">
        <f>IF(OR(P$190,$A229),'Client Data'!P279,0)</f>
        <v>0</v>
      </c>
      <c r="Q229" s="106">
        <f>IF(OR(Q$190,$A229),'Client Data'!Q279,0)</f>
        <v>0</v>
      </c>
      <c r="R229" s="106">
        <f>IF(OR(R$190,$A229),'Client Data'!R279,0)</f>
        <v>0</v>
      </c>
      <c r="S229" s="106">
        <f>IF(OR(S$190,$A229),'Client Data'!S279,0)</f>
        <v>0</v>
      </c>
      <c r="T229" s="106">
        <f>IF(OR(T$190,$A229),'Client Data'!T279,0)</f>
        <v>0</v>
      </c>
      <c r="U229" s="106">
        <f>IF(OR(U$190,$A229),'Client Data'!U279,0)</f>
        <v>0</v>
      </c>
      <c r="V229" s="106">
        <f>IF(OR(V$190,$A229),'Client Data'!V279,0)</f>
        <v>0</v>
      </c>
      <c r="W229" s="106">
        <f>IF(OR(W$190,$A229),'Client Data'!W279,0)</f>
        <v>0</v>
      </c>
      <c r="X229" s="106">
        <f>IF(OR(X$190,$A229),'Client Data'!X279,0)</f>
        <v>0</v>
      </c>
      <c r="Y229" s="106">
        <f>IF(OR(Y$190,$A229),'Client Data'!Y279,0)</f>
        <v>0</v>
      </c>
      <c r="Z229" s="106">
        <f>IF(OR(Z$190,$A229),'Client Data'!Z279,0)</f>
        <v>0</v>
      </c>
      <c r="AA229" s="106">
        <f>IF(OR(AA$190,$A229),'Client Data'!AA279,0)</f>
        <v>0</v>
      </c>
      <c r="AB229" s="106">
        <f>IF(OR(AB$190,$A229),'Client Data'!AB279,0)</f>
        <v>0</v>
      </c>
      <c r="AC229" s="106">
        <f>IF(OR(AC$190,$A229),'Client Data'!AC279,0)</f>
        <v>0</v>
      </c>
      <c r="AD229" s="106">
        <f>IF(OR(AD$190,$A229),'Client Data'!AD279,0)</f>
        <v>0</v>
      </c>
      <c r="AE229" s="106">
        <f>IF(OR(AE$190,$A229),'Client Data'!AE279,0)</f>
        <v>0</v>
      </c>
      <c r="AF229" s="106">
        <f>IF(OR(AF$190,$A229),'Client Data'!AF279,0)</f>
        <v>0</v>
      </c>
      <c r="AG229" s="106">
        <f>IF(OR(AG$190,$A229),'Client Data'!AG279,0)</f>
        <v>0</v>
      </c>
      <c r="AH229" s="106">
        <f>IF(OR(AH$190,$A229),'Client Data'!AH279,0)</f>
        <v>0</v>
      </c>
      <c r="AI229" s="106">
        <f>IF(OR(AI$190,$A229),'Client Data'!AI279,0)</f>
        <v>0</v>
      </c>
      <c r="AJ229" s="106">
        <f>IF(OR(AJ$190,$A229),'Client Data'!AJ279,0)</f>
        <v>0</v>
      </c>
      <c r="AK229" s="106">
        <f>IF(OR(AK$190,$A229),'Client Data'!AK279,0)</f>
        <v>0</v>
      </c>
      <c r="AL229" s="106">
        <f>IF(OR(AL$190,$A229),'Client Data'!AL279,0)</f>
        <v>0</v>
      </c>
      <c r="AM229" s="106">
        <f>IF(OR(AM$190,$A229),'Client Data'!AM279,0)</f>
        <v>0</v>
      </c>
      <c r="AN229" s="106">
        <f>IF(OR(AN$190,$A229),'Client Data'!AN279,0)</f>
        <v>0</v>
      </c>
      <c r="AO229" s="106">
        <f>IF(OR(AO$190,$A229),'Client Data'!AO279,0)</f>
        <v>0</v>
      </c>
      <c r="AP229" s="106">
        <f>IF(OR(AP$190,$A229),'Client Data'!AP279,0)</f>
        <v>0</v>
      </c>
      <c r="AQ229" s="106">
        <f>IF(OR(AQ$190,$A229),'Client Data'!AQ279,0)</f>
        <v>0</v>
      </c>
      <c r="AR229" s="106">
        <f>IF(OR(AR$190,$A229),'Client Data'!AR279,0)</f>
        <v>0</v>
      </c>
      <c r="AS229" s="106">
        <f>IF(OR(AS$190,$A229),'Client Data'!AS279,0)</f>
        <v>0</v>
      </c>
      <c r="AT229" s="106">
        <f>IF(OR(AT$190,$A229),'Client Data'!AT279,0)</f>
        <v>0</v>
      </c>
      <c r="AU229" s="106">
        <f>IF(OR(AU$190,$A229),'Client Data'!AU279,0)</f>
        <v>0</v>
      </c>
      <c r="AV229" s="106">
        <f>IF(OR(AV$190,$A229),'Client Data'!AV279,0)</f>
        <v>0</v>
      </c>
      <c r="AW229" s="106">
        <f>IF(OR(AW$190,$A229),'Client Data'!AW279,0)</f>
        <v>0</v>
      </c>
      <c r="AX229" s="106">
        <f>IF(OR(AX$190,$A229),'Client Data'!AX279,0)</f>
        <v>0</v>
      </c>
      <c r="AY229" s="106">
        <f>IF(OR(AY$190,$A229),'Client Data'!AY279,0)</f>
        <v>0</v>
      </c>
      <c r="AZ229" s="106">
        <f>IF(OR(AZ$190,$A229),'Client Data'!AZ279,0)</f>
        <v>0</v>
      </c>
      <c r="BA229" s="106">
        <f>IF(OR(BA$190,$A229),'Client Data'!BA279,0)</f>
        <v>0</v>
      </c>
      <c r="BB229" s="106">
        <f>IF(OR(BB$190,$A229),'Client Data'!BB279,0)</f>
        <v>0</v>
      </c>
      <c r="BC229" s="104">
        <f t="shared" si="181"/>
        <v>0</v>
      </c>
    </row>
    <row r="230" spans="1:55" x14ac:dyDescent="0.25">
      <c r="A230">
        <f t="shared" si="447"/>
        <v>3</v>
      </c>
      <c r="B230" s="105" t="str">
        <f>'Client Data'!B280</f>
        <v>SDT4</v>
      </c>
      <c r="C230" s="106">
        <f>IF(OR(C$190,$A230),'Client Data'!C280,0)</f>
        <v>0.4</v>
      </c>
      <c r="D230" s="106">
        <f>IF(OR(D$190,$A230),'Client Data'!D280,0)</f>
        <v>0.5</v>
      </c>
      <c r="E230" s="106">
        <f>IF(OR(E$190,$A230),'Client Data'!E280,0)</f>
        <v>0.3</v>
      </c>
      <c r="F230" s="106">
        <f>IF(OR(F$190,$A230),'Client Data'!F280,0)</f>
        <v>0.6</v>
      </c>
      <c r="G230" s="106">
        <f>IF(OR(G$190,$A230),'Client Data'!G280,0)</f>
        <v>0.3</v>
      </c>
      <c r="H230" s="106">
        <f>IF(OR(H$190,$A230),'Client Data'!H280,0)</f>
        <v>0.4</v>
      </c>
      <c r="I230" s="106">
        <f>IF(OR(I$190,$A230),'Client Data'!I280,0)</f>
        <v>0.4</v>
      </c>
      <c r="J230" s="106">
        <f>IF(OR(J$190,$A230),'Client Data'!J280,0)</f>
        <v>0.5</v>
      </c>
      <c r="K230" s="106">
        <f>IF(OR(K$190,$A230),'Client Data'!K280,0)</f>
        <v>0.3</v>
      </c>
      <c r="L230" s="106">
        <f>IF(OR(L$190,$A230),'Client Data'!L280,0)</f>
        <v>0.6</v>
      </c>
      <c r="M230" s="106">
        <f>IF(OR(M$190,$A230),'Client Data'!M280,0)</f>
        <v>0.3</v>
      </c>
      <c r="N230" s="106">
        <f>IF(OR(N$190,$A230),'Client Data'!N280,0)</f>
        <v>0.4</v>
      </c>
      <c r="O230" s="106">
        <f>IF(OR(O$190,$A230),'Client Data'!O280,0)</f>
        <v>0.5</v>
      </c>
      <c r="P230" s="106">
        <f>IF(OR(P$190,$A230),'Client Data'!P280,0)</f>
        <v>0.3</v>
      </c>
      <c r="Q230" s="106">
        <f>IF(OR(Q$190,$A230),'Client Data'!Q280,0)</f>
        <v>0.6</v>
      </c>
      <c r="R230" s="106">
        <f>IF(OR(R$190,$A230),'Client Data'!R280,0)</f>
        <v>0.3</v>
      </c>
      <c r="S230" s="106">
        <f>IF(OR(S$190,$A230),'Client Data'!S280,0)</f>
        <v>0.4</v>
      </c>
      <c r="T230" s="106">
        <f>IF(OR(T$190,$A230),'Client Data'!T280,0)</f>
        <v>0.4</v>
      </c>
      <c r="U230" s="106">
        <f>IF(OR(U$190,$A230),'Client Data'!U280,0)</f>
        <v>0.5</v>
      </c>
      <c r="V230" s="106">
        <f>IF(OR(V$190,$A230),'Client Data'!V280,0)</f>
        <v>0.3</v>
      </c>
      <c r="W230" s="106">
        <f>IF(OR(W$190,$A230),'Client Data'!W280,0)</f>
        <v>0.6</v>
      </c>
      <c r="X230" s="106">
        <f>IF(OR(X$190,$A230),'Client Data'!X280,0)</f>
        <v>0.3</v>
      </c>
      <c r="Y230" s="106">
        <f>IF(OR(Y$190,$A230),'Client Data'!Y280,0)</f>
        <v>0.4</v>
      </c>
      <c r="Z230" s="106">
        <f>IF(OR(Z$190,$A230),'Client Data'!Z280,0)</f>
        <v>0.5</v>
      </c>
      <c r="AA230" s="106">
        <f>IF(OR(AA$190,$A230),'Client Data'!AA280,0)</f>
        <v>0.3</v>
      </c>
      <c r="AB230" s="106">
        <f>IF(OR(AB$190,$A230),'Client Data'!AB280,0)</f>
        <v>0.6</v>
      </c>
      <c r="AC230" s="106">
        <f>IF(OR(AC$190,$A230),'Client Data'!AC280,0)</f>
        <v>0.3</v>
      </c>
      <c r="AD230" s="106">
        <f>IF(OR(AD$190,$A230),'Client Data'!AD280,0)</f>
        <v>0.4</v>
      </c>
      <c r="AE230" s="106">
        <f>IF(OR(AE$190,$A230),'Client Data'!AE280,0)</f>
        <v>0.4</v>
      </c>
      <c r="AF230" s="106">
        <f>IF(OR(AF$190,$A230),'Client Data'!AF280,0)</f>
        <v>0.5</v>
      </c>
      <c r="AG230" s="106">
        <f>IF(OR(AG$190,$A230),'Client Data'!AG280,0)</f>
        <v>0.3</v>
      </c>
      <c r="AH230" s="106">
        <f>IF(OR(AH$190,$A230),'Client Data'!AH280,0)</f>
        <v>0.6</v>
      </c>
      <c r="AI230" s="106">
        <f>IF(OR(AI$190,$A230),'Client Data'!AI280,0)</f>
        <v>0.3</v>
      </c>
      <c r="AJ230" s="106">
        <f>IF(OR(AJ$190,$A230),'Client Data'!AJ280,0)</f>
        <v>0.4</v>
      </c>
      <c r="AK230" s="106">
        <f>IF(OR(AK$190,$A230),'Client Data'!AK280,0)</f>
        <v>0.4</v>
      </c>
      <c r="AL230" s="106">
        <f>IF(OR(AL$190,$A230),'Client Data'!AL280,0)</f>
        <v>0.4</v>
      </c>
      <c r="AM230" s="106">
        <f>IF(OR(AM$190,$A230),'Client Data'!AM280,0)</f>
        <v>0.5</v>
      </c>
      <c r="AN230" s="106">
        <f>IF(OR(AN$190,$A230),'Client Data'!AN280,0)</f>
        <v>0.3</v>
      </c>
      <c r="AO230" s="106">
        <f>IF(OR(AO$190,$A230),'Client Data'!AO280,0)</f>
        <v>0.4</v>
      </c>
      <c r="AP230" s="106">
        <f>IF(OR(AP$190,$A230),'Client Data'!AP280,0)</f>
        <v>0.5</v>
      </c>
      <c r="AQ230" s="106">
        <f>IF(OR(AQ$190,$A230),'Client Data'!AQ280,0)</f>
        <v>0.3</v>
      </c>
      <c r="AR230" s="106">
        <f>IF(OR(AR$190,$A230),'Client Data'!AR280,0)</f>
        <v>0.6</v>
      </c>
      <c r="AS230" s="106">
        <f>IF(OR(AS$190,$A230),'Client Data'!AS280,0)</f>
        <v>0.3</v>
      </c>
      <c r="AT230" s="106">
        <f>IF(OR(AT$190,$A230),'Client Data'!AT280,0)</f>
        <v>0.4</v>
      </c>
      <c r="AU230" s="106">
        <f>IF(OR(AU$190,$A230),'Client Data'!AU280,0)</f>
        <v>0.4</v>
      </c>
      <c r="AV230" s="106">
        <f>IF(OR(AV$190,$A230),'Client Data'!AV280,0)</f>
        <v>0.5</v>
      </c>
      <c r="AW230" s="106">
        <f>IF(OR(AW$190,$A230),'Client Data'!AW280,0)</f>
        <v>0.3</v>
      </c>
      <c r="AX230" s="106">
        <f>IF(OR(AX$190,$A230),'Client Data'!AX280,0)</f>
        <v>0.6</v>
      </c>
      <c r="AY230" s="106">
        <f>IF(OR(AY$190,$A230),'Client Data'!AY280,0)</f>
        <v>0.3</v>
      </c>
      <c r="AZ230" s="106">
        <f>IF(OR(AZ$190,$A230),'Client Data'!AZ280,0)</f>
        <v>0.4</v>
      </c>
      <c r="BA230" s="106">
        <f>IF(OR(BA$190,$A230),'Client Data'!BA280,0)</f>
        <v>0.4</v>
      </c>
      <c r="BB230" s="106">
        <f>IF(OR(BB$190,$A230),'Client Data'!BB280,0)</f>
        <v>0.2</v>
      </c>
      <c r="BC230" s="104">
        <f t="shared" si="181"/>
        <v>21.400000000000002</v>
      </c>
    </row>
    <row r="231" spans="1:55" x14ac:dyDescent="0.25">
      <c r="A231">
        <f t="shared" si="447"/>
        <v>2</v>
      </c>
      <c r="B231" s="105" t="str">
        <f>'Client Data'!B281</f>
        <v>SDT5</v>
      </c>
      <c r="C231" s="106">
        <f>IF(OR(C$190,$A231),'Client Data'!C281,0)</f>
        <v>0</v>
      </c>
      <c r="D231" s="106">
        <f>IF(OR(D$190,$A231),'Client Data'!D281,0)</f>
        <v>0</v>
      </c>
      <c r="E231" s="106">
        <f>IF(OR(E$190,$A231),'Client Data'!E281,0)</f>
        <v>0</v>
      </c>
      <c r="F231" s="106">
        <f>IF(OR(F$190,$A231),'Client Data'!F281,0)</f>
        <v>0</v>
      </c>
      <c r="G231" s="106">
        <f>IF(OR(G$190,$A231),'Client Data'!G281,0)</f>
        <v>0</v>
      </c>
      <c r="H231" s="106">
        <f>IF(OR(H$190,$A231),'Client Data'!H281,0)</f>
        <v>0</v>
      </c>
      <c r="I231" s="106">
        <f>IF(OR(I$190,$A231),'Client Data'!I281,0)</f>
        <v>0</v>
      </c>
      <c r="J231" s="106">
        <f>IF(OR(J$190,$A231),'Client Data'!J281,0)</f>
        <v>0</v>
      </c>
      <c r="K231" s="106">
        <f>IF(OR(K$190,$A231),'Client Data'!K281,0)</f>
        <v>0</v>
      </c>
      <c r="L231" s="106">
        <f>IF(OR(L$190,$A231),'Client Data'!L281,0)</f>
        <v>0</v>
      </c>
      <c r="M231" s="106">
        <f>IF(OR(M$190,$A231),'Client Data'!M281,0)</f>
        <v>0</v>
      </c>
      <c r="N231" s="106">
        <f>IF(OR(N$190,$A231),'Client Data'!N281,0)</f>
        <v>0</v>
      </c>
      <c r="O231" s="106">
        <f>IF(OR(O$190,$A231),'Client Data'!O281,0)</f>
        <v>0</v>
      </c>
      <c r="P231" s="106">
        <f>IF(OR(P$190,$A231),'Client Data'!P281,0)</f>
        <v>0</v>
      </c>
      <c r="Q231" s="106">
        <f>IF(OR(Q$190,$A231),'Client Data'!Q281,0)</f>
        <v>0</v>
      </c>
      <c r="R231" s="106">
        <f>IF(OR(R$190,$A231),'Client Data'!R281,0)</f>
        <v>0</v>
      </c>
      <c r="S231" s="106">
        <f>IF(OR(S$190,$A231),'Client Data'!S281,0)</f>
        <v>0</v>
      </c>
      <c r="T231" s="106">
        <f>IF(OR(T$190,$A231),'Client Data'!T281,0)</f>
        <v>0</v>
      </c>
      <c r="U231" s="106">
        <f>IF(OR(U$190,$A231),'Client Data'!U281,0)</f>
        <v>0</v>
      </c>
      <c r="V231" s="106">
        <f>IF(OR(V$190,$A231),'Client Data'!V281,0)</f>
        <v>0</v>
      </c>
      <c r="W231" s="106">
        <f>IF(OR(W$190,$A231),'Client Data'!W281,0)</f>
        <v>0</v>
      </c>
      <c r="X231" s="106">
        <f>IF(OR(X$190,$A231),'Client Data'!X281,0)</f>
        <v>0</v>
      </c>
      <c r="Y231" s="106">
        <f>IF(OR(Y$190,$A231),'Client Data'!Y281,0)</f>
        <v>0</v>
      </c>
      <c r="Z231" s="106">
        <f>IF(OR(Z$190,$A231),'Client Data'!Z281,0)</f>
        <v>0</v>
      </c>
      <c r="AA231" s="106">
        <f>IF(OR(AA$190,$A231),'Client Data'!AA281,0)</f>
        <v>0</v>
      </c>
      <c r="AB231" s="106">
        <f>IF(OR(AB$190,$A231),'Client Data'!AB281,0)</f>
        <v>0</v>
      </c>
      <c r="AC231" s="106">
        <f>IF(OR(AC$190,$A231),'Client Data'!AC281,0)</f>
        <v>0</v>
      </c>
      <c r="AD231" s="106">
        <f>IF(OR(AD$190,$A231),'Client Data'!AD281,0)</f>
        <v>0</v>
      </c>
      <c r="AE231" s="106">
        <f>IF(OR(AE$190,$A231),'Client Data'!AE281,0)</f>
        <v>0</v>
      </c>
      <c r="AF231" s="106">
        <f>IF(OR(AF$190,$A231),'Client Data'!AF281,0)</f>
        <v>0</v>
      </c>
      <c r="AG231" s="106">
        <f>IF(OR(AG$190,$A231),'Client Data'!AG281,0)</f>
        <v>0</v>
      </c>
      <c r="AH231" s="106">
        <f>IF(OR(AH$190,$A231),'Client Data'!AH281,0)</f>
        <v>0</v>
      </c>
      <c r="AI231" s="106">
        <f>IF(OR(AI$190,$A231),'Client Data'!AI281,0)</f>
        <v>0</v>
      </c>
      <c r="AJ231" s="106">
        <f>IF(OR(AJ$190,$A231),'Client Data'!AJ281,0)</f>
        <v>0</v>
      </c>
      <c r="AK231" s="106">
        <f>IF(OR(AK$190,$A231),'Client Data'!AK281,0)</f>
        <v>0</v>
      </c>
      <c r="AL231" s="106">
        <f>IF(OR(AL$190,$A231),'Client Data'!AL281,0)</f>
        <v>0</v>
      </c>
      <c r="AM231" s="106">
        <f>IF(OR(AM$190,$A231),'Client Data'!AM281,0)</f>
        <v>0</v>
      </c>
      <c r="AN231" s="106">
        <f>IF(OR(AN$190,$A231),'Client Data'!AN281,0)</f>
        <v>0</v>
      </c>
      <c r="AO231" s="106">
        <f>IF(OR(AO$190,$A231),'Client Data'!AO281,0)</f>
        <v>0</v>
      </c>
      <c r="AP231" s="106">
        <f>IF(OR(AP$190,$A231),'Client Data'!AP281,0)</f>
        <v>0</v>
      </c>
      <c r="AQ231" s="106">
        <f>IF(OR(AQ$190,$A231),'Client Data'!AQ281,0)</f>
        <v>0</v>
      </c>
      <c r="AR231" s="106">
        <f>IF(OR(AR$190,$A231),'Client Data'!AR281,0)</f>
        <v>0</v>
      </c>
      <c r="AS231" s="106">
        <f>IF(OR(AS$190,$A231),'Client Data'!AS281,0)</f>
        <v>0</v>
      </c>
      <c r="AT231" s="106">
        <f>IF(OR(AT$190,$A231),'Client Data'!AT281,0)</f>
        <v>0</v>
      </c>
      <c r="AU231" s="106">
        <f>IF(OR(AU$190,$A231),'Client Data'!AU281,0)</f>
        <v>0</v>
      </c>
      <c r="AV231" s="106">
        <f>IF(OR(AV$190,$A231),'Client Data'!AV281,0)</f>
        <v>0</v>
      </c>
      <c r="AW231" s="106">
        <f>IF(OR(AW$190,$A231),'Client Data'!AW281,0)</f>
        <v>0</v>
      </c>
      <c r="AX231" s="106">
        <f>IF(OR(AX$190,$A231),'Client Data'!AX281,0)</f>
        <v>0</v>
      </c>
      <c r="AY231" s="106">
        <f>IF(OR(AY$190,$A231),'Client Data'!AY281,0)</f>
        <v>0</v>
      </c>
      <c r="AZ231" s="106">
        <f>IF(OR(AZ$190,$A231),'Client Data'!AZ281,0)</f>
        <v>0</v>
      </c>
      <c r="BA231" s="106">
        <f>IF(OR(BA$190,$A231),'Client Data'!BA281,0)</f>
        <v>0</v>
      </c>
      <c r="BB231" s="106">
        <f>IF(OR(BB$190,$A231),'Client Data'!BB281,0)</f>
        <v>0</v>
      </c>
      <c r="BC231" s="104">
        <f t="shared" si="181"/>
        <v>0</v>
      </c>
    </row>
    <row r="232" spans="1:55" x14ac:dyDescent="0.25">
      <c r="A232">
        <f t="shared" si="447"/>
        <v>1</v>
      </c>
      <c r="B232" s="105" t="str">
        <f>'Client Data'!B282</f>
        <v>SDT6</v>
      </c>
      <c r="C232" s="106">
        <f>IF(OR(C$190,$A232),'Client Data'!C282,0)</f>
        <v>0</v>
      </c>
      <c r="D232" s="106">
        <f>IF(OR(D$190,$A232),'Client Data'!D282,0)</f>
        <v>0</v>
      </c>
      <c r="E232" s="106">
        <f>IF(OR(E$190,$A232),'Client Data'!E282,0)</f>
        <v>0</v>
      </c>
      <c r="F232" s="106">
        <f>IF(OR(F$190,$A232),'Client Data'!F282,0)</f>
        <v>0</v>
      </c>
      <c r="G232" s="106">
        <f>IF(OR(G$190,$A232),'Client Data'!G282,0)</f>
        <v>0</v>
      </c>
      <c r="H232" s="106">
        <f>IF(OR(H$190,$A232),'Client Data'!H282,0)</f>
        <v>0</v>
      </c>
      <c r="I232" s="106">
        <f>IF(OR(I$190,$A232),'Client Data'!I282,0)</f>
        <v>0</v>
      </c>
      <c r="J232" s="106">
        <f>IF(OR(J$190,$A232),'Client Data'!J282,0)</f>
        <v>0</v>
      </c>
      <c r="K232" s="106">
        <f>IF(OR(K$190,$A232),'Client Data'!K282,0)</f>
        <v>0</v>
      </c>
      <c r="L232" s="106">
        <f>IF(OR(L$190,$A232),'Client Data'!L282,0)</f>
        <v>0</v>
      </c>
      <c r="M232" s="106">
        <f>IF(OR(M$190,$A232),'Client Data'!M282,0)</f>
        <v>0</v>
      </c>
      <c r="N232" s="106">
        <f>IF(OR(N$190,$A232),'Client Data'!N282,0)</f>
        <v>0</v>
      </c>
      <c r="O232" s="106">
        <f>IF(OR(O$190,$A232),'Client Data'!O282,0)</f>
        <v>0</v>
      </c>
      <c r="P232" s="106">
        <f>IF(OR(P$190,$A232),'Client Data'!P282,0)</f>
        <v>0</v>
      </c>
      <c r="Q232" s="106">
        <f>IF(OR(Q$190,$A232),'Client Data'!Q282,0)</f>
        <v>0</v>
      </c>
      <c r="R232" s="106">
        <f>IF(OR(R$190,$A232),'Client Data'!R282,0)</f>
        <v>0</v>
      </c>
      <c r="S232" s="106">
        <f>IF(OR(S$190,$A232),'Client Data'!S282,0)</f>
        <v>0</v>
      </c>
      <c r="T232" s="106">
        <f>IF(OR(T$190,$A232),'Client Data'!T282,0)</f>
        <v>0</v>
      </c>
      <c r="U232" s="106">
        <f>IF(OR(U$190,$A232),'Client Data'!U282,0)</f>
        <v>0</v>
      </c>
      <c r="V232" s="106">
        <f>IF(OR(V$190,$A232),'Client Data'!V282,0)</f>
        <v>0</v>
      </c>
      <c r="W232" s="106">
        <f>IF(OR(W$190,$A232),'Client Data'!W282,0)</f>
        <v>0</v>
      </c>
      <c r="X232" s="106">
        <f>IF(OR(X$190,$A232),'Client Data'!X282,0)</f>
        <v>0</v>
      </c>
      <c r="Y232" s="106">
        <f>IF(OR(Y$190,$A232),'Client Data'!Y282,0)</f>
        <v>0</v>
      </c>
      <c r="Z232" s="106">
        <f>IF(OR(Z$190,$A232),'Client Data'!Z282,0)</f>
        <v>0</v>
      </c>
      <c r="AA232" s="106">
        <f>IF(OR(AA$190,$A232),'Client Data'!AA282,0)</f>
        <v>0</v>
      </c>
      <c r="AB232" s="106">
        <f>IF(OR(AB$190,$A232),'Client Data'!AB282,0)</f>
        <v>0</v>
      </c>
      <c r="AC232" s="106">
        <f>IF(OR(AC$190,$A232),'Client Data'!AC282,0)</f>
        <v>0</v>
      </c>
      <c r="AD232" s="106">
        <f>IF(OR(AD$190,$A232),'Client Data'!AD282,0)</f>
        <v>0</v>
      </c>
      <c r="AE232" s="106">
        <f>IF(OR(AE$190,$A232),'Client Data'!AE282,0)</f>
        <v>0</v>
      </c>
      <c r="AF232" s="106">
        <f>IF(OR(AF$190,$A232),'Client Data'!AF282,0)</f>
        <v>0</v>
      </c>
      <c r="AG232" s="106">
        <f>IF(OR(AG$190,$A232),'Client Data'!AG282,0)</f>
        <v>0</v>
      </c>
      <c r="AH232" s="106">
        <f>IF(OR(AH$190,$A232),'Client Data'!AH282,0)</f>
        <v>0</v>
      </c>
      <c r="AI232" s="106">
        <f>IF(OR(AI$190,$A232),'Client Data'!AI282,0)</f>
        <v>0</v>
      </c>
      <c r="AJ232" s="106">
        <f>IF(OR(AJ$190,$A232),'Client Data'!AJ282,0)</f>
        <v>0</v>
      </c>
      <c r="AK232" s="106">
        <f>IF(OR(AK$190,$A232),'Client Data'!AK282,0)</f>
        <v>0</v>
      </c>
      <c r="AL232" s="106">
        <f>IF(OR(AL$190,$A232),'Client Data'!AL282,0)</f>
        <v>0</v>
      </c>
      <c r="AM232" s="106">
        <f>IF(OR(AM$190,$A232),'Client Data'!AM282,0)</f>
        <v>0</v>
      </c>
      <c r="AN232" s="106">
        <f>IF(OR(AN$190,$A232),'Client Data'!AN282,0)</f>
        <v>0</v>
      </c>
      <c r="AO232" s="106">
        <f>IF(OR(AO$190,$A232),'Client Data'!AO282,0)</f>
        <v>0</v>
      </c>
      <c r="AP232" s="106">
        <f>IF(OR(AP$190,$A232),'Client Data'!AP282,0)</f>
        <v>0</v>
      </c>
      <c r="AQ232" s="106">
        <f>IF(OR(AQ$190,$A232),'Client Data'!AQ282,0)</f>
        <v>0</v>
      </c>
      <c r="AR232" s="106">
        <f>IF(OR(AR$190,$A232),'Client Data'!AR282,0)</f>
        <v>0</v>
      </c>
      <c r="AS232" s="106">
        <f>IF(OR(AS$190,$A232),'Client Data'!AS282,0)</f>
        <v>0</v>
      </c>
      <c r="AT232" s="106">
        <f>IF(OR(AT$190,$A232),'Client Data'!AT282,0)</f>
        <v>0</v>
      </c>
      <c r="AU232" s="106">
        <f>IF(OR(AU$190,$A232),'Client Data'!AU282,0)</f>
        <v>0</v>
      </c>
      <c r="AV232" s="106">
        <f>IF(OR(AV$190,$A232),'Client Data'!AV282,0)</f>
        <v>0</v>
      </c>
      <c r="AW232" s="106">
        <f>IF(OR(AW$190,$A232),'Client Data'!AW282,0)</f>
        <v>0</v>
      </c>
      <c r="AX232" s="106">
        <f>IF(OR(AX$190,$A232),'Client Data'!AX282,0)</f>
        <v>0</v>
      </c>
      <c r="AY232" s="106">
        <f>IF(OR(AY$190,$A232),'Client Data'!AY282,0)</f>
        <v>0</v>
      </c>
      <c r="AZ232" s="106">
        <f>IF(OR(AZ$190,$A232),'Client Data'!AZ282,0)</f>
        <v>0</v>
      </c>
      <c r="BA232" s="106">
        <f>IF(OR(BA$190,$A232),'Client Data'!BA282,0)</f>
        <v>0</v>
      </c>
      <c r="BB232" s="106">
        <f>IF(OR(BB$190,$A232),'Client Data'!BB282,0)</f>
        <v>0</v>
      </c>
      <c r="BC232" s="104">
        <f t="shared" si="181"/>
        <v>0</v>
      </c>
    </row>
    <row r="233" spans="1:55" x14ac:dyDescent="0.25">
      <c r="A233">
        <f>A226-1</f>
        <v>2</v>
      </c>
      <c r="B233" s="107" t="str">
        <f>'Client Data'!B283</f>
        <v>SDT Type G</v>
      </c>
      <c r="C233" s="102">
        <f t="shared" ref="C233" si="448">IF(OR(C$190&gt;0,$A233),SUM(C234:C239),0)</f>
        <v>1.2000000000000002</v>
      </c>
      <c r="D233" s="102">
        <f t="shared" ref="D233" si="449">IF(OR(D$190&gt;0,$A233),SUM(D234:D239),0)</f>
        <v>1.5</v>
      </c>
      <c r="E233" s="102">
        <f t="shared" ref="E233" si="450">IF(OR(E$190&gt;0,$A233),SUM(E234:E239),0)</f>
        <v>0.89999999999999991</v>
      </c>
      <c r="F233" s="102">
        <f t="shared" ref="F233" si="451">IF(OR(F$190&gt;0,$A233),SUM(F234:F239),0)</f>
        <v>1.7999999999999998</v>
      </c>
      <c r="G233" s="102">
        <f t="shared" ref="G233" si="452">IF(OR(G$190&gt;0,$A233),SUM(G234:G239),0)</f>
        <v>0.89999999999999991</v>
      </c>
      <c r="H233" s="102">
        <f t="shared" ref="H233" si="453">IF(OR(H$190&gt;0,$A233),SUM(H234:H239),0)</f>
        <v>1.2000000000000002</v>
      </c>
      <c r="I233" s="102">
        <f t="shared" ref="I233" si="454">IF(OR(I$190&gt;0,$A233),SUM(I234:I239),0)</f>
        <v>1.2000000000000002</v>
      </c>
      <c r="J233" s="102">
        <f t="shared" ref="J233" si="455">IF(OR(J$190&gt;0,$A233),SUM(J234:J239),0)</f>
        <v>1.5</v>
      </c>
      <c r="K233" s="102">
        <f t="shared" ref="K233" si="456">IF(OR(K$190&gt;0,$A233),SUM(K234:K239),0)</f>
        <v>0.89999999999999991</v>
      </c>
      <c r="L233" s="102">
        <f t="shared" ref="L233" si="457">IF(OR(L$190&gt;0,$A233),SUM(L234:L239),0)</f>
        <v>1.7999999999999998</v>
      </c>
      <c r="M233" s="102">
        <f t="shared" ref="M233" si="458">IF(OR(M$190&gt;0,$A233),SUM(M234:M239),0)</f>
        <v>0.89999999999999991</v>
      </c>
      <c r="N233" s="102">
        <f t="shared" ref="N233" si="459">IF(OR(N$190&gt;0,$A233),SUM(N234:N239),0)</f>
        <v>1.2000000000000002</v>
      </c>
      <c r="O233" s="102">
        <f t="shared" ref="O233" si="460">IF(OR(O$190&gt;0,$A233),SUM(O234:O239),0)</f>
        <v>1.5</v>
      </c>
      <c r="P233" s="102">
        <f t="shared" ref="P233" si="461">IF(OR(P$190&gt;0,$A233),SUM(P234:P239),0)</f>
        <v>0.89999999999999991</v>
      </c>
      <c r="Q233" s="102">
        <f t="shared" ref="Q233" si="462">IF(OR(Q$190&gt;0,$A233),SUM(Q234:Q239),0)</f>
        <v>1.7999999999999998</v>
      </c>
      <c r="R233" s="102">
        <f t="shared" ref="R233" si="463">IF(OR(R$190&gt;0,$A233),SUM(R234:R239),0)</f>
        <v>0.89999999999999991</v>
      </c>
      <c r="S233" s="102">
        <f t="shared" ref="S233" si="464">IF(OR(S$190&gt;0,$A233),SUM(S234:S239),0)</f>
        <v>1.2000000000000002</v>
      </c>
      <c r="T233" s="102">
        <f t="shared" ref="T233" si="465">IF(OR(T$190&gt;0,$A233),SUM(T234:T239),0)</f>
        <v>1.2000000000000002</v>
      </c>
      <c r="U233" s="102">
        <f t="shared" ref="U233" si="466">IF(OR(U$190&gt;0,$A233),SUM(U234:U239),0)</f>
        <v>1.5</v>
      </c>
      <c r="V233" s="102">
        <f t="shared" ref="V233" si="467">IF(OR(V$190&gt;0,$A233),SUM(V234:V239),0)</f>
        <v>0.89999999999999991</v>
      </c>
      <c r="W233" s="102">
        <f t="shared" ref="W233" si="468">IF(OR(W$190&gt;0,$A233),SUM(W234:W239),0)</f>
        <v>1.7999999999999998</v>
      </c>
      <c r="X233" s="102">
        <f t="shared" ref="X233" si="469">IF(OR(X$190&gt;0,$A233),SUM(X234:X239),0)</f>
        <v>0.89999999999999991</v>
      </c>
      <c r="Y233" s="102">
        <f t="shared" ref="Y233" si="470">IF(OR(Y$190&gt;0,$A233),SUM(Y234:Y239),0)</f>
        <v>1.2000000000000002</v>
      </c>
      <c r="Z233" s="102">
        <f t="shared" ref="Z233" si="471">IF(OR(Z$190&gt;0,$A233),SUM(Z234:Z239),0)</f>
        <v>1.5</v>
      </c>
      <c r="AA233" s="102">
        <f t="shared" ref="AA233" si="472">IF(OR(AA$190&gt;0,$A233),SUM(AA234:AA239),0)</f>
        <v>0.89999999999999991</v>
      </c>
      <c r="AB233" s="102">
        <f t="shared" ref="AB233" si="473">IF(OR(AB$190&gt;0,$A233),SUM(AB234:AB239),0)</f>
        <v>1.7999999999999998</v>
      </c>
      <c r="AC233" s="102">
        <f t="shared" ref="AC233" si="474">IF(OR(AC$190&gt;0,$A233),SUM(AC234:AC239),0)</f>
        <v>0.89999999999999991</v>
      </c>
      <c r="AD233" s="102">
        <f t="shared" ref="AD233" si="475">IF(OR(AD$190&gt;0,$A233),SUM(AD234:AD239),0)</f>
        <v>1.2000000000000002</v>
      </c>
      <c r="AE233" s="102">
        <f t="shared" ref="AE233" si="476">IF(OR(AE$190&gt;0,$A233),SUM(AE234:AE239),0)</f>
        <v>1.2000000000000002</v>
      </c>
      <c r="AF233" s="102">
        <f t="shared" ref="AF233" si="477">IF(OR(AF$190&gt;0,$A233),SUM(AF234:AF239),0)</f>
        <v>1.5</v>
      </c>
      <c r="AG233" s="102">
        <f t="shared" ref="AG233" si="478">IF(OR(AG$190&gt;0,$A233),SUM(AG234:AG239),0)</f>
        <v>0.89999999999999991</v>
      </c>
      <c r="AH233" s="102">
        <f t="shared" ref="AH233" si="479">IF(OR(AH$190&gt;0,$A233),SUM(AH234:AH239),0)</f>
        <v>1.7999999999999998</v>
      </c>
      <c r="AI233" s="102">
        <f t="shared" ref="AI233" si="480">IF(OR(AI$190&gt;0,$A233),SUM(AI234:AI239),0)</f>
        <v>0.89999999999999991</v>
      </c>
      <c r="AJ233" s="102">
        <f t="shared" ref="AJ233" si="481">IF(OR(AJ$190&gt;0,$A233),SUM(AJ234:AJ239),0)</f>
        <v>1.2000000000000002</v>
      </c>
      <c r="AK233" s="102">
        <f t="shared" ref="AK233" si="482">IF(OR(AK$190&gt;0,$A233),SUM(AK234:AK239),0)</f>
        <v>1.2000000000000002</v>
      </c>
      <c r="AL233" s="102">
        <f t="shared" ref="AL233" si="483">IF(OR(AL$190&gt;0,$A233),SUM(AL234:AL239),0)</f>
        <v>1.2000000000000002</v>
      </c>
      <c r="AM233" s="102">
        <f t="shared" ref="AM233" si="484">IF(OR(AM$190&gt;0,$A233),SUM(AM234:AM239),0)</f>
        <v>1.5</v>
      </c>
      <c r="AN233" s="102">
        <f t="shared" ref="AN233" si="485">IF(OR(AN$190&gt;0,$A233),SUM(AN234:AN239),0)</f>
        <v>0.89999999999999991</v>
      </c>
      <c r="AO233" s="102">
        <f t="shared" ref="AO233" si="486">IF(OR(AO$190&gt;0,$A233),SUM(AO234:AO239),0)</f>
        <v>1.2000000000000002</v>
      </c>
      <c r="AP233" s="102">
        <f t="shared" ref="AP233" si="487">IF(OR(AP$190&gt;0,$A233),SUM(AP234:AP239),0)</f>
        <v>1.5</v>
      </c>
      <c r="AQ233" s="102">
        <f t="shared" ref="AQ233" si="488">IF(OR(AQ$190&gt;0,$A233),SUM(AQ234:AQ239),0)</f>
        <v>0.89999999999999991</v>
      </c>
      <c r="AR233" s="102">
        <f t="shared" ref="AR233" si="489">IF(OR(AR$190&gt;0,$A233),SUM(AR234:AR239),0)</f>
        <v>1.7999999999999998</v>
      </c>
      <c r="AS233" s="102">
        <f t="shared" ref="AS233" si="490">IF(OR(AS$190&gt;0,$A233),SUM(AS234:AS239),0)</f>
        <v>0.89999999999999991</v>
      </c>
      <c r="AT233" s="102">
        <f t="shared" ref="AT233" si="491">IF(OR(AT$190&gt;0,$A233),SUM(AT234:AT239),0)</f>
        <v>1.2000000000000002</v>
      </c>
      <c r="AU233" s="102">
        <f t="shared" ref="AU233" si="492">IF(OR(AU$190&gt;0,$A233),SUM(AU234:AU239),0)</f>
        <v>1.2000000000000002</v>
      </c>
      <c r="AV233" s="102">
        <f t="shared" ref="AV233" si="493">IF(OR(AV$190&gt;0,$A233),SUM(AV234:AV239),0)</f>
        <v>1.4</v>
      </c>
      <c r="AW233" s="102">
        <f t="shared" ref="AW233" si="494">IF(OR(AW$190&gt;0,$A233),SUM(AW234:AW239),0)</f>
        <v>1.5</v>
      </c>
      <c r="AX233" s="102">
        <f t="shared" ref="AX233" si="495">IF(OR(AX$190&gt;0,$A233),SUM(AX234:AX239),0)</f>
        <v>1.6</v>
      </c>
      <c r="AY233" s="102">
        <f t="shared" ref="AY233" si="496">IF(OR(AY$190&gt;0,$A233),SUM(AY234:AY239),0)</f>
        <v>1</v>
      </c>
      <c r="AZ233" s="102">
        <f t="shared" ref="AZ233" si="497">IF(OR(AZ$190&gt;0,$A233),SUM(AZ234:AZ239),0)</f>
        <v>1.2000000000000002</v>
      </c>
      <c r="BA233" s="102">
        <f t="shared" ref="BA233" si="498">IF(OR(BA$190&gt;0,$A233),SUM(BA234:BA239),0)</f>
        <v>1.2000000000000002</v>
      </c>
      <c r="BB233" s="102">
        <f t="shared" ref="BB233" si="499">IF(OR(BB$190&gt;0,$A233),SUM(BB234:BB239),0)</f>
        <v>0.60000000000000009</v>
      </c>
      <c r="BC233" s="107">
        <f t="shared" si="181"/>
        <v>64.599999999999994</v>
      </c>
    </row>
    <row r="234" spans="1:55" x14ac:dyDescent="0.25">
      <c r="A234">
        <f>IF(A$233&gt;0,A227,0)</f>
        <v>6</v>
      </c>
      <c r="B234" s="105" t="str">
        <f>'Client Data'!B284</f>
        <v>SDT1</v>
      </c>
      <c r="C234" s="106">
        <f>IF(OR(C$190,$A234),'Client Data'!C284,0)</f>
        <v>0.4</v>
      </c>
      <c r="D234" s="106">
        <f>IF(OR(D$190,$A234),'Client Data'!D284,0)</f>
        <v>0.5</v>
      </c>
      <c r="E234" s="106">
        <f>IF(OR(E$190,$A234),'Client Data'!E284,0)</f>
        <v>0.3</v>
      </c>
      <c r="F234" s="106">
        <f>IF(OR(F$190,$A234),'Client Data'!F284,0)</f>
        <v>0.6</v>
      </c>
      <c r="G234" s="106">
        <f>IF(OR(G$190,$A234),'Client Data'!G284,0)</f>
        <v>0.3</v>
      </c>
      <c r="H234" s="106">
        <f>IF(OR(H$190,$A234),'Client Data'!H284,0)</f>
        <v>0.4</v>
      </c>
      <c r="I234" s="106">
        <f>IF(OR(I$190,$A234),'Client Data'!I284,0)</f>
        <v>0.4</v>
      </c>
      <c r="J234" s="106">
        <f>IF(OR(J$190,$A234),'Client Data'!J284,0)</f>
        <v>0.5</v>
      </c>
      <c r="K234" s="106">
        <f>IF(OR(K$190,$A234),'Client Data'!K284,0)</f>
        <v>0.3</v>
      </c>
      <c r="L234" s="106">
        <f>IF(OR(L$190,$A234),'Client Data'!L284,0)</f>
        <v>0.6</v>
      </c>
      <c r="M234" s="106">
        <f>IF(OR(M$190,$A234),'Client Data'!M284,0)</f>
        <v>0.3</v>
      </c>
      <c r="N234" s="106">
        <f>IF(OR(N$190,$A234),'Client Data'!N284,0)</f>
        <v>0.4</v>
      </c>
      <c r="O234" s="106">
        <f>IF(OR(O$190,$A234),'Client Data'!O284,0)</f>
        <v>0.5</v>
      </c>
      <c r="P234" s="106">
        <f>IF(OR(P$190,$A234),'Client Data'!P284,0)</f>
        <v>0.3</v>
      </c>
      <c r="Q234" s="106">
        <f>IF(OR(Q$190,$A234),'Client Data'!Q284,0)</f>
        <v>0.6</v>
      </c>
      <c r="R234" s="106">
        <f>IF(OR(R$190,$A234),'Client Data'!R284,0)</f>
        <v>0.3</v>
      </c>
      <c r="S234" s="106">
        <f>IF(OR(S$190,$A234),'Client Data'!S284,0)</f>
        <v>0.4</v>
      </c>
      <c r="T234" s="106">
        <f>IF(OR(T$190,$A234),'Client Data'!T284,0)</f>
        <v>0.4</v>
      </c>
      <c r="U234" s="106">
        <f>IF(OR(U$190,$A234),'Client Data'!U284,0)</f>
        <v>0.5</v>
      </c>
      <c r="V234" s="106">
        <f>IF(OR(V$190,$A234),'Client Data'!V284,0)</f>
        <v>0.3</v>
      </c>
      <c r="W234" s="106">
        <f>IF(OR(W$190,$A234),'Client Data'!W284,0)</f>
        <v>0.6</v>
      </c>
      <c r="X234" s="106">
        <f>IF(OR(X$190,$A234),'Client Data'!X284,0)</f>
        <v>0.3</v>
      </c>
      <c r="Y234" s="106">
        <f>IF(OR(Y$190,$A234),'Client Data'!Y284,0)</f>
        <v>0.4</v>
      </c>
      <c r="Z234" s="106">
        <f>IF(OR(Z$190,$A234),'Client Data'!Z284,0)</f>
        <v>0.5</v>
      </c>
      <c r="AA234" s="106">
        <f>IF(OR(AA$190,$A234),'Client Data'!AA284,0)</f>
        <v>0.3</v>
      </c>
      <c r="AB234" s="106">
        <f>IF(OR(AB$190,$A234),'Client Data'!AB284,0)</f>
        <v>0.6</v>
      </c>
      <c r="AC234" s="106">
        <f>IF(OR(AC$190,$A234),'Client Data'!AC284,0)</f>
        <v>0.3</v>
      </c>
      <c r="AD234" s="106">
        <f>IF(OR(AD$190,$A234),'Client Data'!AD284,0)</f>
        <v>0.4</v>
      </c>
      <c r="AE234" s="106">
        <f>IF(OR(AE$190,$A234),'Client Data'!AE284,0)</f>
        <v>0.4</v>
      </c>
      <c r="AF234" s="106">
        <f>IF(OR(AF$190,$A234),'Client Data'!AF284,0)</f>
        <v>0.5</v>
      </c>
      <c r="AG234" s="106">
        <f>IF(OR(AG$190,$A234),'Client Data'!AG284,0)</f>
        <v>0.3</v>
      </c>
      <c r="AH234" s="106">
        <f>IF(OR(AH$190,$A234),'Client Data'!AH284,0)</f>
        <v>0.6</v>
      </c>
      <c r="AI234" s="106">
        <f>IF(OR(AI$190,$A234),'Client Data'!AI284,0)</f>
        <v>0.3</v>
      </c>
      <c r="AJ234" s="106">
        <f>IF(OR(AJ$190,$A234),'Client Data'!AJ284,0)</f>
        <v>0.4</v>
      </c>
      <c r="AK234" s="106">
        <f>IF(OR(AK$190,$A234),'Client Data'!AK284,0)</f>
        <v>0.4</v>
      </c>
      <c r="AL234" s="106">
        <f>IF(OR(AL$190,$A234),'Client Data'!AL284,0)</f>
        <v>0.4</v>
      </c>
      <c r="AM234" s="106">
        <f>IF(OR(AM$190,$A234),'Client Data'!AM284,0)</f>
        <v>0.5</v>
      </c>
      <c r="AN234" s="106">
        <f>IF(OR(AN$190,$A234),'Client Data'!AN284,0)</f>
        <v>0.3</v>
      </c>
      <c r="AO234" s="106">
        <f>IF(OR(AO$190,$A234),'Client Data'!AO284,0)</f>
        <v>0.4</v>
      </c>
      <c r="AP234" s="106">
        <f>IF(OR(AP$190,$A234),'Client Data'!AP284,0)</f>
        <v>0.5</v>
      </c>
      <c r="AQ234" s="106">
        <f>IF(OR(AQ$190,$A234),'Client Data'!AQ284,0)</f>
        <v>0.3</v>
      </c>
      <c r="AR234" s="106">
        <f>IF(OR(AR$190,$A234),'Client Data'!AR284,0)</f>
        <v>0.6</v>
      </c>
      <c r="AS234" s="106">
        <f>IF(OR(AS$190,$A234),'Client Data'!AS284,0)</f>
        <v>0.3</v>
      </c>
      <c r="AT234" s="106">
        <f>IF(OR(AT$190,$A234),'Client Data'!AT284,0)</f>
        <v>0.4</v>
      </c>
      <c r="AU234" s="106">
        <f>IF(OR(AU$190,$A234),'Client Data'!AU284,0)</f>
        <v>0.4</v>
      </c>
      <c r="AV234" s="106">
        <f>IF(OR(AV$190,$A234),'Client Data'!AV284,0)</f>
        <v>0.4</v>
      </c>
      <c r="AW234" s="106">
        <f>IF(OR(AW$190,$A234),'Client Data'!AW284,0)</f>
        <v>0.9</v>
      </c>
      <c r="AX234" s="106">
        <f>IF(OR(AX$190,$A234),'Client Data'!AX284,0)</f>
        <v>0.4</v>
      </c>
      <c r="AY234" s="106">
        <f>IF(OR(AY$190,$A234),'Client Data'!AY284,0)</f>
        <v>0.4</v>
      </c>
      <c r="AZ234" s="106">
        <f>IF(OR(AZ$190,$A234),'Client Data'!AZ284,0)</f>
        <v>0.4</v>
      </c>
      <c r="BA234" s="106">
        <f>IF(OR(BA$190,$A234),'Client Data'!BA284,0)</f>
        <v>0.4</v>
      </c>
      <c r="BB234" s="106">
        <f>IF(OR(BB$190,$A234),'Client Data'!BB284,0)</f>
        <v>0.2</v>
      </c>
      <c r="BC234" s="104">
        <f t="shared" si="181"/>
        <v>21.799999999999994</v>
      </c>
    </row>
    <row r="235" spans="1:55" x14ac:dyDescent="0.25">
      <c r="A235">
        <f>IF(A$233&gt;0,A234-1,0)</f>
        <v>5</v>
      </c>
      <c r="B235" s="105" t="str">
        <f>'Client Data'!B285</f>
        <v>SDT2</v>
      </c>
      <c r="C235" s="106">
        <f>IF(OR(C$190,$A235),'Client Data'!C285,0)</f>
        <v>0</v>
      </c>
      <c r="D235" s="106">
        <f>IF(OR(D$190,$A235),'Client Data'!D285,0)</f>
        <v>0</v>
      </c>
      <c r="E235" s="106">
        <f>IF(OR(E$190,$A235),'Client Data'!E285,0)</f>
        <v>0</v>
      </c>
      <c r="F235" s="106">
        <f>IF(OR(F$190,$A235),'Client Data'!F285,0)</f>
        <v>0</v>
      </c>
      <c r="G235" s="106">
        <f>IF(OR(G$190,$A235),'Client Data'!G285,0)</f>
        <v>0</v>
      </c>
      <c r="H235" s="106">
        <f>IF(OR(H$190,$A235),'Client Data'!H285,0)</f>
        <v>0</v>
      </c>
      <c r="I235" s="106">
        <f>IF(OR(I$190,$A235),'Client Data'!I285,0)</f>
        <v>0</v>
      </c>
      <c r="J235" s="106">
        <f>IF(OR(J$190,$A235),'Client Data'!J285,0)</f>
        <v>0</v>
      </c>
      <c r="K235" s="106">
        <f>IF(OR(K$190,$A235),'Client Data'!K285,0)</f>
        <v>0</v>
      </c>
      <c r="L235" s="106">
        <f>IF(OR(L$190,$A235),'Client Data'!L285,0)</f>
        <v>0</v>
      </c>
      <c r="M235" s="106">
        <f>IF(OR(M$190,$A235),'Client Data'!M285,0)</f>
        <v>0</v>
      </c>
      <c r="N235" s="106">
        <f>IF(OR(N$190,$A235),'Client Data'!N285,0)</f>
        <v>0</v>
      </c>
      <c r="O235" s="106">
        <f>IF(OR(O$190,$A235),'Client Data'!O285,0)</f>
        <v>0</v>
      </c>
      <c r="P235" s="106">
        <f>IF(OR(P$190,$A235),'Client Data'!P285,0)</f>
        <v>0</v>
      </c>
      <c r="Q235" s="106">
        <f>IF(OR(Q$190,$A235),'Client Data'!Q285,0)</f>
        <v>0</v>
      </c>
      <c r="R235" s="106">
        <f>IF(OR(R$190,$A235),'Client Data'!R285,0)</f>
        <v>0</v>
      </c>
      <c r="S235" s="106">
        <f>IF(OR(S$190,$A235),'Client Data'!S285,0)</f>
        <v>0</v>
      </c>
      <c r="T235" s="106">
        <f>IF(OR(T$190,$A235),'Client Data'!T285,0)</f>
        <v>0</v>
      </c>
      <c r="U235" s="106">
        <f>IF(OR(U$190,$A235),'Client Data'!U285,0)</f>
        <v>0</v>
      </c>
      <c r="V235" s="106">
        <f>IF(OR(V$190,$A235),'Client Data'!V285,0)</f>
        <v>0</v>
      </c>
      <c r="W235" s="106">
        <f>IF(OR(W$190,$A235),'Client Data'!W285,0)</f>
        <v>0</v>
      </c>
      <c r="X235" s="106">
        <f>IF(OR(X$190,$A235),'Client Data'!X285,0)</f>
        <v>0</v>
      </c>
      <c r="Y235" s="106">
        <f>IF(OR(Y$190,$A235),'Client Data'!Y285,0)</f>
        <v>0</v>
      </c>
      <c r="Z235" s="106">
        <f>IF(OR(Z$190,$A235),'Client Data'!Z285,0)</f>
        <v>0</v>
      </c>
      <c r="AA235" s="106">
        <f>IF(OR(AA$190,$A235),'Client Data'!AA285,0)</f>
        <v>0</v>
      </c>
      <c r="AB235" s="106">
        <f>IF(OR(AB$190,$A235),'Client Data'!AB285,0)</f>
        <v>0</v>
      </c>
      <c r="AC235" s="106">
        <f>IF(OR(AC$190,$A235),'Client Data'!AC285,0)</f>
        <v>0</v>
      </c>
      <c r="AD235" s="106">
        <f>IF(OR(AD$190,$A235),'Client Data'!AD285,0)</f>
        <v>0</v>
      </c>
      <c r="AE235" s="106">
        <f>IF(OR(AE$190,$A235),'Client Data'!AE285,0)</f>
        <v>0</v>
      </c>
      <c r="AF235" s="106">
        <f>IF(OR(AF$190,$A235),'Client Data'!AF285,0)</f>
        <v>0</v>
      </c>
      <c r="AG235" s="106">
        <f>IF(OR(AG$190,$A235),'Client Data'!AG285,0)</f>
        <v>0</v>
      </c>
      <c r="AH235" s="106">
        <f>IF(OR(AH$190,$A235),'Client Data'!AH285,0)</f>
        <v>0</v>
      </c>
      <c r="AI235" s="106">
        <f>IF(OR(AI$190,$A235),'Client Data'!AI285,0)</f>
        <v>0</v>
      </c>
      <c r="AJ235" s="106">
        <f>IF(OR(AJ$190,$A235),'Client Data'!AJ285,0)</f>
        <v>0</v>
      </c>
      <c r="AK235" s="106">
        <f>IF(OR(AK$190,$A235),'Client Data'!AK285,0)</f>
        <v>0</v>
      </c>
      <c r="AL235" s="106">
        <f>IF(OR(AL$190,$A235),'Client Data'!AL285,0)</f>
        <v>0</v>
      </c>
      <c r="AM235" s="106">
        <f>IF(OR(AM$190,$A235),'Client Data'!AM285,0)</f>
        <v>0</v>
      </c>
      <c r="AN235" s="106">
        <f>IF(OR(AN$190,$A235),'Client Data'!AN285,0)</f>
        <v>0</v>
      </c>
      <c r="AO235" s="106">
        <f>IF(OR(AO$190,$A235),'Client Data'!AO285,0)</f>
        <v>0</v>
      </c>
      <c r="AP235" s="106">
        <f>IF(OR(AP$190,$A235),'Client Data'!AP285,0)</f>
        <v>0</v>
      </c>
      <c r="AQ235" s="106">
        <f>IF(OR(AQ$190,$A235),'Client Data'!AQ285,0)</f>
        <v>0</v>
      </c>
      <c r="AR235" s="106">
        <f>IF(OR(AR$190,$A235),'Client Data'!AR285,0)</f>
        <v>0</v>
      </c>
      <c r="AS235" s="106">
        <f>IF(OR(AS$190,$A235),'Client Data'!AS285,0)</f>
        <v>0</v>
      </c>
      <c r="AT235" s="106">
        <f>IF(OR(AT$190,$A235),'Client Data'!AT285,0)</f>
        <v>0</v>
      </c>
      <c r="AU235" s="106">
        <f>IF(OR(AU$190,$A235),'Client Data'!AU285,0)</f>
        <v>0</v>
      </c>
      <c r="AV235" s="106">
        <f>IF(OR(AV$190,$A235),'Client Data'!AV285,0)</f>
        <v>0</v>
      </c>
      <c r="AW235" s="106">
        <f>IF(OR(AW$190,$A235),'Client Data'!AW285,0)</f>
        <v>0</v>
      </c>
      <c r="AX235" s="106">
        <f>IF(OR(AX$190,$A235),'Client Data'!AX285,0)</f>
        <v>0</v>
      </c>
      <c r="AY235" s="106">
        <f>IF(OR(AY$190,$A235),'Client Data'!AY285,0)</f>
        <v>0</v>
      </c>
      <c r="AZ235" s="106">
        <f>IF(OR(AZ$190,$A235),'Client Data'!AZ285,0)</f>
        <v>0</v>
      </c>
      <c r="BA235" s="106">
        <f>IF(OR(BA$190,$A235),'Client Data'!BA285,0)</f>
        <v>0</v>
      </c>
      <c r="BB235" s="106">
        <f>IF(OR(BB$190,$A235),'Client Data'!BB285,0)</f>
        <v>0</v>
      </c>
      <c r="BC235" s="104">
        <f t="shared" si="181"/>
        <v>0</v>
      </c>
    </row>
    <row r="236" spans="1:55" x14ac:dyDescent="0.25">
      <c r="A236">
        <f t="shared" ref="A236:A239" si="500">IF(A$233&gt;0,A235-1,0)</f>
        <v>4</v>
      </c>
      <c r="B236" s="105" t="str">
        <f>'Client Data'!B286</f>
        <v>SDT3</v>
      </c>
      <c r="C236" s="106">
        <f>IF(OR(C$190,$A236),'Client Data'!C286,0)</f>
        <v>0.4</v>
      </c>
      <c r="D236" s="106">
        <f>IF(OR(D$190,$A236),'Client Data'!D286,0)</f>
        <v>0.5</v>
      </c>
      <c r="E236" s="106">
        <f>IF(OR(E$190,$A236),'Client Data'!E286,0)</f>
        <v>0.3</v>
      </c>
      <c r="F236" s="106">
        <f>IF(OR(F$190,$A236),'Client Data'!F286,0)</f>
        <v>0.6</v>
      </c>
      <c r="G236" s="106">
        <f>IF(OR(G$190,$A236),'Client Data'!G286,0)</f>
        <v>0.3</v>
      </c>
      <c r="H236" s="106">
        <f>IF(OR(H$190,$A236),'Client Data'!H286,0)</f>
        <v>0.4</v>
      </c>
      <c r="I236" s="106">
        <f>IF(OR(I$190,$A236),'Client Data'!I286,0)</f>
        <v>0.4</v>
      </c>
      <c r="J236" s="106">
        <f>IF(OR(J$190,$A236),'Client Data'!J286,0)</f>
        <v>0.5</v>
      </c>
      <c r="K236" s="106">
        <f>IF(OR(K$190,$A236),'Client Data'!K286,0)</f>
        <v>0.3</v>
      </c>
      <c r="L236" s="106">
        <f>IF(OR(L$190,$A236),'Client Data'!L286,0)</f>
        <v>0.6</v>
      </c>
      <c r="M236" s="106">
        <f>IF(OR(M$190,$A236),'Client Data'!M286,0)</f>
        <v>0.3</v>
      </c>
      <c r="N236" s="106">
        <f>IF(OR(N$190,$A236),'Client Data'!N286,0)</f>
        <v>0.4</v>
      </c>
      <c r="O236" s="106">
        <f>IF(OR(O$190,$A236),'Client Data'!O286,0)</f>
        <v>0.5</v>
      </c>
      <c r="P236" s="106">
        <f>IF(OR(P$190,$A236),'Client Data'!P286,0)</f>
        <v>0.3</v>
      </c>
      <c r="Q236" s="106">
        <f>IF(OR(Q$190,$A236),'Client Data'!Q286,0)</f>
        <v>0.6</v>
      </c>
      <c r="R236" s="106">
        <f>IF(OR(R$190,$A236),'Client Data'!R286,0)</f>
        <v>0.3</v>
      </c>
      <c r="S236" s="106">
        <f>IF(OR(S$190,$A236),'Client Data'!S286,0)</f>
        <v>0.4</v>
      </c>
      <c r="T236" s="106">
        <f>IF(OR(T$190,$A236),'Client Data'!T286,0)</f>
        <v>0.4</v>
      </c>
      <c r="U236" s="106">
        <f>IF(OR(U$190,$A236),'Client Data'!U286,0)</f>
        <v>0.5</v>
      </c>
      <c r="V236" s="106">
        <f>IF(OR(V$190,$A236),'Client Data'!V286,0)</f>
        <v>0.3</v>
      </c>
      <c r="W236" s="106">
        <f>IF(OR(W$190,$A236),'Client Data'!W286,0)</f>
        <v>0.6</v>
      </c>
      <c r="X236" s="106">
        <f>IF(OR(X$190,$A236),'Client Data'!X286,0)</f>
        <v>0.3</v>
      </c>
      <c r="Y236" s="106">
        <f>IF(OR(Y$190,$A236),'Client Data'!Y286,0)</f>
        <v>0.4</v>
      </c>
      <c r="Z236" s="106">
        <f>IF(OR(Z$190,$A236),'Client Data'!Z286,0)</f>
        <v>0.5</v>
      </c>
      <c r="AA236" s="106">
        <f>IF(OR(AA$190,$A236),'Client Data'!AA286,0)</f>
        <v>0.3</v>
      </c>
      <c r="AB236" s="106">
        <f>IF(OR(AB$190,$A236),'Client Data'!AB286,0)</f>
        <v>0.6</v>
      </c>
      <c r="AC236" s="106">
        <f>IF(OR(AC$190,$A236),'Client Data'!AC286,0)</f>
        <v>0.3</v>
      </c>
      <c r="AD236" s="106">
        <f>IF(OR(AD$190,$A236),'Client Data'!AD286,0)</f>
        <v>0.4</v>
      </c>
      <c r="AE236" s="106">
        <f>IF(OR(AE$190,$A236),'Client Data'!AE286,0)</f>
        <v>0.4</v>
      </c>
      <c r="AF236" s="106">
        <f>IF(OR(AF$190,$A236),'Client Data'!AF286,0)</f>
        <v>0.5</v>
      </c>
      <c r="AG236" s="106">
        <f>IF(OR(AG$190,$A236),'Client Data'!AG286,0)</f>
        <v>0.3</v>
      </c>
      <c r="AH236" s="106">
        <f>IF(OR(AH$190,$A236),'Client Data'!AH286,0)</f>
        <v>0.6</v>
      </c>
      <c r="AI236" s="106">
        <f>IF(OR(AI$190,$A236),'Client Data'!AI286,0)</f>
        <v>0.3</v>
      </c>
      <c r="AJ236" s="106">
        <f>IF(OR(AJ$190,$A236),'Client Data'!AJ286,0)</f>
        <v>0.4</v>
      </c>
      <c r="AK236" s="106">
        <f>IF(OR(AK$190,$A236),'Client Data'!AK286,0)</f>
        <v>0.4</v>
      </c>
      <c r="AL236" s="106">
        <f>IF(OR(AL$190,$A236),'Client Data'!AL286,0)</f>
        <v>0.4</v>
      </c>
      <c r="AM236" s="106">
        <f>IF(OR(AM$190,$A236),'Client Data'!AM286,0)</f>
        <v>0.5</v>
      </c>
      <c r="AN236" s="106">
        <f>IF(OR(AN$190,$A236),'Client Data'!AN286,0)</f>
        <v>0.3</v>
      </c>
      <c r="AO236" s="106">
        <f>IF(OR(AO$190,$A236),'Client Data'!AO286,0)</f>
        <v>0.4</v>
      </c>
      <c r="AP236" s="106">
        <f>IF(OR(AP$190,$A236),'Client Data'!AP286,0)</f>
        <v>0.5</v>
      </c>
      <c r="AQ236" s="106">
        <f>IF(OR(AQ$190,$A236),'Client Data'!AQ286,0)</f>
        <v>0.3</v>
      </c>
      <c r="AR236" s="106">
        <f>IF(OR(AR$190,$A236),'Client Data'!AR286,0)</f>
        <v>0.6</v>
      </c>
      <c r="AS236" s="106">
        <f>IF(OR(AS$190,$A236),'Client Data'!AS286,0)</f>
        <v>0.3</v>
      </c>
      <c r="AT236" s="106">
        <f>IF(OR(AT$190,$A236),'Client Data'!AT286,0)</f>
        <v>0.4</v>
      </c>
      <c r="AU236" s="106">
        <f>IF(OR(AU$190,$A236),'Client Data'!AU286,0)</f>
        <v>0.4</v>
      </c>
      <c r="AV236" s="106">
        <f>IF(OR(AV$190,$A236),'Client Data'!AV286,0)</f>
        <v>0.5</v>
      </c>
      <c r="AW236" s="106">
        <f>IF(OR(AW$190,$A236),'Client Data'!AW286,0)</f>
        <v>0.3</v>
      </c>
      <c r="AX236" s="106">
        <f>IF(OR(AX$190,$A236),'Client Data'!AX286,0)</f>
        <v>0.6</v>
      </c>
      <c r="AY236" s="106">
        <f>IF(OR(AY$190,$A236),'Client Data'!AY286,0)</f>
        <v>0.3</v>
      </c>
      <c r="AZ236" s="106">
        <f>IF(OR(AZ$190,$A236),'Client Data'!AZ286,0)</f>
        <v>0.4</v>
      </c>
      <c r="BA236" s="106">
        <f>IF(OR(BA$190,$A236),'Client Data'!BA286,0)</f>
        <v>0.4</v>
      </c>
      <c r="BB236" s="106">
        <f>IF(OR(BB$190,$A236),'Client Data'!BB286,0)</f>
        <v>0.2</v>
      </c>
      <c r="BC236" s="104">
        <f t="shared" si="181"/>
        <v>21.400000000000002</v>
      </c>
    </row>
    <row r="237" spans="1:55" x14ac:dyDescent="0.25">
      <c r="A237">
        <f t="shared" si="500"/>
        <v>3</v>
      </c>
      <c r="B237" s="105" t="str">
        <f>'Client Data'!B287</f>
        <v>SDT4</v>
      </c>
      <c r="C237" s="106">
        <f>IF(OR(C$190,$A237),'Client Data'!C287,0)</f>
        <v>0</v>
      </c>
      <c r="D237" s="106">
        <f>IF(OR(D$190,$A237),'Client Data'!D287,0)</f>
        <v>0</v>
      </c>
      <c r="E237" s="106">
        <f>IF(OR(E$190,$A237),'Client Data'!E287,0)</f>
        <v>0</v>
      </c>
      <c r="F237" s="106">
        <f>IF(OR(F$190,$A237),'Client Data'!F287,0)</f>
        <v>0</v>
      </c>
      <c r="G237" s="106">
        <f>IF(OR(G$190,$A237),'Client Data'!G287,0)</f>
        <v>0</v>
      </c>
      <c r="H237" s="106">
        <f>IF(OR(H$190,$A237),'Client Data'!H287,0)</f>
        <v>0</v>
      </c>
      <c r="I237" s="106">
        <f>IF(OR(I$190,$A237),'Client Data'!I287,0)</f>
        <v>0</v>
      </c>
      <c r="J237" s="106">
        <f>IF(OR(J$190,$A237),'Client Data'!J287,0)</f>
        <v>0</v>
      </c>
      <c r="K237" s="106">
        <f>IF(OR(K$190,$A237),'Client Data'!K287,0)</f>
        <v>0</v>
      </c>
      <c r="L237" s="106">
        <f>IF(OR(L$190,$A237),'Client Data'!L287,0)</f>
        <v>0</v>
      </c>
      <c r="M237" s="106">
        <f>IF(OR(M$190,$A237),'Client Data'!M287,0)</f>
        <v>0</v>
      </c>
      <c r="N237" s="106">
        <f>IF(OR(N$190,$A237),'Client Data'!N287,0)</f>
        <v>0</v>
      </c>
      <c r="O237" s="106">
        <f>IF(OR(O$190,$A237),'Client Data'!O287,0)</f>
        <v>0</v>
      </c>
      <c r="P237" s="106">
        <f>IF(OR(P$190,$A237),'Client Data'!P287,0)</f>
        <v>0</v>
      </c>
      <c r="Q237" s="106">
        <f>IF(OR(Q$190,$A237),'Client Data'!Q287,0)</f>
        <v>0</v>
      </c>
      <c r="R237" s="106">
        <f>IF(OR(R$190,$A237),'Client Data'!R287,0)</f>
        <v>0</v>
      </c>
      <c r="S237" s="106">
        <f>IF(OR(S$190,$A237),'Client Data'!S287,0)</f>
        <v>0</v>
      </c>
      <c r="T237" s="106">
        <f>IF(OR(T$190,$A237),'Client Data'!T287,0)</f>
        <v>0</v>
      </c>
      <c r="U237" s="106">
        <f>IF(OR(U$190,$A237),'Client Data'!U287,0)</f>
        <v>0</v>
      </c>
      <c r="V237" s="106">
        <f>IF(OR(V$190,$A237),'Client Data'!V287,0)</f>
        <v>0</v>
      </c>
      <c r="W237" s="106">
        <f>IF(OR(W$190,$A237),'Client Data'!W287,0)</f>
        <v>0</v>
      </c>
      <c r="X237" s="106">
        <f>IF(OR(X$190,$A237),'Client Data'!X287,0)</f>
        <v>0</v>
      </c>
      <c r="Y237" s="106">
        <f>IF(OR(Y$190,$A237),'Client Data'!Y287,0)</f>
        <v>0</v>
      </c>
      <c r="Z237" s="106">
        <f>IF(OR(Z$190,$A237),'Client Data'!Z287,0)</f>
        <v>0</v>
      </c>
      <c r="AA237" s="106">
        <f>IF(OR(AA$190,$A237),'Client Data'!AA287,0)</f>
        <v>0</v>
      </c>
      <c r="AB237" s="106">
        <f>IF(OR(AB$190,$A237),'Client Data'!AB287,0)</f>
        <v>0</v>
      </c>
      <c r="AC237" s="106">
        <f>IF(OR(AC$190,$A237),'Client Data'!AC287,0)</f>
        <v>0</v>
      </c>
      <c r="AD237" s="106">
        <f>IF(OR(AD$190,$A237),'Client Data'!AD287,0)</f>
        <v>0</v>
      </c>
      <c r="AE237" s="106">
        <f>IF(OR(AE$190,$A237),'Client Data'!AE287,0)</f>
        <v>0</v>
      </c>
      <c r="AF237" s="106">
        <f>IF(OR(AF$190,$A237),'Client Data'!AF287,0)</f>
        <v>0</v>
      </c>
      <c r="AG237" s="106">
        <f>IF(OR(AG$190,$A237),'Client Data'!AG287,0)</f>
        <v>0</v>
      </c>
      <c r="AH237" s="106">
        <f>IF(OR(AH$190,$A237),'Client Data'!AH287,0)</f>
        <v>0</v>
      </c>
      <c r="AI237" s="106">
        <f>IF(OR(AI$190,$A237),'Client Data'!AI287,0)</f>
        <v>0</v>
      </c>
      <c r="AJ237" s="106">
        <f>IF(OR(AJ$190,$A237),'Client Data'!AJ287,0)</f>
        <v>0</v>
      </c>
      <c r="AK237" s="106">
        <f>IF(OR(AK$190,$A237),'Client Data'!AK287,0)</f>
        <v>0</v>
      </c>
      <c r="AL237" s="106">
        <f>IF(OR(AL$190,$A237),'Client Data'!AL287,0)</f>
        <v>0</v>
      </c>
      <c r="AM237" s="106">
        <f>IF(OR(AM$190,$A237),'Client Data'!AM287,0)</f>
        <v>0</v>
      </c>
      <c r="AN237" s="106">
        <f>IF(OR(AN$190,$A237),'Client Data'!AN287,0)</f>
        <v>0</v>
      </c>
      <c r="AO237" s="106">
        <f>IF(OR(AO$190,$A237),'Client Data'!AO287,0)</f>
        <v>0</v>
      </c>
      <c r="AP237" s="106">
        <f>IF(OR(AP$190,$A237),'Client Data'!AP287,0)</f>
        <v>0</v>
      </c>
      <c r="AQ237" s="106">
        <f>IF(OR(AQ$190,$A237),'Client Data'!AQ287,0)</f>
        <v>0</v>
      </c>
      <c r="AR237" s="106">
        <f>IF(OR(AR$190,$A237),'Client Data'!AR287,0)</f>
        <v>0</v>
      </c>
      <c r="AS237" s="106">
        <f>IF(OR(AS$190,$A237),'Client Data'!AS287,0)</f>
        <v>0</v>
      </c>
      <c r="AT237" s="106">
        <f>IF(OR(AT$190,$A237),'Client Data'!AT287,0)</f>
        <v>0</v>
      </c>
      <c r="AU237" s="106">
        <f>IF(OR(AU$190,$A237),'Client Data'!AU287,0)</f>
        <v>0</v>
      </c>
      <c r="AV237" s="106">
        <f>IF(OR(AV$190,$A237),'Client Data'!AV287,0)</f>
        <v>0</v>
      </c>
      <c r="AW237" s="106">
        <f>IF(OR(AW$190,$A237),'Client Data'!AW287,0)</f>
        <v>0</v>
      </c>
      <c r="AX237" s="106">
        <f>IF(OR(AX$190,$A237),'Client Data'!AX287,0)</f>
        <v>0</v>
      </c>
      <c r="AY237" s="106">
        <f>IF(OR(AY$190,$A237),'Client Data'!AY287,0)</f>
        <v>0</v>
      </c>
      <c r="AZ237" s="106">
        <f>IF(OR(AZ$190,$A237),'Client Data'!AZ287,0)</f>
        <v>0</v>
      </c>
      <c r="BA237" s="106">
        <f>IF(OR(BA$190,$A237),'Client Data'!BA287,0)</f>
        <v>0</v>
      </c>
      <c r="BB237" s="106">
        <f>IF(OR(BB$190,$A237),'Client Data'!BB287,0)</f>
        <v>0</v>
      </c>
      <c r="BC237" s="104">
        <f t="shared" si="181"/>
        <v>0</v>
      </c>
    </row>
    <row r="238" spans="1:55" x14ac:dyDescent="0.25">
      <c r="A238">
        <f t="shared" si="500"/>
        <v>2</v>
      </c>
      <c r="B238" s="105" t="str">
        <f>'Client Data'!B288</f>
        <v>SDT5</v>
      </c>
      <c r="C238" s="106">
        <f>IF(OR(C$190,$A238),'Client Data'!C288,0)</f>
        <v>0.4</v>
      </c>
      <c r="D238" s="106">
        <f>IF(OR(D$190,$A238),'Client Data'!D288,0)</f>
        <v>0.5</v>
      </c>
      <c r="E238" s="106">
        <f>IF(OR(E$190,$A238),'Client Data'!E288,0)</f>
        <v>0.3</v>
      </c>
      <c r="F238" s="106">
        <f>IF(OR(F$190,$A238),'Client Data'!F288,0)</f>
        <v>0.6</v>
      </c>
      <c r="G238" s="106">
        <f>IF(OR(G$190,$A238),'Client Data'!G288,0)</f>
        <v>0.3</v>
      </c>
      <c r="H238" s="106">
        <f>IF(OR(H$190,$A238),'Client Data'!H288,0)</f>
        <v>0.4</v>
      </c>
      <c r="I238" s="106">
        <f>IF(OR(I$190,$A238),'Client Data'!I288,0)</f>
        <v>0.4</v>
      </c>
      <c r="J238" s="106">
        <f>IF(OR(J$190,$A238),'Client Data'!J288,0)</f>
        <v>0.5</v>
      </c>
      <c r="K238" s="106">
        <f>IF(OR(K$190,$A238),'Client Data'!K288,0)</f>
        <v>0.3</v>
      </c>
      <c r="L238" s="106">
        <f>IF(OR(L$190,$A238),'Client Data'!L288,0)</f>
        <v>0.6</v>
      </c>
      <c r="M238" s="106">
        <f>IF(OR(M$190,$A238),'Client Data'!M288,0)</f>
        <v>0.3</v>
      </c>
      <c r="N238" s="106">
        <f>IF(OR(N$190,$A238),'Client Data'!N288,0)</f>
        <v>0.4</v>
      </c>
      <c r="O238" s="106">
        <f>IF(OR(O$190,$A238),'Client Data'!O288,0)</f>
        <v>0.5</v>
      </c>
      <c r="P238" s="106">
        <f>IF(OR(P$190,$A238),'Client Data'!P288,0)</f>
        <v>0.3</v>
      </c>
      <c r="Q238" s="106">
        <f>IF(OR(Q$190,$A238),'Client Data'!Q288,0)</f>
        <v>0.6</v>
      </c>
      <c r="R238" s="106">
        <f>IF(OR(R$190,$A238),'Client Data'!R288,0)</f>
        <v>0.3</v>
      </c>
      <c r="S238" s="106">
        <f>IF(OR(S$190,$A238),'Client Data'!S288,0)</f>
        <v>0.4</v>
      </c>
      <c r="T238" s="106">
        <f>IF(OR(T$190,$A238),'Client Data'!T288,0)</f>
        <v>0.4</v>
      </c>
      <c r="U238" s="106">
        <f>IF(OR(U$190,$A238),'Client Data'!U288,0)</f>
        <v>0.5</v>
      </c>
      <c r="V238" s="106">
        <f>IF(OR(V$190,$A238),'Client Data'!V288,0)</f>
        <v>0.3</v>
      </c>
      <c r="W238" s="106">
        <f>IF(OR(W$190,$A238),'Client Data'!W288,0)</f>
        <v>0.6</v>
      </c>
      <c r="X238" s="106">
        <f>IF(OR(X$190,$A238),'Client Data'!X288,0)</f>
        <v>0.3</v>
      </c>
      <c r="Y238" s="106">
        <f>IF(OR(Y$190,$A238),'Client Data'!Y288,0)</f>
        <v>0.4</v>
      </c>
      <c r="Z238" s="106">
        <f>IF(OR(Z$190,$A238),'Client Data'!Z288,0)</f>
        <v>0.5</v>
      </c>
      <c r="AA238" s="106">
        <f>IF(OR(AA$190,$A238),'Client Data'!AA288,0)</f>
        <v>0.3</v>
      </c>
      <c r="AB238" s="106">
        <f>IF(OR(AB$190,$A238),'Client Data'!AB288,0)</f>
        <v>0.6</v>
      </c>
      <c r="AC238" s="106">
        <f>IF(OR(AC$190,$A238),'Client Data'!AC288,0)</f>
        <v>0.3</v>
      </c>
      <c r="AD238" s="106">
        <f>IF(OR(AD$190,$A238),'Client Data'!AD288,0)</f>
        <v>0.4</v>
      </c>
      <c r="AE238" s="106">
        <f>IF(OR(AE$190,$A238),'Client Data'!AE288,0)</f>
        <v>0.4</v>
      </c>
      <c r="AF238" s="106">
        <f>IF(OR(AF$190,$A238),'Client Data'!AF288,0)</f>
        <v>0.5</v>
      </c>
      <c r="AG238" s="106">
        <f>IF(OR(AG$190,$A238),'Client Data'!AG288,0)</f>
        <v>0.3</v>
      </c>
      <c r="AH238" s="106">
        <f>IF(OR(AH$190,$A238),'Client Data'!AH288,0)</f>
        <v>0.6</v>
      </c>
      <c r="AI238" s="106">
        <f>IF(OR(AI$190,$A238),'Client Data'!AI288,0)</f>
        <v>0.3</v>
      </c>
      <c r="AJ238" s="106">
        <f>IF(OR(AJ$190,$A238),'Client Data'!AJ288,0)</f>
        <v>0.4</v>
      </c>
      <c r="AK238" s="106">
        <f>IF(OR(AK$190,$A238),'Client Data'!AK288,0)</f>
        <v>0.4</v>
      </c>
      <c r="AL238" s="106">
        <f>IF(OR(AL$190,$A238),'Client Data'!AL288,0)</f>
        <v>0.4</v>
      </c>
      <c r="AM238" s="106">
        <f>IF(OR(AM$190,$A238),'Client Data'!AM288,0)</f>
        <v>0.5</v>
      </c>
      <c r="AN238" s="106">
        <f>IF(OR(AN$190,$A238),'Client Data'!AN288,0)</f>
        <v>0.3</v>
      </c>
      <c r="AO238" s="106">
        <f>IF(OR(AO$190,$A238),'Client Data'!AO288,0)</f>
        <v>0.4</v>
      </c>
      <c r="AP238" s="106">
        <f>IF(OR(AP$190,$A238),'Client Data'!AP288,0)</f>
        <v>0.5</v>
      </c>
      <c r="AQ238" s="106">
        <f>IF(OR(AQ$190,$A238),'Client Data'!AQ288,0)</f>
        <v>0.3</v>
      </c>
      <c r="AR238" s="106">
        <f>IF(OR(AR$190,$A238),'Client Data'!AR288,0)</f>
        <v>0.6</v>
      </c>
      <c r="AS238" s="106">
        <f>IF(OR(AS$190,$A238),'Client Data'!AS288,0)</f>
        <v>0.3</v>
      </c>
      <c r="AT238" s="106">
        <f>IF(OR(AT$190,$A238),'Client Data'!AT288,0)</f>
        <v>0.4</v>
      </c>
      <c r="AU238" s="106">
        <f>IF(OR(AU$190,$A238),'Client Data'!AU288,0)</f>
        <v>0.4</v>
      </c>
      <c r="AV238" s="106">
        <f>IF(OR(AV$190,$A238),'Client Data'!AV288,0)</f>
        <v>0.5</v>
      </c>
      <c r="AW238" s="106">
        <f>IF(OR(AW$190,$A238),'Client Data'!AW288,0)</f>
        <v>0.3</v>
      </c>
      <c r="AX238" s="106">
        <f>IF(OR(AX$190,$A238),'Client Data'!AX288,0)</f>
        <v>0.6</v>
      </c>
      <c r="AY238" s="106">
        <f>IF(OR(AY$190,$A238),'Client Data'!AY288,0)</f>
        <v>0.3</v>
      </c>
      <c r="AZ238" s="106">
        <f>IF(OR(AZ$190,$A238),'Client Data'!AZ288,0)</f>
        <v>0.4</v>
      </c>
      <c r="BA238" s="106">
        <f>IF(OR(BA$190,$A238),'Client Data'!BA288,0)</f>
        <v>0.4</v>
      </c>
      <c r="BB238" s="106">
        <f>IF(OR(BB$190,$A238),'Client Data'!BB288,0)</f>
        <v>0.2</v>
      </c>
      <c r="BC238" s="104">
        <f t="shared" si="181"/>
        <v>21.400000000000002</v>
      </c>
    </row>
    <row r="239" spans="1:55" x14ac:dyDescent="0.25">
      <c r="A239">
        <f t="shared" si="500"/>
        <v>1</v>
      </c>
      <c r="B239" s="105" t="str">
        <f>'Client Data'!B289</f>
        <v>SDT6</v>
      </c>
      <c r="C239" s="106">
        <f>IF(OR(C$190,$A239),'Client Data'!C289,0)</f>
        <v>0</v>
      </c>
      <c r="D239" s="106">
        <f>IF(OR(D$190,$A239),'Client Data'!D289,0)</f>
        <v>0</v>
      </c>
      <c r="E239" s="106">
        <f>IF(OR(E$190,$A239),'Client Data'!E289,0)</f>
        <v>0</v>
      </c>
      <c r="F239" s="106">
        <f>IF(OR(F$190,$A239),'Client Data'!F289,0)</f>
        <v>0</v>
      </c>
      <c r="G239" s="106">
        <f>IF(OR(G$190,$A239),'Client Data'!G289,0)</f>
        <v>0</v>
      </c>
      <c r="H239" s="106">
        <f>IF(OR(H$190,$A239),'Client Data'!H289,0)</f>
        <v>0</v>
      </c>
      <c r="I239" s="106">
        <f>IF(OR(I$190,$A239),'Client Data'!I289,0)</f>
        <v>0</v>
      </c>
      <c r="J239" s="106">
        <f>IF(OR(J$190,$A239),'Client Data'!J289,0)</f>
        <v>0</v>
      </c>
      <c r="K239" s="106">
        <f>IF(OR(K$190,$A239),'Client Data'!K289,0)</f>
        <v>0</v>
      </c>
      <c r="L239" s="106">
        <f>IF(OR(L$190,$A239),'Client Data'!L289,0)</f>
        <v>0</v>
      </c>
      <c r="M239" s="106">
        <f>IF(OR(M$190,$A239),'Client Data'!M289,0)</f>
        <v>0</v>
      </c>
      <c r="N239" s="106">
        <f>IF(OR(N$190,$A239),'Client Data'!N289,0)</f>
        <v>0</v>
      </c>
      <c r="O239" s="106">
        <f>IF(OR(O$190,$A239),'Client Data'!O289,0)</f>
        <v>0</v>
      </c>
      <c r="P239" s="106">
        <f>IF(OR(P$190,$A239),'Client Data'!P289,0)</f>
        <v>0</v>
      </c>
      <c r="Q239" s="106">
        <f>IF(OR(Q$190,$A239),'Client Data'!Q289,0)</f>
        <v>0</v>
      </c>
      <c r="R239" s="106">
        <f>IF(OR(R$190,$A239),'Client Data'!R289,0)</f>
        <v>0</v>
      </c>
      <c r="S239" s="106">
        <f>IF(OR(S$190,$A239),'Client Data'!S289,0)</f>
        <v>0</v>
      </c>
      <c r="T239" s="106">
        <f>IF(OR(T$190,$A239),'Client Data'!T289,0)</f>
        <v>0</v>
      </c>
      <c r="U239" s="106">
        <f>IF(OR(U$190,$A239),'Client Data'!U289,0)</f>
        <v>0</v>
      </c>
      <c r="V239" s="106">
        <f>IF(OR(V$190,$A239),'Client Data'!V289,0)</f>
        <v>0</v>
      </c>
      <c r="W239" s="106">
        <f>IF(OR(W$190,$A239),'Client Data'!W289,0)</f>
        <v>0</v>
      </c>
      <c r="X239" s="106">
        <f>IF(OR(X$190,$A239),'Client Data'!X289,0)</f>
        <v>0</v>
      </c>
      <c r="Y239" s="106">
        <f>IF(OR(Y$190,$A239),'Client Data'!Y289,0)</f>
        <v>0</v>
      </c>
      <c r="Z239" s="106">
        <f>IF(OR(Z$190,$A239),'Client Data'!Z289,0)</f>
        <v>0</v>
      </c>
      <c r="AA239" s="106">
        <f>IF(OR(AA$190,$A239),'Client Data'!AA289,0)</f>
        <v>0</v>
      </c>
      <c r="AB239" s="106">
        <f>IF(OR(AB$190,$A239),'Client Data'!AB289,0)</f>
        <v>0</v>
      </c>
      <c r="AC239" s="106">
        <f>IF(OR(AC$190,$A239),'Client Data'!AC289,0)</f>
        <v>0</v>
      </c>
      <c r="AD239" s="106">
        <f>IF(OR(AD$190,$A239),'Client Data'!AD289,0)</f>
        <v>0</v>
      </c>
      <c r="AE239" s="106">
        <f>IF(OR(AE$190,$A239),'Client Data'!AE289,0)</f>
        <v>0</v>
      </c>
      <c r="AF239" s="106">
        <f>IF(OR(AF$190,$A239),'Client Data'!AF289,0)</f>
        <v>0</v>
      </c>
      <c r="AG239" s="106">
        <f>IF(OR(AG$190,$A239),'Client Data'!AG289,0)</f>
        <v>0</v>
      </c>
      <c r="AH239" s="106">
        <f>IF(OR(AH$190,$A239),'Client Data'!AH289,0)</f>
        <v>0</v>
      </c>
      <c r="AI239" s="106">
        <f>IF(OR(AI$190,$A239),'Client Data'!AI289,0)</f>
        <v>0</v>
      </c>
      <c r="AJ239" s="106">
        <f>IF(OR(AJ$190,$A239),'Client Data'!AJ289,0)</f>
        <v>0</v>
      </c>
      <c r="AK239" s="106">
        <f>IF(OR(AK$190,$A239),'Client Data'!AK289,0)</f>
        <v>0</v>
      </c>
      <c r="AL239" s="106">
        <f>IF(OR(AL$190,$A239),'Client Data'!AL289,0)</f>
        <v>0</v>
      </c>
      <c r="AM239" s="106">
        <f>IF(OR(AM$190,$A239),'Client Data'!AM289,0)</f>
        <v>0</v>
      </c>
      <c r="AN239" s="106">
        <f>IF(OR(AN$190,$A239),'Client Data'!AN289,0)</f>
        <v>0</v>
      </c>
      <c r="AO239" s="106">
        <f>IF(OR(AO$190,$A239),'Client Data'!AO289,0)</f>
        <v>0</v>
      </c>
      <c r="AP239" s="106">
        <f>IF(OR(AP$190,$A239),'Client Data'!AP289,0)</f>
        <v>0</v>
      </c>
      <c r="AQ239" s="106">
        <f>IF(OR(AQ$190,$A239),'Client Data'!AQ289,0)</f>
        <v>0</v>
      </c>
      <c r="AR239" s="106">
        <f>IF(OR(AR$190,$A239),'Client Data'!AR289,0)</f>
        <v>0</v>
      </c>
      <c r="AS239" s="106">
        <f>IF(OR(AS$190,$A239),'Client Data'!AS289,0)</f>
        <v>0</v>
      </c>
      <c r="AT239" s="106">
        <f>IF(OR(AT$190,$A239),'Client Data'!AT289,0)</f>
        <v>0</v>
      </c>
      <c r="AU239" s="106">
        <f>IF(OR(AU$190,$A239),'Client Data'!AU289,0)</f>
        <v>0</v>
      </c>
      <c r="AV239" s="106">
        <f>IF(OR(AV$190,$A239),'Client Data'!AV289,0)</f>
        <v>0</v>
      </c>
      <c r="AW239" s="106">
        <f>IF(OR(AW$190,$A239),'Client Data'!AW289,0)</f>
        <v>0</v>
      </c>
      <c r="AX239" s="106">
        <f>IF(OR(AX$190,$A239),'Client Data'!AX289,0)</f>
        <v>0</v>
      </c>
      <c r="AY239" s="106">
        <f>IF(OR(AY$190,$A239),'Client Data'!AY289,0)</f>
        <v>0</v>
      </c>
      <c r="AZ239" s="106">
        <f>IF(OR(AZ$190,$A239),'Client Data'!AZ289,0)</f>
        <v>0</v>
      </c>
      <c r="BA239" s="106">
        <f>IF(OR(BA$190,$A239),'Client Data'!BA289,0)</f>
        <v>0</v>
      </c>
      <c r="BB239" s="106">
        <f>IF(OR(BB$190,$A239),'Client Data'!BB289,0)</f>
        <v>0</v>
      </c>
      <c r="BC239" s="104">
        <f t="shared" si="181"/>
        <v>0</v>
      </c>
    </row>
    <row r="240" spans="1:55" x14ac:dyDescent="0.25">
      <c r="A240">
        <f>A233-1</f>
        <v>1</v>
      </c>
      <c r="B240" s="107" t="str">
        <f>'Client Data'!B290</f>
        <v>SDT Type H</v>
      </c>
      <c r="C240" s="102">
        <f t="shared" ref="C240" si="501">IF(OR(C$190&gt;0,$A240),SUM(C241:C246),0)</f>
        <v>0.8</v>
      </c>
      <c r="D240" s="102">
        <f t="shared" ref="D240" si="502">IF(OR(D$190&gt;0,$A240),SUM(D241:D246),0)</f>
        <v>0.9</v>
      </c>
      <c r="E240" s="102">
        <f t="shared" ref="E240" si="503">IF(OR(E$190&gt;0,$A240),SUM(E241:E246),0)</f>
        <v>0.7</v>
      </c>
      <c r="F240" s="102">
        <f t="shared" ref="F240" si="504">IF(OR(F$190&gt;0,$A240),SUM(F241:F246),0)</f>
        <v>1</v>
      </c>
      <c r="G240" s="102">
        <f t="shared" ref="G240" si="505">IF(OR(G$190&gt;0,$A240),SUM(G241:G246),0)</f>
        <v>0.7</v>
      </c>
      <c r="H240" s="102">
        <f t="shared" ref="H240" si="506">IF(OR(H$190&gt;0,$A240),SUM(H241:H246),0)</f>
        <v>0.8</v>
      </c>
      <c r="I240" s="102">
        <f t="shared" ref="I240" si="507">IF(OR(I$190&gt;0,$A240),SUM(I241:I246),0)</f>
        <v>0.8</v>
      </c>
      <c r="J240" s="102">
        <f t="shared" ref="J240" si="508">IF(OR(J$190&gt;0,$A240),SUM(J241:J246),0)</f>
        <v>1</v>
      </c>
      <c r="K240" s="102">
        <f t="shared" ref="K240" si="509">IF(OR(K$190&gt;0,$A240),SUM(K241:K246),0)</f>
        <v>0.6</v>
      </c>
      <c r="L240" s="102">
        <f t="shared" ref="L240" si="510">IF(OR(L$190&gt;0,$A240),SUM(L241:L246),0)</f>
        <v>1.2</v>
      </c>
      <c r="M240" s="102">
        <f t="shared" ref="M240" si="511">IF(OR(M$190&gt;0,$A240),SUM(M241:M246),0)</f>
        <v>0.6</v>
      </c>
      <c r="N240" s="102">
        <f t="shared" ref="N240" si="512">IF(OR(N$190&gt;0,$A240),SUM(N241:N246),0)</f>
        <v>0.8</v>
      </c>
      <c r="O240" s="102">
        <f t="shared" ref="O240" si="513">IF(OR(O$190&gt;0,$A240),SUM(O241:O246),0)</f>
        <v>0.9</v>
      </c>
      <c r="P240" s="102">
        <f t="shared" ref="P240" si="514">IF(OR(P$190&gt;0,$A240),SUM(P241:P246),0)</f>
        <v>0.8</v>
      </c>
      <c r="Q240" s="102">
        <f t="shared" ref="Q240" si="515">IF(OR(Q$190&gt;0,$A240),SUM(Q241:Q246),0)</f>
        <v>0.89999999999999991</v>
      </c>
      <c r="R240" s="102">
        <f t="shared" ref="R240" si="516">IF(OR(R$190&gt;0,$A240),SUM(R241:R246),0)</f>
        <v>0.89999999999999991</v>
      </c>
      <c r="S240" s="102">
        <f t="shared" ref="S240" si="517">IF(OR(S$190&gt;0,$A240),SUM(S241:S246),0)</f>
        <v>0.7</v>
      </c>
      <c r="T240" s="102">
        <f t="shared" ref="T240" si="518">IF(OR(T$190&gt;0,$A240),SUM(T241:T246),0)</f>
        <v>0.8</v>
      </c>
      <c r="U240" s="102">
        <f t="shared" ref="U240" si="519">IF(OR(U$190&gt;0,$A240),SUM(U241:U246),0)</f>
        <v>1</v>
      </c>
      <c r="V240" s="102">
        <f t="shared" ref="V240" si="520">IF(OR(V$190&gt;0,$A240),SUM(V241:V246),0)</f>
        <v>0.6</v>
      </c>
      <c r="W240" s="102">
        <f t="shared" ref="W240" si="521">IF(OR(W$190&gt;0,$A240),SUM(W241:W246),0)</f>
        <v>1.2</v>
      </c>
      <c r="X240" s="102">
        <f t="shared" ref="X240" si="522">IF(OR(X$190&gt;0,$A240),SUM(X241:X246),0)</f>
        <v>0.6</v>
      </c>
      <c r="Y240" s="102">
        <f t="shared" ref="Y240" si="523">IF(OR(Y$190&gt;0,$A240),SUM(Y241:Y246),0)</f>
        <v>0.8</v>
      </c>
      <c r="Z240" s="102">
        <f t="shared" ref="Z240" si="524">IF(OR(Z$190&gt;0,$A240),SUM(Z241:Z246),0)</f>
        <v>0.9</v>
      </c>
      <c r="AA240" s="102">
        <f t="shared" ref="AA240" si="525">IF(OR(AA$190&gt;0,$A240),SUM(AA241:AA246),0)</f>
        <v>0.8</v>
      </c>
      <c r="AB240" s="102">
        <f t="shared" ref="AB240" si="526">IF(OR(AB$190&gt;0,$A240),SUM(AB241:AB246),0)</f>
        <v>0.89999999999999991</v>
      </c>
      <c r="AC240" s="102">
        <f t="shared" ref="AC240" si="527">IF(OR(AC$190&gt;0,$A240),SUM(AC241:AC246),0)</f>
        <v>0.89999999999999991</v>
      </c>
      <c r="AD240" s="102">
        <f t="shared" ref="AD240" si="528">IF(OR(AD$190&gt;0,$A240),SUM(AD241:AD246),0)</f>
        <v>0.7</v>
      </c>
      <c r="AE240" s="102">
        <f t="shared" ref="AE240" si="529">IF(OR(AE$190&gt;0,$A240),SUM(AE241:AE246),0)</f>
        <v>0.8</v>
      </c>
      <c r="AF240" s="102">
        <f t="shared" ref="AF240" si="530">IF(OR(AF$190&gt;0,$A240),SUM(AF241:AF246),0)</f>
        <v>1</v>
      </c>
      <c r="AG240" s="102">
        <f t="shared" ref="AG240" si="531">IF(OR(AG$190&gt;0,$A240),SUM(AG241:AG246),0)</f>
        <v>0.6</v>
      </c>
      <c r="AH240" s="102">
        <f t="shared" ref="AH240" si="532">IF(OR(AH$190&gt;0,$A240),SUM(AH241:AH246),0)</f>
        <v>1.2</v>
      </c>
      <c r="AI240" s="102">
        <f t="shared" ref="AI240" si="533">IF(OR(AI$190&gt;0,$A240),SUM(AI241:AI246),0)</f>
        <v>0.6</v>
      </c>
      <c r="AJ240" s="102">
        <f t="shared" ref="AJ240" si="534">IF(OR(AJ$190&gt;0,$A240),SUM(AJ241:AJ246),0)</f>
        <v>0.8</v>
      </c>
      <c r="AK240" s="102">
        <f t="shared" ref="AK240" si="535">IF(OR(AK$190&gt;0,$A240),SUM(AK241:AK246),0)</f>
        <v>0.8</v>
      </c>
      <c r="AL240" s="102">
        <f t="shared" ref="AL240" si="536">IF(OR(AL$190&gt;0,$A240),SUM(AL241:AL246),0)</f>
        <v>0.9</v>
      </c>
      <c r="AM240" s="102">
        <f t="shared" ref="AM240" si="537">IF(OR(AM$190&gt;0,$A240),SUM(AM241:AM246),0)</f>
        <v>0.8</v>
      </c>
      <c r="AN240" s="102">
        <f t="shared" ref="AN240" si="538">IF(OR(AN$190&gt;0,$A240),SUM(AN241:AN246),0)</f>
        <v>0.89999999999999991</v>
      </c>
      <c r="AO240" s="102">
        <f t="shared" ref="AO240" si="539">IF(OR(AO$190&gt;0,$A240),SUM(AO241:AO246),0)</f>
        <v>0.7</v>
      </c>
      <c r="AP240" s="102">
        <f t="shared" ref="AP240" si="540">IF(OR(AP$190&gt;0,$A240),SUM(AP241:AP246),0)</f>
        <v>0.9</v>
      </c>
      <c r="AQ240" s="102">
        <f t="shared" ref="AQ240" si="541">IF(OR(AQ$190&gt;0,$A240),SUM(AQ241:AQ246),0)</f>
        <v>0.7</v>
      </c>
      <c r="AR240" s="102">
        <f t="shared" ref="AR240" si="542">IF(OR(AR$190&gt;0,$A240),SUM(AR241:AR246),0)</f>
        <v>1</v>
      </c>
      <c r="AS240" s="102">
        <f t="shared" ref="AS240" si="543">IF(OR(AS$190&gt;0,$A240),SUM(AS241:AS246),0)</f>
        <v>0.8</v>
      </c>
      <c r="AT240" s="102">
        <f t="shared" ref="AT240" si="544">IF(OR(AT$190&gt;0,$A240),SUM(AT241:AT246),0)</f>
        <v>0.7</v>
      </c>
      <c r="AU240" s="102">
        <f t="shared" ref="AU240" si="545">IF(OR(AU$190&gt;0,$A240),SUM(AU241:AU246),0)</f>
        <v>0.8</v>
      </c>
      <c r="AV240" s="102">
        <f t="shared" ref="AV240" si="546">IF(OR(AV$190&gt;0,$A240),SUM(AV241:AV246),0)</f>
        <v>1</v>
      </c>
      <c r="AW240" s="102">
        <f t="shared" ref="AW240" si="547">IF(OR(AW$190&gt;0,$A240),SUM(AW241:AW246),0)</f>
        <v>0.6</v>
      </c>
      <c r="AX240" s="102">
        <f t="shared" ref="AX240" si="548">IF(OR(AX$190&gt;0,$A240),SUM(AX241:AX246),0)</f>
        <v>1.2</v>
      </c>
      <c r="AY240" s="102">
        <f t="shared" ref="AY240" si="549">IF(OR(AY$190&gt;0,$A240),SUM(AY241:AY246),0)</f>
        <v>0.6</v>
      </c>
      <c r="AZ240" s="102">
        <f t="shared" ref="AZ240" si="550">IF(OR(AZ$190&gt;0,$A240),SUM(AZ241:AZ246),0)</f>
        <v>0.8</v>
      </c>
      <c r="BA240" s="102">
        <f t="shared" ref="BA240" si="551">IF(OR(BA$190&gt;0,$A240),SUM(BA241:BA246),0)</f>
        <v>0.8</v>
      </c>
      <c r="BB240" s="102">
        <f t="shared" ref="BB240" si="552">IF(OR(BB$190&gt;0,$A240),SUM(BB241:BB246),0)</f>
        <v>0.4</v>
      </c>
      <c r="BC240" s="107">
        <f t="shared" si="181"/>
        <v>42.7</v>
      </c>
    </row>
    <row r="241" spans="1:56" x14ac:dyDescent="0.25">
      <c r="A241">
        <f>IF(A$240&gt;0,A234,0)</f>
        <v>6</v>
      </c>
      <c r="B241" s="105" t="str">
        <f>'Client Data'!B291</f>
        <v>SDT1</v>
      </c>
      <c r="C241" s="106">
        <f>IF(OR(C$190,$A241),'Client Data'!C291,0)</f>
        <v>0</v>
      </c>
      <c r="D241" s="106">
        <f>IF(OR(D$190,$A241),'Client Data'!D291,0)</f>
        <v>0</v>
      </c>
      <c r="E241" s="106">
        <f>IF(OR(E$190,$A241),'Client Data'!E291,0)</f>
        <v>0</v>
      </c>
      <c r="F241" s="106">
        <f>IF(OR(F$190,$A241),'Client Data'!F291,0)</f>
        <v>0</v>
      </c>
      <c r="G241" s="106">
        <f>IF(OR(G$190,$A241),'Client Data'!G291,0)</f>
        <v>0</v>
      </c>
      <c r="H241" s="106">
        <f>IF(OR(H$190,$A241),'Client Data'!H291,0)</f>
        <v>0</v>
      </c>
      <c r="I241" s="106">
        <f>IF(OR(I$190,$A241),'Client Data'!I291,0)</f>
        <v>0</v>
      </c>
      <c r="J241" s="106">
        <f>IF(OR(J$190,$A241),'Client Data'!J291,0)</f>
        <v>0</v>
      </c>
      <c r="K241" s="106">
        <f>IF(OR(K$190,$A241),'Client Data'!K291,0)</f>
        <v>0</v>
      </c>
      <c r="L241" s="106">
        <f>IF(OR(L$190,$A241),'Client Data'!L291,0)</f>
        <v>0</v>
      </c>
      <c r="M241" s="106">
        <f>IF(OR(M$190,$A241),'Client Data'!M291,0)</f>
        <v>0</v>
      </c>
      <c r="N241" s="106">
        <f>IF(OR(N$190,$A241),'Client Data'!N291,0)</f>
        <v>0</v>
      </c>
      <c r="O241" s="106">
        <f>IF(OR(O$190,$A241),'Client Data'!O291,0)</f>
        <v>0</v>
      </c>
      <c r="P241" s="106">
        <f>IF(OR(P$190,$A241),'Client Data'!P291,0)</f>
        <v>0</v>
      </c>
      <c r="Q241" s="106">
        <f>IF(OR(Q$190,$A241),'Client Data'!Q291,0)</f>
        <v>0</v>
      </c>
      <c r="R241" s="106">
        <f>IF(OR(R$190,$A241),'Client Data'!R291,0)</f>
        <v>0</v>
      </c>
      <c r="S241" s="106">
        <f>IF(OR(S$190,$A241),'Client Data'!S291,0)</f>
        <v>0</v>
      </c>
      <c r="T241" s="106">
        <f>IF(OR(T$190,$A241),'Client Data'!T291,0)</f>
        <v>0</v>
      </c>
      <c r="U241" s="106">
        <f>IF(OR(U$190,$A241),'Client Data'!U291,0)</f>
        <v>0</v>
      </c>
      <c r="V241" s="106">
        <f>IF(OR(V$190,$A241),'Client Data'!V291,0)</f>
        <v>0</v>
      </c>
      <c r="W241" s="106">
        <f>IF(OR(W$190,$A241),'Client Data'!W291,0)</f>
        <v>0</v>
      </c>
      <c r="X241" s="106">
        <f>IF(OR(X$190,$A241),'Client Data'!X291,0)</f>
        <v>0</v>
      </c>
      <c r="Y241" s="106">
        <f>IF(OR(Y$190,$A241),'Client Data'!Y291,0)</f>
        <v>0</v>
      </c>
      <c r="Z241" s="106">
        <f>IF(OR(Z$190,$A241),'Client Data'!Z291,0)</f>
        <v>0</v>
      </c>
      <c r="AA241" s="106">
        <f>IF(OR(AA$190,$A241),'Client Data'!AA291,0)</f>
        <v>0</v>
      </c>
      <c r="AB241" s="106">
        <f>IF(OR(AB$190,$A241),'Client Data'!AB291,0)</f>
        <v>0</v>
      </c>
      <c r="AC241" s="106">
        <f>IF(OR(AC$190,$A241),'Client Data'!AC291,0)</f>
        <v>0</v>
      </c>
      <c r="AD241" s="106">
        <f>IF(OR(AD$190,$A241),'Client Data'!AD291,0)</f>
        <v>0</v>
      </c>
      <c r="AE241" s="106">
        <f>IF(OR(AE$190,$A241),'Client Data'!AE291,0)</f>
        <v>0</v>
      </c>
      <c r="AF241" s="106">
        <f>IF(OR(AF$190,$A241),'Client Data'!AF291,0)</f>
        <v>0</v>
      </c>
      <c r="AG241" s="106">
        <f>IF(OR(AG$190,$A241),'Client Data'!AG291,0)</f>
        <v>0</v>
      </c>
      <c r="AH241" s="106">
        <f>IF(OR(AH$190,$A241),'Client Data'!AH291,0)</f>
        <v>0</v>
      </c>
      <c r="AI241" s="106">
        <f>IF(OR(AI$190,$A241),'Client Data'!AI291,0)</f>
        <v>0</v>
      </c>
      <c r="AJ241" s="106">
        <f>IF(OR(AJ$190,$A241),'Client Data'!AJ291,0)</f>
        <v>0</v>
      </c>
      <c r="AK241" s="106">
        <f>IF(OR(AK$190,$A241),'Client Data'!AK291,0)</f>
        <v>0</v>
      </c>
      <c r="AL241" s="106">
        <f>IF(OR(AL$190,$A241),'Client Data'!AL291,0)</f>
        <v>0</v>
      </c>
      <c r="AM241" s="106">
        <f>IF(OR(AM$190,$A241),'Client Data'!AM291,0)</f>
        <v>0</v>
      </c>
      <c r="AN241" s="106">
        <f>IF(OR(AN$190,$A241),'Client Data'!AN291,0)</f>
        <v>0</v>
      </c>
      <c r="AO241" s="106">
        <f>IF(OR(AO$190,$A241),'Client Data'!AO291,0)</f>
        <v>0</v>
      </c>
      <c r="AP241" s="106">
        <f>IF(OR(AP$190,$A241),'Client Data'!AP291,0)</f>
        <v>0</v>
      </c>
      <c r="AQ241" s="106">
        <f>IF(OR(AQ$190,$A241),'Client Data'!AQ291,0)</f>
        <v>0</v>
      </c>
      <c r="AR241" s="106">
        <f>IF(OR(AR$190,$A241),'Client Data'!AR291,0)</f>
        <v>0</v>
      </c>
      <c r="AS241" s="106">
        <f>IF(OR(AS$190,$A241),'Client Data'!AS291,0)</f>
        <v>0</v>
      </c>
      <c r="AT241" s="106">
        <f>IF(OR(AT$190,$A241),'Client Data'!AT291,0)</f>
        <v>0</v>
      </c>
      <c r="AU241" s="106">
        <f>IF(OR(AU$190,$A241),'Client Data'!AU291,0)</f>
        <v>0</v>
      </c>
      <c r="AV241" s="106">
        <f>IF(OR(AV$190,$A241),'Client Data'!AV291,0)</f>
        <v>0</v>
      </c>
      <c r="AW241" s="106">
        <f>IF(OR(AW$190,$A241),'Client Data'!AW291,0)</f>
        <v>0</v>
      </c>
      <c r="AX241" s="106">
        <f>IF(OR(AX$190,$A241),'Client Data'!AX291,0)</f>
        <v>0</v>
      </c>
      <c r="AY241" s="106">
        <f>IF(OR(AY$190,$A241),'Client Data'!AY291,0)</f>
        <v>0</v>
      </c>
      <c r="AZ241" s="106">
        <f>IF(OR(AZ$190,$A241),'Client Data'!AZ291,0)</f>
        <v>0</v>
      </c>
      <c r="BA241" s="106">
        <f>IF(OR(BA$190,$A241),'Client Data'!BA291,0)</f>
        <v>0</v>
      </c>
      <c r="BB241" s="106">
        <f>IF(OR(BB$190,$A241),'Client Data'!BB291,0)</f>
        <v>0</v>
      </c>
      <c r="BC241" s="104">
        <f t="shared" si="181"/>
        <v>0</v>
      </c>
    </row>
    <row r="242" spans="1:56" x14ac:dyDescent="0.25">
      <c r="A242">
        <f>IF(A$240&gt;0,A241-1,0)</f>
        <v>5</v>
      </c>
      <c r="B242" s="105" t="str">
        <f>'Client Data'!B292</f>
        <v>SDT2</v>
      </c>
      <c r="C242" s="106">
        <f>IF(OR(C$190,$A242),'Client Data'!C292,0)</f>
        <v>0.4</v>
      </c>
      <c r="D242" s="106">
        <f>IF(OR(D$190,$A242),'Client Data'!D292,0)</f>
        <v>0.4</v>
      </c>
      <c r="E242" s="106">
        <f>IF(OR(E$190,$A242),'Client Data'!E292,0)</f>
        <v>0.4</v>
      </c>
      <c r="F242" s="106">
        <f>IF(OR(F$190,$A242),'Client Data'!F292,0)</f>
        <v>0.4</v>
      </c>
      <c r="G242" s="106">
        <f>IF(OR(G$190,$A242),'Client Data'!G292,0)</f>
        <v>0.4</v>
      </c>
      <c r="H242" s="106">
        <f>IF(OR(H$190,$A242),'Client Data'!H292,0)</f>
        <v>0.4</v>
      </c>
      <c r="I242" s="106">
        <f>IF(OR(I$190,$A242),'Client Data'!I292,0)</f>
        <v>0.4</v>
      </c>
      <c r="J242" s="106">
        <f>IF(OR(J$190,$A242),'Client Data'!J292,0)</f>
        <v>0.5</v>
      </c>
      <c r="K242" s="106">
        <f>IF(OR(K$190,$A242),'Client Data'!K292,0)</f>
        <v>0.3</v>
      </c>
      <c r="L242" s="106">
        <f>IF(OR(L$190,$A242),'Client Data'!L292,0)</f>
        <v>0.6</v>
      </c>
      <c r="M242" s="106">
        <f>IF(OR(M$190,$A242),'Client Data'!M292,0)</f>
        <v>0.3</v>
      </c>
      <c r="N242" s="106">
        <f>IF(OR(N$190,$A242),'Client Data'!N292,0)</f>
        <v>0.4</v>
      </c>
      <c r="O242" s="106">
        <f>IF(OR(O$190,$A242),'Client Data'!O292,0)</f>
        <v>0.4</v>
      </c>
      <c r="P242" s="106">
        <f>IF(OR(P$190,$A242),'Client Data'!P292,0)</f>
        <v>0.5</v>
      </c>
      <c r="Q242" s="106">
        <f>IF(OR(Q$190,$A242),'Client Data'!Q292,0)</f>
        <v>0.3</v>
      </c>
      <c r="R242" s="106">
        <f>IF(OR(R$190,$A242),'Client Data'!R292,0)</f>
        <v>0.6</v>
      </c>
      <c r="S242" s="106">
        <f>IF(OR(S$190,$A242),'Client Data'!S292,0)</f>
        <v>0.3</v>
      </c>
      <c r="T242" s="106">
        <f>IF(OR(T$190,$A242),'Client Data'!T292,0)</f>
        <v>0.4</v>
      </c>
      <c r="U242" s="106">
        <f>IF(OR(U$190,$A242),'Client Data'!U292,0)</f>
        <v>0.5</v>
      </c>
      <c r="V242" s="106">
        <f>IF(OR(V$190,$A242),'Client Data'!V292,0)</f>
        <v>0.3</v>
      </c>
      <c r="W242" s="106">
        <f>IF(OR(W$190,$A242),'Client Data'!W292,0)</f>
        <v>0.6</v>
      </c>
      <c r="X242" s="106">
        <f>IF(OR(X$190,$A242),'Client Data'!X292,0)</f>
        <v>0.3</v>
      </c>
      <c r="Y242" s="106">
        <f>IF(OR(Y$190,$A242),'Client Data'!Y292,0)</f>
        <v>0.4</v>
      </c>
      <c r="Z242" s="106">
        <f>IF(OR(Z$190,$A242),'Client Data'!Z292,0)</f>
        <v>0.4</v>
      </c>
      <c r="AA242" s="106">
        <f>IF(OR(AA$190,$A242),'Client Data'!AA292,0)</f>
        <v>0.5</v>
      </c>
      <c r="AB242" s="106">
        <f>IF(OR(AB$190,$A242),'Client Data'!AB292,0)</f>
        <v>0.3</v>
      </c>
      <c r="AC242" s="106">
        <f>IF(OR(AC$190,$A242),'Client Data'!AC292,0)</f>
        <v>0.6</v>
      </c>
      <c r="AD242" s="106">
        <f>IF(OR(AD$190,$A242),'Client Data'!AD292,0)</f>
        <v>0.3</v>
      </c>
      <c r="AE242" s="106">
        <f>IF(OR(AE$190,$A242),'Client Data'!AE292,0)</f>
        <v>0.4</v>
      </c>
      <c r="AF242" s="106">
        <f>IF(OR(AF$190,$A242),'Client Data'!AF292,0)</f>
        <v>0.5</v>
      </c>
      <c r="AG242" s="106">
        <f>IF(OR(AG$190,$A242),'Client Data'!AG292,0)</f>
        <v>0.3</v>
      </c>
      <c r="AH242" s="106">
        <f>IF(OR(AH$190,$A242),'Client Data'!AH292,0)</f>
        <v>0.6</v>
      </c>
      <c r="AI242" s="106">
        <f>IF(OR(AI$190,$A242),'Client Data'!AI292,0)</f>
        <v>0.3</v>
      </c>
      <c r="AJ242" s="106">
        <f>IF(OR(AJ$190,$A242),'Client Data'!AJ292,0)</f>
        <v>0.4</v>
      </c>
      <c r="AK242" s="106">
        <f>IF(OR(AK$190,$A242),'Client Data'!AK292,0)</f>
        <v>0.4</v>
      </c>
      <c r="AL242" s="106">
        <f>IF(OR(AL$190,$A242),'Client Data'!AL292,0)</f>
        <v>0.5</v>
      </c>
      <c r="AM242" s="106">
        <f>IF(OR(AM$190,$A242),'Client Data'!AM292,0)</f>
        <v>0.3</v>
      </c>
      <c r="AN242" s="106">
        <f>IF(OR(AN$190,$A242),'Client Data'!AN292,0)</f>
        <v>0.6</v>
      </c>
      <c r="AO242" s="106">
        <f>IF(OR(AO$190,$A242),'Client Data'!AO292,0)</f>
        <v>0.3</v>
      </c>
      <c r="AP242" s="106">
        <f>IF(OR(AP$190,$A242),'Client Data'!AP292,0)</f>
        <v>0.4</v>
      </c>
      <c r="AQ242" s="106">
        <f>IF(OR(AQ$190,$A242),'Client Data'!AQ292,0)</f>
        <v>0.4</v>
      </c>
      <c r="AR242" s="106">
        <f>IF(OR(AR$190,$A242),'Client Data'!AR292,0)</f>
        <v>0.4</v>
      </c>
      <c r="AS242" s="106">
        <f>IF(OR(AS$190,$A242),'Client Data'!AS292,0)</f>
        <v>0.5</v>
      </c>
      <c r="AT242" s="106">
        <f>IF(OR(AT$190,$A242),'Client Data'!AT292,0)</f>
        <v>0.3</v>
      </c>
      <c r="AU242" s="106">
        <f>IF(OR(AU$190,$A242),'Client Data'!AU292,0)</f>
        <v>0.4</v>
      </c>
      <c r="AV242" s="106">
        <f>IF(OR(AV$190,$A242),'Client Data'!AV292,0)</f>
        <v>0.5</v>
      </c>
      <c r="AW242" s="106">
        <f>IF(OR(AW$190,$A242),'Client Data'!AW292,0)</f>
        <v>0.3</v>
      </c>
      <c r="AX242" s="106">
        <f>IF(OR(AX$190,$A242),'Client Data'!AX292,0)</f>
        <v>0.6</v>
      </c>
      <c r="AY242" s="106">
        <f>IF(OR(AY$190,$A242),'Client Data'!AY292,0)</f>
        <v>0.3</v>
      </c>
      <c r="AZ242" s="106">
        <f>IF(OR(AZ$190,$A242),'Client Data'!AZ292,0)</f>
        <v>0.4</v>
      </c>
      <c r="BA242" s="106">
        <f>IF(OR(BA$190,$A242),'Client Data'!BA292,0)</f>
        <v>0.4</v>
      </c>
      <c r="BB242" s="106">
        <f>IF(OR(BB$190,$A242),'Client Data'!BB292,0)</f>
        <v>0.2</v>
      </c>
      <c r="BC242" s="104">
        <f t="shared" si="181"/>
        <v>21.299999999999997</v>
      </c>
    </row>
    <row r="243" spans="1:56" x14ac:dyDescent="0.25">
      <c r="A243">
        <f t="shared" ref="A243:A246" si="553">IF(A$240&gt;0,A242-1,0)</f>
        <v>4</v>
      </c>
      <c r="B243" s="105" t="str">
        <f>'Client Data'!B293</f>
        <v>SDT3</v>
      </c>
      <c r="C243" s="106">
        <f>IF(OR(C$190,$A243),'Client Data'!C293,0)</f>
        <v>0</v>
      </c>
      <c r="D243" s="106">
        <f>IF(OR(D$190,$A243),'Client Data'!D293,0)</f>
        <v>0</v>
      </c>
      <c r="E243" s="106">
        <f>IF(OR(E$190,$A243),'Client Data'!E293,0)</f>
        <v>0</v>
      </c>
      <c r="F243" s="106">
        <f>IF(OR(F$190,$A243),'Client Data'!F293,0)</f>
        <v>0</v>
      </c>
      <c r="G243" s="106">
        <f>IF(OR(G$190,$A243),'Client Data'!G293,0)</f>
        <v>0</v>
      </c>
      <c r="H243" s="106">
        <f>IF(OR(H$190,$A243),'Client Data'!H293,0)</f>
        <v>0</v>
      </c>
      <c r="I243" s="106">
        <f>IF(OR(I$190,$A243),'Client Data'!I293,0)</f>
        <v>0</v>
      </c>
      <c r="J243" s="106">
        <f>IF(OR(J$190,$A243),'Client Data'!J293,0)</f>
        <v>0</v>
      </c>
      <c r="K243" s="106">
        <f>IF(OR(K$190,$A243),'Client Data'!K293,0)</f>
        <v>0</v>
      </c>
      <c r="L243" s="106">
        <f>IF(OR(L$190,$A243),'Client Data'!L293,0)</f>
        <v>0</v>
      </c>
      <c r="M243" s="106">
        <f>IF(OR(M$190,$A243),'Client Data'!M293,0)</f>
        <v>0</v>
      </c>
      <c r="N243" s="106">
        <f>IF(OR(N$190,$A243),'Client Data'!N293,0)</f>
        <v>0</v>
      </c>
      <c r="O243" s="106">
        <f>IF(OR(O$190,$A243),'Client Data'!O293,0)</f>
        <v>0</v>
      </c>
      <c r="P243" s="106">
        <f>IF(OR(P$190,$A243),'Client Data'!P293,0)</f>
        <v>0</v>
      </c>
      <c r="Q243" s="106">
        <f>IF(OR(Q$190,$A243),'Client Data'!Q293,0)</f>
        <v>0</v>
      </c>
      <c r="R243" s="106">
        <f>IF(OR(R$190,$A243),'Client Data'!R293,0)</f>
        <v>0</v>
      </c>
      <c r="S243" s="106">
        <f>IF(OR(S$190,$A243),'Client Data'!S293,0)</f>
        <v>0</v>
      </c>
      <c r="T243" s="106">
        <f>IF(OR(T$190,$A243),'Client Data'!T293,0)</f>
        <v>0</v>
      </c>
      <c r="U243" s="106">
        <f>IF(OR(U$190,$A243),'Client Data'!U293,0)</f>
        <v>0</v>
      </c>
      <c r="V243" s="106">
        <f>IF(OR(V$190,$A243),'Client Data'!V293,0)</f>
        <v>0</v>
      </c>
      <c r="W243" s="106">
        <f>IF(OR(W$190,$A243),'Client Data'!W293,0)</f>
        <v>0</v>
      </c>
      <c r="X243" s="106">
        <f>IF(OR(X$190,$A243),'Client Data'!X293,0)</f>
        <v>0</v>
      </c>
      <c r="Y243" s="106">
        <f>IF(OR(Y$190,$A243),'Client Data'!Y293,0)</f>
        <v>0</v>
      </c>
      <c r="Z243" s="106">
        <f>IF(OR(Z$190,$A243),'Client Data'!Z293,0)</f>
        <v>0</v>
      </c>
      <c r="AA243" s="106">
        <f>IF(OR(AA$190,$A243),'Client Data'!AA293,0)</f>
        <v>0</v>
      </c>
      <c r="AB243" s="106">
        <f>IF(OR(AB$190,$A243),'Client Data'!AB293,0)</f>
        <v>0</v>
      </c>
      <c r="AC243" s="106">
        <f>IF(OR(AC$190,$A243),'Client Data'!AC293,0)</f>
        <v>0</v>
      </c>
      <c r="AD243" s="106">
        <f>IF(OR(AD$190,$A243),'Client Data'!AD293,0)</f>
        <v>0</v>
      </c>
      <c r="AE243" s="106">
        <f>IF(OR(AE$190,$A243),'Client Data'!AE293,0)</f>
        <v>0</v>
      </c>
      <c r="AF243" s="106">
        <f>IF(OR(AF$190,$A243),'Client Data'!AF293,0)</f>
        <v>0</v>
      </c>
      <c r="AG243" s="106">
        <f>IF(OR(AG$190,$A243),'Client Data'!AG293,0)</f>
        <v>0</v>
      </c>
      <c r="AH243" s="106">
        <f>IF(OR(AH$190,$A243),'Client Data'!AH293,0)</f>
        <v>0</v>
      </c>
      <c r="AI243" s="106">
        <f>IF(OR(AI$190,$A243),'Client Data'!AI293,0)</f>
        <v>0</v>
      </c>
      <c r="AJ243" s="106">
        <f>IF(OR(AJ$190,$A243),'Client Data'!AJ293,0)</f>
        <v>0</v>
      </c>
      <c r="AK243" s="106">
        <f>IF(OR(AK$190,$A243),'Client Data'!AK293,0)</f>
        <v>0</v>
      </c>
      <c r="AL243" s="106">
        <f>IF(OR(AL$190,$A243),'Client Data'!AL293,0)</f>
        <v>0</v>
      </c>
      <c r="AM243" s="106">
        <f>IF(OR(AM$190,$A243),'Client Data'!AM293,0)</f>
        <v>0</v>
      </c>
      <c r="AN243" s="106">
        <f>IF(OR(AN$190,$A243),'Client Data'!AN293,0)</f>
        <v>0</v>
      </c>
      <c r="AO243" s="106">
        <f>IF(OR(AO$190,$A243),'Client Data'!AO293,0)</f>
        <v>0</v>
      </c>
      <c r="AP243" s="106">
        <f>IF(OR(AP$190,$A243),'Client Data'!AP293,0)</f>
        <v>0</v>
      </c>
      <c r="AQ243" s="106">
        <f>IF(OR(AQ$190,$A243),'Client Data'!AQ293,0)</f>
        <v>0</v>
      </c>
      <c r="AR243" s="106">
        <f>IF(OR(AR$190,$A243),'Client Data'!AR293,0)</f>
        <v>0</v>
      </c>
      <c r="AS243" s="106">
        <f>IF(OR(AS$190,$A243),'Client Data'!AS293,0)</f>
        <v>0</v>
      </c>
      <c r="AT243" s="106">
        <f>IF(OR(AT$190,$A243),'Client Data'!AT293,0)</f>
        <v>0</v>
      </c>
      <c r="AU243" s="106">
        <f>IF(OR(AU$190,$A243),'Client Data'!AU293,0)</f>
        <v>0</v>
      </c>
      <c r="AV243" s="106">
        <f>IF(OR(AV$190,$A243),'Client Data'!AV293,0)</f>
        <v>0</v>
      </c>
      <c r="AW243" s="106">
        <f>IF(OR(AW$190,$A243),'Client Data'!AW293,0)</f>
        <v>0</v>
      </c>
      <c r="AX243" s="106">
        <f>IF(OR(AX$190,$A243),'Client Data'!AX293,0)</f>
        <v>0</v>
      </c>
      <c r="AY243" s="106">
        <f>IF(OR(AY$190,$A243),'Client Data'!AY293,0)</f>
        <v>0</v>
      </c>
      <c r="AZ243" s="106">
        <f>IF(OR(AZ$190,$A243),'Client Data'!AZ293,0)</f>
        <v>0</v>
      </c>
      <c r="BA243" s="106">
        <f>IF(OR(BA$190,$A243),'Client Data'!BA293,0)</f>
        <v>0</v>
      </c>
      <c r="BB243" s="106">
        <f>IF(OR(BB$190,$A243),'Client Data'!BB293,0)</f>
        <v>0</v>
      </c>
      <c r="BC243" s="104">
        <f t="shared" si="181"/>
        <v>0</v>
      </c>
    </row>
    <row r="244" spans="1:56" x14ac:dyDescent="0.25">
      <c r="A244">
        <f t="shared" si="553"/>
        <v>3</v>
      </c>
      <c r="B244" s="105" t="str">
        <f>'Client Data'!B294</f>
        <v>SDT4</v>
      </c>
      <c r="C244" s="106">
        <f>IF(OR(C$190,$A244),'Client Data'!C294,0)</f>
        <v>0</v>
      </c>
      <c r="D244" s="106">
        <f>IF(OR(D$190,$A244),'Client Data'!D294,0)</f>
        <v>0</v>
      </c>
      <c r="E244" s="106">
        <f>IF(OR(E$190,$A244),'Client Data'!E294,0)</f>
        <v>0</v>
      </c>
      <c r="F244" s="106">
        <f>IF(OR(F$190,$A244),'Client Data'!F294,0)</f>
        <v>0</v>
      </c>
      <c r="G244" s="106">
        <f>IF(OR(G$190,$A244),'Client Data'!G294,0)</f>
        <v>0</v>
      </c>
      <c r="H244" s="106">
        <f>IF(OR(H$190,$A244),'Client Data'!H294,0)</f>
        <v>0</v>
      </c>
      <c r="I244" s="106">
        <f>IF(OR(I$190,$A244),'Client Data'!I294,0)</f>
        <v>0</v>
      </c>
      <c r="J244" s="106">
        <f>IF(OR(J$190,$A244),'Client Data'!J294,0)</f>
        <v>0</v>
      </c>
      <c r="K244" s="106">
        <f>IF(OR(K$190,$A244),'Client Data'!K294,0)</f>
        <v>0</v>
      </c>
      <c r="L244" s="106">
        <f>IF(OR(L$190,$A244),'Client Data'!L294,0)</f>
        <v>0</v>
      </c>
      <c r="M244" s="106">
        <f>IF(OR(M$190,$A244),'Client Data'!M294,0)</f>
        <v>0</v>
      </c>
      <c r="N244" s="106">
        <f>IF(OR(N$190,$A244),'Client Data'!N294,0)</f>
        <v>0</v>
      </c>
      <c r="O244" s="106">
        <f>IF(OR(O$190,$A244),'Client Data'!O294,0)</f>
        <v>0</v>
      </c>
      <c r="P244" s="106">
        <f>IF(OR(P$190,$A244),'Client Data'!P294,0)</f>
        <v>0</v>
      </c>
      <c r="Q244" s="106">
        <f>IF(OR(Q$190,$A244),'Client Data'!Q294,0)</f>
        <v>0</v>
      </c>
      <c r="R244" s="106">
        <f>IF(OR(R$190,$A244),'Client Data'!R294,0)</f>
        <v>0</v>
      </c>
      <c r="S244" s="106">
        <f>IF(OR(S$190,$A244),'Client Data'!S294,0)</f>
        <v>0</v>
      </c>
      <c r="T244" s="106">
        <f>IF(OR(T$190,$A244),'Client Data'!T294,0)</f>
        <v>0</v>
      </c>
      <c r="U244" s="106">
        <f>IF(OR(U$190,$A244),'Client Data'!U294,0)</f>
        <v>0</v>
      </c>
      <c r="V244" s="106">
        <f>IF(OR(V$190,$A244),'Client Data'!V294,0)</f>
        <v>0</v>
      </c>
      <c r="W244" s="106">
        <f>IF(OR(W$190,$A244),'Client Data'!W294,0)</f>
        <v>0</v>
      </c>
      <c r="X244" s="106">
        <f>IF(OR(X$190,$A244),'Client Data'!X294,0)</f>
        <v>0</v>
      </c>
      <c r="Y244" s="106">
        <f>IF(OR(Y$190,$A244),'Client Data'!Y294,0)</f>
        <v>0</v>
      </c>
      <c r="Z244" s="106">
        <f>IF(OR(Z$190,$A244),'Client Data'!Z294,0)</f>
        <v>0</v>
      </c>
      <c r="AA244" s="106">
        <f>IF(OR(AA$190,$A244),'Client Data'!AA294,0)</f>
        <v>0</v>
      </c>
      <c r="AB244" s="106">
        <f>IF(OR(AB$190,$A244),'Client Data'!AB294,0)</f>
        <v>0</v>
      </c>
      <c r="AC244" s="106">
        <f>IF(OR(AC$190,$A244),'Client Data'!AC294,0)</f>
        <v>0</v>
      </c>
      <c r="AD244" s="106">
        <f>IF(OR(AD$190,$A244),'Client Data'!AD294,0)</f>
        <v>0</v>
      </c>
      <c r="AE244" s="106">
        <f>IF(OR(AE$190,$A244),'Client Data'!AE294,0)</f>
        <v>0</v>
      </c>
      <c r="AF244" s="106">
        <f>IF(OR(AF$190,$A244),'Client Data'!AF294,0)</f>
        <v>0</v>
      </c>
      <c r="AG244" s="106">
        <f>IF(OR(AG$190,$A244),'Client Data'!AG294,0)</f>
        <v>0</v>
      </c>
      <c r="AH244" s="106">
        <f>IF(OR(AH$190,$A244),'Client Data'!AH294,0)</f>
        <v>0</v>
      </c>
      <c r="AI244" s="106">
        <f>IF(OR(AI$190,$A244),'Client Data'!AI294,0)</f>
        <v>0</v>
      </c>
      <c r="AJ244" s="106">
        <f>IF(OR(AJ$190,$A244),'Client Data'!AJ294,0)</f>
        <v>0</v>
      </c>
      <c r="AK244" s="106">
        <f>IF(OR(AK$190,$A244),'Client Data'!AK294,0)</f>
        <v>0</v>
      </c>
      <c r="AL244" s="106">
        <f>IF(OR(AL$190,$A244),'Client Data'!AL294,0)</f>
        <v>0</v>
      </c>
      <c r="AM244" s="106">
        <f>IF(OR(AM$190,$A244),'Client Data'!AM294,0)</f>
        <v>0</v>
      </c>
      <c r="AN244" s="106">
        <f>IF(OR(AN$190,$A244),'Client Data'!AN294,0)</f>
        <v>0</v>
      </c>
      <c r="AO244" s="106">
        <f>IF(OR(AO$190,$A244),'Client Data'!AO294,0)</f>
        <v>0</v>
      </c>
      <c r="AP244" s="106">
        <f>IF(OR(AP$190,$A244),'Client Data'!AP294,0)</f>
        <v>0</v>
      </c>
      <c r="AQ244" s="106">
        <f>IF(OR(AQ$190,$A244),'Client Data'!AQ294,0)</f>
        <v>0</v>
      </c>
      <c r="AR244" s="106">
        <f>IF(OR(AR$190,$A244),'Client Data'!AR294,0)</f>
        <v>0</v>
      </c>
      <c r="AS244" s="106">
        <f>IF(OR(AS$190,$A244),'Client Data'!AS294,0)</f>
        <v>0</v>
      </c>
      <c r="AT244" s="106">
        <f>IF(OR(AT$190,$A244),'Client Data'!AT294,0)</f>
        <v>0</v>
      </c>
      <c r="AU244" s="106">
        <f>IF(OR(AU$190,$A244),'Client Data'!AU294,0)</f>
        <v>0</v>
      </c>
      <c r="AV244" s="106">
        <f>IF(OR(AV$190,$A244),'Client Data'!AV294,0)</f>
        <v>0</v>
      </c>
      <c r="AW244" s="106">
        <f>IF(OR(AW$190,$A244),'Client Data'!AW294,0)</f>
        <v>0</v>
      </c>
      <c r="AX244" s="106">
        <f>IF(OR(AX$190,$A244),'Client Data'!AX294,0)</f>
        <v>0</v>
      </c>
      <c r="AY244" s="106">
        <f>IF(OR(AY$190,$A244),'Client Data'!AY294,0)</f>
        <v>0</v>
      </c>
      <c r="AZ244" s="106">
        <f>IF(OR(AZ$190,$A244),'Client Data'!AZ294,0)</f>
        <v>0</v>
      </c>
      <c r="BA244" s="106">
        <f>IF(OR(BA$190,$A244),'Client Data'!BA294,0)</f>
        <v>0</v>
      </c>
      <c r="BB244" s="106">
        <f>IF(OR(BB$190,$A244),'Client Data'!BB294,0)</f>
        <v>0</v>
      </c>
      <c r="BC244" s="104">
        <f t="shared" si="181"/>
        <v>0</v>
      </c>
    </row>
    <row r="245" spans="1:56" x14ac:dyDescent="0.25">
      <c r="A245">
        <f t="shared" si="553"/>
        <v>2</v>
      </c>
      <c r="B245" s="105" t="str">
        <f>'Client Data'!B295</f>
        <v>SDT5</v>
      </c>
      <c r="C245" s="106">
        <f>IF(OR(C$190,$A245),'Client Data'!C295,0)</f>
        <v>0</v>
      </c>
      <c r="D245" s="106">
        <f>IF(OR(D$190,$A245),'Client Data'!D295,0)</f>
        <v>0</v>
      </c>
      <c r="E245" s="106">
        <f>IF(OR(E$190,$A245),'Client Data'!E295,0)</f>
        <v>0</v>
      </c>
      <c r="F245" s="106">
        <f>IF(OR(F$190,$A245),'Client Data'!F295,0)</f>
        <v>0</v>
      </c>
      <c r="G245" s="106">
        <f>IF(OR(G$190,$A245),'Client Data'!G295,0)</f>
        <v>0</v>
      </c>
      <c r="H245" s="106">
        <f>IF(OR(H$190,$A245),'Client Data'!H295,0)</f>
        <v>0</v>
      </c>
      <c r="I245" s="106">
        <f>IF(OR(I$190,$A245),'Client Data'!I295,0)</f>
        <v>0</v>
      </c>
      <c r="J245" s="106">
        <f>IF(OR(J$190,$A245),'Client Data'!J295,0)</f>
        <v>0</v>
      </c>
      <c r="K245" s="106">
        <f>IF(OR(K$190,$A245),'Client Data'!K295,0)</f>
        <v>0</v>
      </c>
      <c r="L245" s="106">
        <f>IF(OR(L$190,$A245),'Client Data'!L295,0)</f>
        <v>0</v>
      </c>
      <c r="M245" s="106">
        <f>IF(OR(M$190,$A245),'Client Data'!M295,0)</f>
        <v>0</v>
      </c>
      <c r="N245" s="106">
        <f>IF(OR(N$190,$A245),'Client Data'!N295,0)</f>
        <v>0</v>
      </c>
      <c r="O245" s="106">
        <f>IF(OR(O$190,$A245),'Client Data'!O295,0)</f>
        <v>0</v>
      </c>
      <c r="P245" s="106">
        <f>IF(OR(P$190,$A245),'Client Data'!P295,0)</f>
        <v>0</v>
      </c>
      <c r="Q245" s="106">
        <f>IF(OR(Q$190,$A245),'Client Data'!Q295,0)</f>
        <v>0</v>
      </c>
      <c r="R245" s="106">
        <f>IF(OR(R$190,$A245),'Client Data'!R295,0)</f>
        <v>0</v>
      </c>
      <c r="S245" s="106">
        <f>IF(OR(S$190,$A245),'Client Data'!S295,0)</f>
        <v>0</v>
      </c>
      <c r="T245" s="106">
        <f>IF(OR(T$190,$A245),'Client Data'!T295,0)</f>
        <v>0</v>
      </c>
      <c r="U245" s="106">
        <f>IF(OR(U$190,$A245),'Client Data'!U295,0)</f>
        <v>0</v>
      </c>
      <c r="V245" s="106">
        <f>IF(OR(V$190,$A245),'Client Data'!V295,0)</f>
        <v>0</v>
      </c>
      <c r="W245" s="106">
        <f>IF(OR(W$190,$A245),'Client Data'!W295,0)</f>
        <v>0</v>
      </c>
      <c r="X245" s="106">
        <f>IF(OR(X$190,$A245),'Client Data'!X295,0)</f>
        <v>0</v>
      </c>
      <c r="Y245" s="106">
        <f>IF(OR(Y$190,$A245),'Client Data'!Y295,0)</f>
        <v>0</v>
      </c>
      <c r="Z245" s="106">
        <f>IF(OR(Z$190,$A245),'Client Data'!Z295,0)</f>
        <v>0</v>
      </c>
      <c r="AA245" s="106">
        <f>IF(OR(AA$190,$A245),'Client Data'!AA295,0)</f>
        <v>0</v>
      </c>
      <c r="AB245" s="106">
        <f>IF(OR(AB$190,$A245),'Client Data'!AB295,0)</f>
        <v>0</v>
      </c>
      <c r="AC245" s="106">
        <f>IF(OR(AC$190,$A245),'Client Data'!AC295,0)</f>
        <v>0</v>
      </c>
      <c r="AD245" s="106">
        <f>IF(OR(AD$190,$A245),'Client Data'!AD295,0)</f>
        <v>0</v>
      </c>
      <c r="AE245" s="106">
        <f>IF(OR(AE$190,$A245),'Client Data'!AE295,0)</f>
        <v>0</v>
      </c>
      <c r="AF245" s="106">
        <f>IF(OR(AF$190,$A245),'Client Data'!AF295,0)</f>
        <v>0</v>
      </c>
      <c r="AG245" s="106">
        <f>IF(OR(AG$190,$A245),'Client Data'!AG295,0)</f>
        <v>0</v>
      </c>
      <c r="AH245" s="106">
        <f>IF(OR(AH$190,$A245),'Client Data'!AH295,0)</f>
        <v>0</v>
      </c>
      <c r="AI245" s="106">
        <f>IF(OR(AI$190,$A245),'Client Data'!AI295,0)</f>
        <v>0</v>
      </c>
      <c r="AJ245" s="106">
        <f>IF(OR(AJ$190,$A245),'Client Data'!AJ295,0)</f>
        <v>0</v>
      </c>
      <c r="AK245" s="106">
        <f>IF(OR(AK$190,$A245),'Client Data'!AK295,0)</f>
        <v>0</v>
      </c>
      <c r="AL245" s="106">
        <f>IF(OR(AL$190,$A245),'Client Data'!AL295,0)</f>
        <v>0</v>
      </c>
      <c r="AM245" s="106">
        <f>IF(OR(AM$190,$A245),'Client Data'!AM295,0)</f>
        <v>0</v>
      </c>
      <c r="AN245" s="106">
        <f>IF(OR(AN$190,$A245),'Client Data'!AN295,0)</f>
        <v>0</v>
      </c>
      <c r="AO245" s="106">
        <f>IF(OR(AO$190,$A245),'Client Data'!AO295,0)</f>
        <v>0</v>
      </c>
      <c r="AP245" s="106">
        <f>IF(OR(AP$190,$A245),'Client Data'!AP295,0)</f>
        <v>0</v>
      </c>
      <c r="AQ245" s="106">
        <f>IF(OR(AQ$190,$A245),'Client Data'!AQ295,0)</f>
        <v>0</v>
      </c>
      <c r="AR245" s="106">
        <f>IF(OR(AR$190,$A245),'Client Data'!AR295,0)</f>
        <v>0</v>
      </c>
      <c r="AS245" s="106">
        <f>IF(OR(AS$190,$A245),'Client Data'!AS295,0)</f>
        <v>0</v>
      </c>
      <c r="AT245" s="106">
        <f>IF(OR(AT$190,$A245),'Client Data'!AT295,0)</f>
        <v>0</v>
      </c>
      <c r="AU245" s="106">
        <f>IF(OR(AU$190,$A245),'Client Data'!AU295,0)</f>
        <v>0</v>
      </c>
      <c r="AV245" s="106">
        <f>IF(OR(AV$190,$A245),'Client Data'!AV295,0)</f>
        <v>0</v>
      </c>
      <c r="AW245" s="106">
        <f>IF(OR(AW$190,$A245),'Client Data'!AW295,0)</f>
        <v>0</v>
      </c>
      <c r="AX245" s="106">
        <f>IF(OR(AX$190,$A245),'Client Data'!AX295,0)</f>
        <v>0</v>
      </c>
      <c r="AY245" s="106">
        <f>IF(OR(AY$190,$A245),'Client Data'!AY295,0)</f>
        <v>0</v>
      </c>
      <c r="AZ245" s="106">
        <f>IF(OR(AZ$190,$A245),'Client Data'!AZ295,0)</f>
        <v>0</v>
      </c>
      <c r="BA245" s="106">
        <f>IF(OR(BA$190,$A245),'Client Data'!BA295,0)</f>
        <v>0</v>
      </c>
      <c r="BB245" s="106">
        <f>IF(OR(BB$190,$A245),'Client Data'!BB295,0)</f>
        <v>0</v>
      </c>
      <c r="BC245" s="104">
        <f t="shared" si="181"/>
        <v>0</v>
      </c>
    </row>
    <row r="246" spans="1:56" x14ac:dyDescent="0.25">
      <c r="A246">
        <f t="shared" si="553"/>
        <v>1</v>
      </c>
      <c r="B246" s="105" t="str">
        <f>'Client Data'!B296</f>
        <v>SDT6</v>
      </c>
      <c r="C246" s="106">
        <f>IF(OR(C$190,$A246),'Client Data'!C296,0)</f>
        <v>0.4</v>
      </c>
      <c r="D246" s="106">
        <f>IF(OR(D$190,$A246),'Client Data'!D296,0)</f>
        <v>0.5</v>
      </c>
      <c r="E246" s="106">
        <f>IF(OR(E$190,$A246),'Client Data'!E296,0)</f>
        <v>0.3</v>
      </c>
      <c r="F246" s="106">
        <f>IF(OR(F$190,$A246),'Client Data'!F296,0)</f>
        <v>0.6</v>
      </c>
      <c r="G246" s="106">
        <f>IF(OR(G$190,$A246),'Client Data'!G296,0)</f>
        <v>0.3</v>
      </c>
      <c r="H246" s="106">
        <f>IF(OR(H$190,$A246),'Client Data'!H296,0)</f>
        <v>0.4</v>
      </c>
      <c r="I246" s="106">
        <f>IF(OR(I$190,$A246),'Client Data'!I296,0)</f>
        <v>0.4</v>
      </c>
      <c r="J246" s="106">
        <f>IF(OR(J$190,$A246),'Client Data'!J296,0)</f>
        <v>0.5</v>
      </c>
      <c r="K246" s="106">
        <f>IF(OR(K$190,$A246),'Client Data'!K296,0)</f>
        <v>0.3</v>
      </c>
      <c r="L246" s="106">
        <f>IF(OR(L$190,$A246),'Client Data'!L296,0)</f>
        <v>0.6</v>
      </c>
      <c r="M246" s="106">
        <f>IF(OR(M$190,$A246),'Client Data'!M296,0)</f>
        <v>0.3</v>
      </c>
      <c r="N246" s="106">
        <f>IF(OR(N$190,$A246),'Client Data'!N296,0)</f>
        <v>0.4</v>
      </c>
      <c r="O246" s="106">
        <f>IF(OR(O$190,$A246),'Client Data'!O296,0)</f>
        <v>0.5</v>
      </c>
      <c r="P246" s="106">
        <f>IF(OR(P$190,$A246),'Client Data'!P296,0)</f>
        <v>0.3</v>
      </c>
      <c r="Q246" s="106">
        <f>IF(OR(Q$190,$A246),'Client Data'!Q296,0)</f>
        <v>0.6</v>
      </c>
      <c r="R246" s="106">
        <f>IF(OR(R$190,$A246),'Client Data'!R296,0)</f>
        <v>0.3</v>
      </c>
      <c r="S246" s="106">
        <f>IF(OR(S$190,$A246),'Client Data'!S296,0)</f>
        <v>0.4</v>
      </c>
      <c r="T246" s="106">
        <f>IF(OR(T$190,$A246),'Client Data'!T296,0)</f>
        <v>0.4</v>
      </c>
      <c r="U246" s="106">
        <f>IF(OR(U$190,$A246),'Client Data'!U296,0)</f>
        <v>0.5</v>
      </c>
      <c r="V246" s="106">
        <f>IF(OR(V$190,$A246),'Client Data'!V296,0)</f>
        <v>0.3</v>
      </c>
      <c r="W246" s="106">
        <f>IF(OR(W$190,$A246),'Client Data'!W296,0)</f>
        <v>0.6</v>
      </c>
      <c r="X246" s="106">
        <f>IF(OR(X$190,$A246),'Client Data'!X296,0)</f>
        <v>0.3</v>
      </c>
      <c r="Y246" s="106">
        <f>IF(OR(Y$190,$A246),'Client Data'!Y296,0)</f>
        <v>0.4</v>
      </c>
      <c r="Z246" s="106">
        <f>IF(OR(Z$190,$A246),'Client Data'!Z296,0)</f>
        <v>0.5</v>
      </c>
      <c r="AA246" s="106">
        <f>IF(OR(AA$190,$A246),'Client Data'!AA296,0)</f>
        <v>0.3</v>
      </c>
      <c r="AB246" s="106">
        <f>IF(OR(AB$190,$A246),'Client Data'!AB296,0)</f>
        <v>0.6</v>
      </c>
      <c r="AC246" s="106">
        <f>IF(OR(AC$190,$A246),'Client Data'!AC296,0)</f>
        <v>0.3</v>
      </c>
      <c r="AD246" s="106">
        <f>IF(OR(AD$190,$A246),'Client Data'!AD296,0)</f>
        <v>0.4</v>
      </c>
      <c r="AE246" s="106">
        <f>IF(OR(AE$190,$A246),'Client Data'!AE296,0)</f>
        <v>0.4</v>
      </c>
      <c r="AF246" s="106">
        <f>IF(OR(AF$190,$A246),'Client Data'!AF296,0)</f>
        <v>0.5</v>
      </c>
      <c r="AG246" s="106">
        <f>IF(OR(AG$190,$A246),'Client Data'!AG296,0)</f>
        <v>0.3</v>
      </c>
      <c r="AH246" s="106">
        <f>IF(OR(AH$190,$A246),'Client Data'!AH296,0)</f>
        <v>0.6</v>
      </c>
      <c r="AI246" s="106">
        <f>IF(OR(AI$190,$A246),'Client Data'!AI296,0)</f>
        <v>0.3</v>
      </c>
      <c r="AJ246" s="106">
        <f>IF(OR(AJ$190,$A246),'Client Data'!AJ296,0)</f>
        <v>0.4</v>
      </c>
      <c r="AK246" s="106">
        <f>IF(OR(AK$190,$A246),'Client Data'!AK296,0)</f>
        <v>0.4</v>
      </c>
      <c r="AL246" s="106">
        <f>IF(OR(AL$190,$A246),'Client Data'!AL296,0)</f>
        <v>0.4</v>
      </c>
      <c r="AM246" s="106">
        <f>IF(OR(AM$190,$A246),'Client Data'!AM296,0)</f>
        <v>0.5</v>
      </c>
      <c r="AN246" s="106">
        <f>IF(OR(AN$190,$A246),'Client Data'!AN296,0)</f>
        <v>0.3</v>
      </c>
      <c r="AO246" s="106">
        <f>IF(OR(AO$190,$A246),'Client Data'!AO296,0)</f>
        <v>0.4</v>
      </c>
      <c r="AP246" s="106">
        <f>IF(OR(AP$190,$A246),'Client Data'!AP296,0)</f>
        <v>0.5</v>
      </c>
      <c r="AQ246" s="106">
        <f>IF(OR(AQ$190,$A246),'Client Data'!AQ296,0)</f>
        <v>0.3</v>
      </c>
      <c r="AR246" s="106">
        <f>IF(OR(AR$190,$A246),'Client Data'!AR296,0)</f>
        <v>0.6</v>
      </c>
      <c r="AS246" s="106">
        <f>IF(OR(AS$190,$A246),'Client Data'!AS296,0)</f>
        <v>0.3</v>
      </c>
      <c r="AT246" s="106">
        <f>IF(OR(AT$190,$A246),'Client Data'!AT296,0)</f>
        <v>0.4</v>
      </c>
      <c r="AU246" s="106">
        <f>IF(OR(AU$190,$A246),'Client Data'!AU296,0)</f>
        <v>0.4</v>
      </c>
      <c r="AV246" s="106">
        <f>IF(OR(AV$190,$A246),'Client Data'!AV296,0)</f>
        <v>0.5</v>
      </c>
      <c r="AW246" s="106">
        <f>IF(OR(AW$190,$A246),'Client Data'!AW296,0)</f>
        <v>0.3</v>
      </c>
      <c r="AX246" s="106">
        <f>IF(OR(AX$190,$A246),'Client Data'!AX296,0)</f>
        <v>0.6</v>
      </c>
      <c r="AY246" s="106">
        <f>IF(OR(AY$190,$A246),'Client Data'!AY296,0)</f>
        <v>0.3</v>
      </c>
      <c r="AZ246" s="106">
        <f>IF(OR(AZ$190,$A246),'Client Data'!AZ296,0)</f>
        <v>0.4</v>
      </c>
      <c r="BA246" s="106">
        <f>IF(OR(BA$190,$A246),'Client Data'!BA296,0)</f>
        <v>0.4</v>
      </c>
      <c r="BB246" s="106">
        <f>IF(OR(BB$190,$A246),'Client Data'!BB296,0)</f>
        <v>0.2</v>
      </c>
      <c r="BC246" s="104">
        <f t="shared" si="181"/>
        <v>21.400000000000002</v>
      </c>
    </row>
    <row r="247" spans="1:56" x14ac:dyDescent="0.25">
      <c r="B247" s="109" t="s">
        <v>263</v>
      </c>
      <c r="C247" s="109">
        <f>SUM(C192:C197,C199:C204,C206:C211,C213:C218,C220:C225,C227:C232,C234:C239,C241:C246)</f>
        <v>7.3000000000000025</v>
      </c>
      <c r="D247" s="109">
        <f t="shared" ref="D247:BC247" si="554">SUM(D192:D197,D199:D204,D206:D211,D213:D218,D220:D225,D227:D232,D234:D239,D241:D246)</f>
        <v>8.1999999999999993</v>
      </c>
      <c r="E247" s="109">
        <f t="shared" si="554"/>
        <v>5.6</v>
      </c>
      <c r="F247" s="109">
        <f t="shared" si="554"/>
        <v>9.7999999999999989</v>
      </c>
      <c r="G247" s="109">
        <f t="shared" si="554"/>
        <v>5.3999999999999995</v>
      </c>
      <c r="H247" s="109">
        <f t="shared" si="554"/>
        <v>6.4000000000000021</v>
      </c>
      <c r="I247" s="109">
        <f t="shared" si="554"/>
        <v>7.0000000000000027</v>
      </c>
      <c r="J247" s="109">
        <f t="shared" si="554"/>
        <v>7.6999999999999993</v>
      </c>
      <c r="K247" s="109">
        <f t="shared" si="554"/>
        <v>5.3999999999999995</v>
      </c>
      <c r="L247" s="109">
        <f t="shared" si="554"/>
        <v>9.6999999999999975</v>
      </c>
      <c r="M247" s="109">
        <f t="shared" si="554"/>
        <v>5.8999999999999986</v>
      </c>
      <c r="N247" s="109">
        <f t="shared" si="554"/>
        <v>7.0000000000000027</v>
      </c>
      <c r="O247" s="109">
        <f t="shared" si="554"/>
        <v>8.1000000000000014</v>
      </c>
      <c r="P247" s="109">
        <f t="shared" si="554"/>
        <v>6.1999999999999993</v>
      </c>
      <c r="Q247" s="109">
        <f t="shared" si="554"/>
        <v>8.9999999999999982</v>
      </c>
      <c r="R247" s="109">
        <f t="shared" si="554"/>
        <v>5.4999999999999982</v>
      </c>
      <c r="S247" s="109">
        <f t="shared" si="554"/>
        <v>6.5000000000000018</v>
      </c>
      <c r="T247" s="109">
        <f t="shared" si="554"/>
        <v>6.8000000000000025</v>
      </c>
      <c r="U247" s="109">
        <f t="shared" si="554"/>
        <v>7.8</v>
      </c>
      <c r="V247" s="109">
        <f t="shared" si="554"/>
        <v>5.7999999999999989</v>
      </c>
      <c r="W247" s="109">
        <f t="shared" si="554"/>
        <v>9.2999999999999972</v>
      </c>
      <c r="X247" s="109">
        <f t="shared" si="554"/>
        <v>5.6999999999999984</v>
      </c>
      <c r="Y247" s="109">
        <f t="shared" si="554"/>
        <v>7.2000000000000028</v>
      </c>
      <c r="Z247" s="109">
        <f t="shared" si="554"/>
        <v>8.4</v>
      </c>
      <c r="AA247" s="109">
        <f t="shared" si="554"/>
        <v>5.5999999999999988</v>
      </c>
      <c r="AB247" s="109">
        <f t="shared" si="554"/>
        <v>9.6999999999999993</v>
      </c>
      <c r="AC247" s="109">
        <f t="shared" si="554"/>
        <v>5.5999999999999988</v>
      </c>
      <c r="AD247" s="109">
        <f t="shared" si="554"/>
        <v>6.3000000000000016</v>
      </c>
      <c r="AE247" s="109">
        <f t="shared" si="554"/>
        <v>7.0000000000000027</v>
      </c>
      <c r="AF247" s="109">
        <f t="shared" si="554"/>
        <v>7.6999999999999993</v>
      </c>
      <c r="AG247" s="109">
        <f t="shared" si="554"/>
        <v>5.3999999999999995</v>
      </c>
      <c r="AH247" s="109">
        <f t="shared" si="554"/>
        <v>9.6999999999999975</v>
      </c>
      <c r="AI247" s="109">
        <f t="shared" si="554"/>
        <v>5.1999999999999984</v>
      </c>
      <c r="AJ247" s="109">
        <f t="shared" si="554"/>
        <v>6.8000000000000025</v>
      </c>
      <c r="AK247" s="109">
        <f t="shared" si="554"/>
        <v>6.9000000000000021</v>
      </c>
      <c r="AL247" s="109">
        <f t="shared" si="554"/>
        <v>7.1000000000000023</v>
      </c>
      <c r="AM247" s="109">
        <f t="shared" si="554"/>
        <v>7.8</v>
      </c>
      <c r="AN247" s="109">
        <f t="shared" si="554"/>
        <v>5.6999999999999984</v>
      </c>
      <c r="AO247" s="109">
        <f t="shared" si="554"/>
        <v>6.8000000000000016</v>
      </c>
      <c r="AP247" s="109">
        <f t="shared" si="554"/>
        <v>8.1000000000000014</v>
      </c>
      <c r="AQ247" s="109">
        <f t="shared" si="554"/>
        <v>5.6999999999999993</v>
      </c>
      <c r="AR247" s="109">
        <f t="shared" si="554"/>
        <v>9.1999999999999975</v>
      </c>
      <c r="AS247" s="109">
        <f t="shared" si="554"/>
        <v>5.6999999999999984</v>
      </c>
      <c r="AT247" s="109">
        <f t="shared" si="554"/>
        <v>6.700000000000002</v>
      </c>
      <c r="AU247" s="109">
        <f t="shared" si="554"/>
        <v>6.9000000000000021</v>
      </c>
      <c r="AV247" s="109">
        <f t="shared" si="554"/>
        <v>8.1999999999999993</v>
      </c>
      <c r="AW247" s="109">
        <f t="shared" si="554"/>
        <v>5.8999999999999986</v>
      </c>
      <c r="AX247" s="109">
        <f t="shared" si="554"/>
        <v>9.5999999999999979</v>
      </c>
      <c r="AY247" s="109">
        <f t="shared" si="554"/>
        <v>5.4999999999999991</v>
      </c>
      <c r="AZ247" s="109">
        <f t="shared" si="554"/>
        <v>6.8000000000000016</v>
      </c>
      <c r="BA247" s="109">
        <f t="shared" si="554"/>
        <v>6.8000000000000016</v>
      </c>
      <c r="BB247" s="109">
        <f t="shared" si="554"/>
        <v>3.6000000000000014</v>
      </c>
      <c r="BC247" s="109">
        <f t="shared" si="554"/>
        <v>363.7</v>
      </c>
    </row>
    <row r="248" spans="1:56" x14ac:dyDescent="0.25">
      <c r="B248" s="109" t="s">
        <v>229</v>
      </c>
      <c r="C248" s="109" t="b">
        <f>IF(C247=C93,TRUE,FALSE)</f>
        <v>1</v>
      </c>
      <c r="D248" s="109" t="b">
        <f t="shared" ref="D248:BC248" si="555">IF(D247=D93,TRUE,FALSE)</f>
        <v>1</v>
      </c>
      <c r="E248" s="109" t="b">
        <f t="shared" si="555"/>
        <v>1</v>
      </c>
      <c r="F248" s="109" t="b">
        <f t="shared" si="555"/>
        <v>1</v>
      </c>
      <c r="G248" s="109" t="b">
        <f t="shared" si="555"/>
        <v>1</v>
      </c>
      <c r="H248" s="109" t="b">
        <f t="shared" si="555"/>
        <v>1</v>
      </c>
      <c r="I248" s="109" t="b">
        <f t="shared" si="555"/>
        <v>1</v>
      </c>
      <c r="J248" s="109" t="b">
        <f t="shared" si="555"/>
        <v>1</v>
      </c>
      <c r="K248" s="109" t="b">
        <f t="shared" si="555"/>
        <v>1</v>
      </c>
      <c r="L248" s="109" t="b">
        <f t="shared" si="555"/>
        <v>1</v>
      </c>
      <c r="M248" s="109" t="b">
        <f t="shared" si="555"/>
        <v>1</v>
      </c>
      <c r="N248" s="109" t="b">
        <f t="shared" si="555"/>
        <v>1</v>
      </c>
      <c r="O248" s="109" t="b">
        <f t="shared" si="555"/>
        <v>1</v>
      </c>
      <c r="P248" s="109" t="b">
        <f t="shared" si="555"/>
        <v>1</v>
      </c>
      <c r="Q248" s="109" t="b">
        <f t="shared" si="555"/>
        <v>1</v>
      </c>
      <c r="R248" s="109" t="b">
        <f t="shared" si="555"/>
        <v>1</v>
      </c>
      <c r="S248" s="109" t="b">
        <f t="shared" si="555"/>
        <v>1</v>
      </c>
      <c r="T248" s="109" t="b">
        <f t="shared" si="555"/>
        <v>1</v>
      </c>
      <c r="U248" s="109" t="b">
        <f t="shared" si="555"/>
        <v>1</v>
      </c>
      <c r="V248" s="109" t="b">
        <f t="shared" si="555"/>
        <v>1</v>
      </c>
      <c r="W248" s="109" t="b">
        <f t="shared" si="555"/>
        <v>1</v>
      </c>
      <c r="X248" s="109" t="b">
        <f t="shared" si="555"/>
        <v>1</v>
      </c>
      <c r="Y248" s="109" t="b">
        <f t="shared" si="555"/>
        <v>1</v>
      </c>
      <c r="Z248" s="109" t="b">
        <f t="shared" si="555"/>
        <v>1</v>
      </c>
      <c r="AA248" s="109" t="b">
        <f t="shared" si="555"/>
        <v>1</v>
      </c>
      <c r="AB248" s="109" t="b">
        <f t="shared" si="555"/>
        <v>1</v>
      </c>
      <c r="AC248" s="109" t="b">
        <f t="shared" si="555"/>
        <v>1</v>
      </c>
      <c r="AD248" s="109" t="b">
        <f t="shared" si="555"/>
        <v>1</v>
      </c>
      <c r="AE248" s="109" t="b">
        <f t="shared" si="555"/>
        <v>1</v>
      </c>
      <c r="AF248" s="109" t="b">
        <f t="shared" si="555"/>
        <v>1</v>
      </c>
      <c r="AG248" s="109" t="b">
        <f t="shared" si="555"/>
        <v>1</v>
      </c>
      <c r="AH248" s="109" t="b">
        <f t="shared" si="555"/>
        <v>1</v>
      </c>
      <c r="AI248" s="109" t="b">
        <f t="shared" si="555"/>
        <v>1</v>
      </c>
      <c r="AJ248" s="109" t="b">
        <f t="shared" si="555"/>
        <v>1</v>
      </c>
      <c r="AK248" s="109" t="b">
        <f t="shared" si="555"/>
        <v>1</v>
      </c>
      <c r="AL248" s="109" t="b">
        <f t="shared" si="555"/>
        <v>1</v>
      </c>
      <c r="AM248" s="109" t="b">
        <f t="shared" si="555"/>
        <v>1</v>
      </c>
      <c r="AN248" s="109" t="b">
        <f t="shared" si="555"/>
        <v>1</v>
      </c>
      <c r="AO248" s="109" t="b">
        <f t="shared" si="555"/>
        <v>1</v>
      </c>
      <c r="AP248" s="109" t="b">
        <f t="shared" si="555"/>
        <v>1</v>
      </c>
      <c r="AQ248" s="109" t="b">
        <f t="shared" si="555"/>
        <v>1</v>
      </c>
      <c r="AR248" s="109" t="b">
        <f t="shared" si="555"/>
        <v>1</v>
      </c>
      <c r="AS248" s="109" t="b">
        <f t="shared" si="555"/>
        <v>1</v>
      </c>
      <c r="AT248" s="109" t="b">
        <f t="shared" si="555"/>
        <v>1</v>
      </c>
      <c r="AU248" s="109" t="b">
        <f t="shared" si="555"/>
        <v>1</v>
      </c>
      <c r="AV248" s="109" t="b">
        <f t="shared" si="555"/>
        <v>1</v>
      </c>
      <c r="AW248" s="109" t="b">
        <f t="shared" si="555"/>
        <v>1</v>
      </c>
      <c r="AX248" s="109" t="b">
        <f t="shared" si="555"/>
        <v>1</v>
      </c>
      <c r="AY248" s="109" t="b">
        <f t="shared" si="555"/>
        <v>1</v>
      </c>
      <c r="AZ248" s="109" t="b">
        <f t="shared" si="555"/>
        <v>1</v>
      </c>
      <c r="BA248" s="109" t="b">
        <f t="shared" si="555"/>
        <v>1</v>
      </c>
      <c r="BB248" s="109" t="b">
        <f t="shared" si="555"/>
        <v>1</v>
      </c>
      <c r="BC248" s="109" t="b">
        <f t="shared" si="555"/>
        <v>1</v>
      </c>
    </row>
    <row r="249" spans="1:56" x14ac:dyDescent="0.25">
      <c r="B249" s="110" t="str">
        <f>_xlfn.CONCAT("SDT Loss (Hour)"," ",B322)</f>
        <v>SDT Loss (Hour) Product A</v>
      </c>
      <c r="C249" s="110">
        <f t="shared" ref="C249:AH249" si="556">C$247*C798/C$818</f>
        <v>1.3070291777188334</v>
      </c>
      <c r="D249" s="110">
        <f t="shared" si="556"/>
        <v>0</v>
      </c>
      <c r="E249" s="110">
        <f t="shared" si="556"/>
        <v>0.48658042093068155</v>
      </c>
      <c r="F249" s="110">
        <f t="shared" si="556"/>
        <v>0</v>
      </c>
      <c r="G249" s="110">
        <f t="shared" si="556"/>
        <v>1.0710088148873653</v>
      </c>
      <c r="H249" s="110">
        <f t="shared" si="556"/>
        <v>0</v>
      </c>
      <c r="I249" s="110">
        <f t="shared" si="556"/>
        <v>0</v>
      </c>
      <c r="J249" s="110">
        <f t="shared" si="556"/>
        <v>0</v>
      </c>
      <c r="K249" s="110">
        <f t="shared" si="556"/>
        <v>0.84866123399301496</v>
      </c>
      <c r="L249" s="110">
        <f t="shared" si="556"/>
        <v>0</v>
      </c>
      <c r="M249" s="110">
        <f t="shared" si="556"/>
        <v>0</v>
      </c>
      <c r="N249" s="110">
        <f t="shared" si="556"/>
        <v>0</v>
      </c>
      <c r="O249" s="110">
        <f t="shared" si="556"/>
        <v>1.4502652519893904</v>
      </c>
      <c r="P249" s="110">
        <f t="shared" si="556"/>
        <v>0.33825015154576676</v>
      </c>
      <c r="Q249" s="110">
        <f t="shared" si="556"/>
        <v>0</v>
      </c>
      <c r="R249" s="110">
        <f t="shared" si="556"/>
        <v>0</v>
      </c>
      <c r="S249" s="110">
        <f t="shared" si="556"/>
        <v>1.2891772771792365</v>
      </c>
      <c r="T249" s="110">
        <f t="shared" si="556"/>
        <v>0</v>
      </c>
      <c r="U249" s="110">
        <f t="shared" si="556"/>
        <v>0</v>
      </c>
      <c r="V249" s="110">
        <f t="shared" si="556"/>
        <v>0.32597835137385506</v>
      </c>
      <c r="W249" s="110">
        <f t="shared" si="556"/>
        <v>1.4840425531914891</v>
      </c>
      <c r="X249" s="110">
        <f t="shared" si="556"/>
        <v>0</v>
      </c>
      <c r="Y249" s="110">
        <f t="shared" si="556"/>
        <v>0</v>
      </c>
      <c r="Z249" s="110">
        <f t="shared" si="556"/>
        <v>0</v>
      </c>
      <c r="AA249" s="110">
        <f t="shared" si="556"/>
        <v>1.0026525198938989</v>
      </c>
      <c r="AB249" s="110">
        <f t="shared" si="556"/>
        <v>0</v>
      </c>
      <c r="AC249" s="110">
        <f t="shared" si="556"/>
        <v>0.58389650511681779</v>
      </c>
      <c r="AD249" s="110">
        <f t="shared" si="556"/>
        <v>0</v>
      </c>
      <c r="AE249" s="110">
        <f t="shared" si="556"/>
        <v>1.3883447600391778</v>
      </c>
      <c r="AF249" s="110">
        <f t="shared" si="556"/>
        <v>0</v>
      </c>
      <c r="AG249" s="110">
        <f t="shared" si="556"/>
        <v>0</v>
      </c>
      <c r="AH249" s="110">
        <f t="shared" si="556"/>
        <v>0.54517069109075755</v>
      </c>
      <c r="AI249" s="110">
        <f t="shared" ref="AI249:BB249" si="557">AI$247*AI798/AI$818</f>
        <v>0.82978723404255306</v>
      </c>
      <c r="AJ249" s="110">
        <f t="shared" si="557"/>
        <v>0</v>
      </c>
      <c r="AK249" s="110">
        <f t="shared" si="557"/>
        <v>0</v>
      </c>
      <c r="AL249" s="110">
        <f t="shared" si="557"/>
        <v>0</v>
      </c>
      <c r="AM249" s="110">
        <f t="shared" si="557"/>
        <v>1.396551724137931</v>
      </c>
      <c r="AN249" s="110">
        <f t="shared" si="557"/>
        <v>0.31097191351788228</v>
      </c>
      <c r="AO249" s="110">
        <f t="shared" si="557"/>
        <v>0</v>
      </c>
      <c r="AP249" s="110">
        <f t="shared" si="557"/>
        <v>0</v>
      </c>
      <c r="AQ249" s="110">
        <f t="shared" si="557"/>
        <v>1.1305093046033297</v>
      </c>
      <c r="AR249" s="110">
        <f t="shared" si="557"/>
        <v>0</v>
      </c>
      <c r="AS249" s="110">
        <f t="shared" si="557"/>
        <v>0.50402829632540758</v>
      </c>
      <c r="AT249" s="110">
        <f t="shared" si="557"/>
        <v>0</v>
      </c>
      <c r="AU249" s="110">
        <f t="shared" si="557"/>
        <v>1.1069518716577544</v>
      </c>
      <c r="AV249" s="110">
        <f t="shared" si="557"/>
        <v>0.71943848703450963</v>
      </c>
      <c r="AW249" s="110">
        <f t="shared" si="557"/>
        <v>0</v>
      </c>
      <c r="AX249" s="110">
        <f t="shared" si="557"/>
        <v>0</v>
      </c>
      <c r="AY249" s="110">
        <f t="shared" si="557"/>
        <v>0.86437718277066333</v>
      </c>
      <c r="AZ249" s="110">
        <f t="shared" si="557"/>
        <v>0</v>
      </c>
      <c r="BA249" s="110">
        <f t="shared" si="557"/>
        <v>0</v>
      </c>
      <c r="BB249" s="110">
        <f t="shared" si="557"/>
        <v>0</v>
      </c>
      <c r="BC249" s="110">
        <f>SUM(C249:BB249)</f>
        <v>18.983673723040315</v>
      </c>
      <c r="BD249" s="161">
        <f>SUM(BC249:BC256)</f>
        <v>363.7</v>
      </c>
    </row>
    <row r="250" spans="1:56" x14ac:dyDescent="0.25">
      <c r="A250" t="s">
        <v>294</v>
      </c>
      <c r="B250" s="110" t="str">
        <f t="shared" ref="B250:B256" si="558">_xlfn.CONCAT("SDT Loss (Hour)"," ",B323)</f>
        <v>SDT Loss (Hour) Product B</v>
      </c>
      <c r="C250" s="110">
        <f t="shared" ref="C250:AH250" si="559">C$247*C799/C$818</f>
        <v>1.2650751547303276</v>
      </c>
      <c r="D250" s="110">
        <f t="shared" si="559"/>
        <v>1.4613861386138616</v>
      </c>
      <c r="E250" s="110">
        <f t="shared" si="559"/>
        <v>0</v>
      </c>
      <c r="F250" s="110">
        <f t="shared" si="559"/>
        <v>1.4805755395683455</v>
      </c>
      <c r="G250" s="110">
        <f t="shared" si="559"/>
        <v>1.0366307541625859</v>
      </c>
      <c r="H250" s="110">
        <f t="shared" si="559"/>
        <v>1.2647994622451271</v>
      </c>
      <c r="I250" s="110">
        <f t="shared" si="559"/>
        <v>0</v>
      </c>
      <c r="J250" s="110">
        <f t="shared" si="559"/>
        <v>0.46888980944490471</v>
      </c>
      <c r="K250" s="110">
        <f t="shared" si="559"/>
        <v>0.82142025611175773</v>
      </c>
      <c r="L250" s="110">
        <f t="shared" si="559"/>
        <v>2.1224013892334401</v>
      </c>
      <c r="M250" s="110">
        <f t="shared" si="559"/>
        <v>0</v>
      </c>
      <c r="N250" s="110">
        <f t="shared" si="559"/>
        <v>0</v>
      </c>
      <c r="O250" s="110">
        <f t="shared" si="559"/>
        <v>1.403713527851459</v>
      </c>
      <c r="P250" s="110">
        <f t="shared" si="559"/>
        <v>1.1049504950495048</v>
      </c>
      <c r="Q250" s="110">
        <f t="shared" si="559"/>
        <v>0</v>
      </c>
      <c r="R250" s="110">
        <f t="shared" si="559"/>
        <v>0</v>
      </c>
      <c r="S250" s="110">
        <f t="shared" si="559"/>
        <v>1.2477962781586682</v>
      </c>
      <c r="T250" s="110">
        <f t="shared" si="559"/>
        <v>1.3450549450549456</v>
      </c>
      <c r="U250" s="110">
        <f t="shared" si="559"/>
        <v>0</v>
      </c>
      <c r="V250" s="110">
        <f t="shared" si="559"/>
        <v>0</v>
      </c>
      <c r="W250" s="110">
        <f t="shared" si="559"/>
        <v>1.4364066193853424</v>
      </c>
      <c r="X250" s="110">
        <f t="shared" si="559"/>
        <v>1.24718432150831</v>
      </c>
      <c r="Y250" s="110">
        <f t="shared" si="559"/>
        <v>0</v>
      </c>
      <c r="Z250" s="110">
        <f t="shared" si="559"/>
        <v>0</v>
      </c>
      <c r="AA250" s="110">
        <f t="shared" si="559"/>
        <v>0.97046861184792188</v>
      </c>
      <c r="AB250" s="110">
        <f t="shared" si="559"/>
        <v>1.7266195761856711</v>
      </c>
      <c r="AC250" s="110">
        <f t="shared" si="559"/>
        <v>0</v>
      </c>
      <c r="AD250" s="110">
        <f t="shared" si="559"/>
        <v>0</v>
      </c>
      <c r="AE250" s="110">
        <f t="shared" si="559"/>
        <v>1.3437806072477967</v>
      </c>
      <c r="AF250" s="110">
        <f t="shared" si="559"/>
        <v>1.521711853013668</v>
      </c>
      <c r="AG250" s="110">
        <f t="shared" si="559"/>
        <v>0</v>
      </c>
      <c r="AH250" s="110">
        <f t="shared" si="559"/>
        <v>0</v>
      </c>
      <c r="AI250" s="110">
        <f t="shared" ref="AI250:BB250" si="560">AI$247*AI799/AI$818</f>
        <v>0.80315208825847095</v>
      </c>
      <c r="AJ250" s="110">
        <f t="shared" si="560"/>
        <v>1.4878690151327219</v>
      </c>
      <c r="AK250" s="110">
        <f t="shared" si="560"/>
        <v>0</v>
      </c>
      <c r="AL250" s="110">
        <f t="shared" si="560"/>
        <v>0</v>
      </c>
      <c r="AM250" s="110">
        <f t="shared" si="560"/>
        <v>1.3517241379310345</v>
      </c>
      <c r="AN250" s="110">
        <f t="shared" si="560"/>
        <v>1.0158415841584156</v>
      </c>
      <c r="AO250" s="110">
        <f t="shared" si="560"/>
        <v>0</v>
      </c>
      <c r="AP250" s="110">
        <f t="shared" si="560"/>
        <v>0</v>
      </c>
      <c r="AQ250" s="110">
        <f t="shared" si="560"/>
        <v>1.0942213516160626</v>
      </c>
      <c r="AR250" s="110">
        <f t="shared" si="560"/>
        <v>1.8181492269773689</v>
      </c>
      <c r="AS250" s="110">
        <f t="shared" si="560"/>
        <v>0</v>
      </c>
      <c r="AT250" s="110">
        <f t="shared" si="560"/>
        <v>0.65346337579617852</v>
      </c>
      <c r="AU250" s="110">
        <f t="shared" si="560"/>
        <v>1.0714200831847895</v>
      </c>
      <c r="AV250" s="110">
        <f t="shared" si="560"/>
        <v>1.410099434587639</v>
      </c>
      <c r="AW250" s="110">
        <f t="shared" si="560"/>
        <v>0</v>
      </c>
      <c r="AX250" s="110">
        <f t="shared" si="560"/>
        <v>0.58458989229494618</v>
      </c>
      <c r="AY250" s="110">
        <f t="shared" si="560"/>
        <v>0.83663174233604964</v>
      </c>
      <c r="AZ250" s="110">
        <f t="shared" si="560"/>
        <v>0.48868247372280638</v>
      </c>
      <c r="BA250" s="110">
        <f t="shared" si="560"/>
        <v>0</v>
      </c>
      <c r="BB250" s="110">
        <f t="shared" si="560"/>
        <v>0</v>
      </c>
      <c r="BC250" s="110">
        <f t="shared" ref="BC250:BC264" si="561">SUM(C250:BB250)</f>
        <v>35.88470974541012</v>
      </c>
    </row>
    <row r="251" spans="1:56" x14ac:dyDescent="0.25">
      <c r="B251" s="110" t="str">
        <f t="shared" si="558"/>
        <v>SDT Loss (Hour) Product C</v>
      </c>
      <c r="C251" s="110">
        <f t="shared" ref="C251:AH251" si="562">C$247*C800/C$818</f>
        <v>1.5490716180371358</v>
      </c>
      <c r="D251" s="110">
        <f t="shared" si="562"/>
        <v>1.2724994948474437</v>
      </c>
      <c r="E251" s="110">
        <f t="shared" si="562"/>
        <v>0.93423440818690862</v>
      </c>
      <c r="F251" s="110">
        <f t="shared" si="562"/>
        <v>0</v>
      </c>
      <c r="G251" s="110">
        <f t="shared" si="562"/>
        <v>1.2693437806072478</v>
      </c>
      <c r="H251" s="110">
        <f t="shared" si="562"/>
        <v>1.1013219807304508</v>
      </c>
      <c r="I251" s="110">
        <f t="shared" si="562"/>
        <v>1.3037292519939649</v>
      </c>
      <c r="J251" s="110">
        <f t="shared" si="562"/>
        <v>0</v>
      </c>
      <c r="K251" s="110">
        <f t="shared" si="562"/>
        <v>1.0058207217694994</v>
      </c>
      <c r="L251" s="110">
        <f t="shared" si="562"/>
        <v>1.848077400148846</v>
      </c>
      <c r="M251" s="110">
        <f t="shared" si="562"/>
        <v>1.2116947943903016</v>
      </c>
      <c r="N251" s="110">
        <f t="shared" si="562"/>
        <v>0</v>
      </c>
      <c r="O251" s="110">
        <f t="shared" si="562"/>
        <v>1.7188328912466848</v>
      </c>
      <c r="P251" s="110">
        <f t="shared" si="562"/>
        <v>0.96213376439684783</v>
      </c>
      <c r="Q251" s="110">
        <f t="shared" si="562"/>
        <v>1.4979772683490655</v>
      </c>
      <c r="R251" s="110">
        <f t="shared" si="562"/>
        <v>0</v>
      </c>
      <c r="S251" s="110">
        <f t="shared" si="562"/>
        <v>1.5279138099902063</v>
      </c>
      <c r="T251" s="110">
        <f t="shared" si="562"/>
        <v>1.171204305898184</v>
      </c>
      <c r="U251" s="110">
        <f t="shared" si="562"/>
        <v>1.4527268807932745</v>
      </c>
      <c r="V251" s="110">
        <f t="shared" si="562"/>
        <v>0</v>
      </c>
      <c r="W251" s="110">
        <f t="shared" si="562"/>
        <v>1.7588652482269498</v>
      </c>
      <c r="X251" s="110">
        <f t="shared" si="562"/>
        <v>1.0859836268915899</v>
      </c>
      <c r="Y251" s="110">
        <f t="shared" si="562"/>
        <v>1.4744726238445134</v>
      </c>
      <c r="Z251" s="110">
        <f t="shared" si="562"/>
        <v>0</v>
      </c>
      <c r="AA251" s="110">
        <f t="shared" si="562"/>
        <v>1.1883289124668432</v>
      </c>
      <c r="AB251" s="110">
        <f t="shared" si="562"/>
        <v>1.5034510595358224</v>
      </c>
      <c r="AC251" s="110">
        <f t="shared" si="562"/>
        <v>0.93423440818690839</v>
      </c>
      <c r="AD251" s="110">
        <f t="shared" si="562"/>
        <v>0</v>
      </c>
      <c r="AE251" s="110">
        <f t="shared" si="562"/>
        <v>1.6454456415279144</v>
      </c>
      <c r="AF251" s="110">
        <f t="shared" si="562"/>
        <v>1.325028008066323</v>
      </c>
      <c r="AG251" s="110">
        <f t="shared" si="562"/>
        <v>1.0057339943953438</v>
      </c>
      <c r="AH251" s="110">
        <f t="shared" si="562"/>
        <v>0</v>
      </c>
      <c r="AI251" s="110">
        <f t="shared" ref="AI251:BB251" si="563">AI$247*AI800/AI$818</f>
        <v>0.98345153664302565</v>
      </c>
      <c r="AJ251" s="110">
        <f t="shared" si="563"/>
        <v>1.2955594145373361</v>
      </c>
      <c r="AK251" s="110">
        <f t="shared" si="563"/>
        <v>1.4130362645176586</v>
      </c>
      <c r="AL251" s="110">
        <f t="shared" si="563"/>
        <v>0</v>
      </c>
      <c r="AM251" s="110">
        <f t="shared" si="563"/>
        <v>1.6551724137931034</v>
      </c>
      <c r="AN251" s="110">
        <f t="shared" si="563"/>
        <v>0.8845423317841985</v>
      </c>
      <c r="AO251" s="110">
        <f t="shared" si="563"/>
        <v>1.131805047197072</v>
      </c>
      <c r="AP251" s="110">
        <f t="shared" si="563"/>
        <v>0</v>
      </c>
      <c r="AQ251" s="110">
        <f t="shared" si="563"/>
        <v>1.3398628795298726</v>
      </c>
      <c r="AR251" s="110">
        <f t="shared" si="563"/>
        <v>1.5831503473000219</v>
      </c>
      <c r="AS251" s="110">
        <f t="shared" si="563"/>
        <v>0.96773432894478273</v>
      </c>
      <c r="AT251" s="110">
        <f t="shared" si="563"/>
        <v>0</v>
      </c>
      <c r="AU251" s="110">
        <f t="shared" si="563"/>
        <v>1.311942959001783</v>
      </c>
      <c r="AV251" s="110">
        <f t="shared" si="563"/>
        <v>1.2278416845388966</v>
      </c>
      <c r="AW251" s="110">
        <f t="shared" si="563"/>
        <v>1.0988575123949125</v>
      </c>
      <c r="AX251" s="110">
        <f t="shared" si="563"/>
        <v>0</v>
      </c>
      <c r="AY251" s="110">
        <f t="shared" si="563"/>
        <v>1.0244470314318974</v>
      </c>
      <c r="AZ251" s="110">
        <f t="shared" si="563"/>
        <v>1.2765582987044735</v>
      </c>
      <c r="BA251" s="110">
        <f t="shared" si="563"/>
        <v>1.3925574780753738</v>
      </c>
      <c r="BB251" s="110">
        <f t="shared" si="563"/>
        <v>0</v>
      </c>
      <c r="BC251" s="110">
        <f t="shared" si="561"/>
        <v>50.334645422922677</v>
      </c>
    </row>
    <row r="252" spans="1:56" x14ac:dyDescent="0.25">
      <c r="B252" s="110" t="str">
        <f t="shared" si="558"/>
        <v>SDT Loss (Hour) Product D</v>
      </c>
      <c r="C252" s="110">
        <f t="shared" ref="C252:AH252" si="564">C$247*C801/C$818</f>
        <v>2.307471264367817</v>
      </c>
      <c r="D252" s="110">
        <f t="shared" si="564"/>
        <v>1.8225904223075371</v>
      </c>
      <c r="E252" s="110">
        <f t="shared" si="564"/>
        <v>0.95153504537555511</v>
      </c>
      <c r="F252" s="110">
        <f t="shared" si="564"/>
        <v>2.4928057553956835</v>
      </c>
      <c r="G252" s="110">
        <f t="shared" si="564"/>
        <v>1.3090107737512244</v>
      </c>
      <c r="H252" s="110">
        <f t="shared" si="564"/>
        <v>1.5774142953170518</v>
      </c>
      <c r="I252" s="110">
        <f t="shared" si="564"/>
        <v>1.3278723862901491</v>
      </c>
      <c r="J252" s="110">
        <f t="shared" si="564"/>
        <v>1.5789146644573322</v>
      </c>
      <c r="K252" s="110">
        <f t="shared" si="564"/>
        <v>1.4982537834691501</v>
      </c>
      <c r="L252" s="110">
        <f t="shared" si="564"/>
        <v>2.6469858595881912</v>
      </c>
      <c r="M252" s="110">
        <f t="shared" si="564"/>
        <v>1.2341335868790109</v>
      </c>
      <c r="N252" s="110">
        <f t="shared" si="564"/>
        <v>1.5916398713826372</v>
      </c>
      <c r="O252" s="110">
        <f t="shared" si="564"/>
        <v>2.5603448275862073</v>
      </c>
      <c r="P252" s="110">
        <f t="shared" si="564"/>
        <v>1.3780561729642351</v>
      </c>
      <c r="Q252" s="110">
        <f t="shared" si="564"/>
        <v>1.5257175881333074</v>
      </c>
      <c r="R252" s="110">
        <f t="shared" si="564"/>
        <v>1.36329494241362</v>
      </c>
      <c r="S252" s="110">
        <f t="shared" si="564"/>
        <v>1.5756611165524002</v>
      </c>
      <c r="T252" s="110">
        <f t="shared" si="564"/>
        <v>1.3420049338416693</v>
      </c>
      <c r="U252" s="110">
        <f t="shared" si="564"/>
        <v>1.4796292304375942</v>
      </c>
      <c r="V252" s="110">
        <f t="shared" si="564"/>
        <v>1.1952539550374686</v>
      </c>
      <c r="W252" s="110">
        <f t="shared" si="564"/>
        <v>2.6199763593380609</v>
      </c>
      <c r="X252" s="110">
        <f t="shared" si="564"/>
        <v>1.5554452989332668</v>
      </c>
      <c r="Y252" s="110">
        <f t="shared" si="564"/>
        <v>1.5017776724342269</v>
      </c>
      <c r="Z252" s="110">
        <f t="shared" si="564"/>
        <v>1.4993045897079278</v>
      </c>
      <c r="AA252" s="110">
        <f t="shared" si="564"/>
        <v>1.770114942528735</v>
      </c>
      <c r="AB252" s="110">
        <f t="shared" si="564"/>
        <v>2.1533804238143288</v>
      </c>
      <c r="AC252" s="110">
        <f t="shared" si="564"/>
        <v>0.95153504537555478</v>
      </c>
      <c r="AD252" s="110">
        <f t="shared" si="564"/>
        <v>1.5975922131147546</v>
      </c>
      <c r="AE252" s="110">
        <f t="shared" si="564"/>
        <v>1.6968658178256617</v>
      </c>
      <c r="AF252" s="110">
        <f t="shared" si="564"/>
        <v>1.8978265740533271</v>
      </c>
      <c r="AG252" s="110">
        <f t="shared" si="564"/>
        <v>1.0243586979952575</v>
      </c>
      <c r="AH252" s="110">
        <f t="shared" si="564"/>
        <v>1.998959200666111</v>
      </c>
      <c r="AI252" s="110">
        <f t="shared" ref="AI252:BB252" si="565">AI$247*AI801/AI$818</f>
        <v>1.4649330181245073</v>
      </c>
      <c r="AJ252" s="110">
        <f t="shared" si="565"/>
        <v>1.8556189531133724</v>
      </c>
      <c r="AK252" s="110">
        <f t="shared" si="565"/>
        <v>1.4392036027494672</v>
      </c>
      <c r="AL252" s="110">
        <f t="shared" si="565"/>
        <v>1.2672693555864634</v>
      </c>
      <c r="AM252" s="110">
        <f t="shared" si="565"/>
        <v>2.4655172413793105</v>
      </c>
      <c r="AN252" s="110">
        <f t="shared" si="565"/>
        <v>1.2669226106284093</v>
      </c>
      <c r="AO252" s="110">
        <f t="shared" si="565"/>
        <v>1.1527643999229436</v>
      </c>
      <c r="AP252" s="110">
        <f t="shared" si="565"/>
        <v>2.0540471311475414</v>
      </c>
      <c r="AQ252" s="110">
        <f t="shared" si="565"/>
        <v>1.381733594515181</v>
      </c>
      <c r="AR252" s="110">
        <f t="shared" si="565"/>
        <v>2.2675330495182608</v>
      </c>
      <c r="AS252" s="110">
        <f t="shared" si="565"/>
        <v>0.98565533503635261</v>
      </c>
      <c r="AT252" s="110">
        <f t="shared" si="565"/>
        <v>1.3202627388535035</v>
      </c>
      <c r="AU252" s="110">
        <f t="shared" si="565"/>
        <v>1.9542483660130721</v>
      </c>
      <c r="AV252" s="110">
        <f t="shared" si="565"/>
        <v>1.7586274127510233</v>
      </c>
      <c r="AW252" s="110">
        <f t="shared" si="565"/>
        <v>1.1192067255874107</v>
      </c>
      <c r="AX252" s="110">
        <f t="shared" si="565"/>
        <v>1.968516984258492</v>
      </c>
      <c r="AY252" s="110">
        <f t="shared" si="565"/>
        <v>1.5259992239037641</v>
      </c>
      <c r="AZ252" s="110">
        <f t="shared" si="565"/>
        <v>1.8284038132485947</v>
      </c>
      <c r="BA252" s="110">
        <f t="shared" si="565"/>
        <v>1.4183455795212139</v>
      </c>
      <c r="BB252" s="110">
        <f t="shared" si="565"/>
        <v>0.64255910987482634</v>
      </c>
      <c r="BC252" s="110">
        <f t="shared" si="561"/>
        <v>84.163095557068772</v>
      </c>
    </row>
    <row r="253" spans="1:56" x14ac:dyDescent="0.25">
      <c r="B253" s="110" t="str">
        <f t="shared" si="558"/>
        <v>SDT Loss (Hour) Product E</v>
      </c>
      <c r="C253" s="110">
        <f t="shared" ref="C253:AH253" si="566">C$247*C802/C$818</f>
        <v>0.87135278514588888</v>
      </c>
      <c r="D253" s="110">
        <f t="shared" si="566"/>
        <v>2.3262881390179837</v>
      </c>
      <c r="E253" s="110">
        <f t="shared" si="566"/>
        <v>1.167793010233636</v>
      </c>
      <c r="F253" s="110">
        <f t="shared" si="566"/>
        <v>2.1755395683453234</v>
      </c>
      <c r="G253" s="110">
        <f t="shared" si="566"/>
        <v>0.71400587659157688</v>
      </c>
      <c r="H253" s="110">
        <f t="shared" si="566"/>
        <v>1.7036074389424165</v>
      </c>
      <c r="I253" s="110">
        <f t="shared" si="566"/>
        <v>1.6296615649924557</v>
      </c>
      <c r="J253" s="110">
        <f t="shared" si="566"/>
        <v>1.3779618889809444</v>
      </c>
      <c r="K253" s="110">
        <f t="shared" si="566"/>
        <v>0.56577415599534342</v>
      </c>
      <c r="L253" s="110">
        <f t="shared" si="566"/>
        <v>1.8192011907715202</v>
      </c>
      <c r="M253" s="110">
        <f t="shared" si="566"/>
        <v>0.9087710957927263</v>
      </c>
      <c r="N253" s="110">
        <f t="shared" si="566"/>
        <v>1.3890675241157562</v>
      </c>
      <c r="O253" s="110">
        <f t="shared" si="566"/>
        <v>0.96684350132626007</v>
      </c>
      <c r="P253" s="110">
        <f t="shared" si="566"/>
        <v>1.7589007880379872</v>
      </c>
      <c r="Q253" s="110">
        <f t="shared" si="566"/>
        <v>1.8724715854363316</v>
      </c>
      <c r="R253" s="110">
        <f t="shared" si="566"/>
        <v>1.1897846770155229</v>
      </c>
      <c r="S253" s="110">
        <f t="shared" si="566"/>
        <v>0.85945151811949094</v>
      </c>
      <c r="T253" s="110">
        <f t="shared" si="566"/>
        <v>2.1411078717201177</v>
      </c>
      <c r="U253" s="110">
        <f t="shared" si="566"/>
        <v>1.8159086009915928</v>
      </c>
      <c r="V253" s="110">
        <f t="shared" si="566"/>
        <v>1.0431307243963361</v>
      </c>
      <c r="W253" s="110">
        <f t="shared" si="566"/>
        <v>0.98936170212765928</v>
      </c>
      <c r="X253" s="110">
        <f t="shared" si="566"/>
        <v>1.0690151327214086</v>
      </c>
      <c r="Y253" s="110">
        <f t="shared" si="566"/>
        <v>1.8430907798056417</v>
      </c>
      <c r="Z253" s="110">
        <f t="shared" si="566"/>
        <v>1.6823365785813631</v>
      </c>
      <c r="AA253" s="110">
        <f t="shared" si="566"/>
        <v>0.66843501326259924</v>
      </c>
      <c r="AB253" s="110">
        <f t="shared" si="566"/>
        <v>2.7484964682139248</v>
      </c>
      <c r="AC253" s="110">
        <f t="shared" si="566"/>
        <v>1.1677930102336356</v>
      </c>
      <c r="AD253" s="110">
        <f t="shared" si="566"/>
        <v>1.3942622950819676</v>
      </c>
      <c r="AE253" s="110">
        <f t="shared" si="566"/>
        <v>0.92556317335945171</v>
      </c>
      <c r="AF253" s="110">
        <f t="shared" si="566"/>
        <v>2.0496526999775937</v>
      </c>
      <c r="AG253" s="110">
        <f t="shared" si="566"/>
        <v>1.2571674929941796</v>
      </c>
      <c r="AH253" s="110">
        <f t="shared" si="566"/>
        <v>1.744546211490424</v>
      </c>
      <c r="AI253" s="110">
        <f t="shared" ref="AI253:BB253" si="567">AI$247*AI802/AI$818</f>
        <v>0.55319148936170204</v>
      </c>
      <c r="AJ253" s="110">
        <f t="shared" si="567"/>
        <v>1.2753162986851903</v>
      </c>
      <c r="AK253" s="110">
        <f t="shared" si="567"/>
        <v>1.766295330647073</v>
      </c>
      <c r="AL253" s="110">
        <f t="shared" si="567"/>
        <v>1.4219749652294862</v>
      </c>
      <c r="AM253" s="110">
        <f t="shared" si="567"/>
        <v>0.93103448275862055</v>
      </c>
      <c r="AN253" s="110">
        <f t="shared" si="567"/>
        <v>1.6170539502929879</v>
      </c>
      <c r="AO253" s="110">
        <f t="shared" si="567"/>
        <v>1.4147563089963398</v>
      </c>
      <c r="AP253" s="110">
        <f t="shared" si="567"/>
        <v>1.7926229508196723</v>
      </c>
      <c r="AQ253" s="110">
        <f t="shared" si="567"/>
        <v>0.75367286973555325</v>
      </c>
      <c r="AR253" s="110">
        <f t="shared" si="567"/>
        <v>2.4489356934797217</v>
      </c>
      <c r="AS253" s="110">
        <f t="shared" si="567"/>
        <v>1.2096679111809783</v>
      </c>
      <c r="AT253" s="110">
        <f t="shared" si="567"/>
        <v>1.1522292993630574</v>
      </c>
      <c r="AU253" s="110">
        <f t="shared" si="567"/>
        <v>0.73796791443850285</v>
      </c>
      <c r="AV253" s="110">
        <f t="shared" si="567"/>
        <v>2.24464807954767</v>
      </c>
      <c r="AW253" s="110">
        <f t="shared" si="567"/>
        <v>1.3735718904936407</v>
      </c>
      <c r="AX253" s="110">
        <f t="shared" si="567"/>
        <v>1.7179784589892291</v>
      </c>
      <c r="AY253" s="110">
        <f t="shared" si="567"/>
        <v>0.5762514551804423</v>
      </c>
      <c r="AZ253" s="110">
        <f t="shared" si="567"/>
        <v>2.3337081398191155</v>
      </c>
      <c r="BA253" s="110">
        <f t="shared" si="567"/>
        <v>1.7406968475942168</v>
      </c>
      <c r="BB253" s="110">
        <f t="shared" si="567"/>
        <v>0.72100139082058445</v>
      </c>
      <c r="BC253" s="110">
        <f t="shared" si="561"/>
        <v>73.618919791252821</v>
      </c>
    </row>
    <row r="254" spans="1:56" x14ac:dyDescent="0.25">
      <c r="B254" s="110" t="str">
        <f t="shared" si="558"/>
        <v>SDT Loss (Hour) Product F</v>
      </c>
      <c r="C254" s="110">
        <f t="shared" ref="C254:AH254" si="568">C$247*C803/C$818</f>
        <v>0</v>
      </c>
      <c r="D254" s="110">
        <f t="shared" si="568"/>
        <v>0.86987270155586993</v>
      </c>
      <c r="E254" s="110">
        <f t="shared" si="568"/>
        <v>1.4759606101564007</v>
      </c>
      <c r="F254" s="110">
        <f t="shared" si="568"/>
        <v>0</v>
      </c>
      <c r="G254" s="110">
        <f t="shared" si="568"/>
        <v>0</v>
      </c>
      <c r="H254" s="110">
        <f t="shared" si="568"/>
        <v>0.75285682276495658</v>
      </c>
      <c r="I254" s="110">
        <f t="shared" si="568"/>
        <v>2.0597111446432428</v>
      </c>
      <c r="J254" s="110">
        <f t="shared" si="568"/>
        <v>1.6746064623032311</v>
      </c>
      <c r="K254" s="110">
        <f t="shared" si="568"/>
        <v>0.66006984866123408</v>
      </c>
      <c r="L254" s="110">
        <f t="shared" si="568"/>
        <v>1.2633341602579999</v>
      </c>
      <c r="M254" s="110">
        <f t="shared" si="568"/>
        <v>1.9143094841930113</v>
      </c>
      <c r="N254" s="110">
        <f t="shared" si="568"/>
        <v>1.6881028938906761</v>
      </c>
      <c r="O254" s="110">
        <f t="shared" si="568"/>
        <v>0</v>
      </c>
      <c r="P254" s="110">
        <f t="shared" si="568"/>
        <v>0.65770862800565766</v>
      </c>
      <c r="Q254" s="110">
        <f t="shared" si="568"/>
        <v>2.3665960315931418</v>
      </c>
      <c r="R254" s="110">
        <f t="shared" si="568"/>
        <v>1.4459188783174759</v>
      </c>
      <c r="S254" s="110">
        <f t="shared" si="568"/>
        <v>0</v>
      </c>
      <c r="T254" s="110">
        <f t="shared" si="568"/>
        <v>0.80062794348508659</v>
      </c>
      <c r="U254" s="110">
        <f t="shared" si="568"/>
        <v>2.2951067040310407</v>
      </c>
      <c r="V254" s="110">
        <f t="shared" si="568"/>
        <v>1.2676935886761032</v>
      </c>
      <c r="W254" s="110">
        <f t="shared" si="568"/>
        <v>0</v>
      </c>
      <c r="X254" s="110">
        <f t="shared" si="568"/>
        <v>0.74237161994542267</v>
      </c>
      <c r="Y254" s="110">
        <f t="shared" si="568"/>
        <v>1.6127044323299369</v>
      </c>
      <c r="Z254" s="110">
        <f t="shared" si="568"/>
        <v>2.0445062586926288</v>
      </c>
      <c r="AA254" s="110">
        <f t="shared" si="568"/>
        <v>0</v>
      </c>
      <c r="AB254" s="110">
        <f t="shared" si="568"/>
        <v>1.0277497477295661</v>
      </c>
      <c r="AC254" s="110">
        <f t="shared" si="568"/>
        <v>1.4759606101564005</v>
      </c>
      <c r="AD254" s="110">
        <f t="shared" si="568"/>
        <v>0.67776639344262313</v>
      </c>
      <c r="AE254" s="110">
        <f t="shared" si="568"/>
        <v>0</v>
      </c>
      <c r="AF254" s="110">
        <f t="shared" si="568"/>
        <v>0.90578086488908804</v>
      </c>
      <c r="AG254" s="110">
        <f t="shared" si="568"/>
        <v>1.5889200258676437</v>
      </c>
      <c r="AH254" s="110">
        <f t="shared" si="568"/>
        <v>2.1201082431307237</v>
      </c>
      <c r="AI254" s="110">
        <f t="shared" ref="AI254:BB254" si="569">AI$247*AI803/AI$818</f>
        <v>0</v>
      </c>
      <c r="AJ254" s="110">
        <f t="shared" si="569"/>
        <v>0.88563631853138203</v>
      </c>
      <c r="AK254" s="110">
        <f t="shared" si="569"/>
        <v>1.5455084143161892</v>
      </c>
      <c r="AL254" s="110">
        <f t="shared" si="569"/>
        <v>1.7280945757997228</v>
      </c>
      <c r="AM254" s="110">
        <f t="shared" si="569"/>
        <v>0</v>
      </c>
      <c r="AN254" s="110">
        <f t="shared" si="569"/>
        <v>0.60466760961810451</v>
      </c>
      <c r="AO254" s="110">
        <f t="shared" si="569"/>
        <v>1.7880947794259294</v>
      </c>
      <c r="AP254" s="110">
        <f t="shared" si="569"/>
        <v>0.87141393442622961</v>
      </c>
      <c r="AQ254" s="110">
        <f t="shared" si="569"/>
        <v>0</v>
      </c>
      <c r="AR254" s="110">
        <f t="shared" si="569"/>
        <v>1.0822316827246243</v>
      </c>
      <c r="AS254" s="110">
        <f t="shared" si="569"/>
        <v>1.5288858321870697</v>
      </c>
      <c r="AT254" s="110">
        <f t="shared" si="569"/>
        <v>1.4002786624203827</v>
      </c>
      <c r="AU254" s="110">
        <f t="shared" si="569"/>
        <v>0.7174688057041001</v>
      </c>
      <c r="AV254" s="110">
        <f t="shared" si="569"/>
        <v>0.83934490154026109</v>
      </c>
      <c r="AW254" s="110">
        <f t="shared" si="569"/>
        <v>1.7360422504850179</v>
      </c>
      <c r="AX254" s="110">
        <f t="shared" si="569"/>
        <v>2.0878210439105209</v>
      </c>
      <c r="AY254" s="110">
        <f t="shared" si="569"/>
        <v>0.67229336437718268</v>
      </c>
      <c r="AZ254" s="110">
        <f t="shared" si="569"/>
        <v>0.87264727450501123</v>
      </c>
      <c r="BA254" s="110">
        <f t="shared" si="569"/>
        <v>1.52310974164494</v>
      </c>
      <c r="BB254" s="110">
        <f t="shared" si="569"/>
        <v>0.87621696801112681</v>
      </c>
      <c r="BC254" s="110">
        <f t="shared" si="561"/>
        <v>54.148100258346972</v>
      </c>
    </row>
    <row r="255" spans="1:56" x14ac:dyDescent="0.25">
      <c r="B255" s="110" t="str">
        <f t="shared" si="558"/>
        <v>SDT Loss (Hour) Product G</v>
      </c>
      <c r="C255" s="110">
        <f t="shared" ref="C255:AH255" si="570">C$247*C804/C$818</f>
        <v>0</v>
      </c>
      <c r="D255" s="110">
        <f t="shared" si="570"/>
        <v>0.44736310365730453</v>
      </c>
      <c r="E255" s="110">
        <f t="shared" si="570"/>
        <v>0.58389650511681801</v>
      </c>
      <c r="F255" s="110">
        <f t="shared" si="570"/>
        <v>2.4928057553956835</v>
      </c>
      <c r="G255" s="110">
        <f t="shared" si="570"/>
        <v>0</v>
      </c>
      <c r="H255" s="110">
        <f t="shared" si="570"/>
        <v>0</v>
      </c>
      <c r="I255" s="110">
        <f t="shared" si="570"/>
        <v>0.67902565208018995</v>
      </c>
      <c r="J255" s="110">
        <f t="shared" si="570"/>
        <v>1.8659900579950288</v>
      </c>
      <c r="K255" s="110">
        <f t="shared" si="570"/>
        <v>0</v>
      </c>
      <c r="L255" s="110">
        <f t="shared" si="570"/>
        <v>0</v>
      </c>
      <c r="M255" s="110">
        <f t="shared" si="570"/>
        <v>0.63109103874494865</v>
      </c>
      <c r="N255" s="110">
        <f t="shared" si="570"/>
        <v>1.5916398713826372</v>
      </c>
      <c r="O255" s="110">
        <f t="shared" si="570"/>
        <v>0</v>
      </c>
      <c r="P255" s="110">
        <f t="shared" si="570"/>
        <v>0</v>
      </c>
      <c r="Q255" s="110">
        <f t="shared" si="570"/>
        <v>0.7801964939318049</v>
      </c>
      <c r="R255" s="110">
        <f t="shared" si="570"/>
        <v>0.86755132699048554</v>
      </c>
      <c r="S255" s="110">
        <f t="shared" si="570"/>
        <v>0</v>
      </c>
      <c r="T255" s="110">
        <f t="shared" si="570"/>
        <v>0</v>
      </c>
      <c r="U255" s="110">
        <f t="shared" si="570"/>
        <v>0.75662858374649711</v>
      </c>
      <c r="V255" s="110">
        <f t="shared" si="570"/>
        <v>1.4125728559533719</v>
      </c>
      <c r="W255" s="110">
        <f t="shared" si="570"/>
        <v>0</v>
      </c>
      <c r="X255" s="110">
        <f t="shared" si="570"/>
        <v>0</v>
      </c>
      <c r="Y255" s="110">
        <f t="shared" si="570"/>
        <v>0.76795449158568407</v>
      </c>
      <c r="Z255" s="110">
        <f t="shared" si="570"/>
        <v>2.2781641168289286</v>
      </c>
      <c r="AA255" s="110">
        <f t="shared" si="570"/>
        <v>0</v>
      </c>
      <c r="AB255" s="110">
        <f t="shared" si="570"/>
        <v>0</v>
      </c>
      <c r="AC255" s="110">
        <f t="shared" si="570"/>
        <v>0.48658042093068143</v>
      </c>
      <c r="AD255" s="110">
        <f t="shared" si="570"/>
        <v>1.8880635245901645</v>
      </c>
      <c r="AE255" s="110">
        <f t="shared" si="570"/>
        <v>0</v>
      </c>
      <c r="AF255" s="110">
        <f t="shared" si="570"/>
        <v>0</v>
      </c>
      <c r="AG255" s="110">
        <f t="shared" si="570"/>
        <v>0.52381978874757484</v>
      </c>
      <c r="AH255" s="110">
        <f t="shared" si="570"/>
        <v>2.3624063280599499</v>
      </c>
      <c r="AI255" s="110">
        <f t="shared" ref="AI255:BB255" si="571">AI$247*AI804/AI$818</f>
        <v>0</v>
      </c>
      <c r="AJ255" s="110">
        <f t="shared" si="571"/>
        <v>0</v>
      </c>
      <c r="AK255" s="110">
        <f t="shared" si="571"/>
        <v>0.73595638776961392</v>
      </c>
      <c r="AL255" s="110">
        <f t="shared" si="571"/>
        <v>1.9255910987482623</v>
      </c>
      <c r="AM255" s="110">
        <f t="shared" si="571"/>
        <v>0</v>
      </c>
      <c r="AN255" s="110">
        <f t="shared" si="571"/>
        <v>0</v>
      </c>
      <c r="AO255" s="110">
        <f t="shared" si="571"/>
        <v>0.58948179541514167</v>
      </c>
      <c r="AP255" s="110">
        <f t="shared" si="571"/>
        <v>2.4275102459016398</v>
      </c>
      <c r="AQ255" s="110">
        <f t="shared" si="571"/>
        <v>0</v>
      </c>
      <c r="AR255" s="110">
        <f t="shared" si="571"/>
        <v>0</v>
      </c>
      <c r="AS255" s="110">
        <f t="shared" si="571"/>
        <v>0.50402829632540758</v>
      </c>
      <c r="AT255" s="110">
        <f t="shared" si="571"/>
        <v>1.5603105095541405</v>
      </c>
      <c r="AU255" s="110">
        <f t="shared" si="571"/>
        <v>0</v>
      </c>
      <c r="AV255" s="110">
        <f t="shared" si="571"/>
        <v>0</v>
      </c>
      <c r="AW255" s="110">
        <f t="shared" si="571"/>
        <v>0.57232162103901696</v>
      </c>
      <c r="AX255" s="110">
        <f t="shared" si="571"/>
        <v>2.326429163214581</v>
      </c>
      <c r="AY255" s="110">
        <f t="shared" si="571"/>
        <v>0</v>
      </c>
      <c r="AZ255" s="110">
        <f t="shared" si="571"/>
        <v>0</v>
      </c>
      <c r="BA255" s="110">
        <f t="shared" si="571"/>
        <v>0.72529035316425716</v>
      </c>
      <c r="BB255" s="110">
        <f t="shared" si="571"/>
        <v>0.9763560500695414</v>
      </c>
      <c r="BC255" s="110">
        <f t="shared" si="561"/>
        <v>32.759025436939361</v>
      </c>
    </row>
    <row r="256" spans="1:56" x14ac:dyDescent="0.25">
      <c r="B256" s="110" t="str">
        <f t="shared" si="558"/>
        <v>SDT Loss (Hour) Product H</v>
      </c>
      <c r="C256" s="110">
        <f t="shared" ref="C256:AH256" si="572">C$247*C805/C$818</f>
        <v>0</v>
      </c>
      <c r="D256" s="110">
        <f t="shared" si="572"/>
        <v>0</v>
      </c>
      <c r="E256" s="110">
        <f t="shared" si="572"/>
        <v>0</v>
      </c>
      <c r="F256" s="110">
        <f t="shared" si="572"/>
        <v>1.1582733812949639</v>
      </c>
      <c r="G256" s="110">
        <f t="shared" si="572"/>
        <v>0</v>
      </c>
      <c r="H256" s="110">
        <f t="shared" si="572"/>
        <v>0</v>
      </c>
      <c r="I256" s="110">
        <f t="shared" si="572"/>
        <v>0</v>
      </c>
      <c r="J256" s="110">
        <f t="shared" si="572"/>
        <v>0.73363711681855825</v>
      </c>
      <c r="K256" s="110">
        <f t="shared" si="572"/>
        <v>0</v>
      </c>
      <c r="L256" s="110">
        <f t="shared" si="572"/>
        <v>0</v>
      </c>
      <c r="M256" s="110">
        <f t="shared" si="572"/>
        <v>0</v>
      </c>
      <c r="N256" s="110">
        <f t="shared" si="572"/>
        <v>0.73954983922829609</v>
      </c>
      <c r="O256" s="110">
        <f t="shared" si="572"/>
        <v>0</v>
      </c>
      <c r="P256" s="110">
        <f t="shared" si="572"/>
        <v>0</v>
      </c>
      <c r="Q256" s="110">
        <f t="shared" si="572"/>
        <v>0.9570410325563472</v>
      </c>
      <c r="R256" s="110">
        <f t="shared" si="572"/>
        <v>0.63345017526289416</v>
      </c>
      <c r="S256" s="110">
        <f t="shared" si="572"/>
        <v>0</v>
      </c>
      <c r="T256" s="110">
        <f t="shared" si="572"/>
        <v>0</v>
      </c>
      <c r="U256" s="110">
        <f t="shared" si="572"/>
        <v>0</v>
      </c>
      <c r="V256" s="110">
        <f t="shared" si="572"/>
        <v>0.55537052456286418</v>
      </c>
      <c r="W256" s="110">
        <f t="shared" si="572"/>
        <v>1.011347517730496</v>
      </c>
      <c r="X256" s="110">
        <f t="shared" si="572"/>
        <v>0</v>
      </c>
      <c r="Y256" s="110">
        <f t="shared" si="572"/>
        <v>0</v>
      </c>
      <c r="Z256" s="110">
        <f t="shared" si="572"/>
        <v>0.89568845618915161</v>
      </c>
      <c r="AA256" s="110">
        <f t="shared" si="572"/>
        <v>0</v>
      </c>
      <c r="AB256" s="110">
        <f t="shared" si="572"/>
        <v>0.54030272452068606</v>
      </c>
      <c r="AC256" s="110">
        <f t="shared" si="572"/>
        <v>0</v>
      </c>
      <c r="AD256" s="110">
        <f t="shared" si="572"/>
        <v>0.74231557377049195</v>
      </c>
      <c r="AE256" s="110">
        <f t="shared" si="572"/>
        <v>0</v>
      </c>
      <c r="AF256" s="110">
        <f t="shared" si="572"/>
        <v>0</v>
      </c>
      <c r="AG256" s="110">
        <f t="shared" si="572"/>
        <v>0</v>
      </c>
      <c r="AH256" s="110">
        <f t="shared" si="572"/>
        <v>0.92880932556203144</v>
      </c>
      <c r="AI256" s="110">
        <f t="shared" ref="AI256:BB256" si="573">AI$247*AI805/AI$818</f>
        <v>0.56548463356973966</v>
      </c>
      <c r="AJ256" s="110">
        <f t="shared" si="573"/>
        <v>0</v>
      </c>
      <c r="AK256" s="110">
        <f t="shared" si="573"/>
        <v>0</v>
      </c>
      <c r="AL256" s="110">
        <f t="shared" si="573"/>
        <v>0.75707000463606899</v>
      </c>
      <c r="AM256" s="110">
        <f t="shared" si="573"/>
        <v>0</v>
      </c>
      <c r="AN256" s="110">
        <f t="shared" si="573"/>
        <v>0</v>
      </c>
      <c r="AO256" s="110">
        <f t="shared" si="573"/>
        <v>0.72309766904257367</v>
      </c>
      <c r="AP256" s="110">
        <f t="shared" si="573"/>
        <v>0.9544057377049181</v>
      </c>
      <c r="AQ256" s="110">
        <f t="shared" si="573"/>
        <v>0</v>
      </c>
      <c r="AR256" s="110">
        <f t="shared" si="573"/>
        <v>0</v>
      </c>
      <c r="AS256" s="110">
        <f t="shared" si="573"/>
        <v>0</v>
      </c>
      <c r="AT256" s="110">
        <f t="shared" si="573"/>
        <v>0.61345541401273906</v>
      </c>
      <c r="AU256" s="110">
        <f t="shared" si="573"/>
        <v>0</v>
      </c>
      <c r="AV256" s="110">
        <f t="shared" si="573"/>
        <v>0</v>
      </c>
      <c r="AW256" s="110">
        <f t="shared" si="573"/>
        <v>0</v>
      </c>
      <c r="AX256" s="110">
        <f t="shared" si="573"/>
        <v>0.91466445733222845</v>
      </c>
      <c r="AY256" s="110">
        <f t="shared" si="573"/>
        <v>0</v>
      </c>
      <c r="AZ256" s="110">
        <f t="shared" si="573"/>
        <v>0</v>
      </c>
      <c r="BA256" s="110">
        <f t="shared" si="573"/>
        <v>0</v>
      </c>
      <c r="BB256" s="110">
        <f t="shared" si="573"/>
        <v>0.38386648122392225</v>
      </c>
      <c r="BC256" s="110">
        <f t="shared" si="561"/>
        <v>13.807830065018972</v>
      </c>
    </row>
    <row r="257" spans="2:56" x14ac:dyDescent="0.25">
      <c r="B257" s="151" t="str">
        <f>_xlfn.CONCAT("SDT Loss VAS"," ",B322)</f>
        <v>SDT Loss VAS Product A</v>
      </c>
      <c r="C257" s="160">
        <f t="shared" ref="C257:AH257" si="574">C249*C674</f>
        <v>5518.166246860249</v>
      </c>
      <c r="D257" s="160">
        <f t="shared" si="574"/>
        <v>0</v>
      </c>
      <c r="E257" s="160">
        <f t="shared" si="574"/>
        <v>2056.2757054916142</v>
      </c>
      <c r="F257" s="160">
        <f t="shared" si="574"/>
        <v>0</v>
      </c>
      <c r="G257" s="160">
        <f t="shared" si="574"/>
        <v>4518.0061039425727</v>
      </c>
      <c r="H257" s="160">
        <f t="shared" si="574"/>
        <v>0</v>
      </c>
      <c r="I257" s="160">
        <f t="shared" si="574"/>
        <v>0</v>
      </c>
      <c r="J257" s="160">
        <f t="shared" si="574"/>
        <v>0</v>
      </c>
      <c r="K257" s="160">
        <f t="shared" si="574"/>
        <v>3586.3040598687317</v>
      </c>
      <c r="L257" s="160">
        <f t="shared" si="574"/>
        <v>0</v>
      </c>
      <c r="M257" s="160">
        <f t="shared" si="574"/>
        <v>0</v>
      </c>
      <c r="N257" s="160">
        <f t="shared" si="574"/>
        <v>0</v>
      </c>
      <c r="O257" s="160">
        <f t="shared" si="574"/>
        <v>6122.8967944613714</v>
      </c>
      <c r="P257" s="160">
        <f t="shared" si="574"/>
        <v>1428.9954160442164</v>
      </c>
      <c r="Q257" s="160">
        <f t="shared" si="574"/>
        <v>0</v>
      </c>
      <c r="R257" s="160">
        <f t="shared" si="574"/>
        <v>0</v>
      </c>
      <c r="S257" s="160">
        <f t="shared" si="574"/>
        <v>5438.3406806716175</v>
      </c>
      <c r="T257" s="160">
        <f t="shared" si="574"/>
        <v>0</v>
      </c>
      <c r="U257" s="160">
        <f t="shared" si="574"/>
        <v>0</v>
      </c>
      <c r="V257" s="160">
        <f t="shared" si="574"/>
        <v>1376.8625292134429</v>
      </c>
      <c r="W257" s="160">
        <f t="shared" si="574"/>
        <v>6270.6797193300135</v>
      </c>
      <c r="X257" s="160">
        <f t="shared" si="574"/>
        <v>0</v>
      </c>
      <c r="Y257" s="160">
        <f t="shared" si="574"/>
        <v>0</v>
      </c>
      <c r="Z257" s="160">
        <f t="shared" si="574"/>
        <v>0</v>
      </c>
      <c r="AA257" s="160">
        <f t="shared" si="574"/>
        <v>4233.113833207859</v>
      </c>
      <c r="AB257" s="160">
        <f t="shared" si="574"/>
        <v>0</v>
      </c>
      <c r="AC257" s="160">
        <f t="shared" si="574"/>
        <v>2467.5308465899366</v>
      </c>
      <c r="AD257" s="160">
        <f t="shared" si="574"/>
        <v>0</v>
      </c>
      <c r="AE257" s="160">
        <f t="shared" si="574"/>
        <v>5856.6745791848198</v>
      </c>
      <c r="AF257" s="160">
        <f t="shared" si="574"/>
        <v>0</v>
      </c>
      <c r="AG257" s="160">
        <f t="shared" si="574"/>
        <v>0</v>
      </c>
      <c r="AH257" s="160">
        <f t="shared" si="574"/>
        <v>2302.683885063861</v>
      </c>
      <c r="AI257" s="160">
        <f t="shared" ref="AI257:BB257" si="575">AI249*AI674</f>
        <v>3506.1865097329105</v>
      </c>
      <c r="AJ257" s="160">
        <f t="shared" si="575"/>
        <v>0</v>
      </c>
      <c r="AK257" s="160">
        <f t="shared" si="575"/>
        <v>0</v>
      </c>
      <c r="AL257" s="160">
        <f t="shared" si="575"/>
        <v>0</v>
      </c>
      <c r="AM257" s="160">
        <f t="shared" si="575"/>
        <v>5896.1228391109489</v>
      </c>
      <c r="AN257" s="160">
        <f t="shared" si="575"/>
        <v>1313.7538502341986</v>
      </c>
      <c r="AO257" s="160">
        <f t="shared" si="575"/>
        <v>0</v>
      </c>
      <c r="AP257" s="160">
        <f t="shared" si="575"/>
        <v>0</v>
      </c>
      <c r="AQ257" s="160">
        <f t="shared" si="575"/>
        <v>4769.0064430504917</v>
      </c>
      <c r="AR257" s="160">
        <f t="shared" si="575"/>
        <v>0</v>
      </c>
      <c r="AS257" s="160">
        <f t="shared" si="575"/>
        <v>2129.7601266912502</v>
      </c>
      <c r="AT257" s="160">
        <f t="shared" si="575"/>
        <v>0</v>
      </c>
      <c r="AU257" s="160">
        <f t="shared" si="575"/>
        <v>4677.1498756041083</v>
      </c>
      <c r="AV257" s="160">
        <f t="shared" si="575"/>
        <v>3040.1310323123348</v>
      </c>
      <c r="AW257" s="160">
        <f t="shared" si="575"/>
        <v>0</v>
      </c>
      <c r="AX257" s="160">
        <f t="shared" si="575"/>
        <v>0</v>
      </c>
      <c r="AY257" s="160">
        <f t="shared" si="575"/>
        <v>3652.7170980144488</v>
      </c>
      <c r="AZ257" s="160">
        <f t="shared" si="575"/>
        <v>0</v>
      </c>
      <c r="BA257" s="160">
        <f t="shared" si="575"/>
        <v>0</v>
      </c>
      <c r="BB257" s="160">
        <f t="shared" si="575"/>
        <v>0</v>
      </c>
      <c r="BC257" s="156">
        <f t="shared" si="561"/>
        <v>80161.358174680994</v>
      </c>
      <c r="BD257" s="130">
        <f>SUM(BC257:BC264)/BD249</f>
        <v>2575.5783723715981</v>
      </c>
    </row>
    <row r="258" spans="2:56" x14ac:dyDescent="0.25">
      <c r="B258" s="151" t="str">
        <f t="shared" ref="B258:B264" si="576">_xlfn.CONCAT("SDT Loss VAS"," ",B323)</f>
        <v>SDT Loss VAS Product B</v>
      </c>
      <c r="C258" s="160">
        <f t="shared" ref="C258:AH258" si="577">C250*C675</f>
        <v>3791.9683048498205</v>
      </c>
      <c r="D258" s="160">
        <f t="shared" si="577"/>
        <v>4384.4224043661188</v>
      </c>
      <c r="E258" s="160">
        <f t="shared" si="577"/>
        <v>0</v>
      </c>
      <c r="F258" s="160">
        <f t="shared" si="577"/>
        <v>4430.2006935458821</v>
      </c>
      <c r="G258" s="160">
        <f t="shared" si="577"/>
        <v>3103.6399051840835</v>
      </c>
      <c r="H258" s="160">
        <f t="shared" si="577"/>
        <v>3790.5872795106866</v>
      </c>
      <c r="I258" s="160">
        <f t="shared" si="577"/>
        <v>0</v>
      </c>
      <c r="J258" s="160">
        <f t="shared" si="577"/>
        <v>1406.4094669385777</v>
      </c>
      <c r="K258" s="160">
        <f t="shared" si="577"/>
        <v>2465.3674053133227</v>
      </c>
      <c r="L258" s="160">
        <f t="shared" si="577"/>
        <v>6353.4112611138617</v>
      </c>
      <c r="M258" s="160">
        <f t="shared" si="577"/>
        <v>0</v>
      </c>
      <c r="N258" s="160">
        <f t="shared" si="577"/>
        <v>0</v>
      </c>
      <c r="O258" s="160">
        <f t="shared" si="577"/>
        <v>4207.52647524432</v>
      </c>
      <c r="P258" s="160">
        <f t="shared" si="577"/>
        <v>3315.0510862280403</v>
      </c>
      <c r="Q258" s="160">
        <f t="shared" si="577"/>
        <v>0</v>
      </c>
      <c r="R258" s="160">
        <f t="shared" si="577"/>
        <v>0</v>
      </c>
      <c r="S258" s="160">
        <f t="shared" si="577"/>
        <v>3735.8628488326931</v>
      </c>
      <c r="T258" s="160">
        <f t="shared" si="577"/>
        <v>4031.0726585816078</v>
      </c>
      <c r="U258" s="160">
        <f t="shared" si="577"/>
        <v>0</v>
      </c>
      <c r="V258" s="160">
        <f t="shared" si="577"/>
        <v>0</v>
      </c>
      <c r="W258" s="160">
        <f t="shared" si="577"/>
        <v>4310.533393692469</v>
      </c>
      <c r="X258" s="160">
        <f t="shared" si="577"/>
        <v>3733.4478544689696</v>
      </c>
      <c r="Y258" s="160">
        <f t="shared" si="577"/>
        <v>0</v>
      </c>
      <c r="Z258" s="160">
        <f t="shared" si="577"/>
        <v>0</v>
      </c>
      <c r="AA258" s="160">
        <f t="shared" si="577"/>
        <v>2908.9071927615041</v>
      </c>
      <c r="AB258" s="160">
        <f t="shared" si="577"/>
        <v>5180.2319506109989</v>
      </c>
      <c r="AC258" s="160">
        <f t="shared" si="577"/>
        <v>0</v>
      </c>
      <c r="AD258" s="160">
        <f t="shared" si="577"/>
        <v>0</v>
      </c>
      <c r="AE258" s="160">
        <f t="shared" si="577"/>
        <v>4023.2369141275158</v>
      </c>
      <c r="AF258" s="160">
        <f t="shared" si="577"/>
        <v>4560.550320661293</v>
      </c>
      <c r="AG258" s="160">
        <f t="shared" si="577"/>
        <v>0</v>
      </c>
      <c r="AH258" s="160">
        <f t="shared" si="577"/>
        <v>0</v>
      </c>
      <c r="AI258" s="160">
        <f t="shared" ref="AI258:BB258" si="578">AI250*AI675</f>
        <v>2410.1907147527781</v>
      </c>
      <c r="AJ258" s="160">
        <f t="shared" si="578"/>
        <v>4453.9377912963182</v>
      </c>
      <c r="AK258" s="160">
        <f t="shared" si="578"/>
        <v>0</v>
      </c>
      <c r="AL258" s="160">
        <f t="shared" si="578"/>
        <v>0</v>
      </c>
      <c r="AM258" s="160">
        <f t="shared" si="578"/>
        <v>4051.6921613463819</v>
      </c>
      <c r="AN258" s="160">
        <f t="shared" si="578"/>
        <v>3047.7082566935205</v>
      </c>
      <c r="AO258" s="160">
        <f t="shared" si="578"/>
        <v>0</v>
      </c>
      <c r="AP258" s="160">
        <f t="shared" si="578"/>
        <v>0</v>
      </c>
      <c r="AQ258" s="160">
        <f t="shared" si="578"/>
        <v>3276.0643443609761</v>
      </c>
      <c r="AR258" s="160">
        <f t="shared" si="578"/>
        <v>5448.9692142966078</v>
      </c>
      <c r="AS258" s="160">
        <f t="shared" si="578"/>
        <v>0</v>
      </c>
      <c r="AT258" s="160">
        <f t="shared" si="578"/>
        <v>1960.7942842508819</v>
      </c>
      <c r="AU258" s="160">
        <f t="shared" si="578"/>
        <v>3215.0761798545391</v>
      </c>
      <c r="AV258" s="160">
        <f t="shared" si="578"/>
        <v>4232.004454449353</v>
      </c>
      <c r="AW258" s="160">
        <f t="shared" si="578"/>
        <v>0</v>
      </c>
      <c r="AX258" s="160">
        <f t="shared" si="578"/>
        <v>1753.4455691701748</v>
      </c>
      <c r="AY258" s="160">
        <f t="shared" si="578"/>
        <v>2511.0223572635696</v>
      </c>
      <c r="AZ258" s="160">
        <f t="shared" si="578"/>
        <v>1463.1296899472477</v>
      </c>
      <c r="BA258" s="160">
        <f t="shared" si="578"/>
        <v>0</v>
      </c>
      <c r="BB258" s="160">
        <f t="shared" si="578"/>
        <v>0</v>
      </c>
      <c r="BC258" s="156">
        <f t="shared" si="561"/>
        <v>107556.46243371414</v>
      </c>
    </row>
    <row r="259" spans="2:56" x14ac:dyDescent="0.25">
      <c r="B259" s="151" t="str">
        <f t="shared" si="576"/>
        <v>SDT Loss VAS Product C</v>
      </c>
      <c r="C259" s="160">
        <f t="shared" ref="C259:AH259" si="579">C251*C676</f>
        <v>5262.0648002870657</v>
      </c>
      <c r="D259" s="160">
        <f t="shared" si="579"/>
        <v>4326.0789156039409</v>
      </c>
      <c r="E259" s="160">
        <f t="shared" si="579"/>
        <v>3177.305967789699</v>
      </c>
      <c r="F259" s="160">
        <f t="shared" si="579"/>
        <v>0</v>
      </c>
      <c r="G259" s="160">
        <f t="shared" si="579"/>
        <v>4307.4652819679977</v>
      </c>
      <c r="H259" s="160">
        <f t="shared" si="579"/>
        <v>3740.6143203793463</v>
      </c>
      <c r="I259" s="160">
        <f t="shared" si="579"/>
        <v>4429.6945659871926</v>
      </c>
      <c r="J259" s="160">
        <f t="shared" si="579"/>
        <v>0</v>
      </c>
      <c r="K259" s="160">
        <f t="shared" si="579"/>
        <v>3420.6323458660681</v>
      </c>
      <c r="L259" s="160">
        <f t="shared" si="579"/>
        <v>6270.5101139205144</v>
      </c>
      <c r="M259" s="160">
        <f t="shared" si="579"/>
        <v>4113.0949553612209</v>
      </c>
      <c r="N259" s="160">
        <f t="shared" si="579"/>
        <v>0</v>
      </c>
      <c r="O259" s="160">
        <f t="shared" si="579"/>
        <v>5838.7294359349626</v>
      </c>
      <c r="P259" s="160">
        <f t="shared" si="579"/>
        <v>3270.9377166761506</v>
      </c>
      <c r="Q259" s="160">
        <f t="shared" si="579"/>
        <v>5094.6772497677903</v>
      </c>
      <c r="R259" s="160">
        <f t="shared" si="579"/>
        <v>0</v>
      </c>
      <c r="S259" s="160">
        <f t="shared" si="579"/>
        <v>5184.9119134799985</v>
      </c>
      <c r="T259" s="160">
        <f t="shared" si="579"/>
        <v>3977.9338310361691</v>
      </c>
      <c r="U259" s="160">
        <f t="shared" si="579"/>
        <v>4935.9453735285833</v>
      </c>
      <c r="V259" s="160">
        <f t="shared" si="579"/>
        <v>0</v>
      </c>
      <c r="W259" s="160">
        <f t="shared" si="579"/>
        <v>5980.852874603891</v>
      </c>
      <c r="X259" s="160">
        <f t="shared" si="579"/>
        <v>3684.7327473553537</v>
      </c>
      <c r="Y259" s="160">
        <f t="shared" si="579"/>
        <v>5005.2383383986089</v>
      </c>
      <c r="Z259" s="160">
        <f t="shared" si="579"/>
        <v>0</v>
      </c>
      <c r="AA259" s="160">
        <f t="shared" si="579"/>
        <v>4036.652449535281</v>
      </c>
      <c r="AB259" s="160">
        <f t="shared" si="579"/>
        <v>5111.2915180234631</v>
      </c>
      <c r="AC259" s="160">
        <f t="shared" si="579"/>
        <v>3177.3059677896981</v>
      </c>
      <c r="AD259" s="160">
        <f t="shared" si="579"/>
        <v>0</v>
      </c>
      <c r="AE259" s="160">
        <f t="shared" si="579"/>
        <v>5583.7512914399986</v>
      </c>
      <c r="AF259" s="160">
        <f t="shared" si="579"/>
        <v>4500.4266042063991</v>
      </c>
      <c r="AG259" s="160">
        <f t="shared" si="579"/>
        <v>3417.1929509044035</v>
      </c>
      <c r="AH259" s="160">
        <f t="shared" si="579"/>
        <v>0</v>
      </c>
      <c r="AI259" s="160">
        <f t="shared" ref="AI259:BB259" si="580">AI251*AI676</f>
        <v>3344.1327901011005</v>
      </c>
      <c r="AJ259" s="160">
        <f t="shared" si="580"/>
        <v>4395.8215231607755</v>
      </c>
      <c r="AK259" s="160">
        <f t="shared" si="580"/>
        <v>4796.6867409653332</v>
      </c>
      <c r="AL259" s="160">
        <f t="shared" si="580"/>
        <v>0</v>
      </c>
      <c r="AM259" s="160">
        <f t="shared" si="580"/>
        <v>5622.4801975669998</v>
      </c>
      <c r="AN259" s="160">
        <f t="shared" si="580"/>
        <v>3007.1524169442018</v>
      </c>
      <c r="AO259" s="160">
        <f t="shared" si="580"/>
        <v>3849.3116998245532</v>
      </c>
      <c r="AP259" s="160">
        <f t="shared" si="580"/>
        <v>0</v>
      </c>
      <c r="AQ259" s="160">
        <f t="shared" si="580"/>
        <v>4546.7689087439967</v>
      </c>
      <c r="AR259" s="160">
        <f t="shared" si="580"/>
        <v>5377.1330855453061</v>
      </c>
      <c r="AS259" s="160">
        <f t="shared" si="580"/>
        <v>3290.7586218677552</v>
      </c>
      <c r="AT259" s="160">
        <f t="shared" si="580"/>
        <v>0</v>
      </c>
      <c r="AU259" s="160">
        <f t="shared" si="580"/>
        <v>4460.9358002802501</v>
      </c>
      <c r="AV259" s="160">
        <f t="shared" si="580"/>
        <v>4175.5209054017969</v>
      </c>
      <c r="AW259" s="160">
        <f t="shared" si="580"/>
        <v>3733.5997056177735</v>
      </c>
      <c r="AX259" s="160">
        <f t="shared" si="580"/>
        <v>0</v>
      </c>
      <c r="AY259" s="160">
        <f t="shared" si="580"/>
        <v>3483.9773893080319</v>
      </c>
      <c r="AZ259" s="160">
        <f t="shared" si="580"/>
        <v>4332.0250818446475</v>
      </c>
      <c r="BA259" s="160">
        <f t="shared" si="580"/>
        <v>4727.1695418209083</v>
      </c>
      <c r="BB259" s="160">
        <f t="shared" si="580"/>
        <v>0</v>
      </c>
      <c r="BC259" s="156">
        <f t="shared" si="561"/>
        <v>170991.51593883723</v>
      </c>
    </row>
    <row r="260" spans="2:56" x14ac:dyDescent="0.25">
      <c r="B260" s="151" t="str">
        <f t="shared" si="576"/>
        <v>SDT Loss VAS Product D</v>
      </c>
      <c r="C260" s="160">
        <f t="shared" ref="C260:AH260" si="581">C252*C677</f>
        <v>3448.8443702551899</v>
      </c>
      <c r="D260" s="160">
        <f t="shared" si="581"/>
        <v>2729.1427268177858</v>
      </c>
      <c r="E260" s="160">
        <f t="shared" si="581"/>
        <v>1426.0658013310772</v>
      </c>
      <c r="F260" s="160">
        <f t="shared" si="581"/>
        <v>3712.8654313958905</v>
      </c>
      <c r="G260" s="160">
        <f t="shared" si="581"/>
        <v>1951.9780774163712</v>
      </c>
      <c r="H260" s="160">
        <f t="shared" si="581"/>
        <v>2356.9785257015774</v>
      </c>
      <c r="I260" s="160">
        <f t="shared" si="581"/>
        <v>1985.7505211004984</v>
      </c>
      <c r="J260" s="160">
        <f t="shared" si="581"/>
        <v>2363.1026053489418</v>
      </c>
      <c r="K260" s="160">
        <f t="shared" si="581"/>
        <v>2245.2296210364543</v>
      </c>
      <c r="L260" s="160">
        <f t="shared" si="581"/>
        <v>3945.9103717462281</v>
      </c>
      <c r="M260" s="160">
        <f t="shared" si="581"/>
        <v>1841.6047163292933</v>
      </c>
      <c r="N260" s="160">
        <f t="shared" si="581"/>
        <v>2376.9385138697903</v>
      </c>
      <c r="O260" s="160">
        <f t="shared" si="581"/>
        <v>3826.7999176804155</v>
      </c>
      <c r="P260" s="160">
        <f t="shared" si="581"/>
        <v>2063.4981593012526</v>
      </c>
      <c r="Q260" s="160">
        <f t="shared" si="581"/>
        <v>2286.6921673371749</v>
      </c>
      <c r="R260" s="160">
        <f t="shared" si="581"/>
        <v>2031.8340041358977</v>
      </c>
      <c r="S260" s="160">
        <f t="shared" si="581"/>
        <v>2349.6032413345215</v>
      </c>
      <c r="T260" s="160">
        <f t="shared" si="581"/>
        <v>2005.189795883161</v>
      </c>
      <c r="U260" s="160">
        <f t="shared" si="581"/>
        <v>2212.6934377976972</v>
      </c>
      <c r="V260" s="160">
        <f t="shared" si="581"/>
        <v>1788.7124267107413</v>
      </c>
      <c r="W260" s="160">
        <f t="shared" si="581"/>
        <v>3925.069186660628</v>
      </c>
      <c r="X260" s="160">
        <f t="shared" si="581"/>
        <v>2318.7308370055152</v>
      </c>
      <c r="Y260" s="160">
        <f t="shared" si="581"/>
        <v>2241.1372285590983</v>
      </c>
      <c r="Z260" s="160">
        <f t="shared" si="581"/>
        <v>2238.5825081582557</v>
      </c>
      <c r="AA260" s="160">
        <f t="shared" si="581"/>
        <v>2645.6888319765822</v>
      </c>
      <c r="AB260" s="160">
        <f t="shared" si="581"/>
        <v>3224.5433955040367</v>
      </c>
      <c r="AC260" s="160">
        <f t="shared" si="581"/>
        <v>1426.0658013310767</v>
      </c>
      <c r="AD260" s="160">
        <f t="shared" si="581"/>
        <v>2379.6886001746861</v>
      </c>
      <c r="AE260" s="160">
        <f t="shared" si="581"/>
        <v>2530.3419522064078</v>
      </c>
      <c r="AF260" s="160">
        <f t="shared" si="581"/>
        <v>2835.7397887347092</v>
      </c>
      <c r="AG260" s="160">
        <f t="shared" si="581"/>
        <v>1531.864687706098</v>
      </c>
      <c r="AH260" s="160">
        <f t="shared" si="581"/>
        <v>2991.4673343265845</v>
      </c>
      <c r="AI260" s="160">
        <f t="shared" ref="AI260:BB260" si="582">AI252*AI677</f>
        <v>2194.6623409285235</v>
      </c>
      <c r="AJ260" s="160">
        <f t="shared" si="582"/>
        <v>2766.2052090592133</v>
      </c>
      <c r="AK260" s="160">
        <f t="shared" si="582"/>
        <v>2147.7565107024689</v>
      </c>
      <c r="AL260" s="160">
        <f t="shared" si="582"/>
        <v>1892.1352152290026</v>
      </c>
      <c r="AM260" s="160">
        <f t="shared" si="582"/>
        <v>3685.0665873959551</v>
      </c>
      <c r="AN260" s="160">
        <f t="shared" si="582"/>
        <v>1897.0870174221186</v>
      </c>
      <c r="AO260" s="160">
        <f t="shared" si="582"/>
        <v>1727.7229708769769</v>
      </c>
      <c r="AP260" s="160">
        <f t="shared" si="582"/>
        <v>3059.5996287960247</v>
      </c>
      <c r="AQ260" s="160">
        <f t="shared" si="582"/>
        <v>2060.4213039395026</v>
      </c>
      <c r="AR260" s="160">
        <f t="shared" si="582"/>
        <v>3388.1566306960162</v>
      </c>
      <c r="AS260" s="160">
        <f t="shared" si="582"/>
        <v>1476.71333401627</v>
      </c>
      <c r="AT260" s="160">
        <f t="shared" si="582"/>
        <v>1977.5364695322337</v>
      </c>
      <c r="AU260" s="160">
        <f t="shared" si="582"/>
        <v>2927.4222501834975</v>
      </c>
      <c r="AV260" s="160">
        <f t="shared" si="582"/>
        <v>2635.1748320889756</v>
      </c>
      <c r="AW260" s="160">
        <f t="shared" si="582"/>
        <v>1673.7040106418476</v>
      </c>
      <c r="AX260" s="160">
        <f t="shared" si="582"/>
        <v>2946.2058456298491</v>
      </c>
      <c r="AY260" s="160">
        <f t="shared" si="582"/>
        <v>2286.8079473519442</v>
      </c>
      <c r="AZ260" s="160">
        <f t="shared" si="582"/>
        <v>2726.6007161328139</v>
      </c>
      <c r="BA260" s="160">
        <f t="shared" si="582"/>
        <v>2116.6296047502587</v>
      </c>
      <c r="BB260" s="160">
        <f t="shared" si="582"/>
        <v>959.39250349639542</v>
      </c>
      <c r="BC260" s="156">
        <f t="shared" si="561"/>
        <v>125783.35551374353</v>
      </c>
    </row>
    <row r="261" spans="2:56" x14ac:dyDescent="0.25">
      <c r="B261" s="151" t="str">
        <f t="shared" si="576"/>
        <v>SDT Loss VAS Product E</v>
      </c>
      <c r="C261" s="160">
        <f t="shared" ref="C261:AH261" si="583">C253*C678</f>
        <v>2110.3424846442326</v>
      </c>
      <c r="D261" s="160">
        <f t="shared" si="583"/>
        <v>5640.4820820459208</v>
      </c>
      <c r="E261" s="160">
        <f t="shared" si="583"/>
        <v>2833.0342747593299</v>
      </c>
      <c r="F261" s="160">
        <f t="shared" si="583"/>
        <v>5257.6374307748038</v>
      </c>
      <c r="G261" s="160">
        <f t="shared" si="583"/>
        <v>1726.7934914302105</v>
      </c>
      <c r="H261" s="160">
        <f t="shared" si="583"/>
        <v>4125.2455238679468</v>
      </c>
      <c r="I261" s="160">
        <f t="shared" si="583"/>
        <v>3948.1981816163438</v>
      </c>
      <c r="J261" s="160">
        <f t="shared" si="583"/>
        <v>3340.0905708141331</v>
      </c>
      <c r="K261" s="160">
        <f t="shared" si="583"/>
        <v>1372.4758924542034</v>
      </c>
      <c r="L261" s="160">
        <f t="shared" si="583"/>
        <v>4398.8122323882726</v>
      </c>
      <c r="M261" s="160">
        <f t="shared" si="583"/>
        <v>2198.7693981230072</v>
      </c>
      <c r="N261" s="160">
        <f t="shared" si="583"/>
        <v>3362.4634981027921</v>
      </c>
      <c r="O261" s="160">
        <f t="shared" si="583"/>
        <v>2341.6128939203127</v>
      </c>
      <c r="P261" s="160">
        <f t="shared" si="583"/>
        <v>4264.7547449615486</v>
      </c>
      <c r="Q261" s="160">
        <f t="shared" si="583"/>
        <v>4542.6867664093115</v>
      </c>
      <c r="R261" s="160">
        <f t="shared" si="583"/>
        <v>2876.491831387541</v>
      </c>
      <c r="S261" s="160">
        <f t="shared" si="583"/>
        <v>2078.5477211659945</v>
      </c>
      <c r="T261" s="160">
        <f t="shared" si="583"/>
        <v>5184.5801099358814</v>
      </c>
      <c r="U261" s="160">
        <f t="shared" si="583"/>
        <v>4399.4208309439236</v>
      </c>
      <c r="V261" s="160">
        <f t="shared" si="583"/>
        <v>2528.3247895696127</v>
      </c>
      <c r="W261" s="160">
        <f t="shared" si="583"/>
        <v>2399.6020823902209</v>
      </c>
      <c r="X261" s="160">
        <f t="shared" si="583"/>
        <v>2584.8690437745513</v>
      </c>
      <c r="Y261" s="160">
        <f t="shared" si="583"/>
        <v>4459.5344126877608</v>
      </c>
      <c r="Z261" s="160">
        <f t="shared" si="583"/>
        <v>4071.8488365660082</v>
      </c>
      <c r="AA261" s="160">
        <f t="shared" si="583"/>
        <v>1618.892864932561</v>
      </c>
      <c r="AB261" s="160">
        <f t="shared" si="583"/>
        <v>6664.2957498780634</v>
      </c>
      <c r="AC261" s="160">
        <f t="shared" si="583"/>
        <v>2833.034274759329</v>
      </c>
      <c r="AD261" s="160">
        <f t="shared" si="583"/>
        <v>3369.6805428648227</v>
      </c>
      <c r="AE261" s="160">
        <f t="shared" si="583"/>
        <v>2238.4360074095325</v>
      </c>
      <c r="AF261" s="160">
        <f t="shared" si="583"/>
        <v>4963.1860209036204</v>
      </c>
      <c r="AG261" s="160">
        <f t="shared" si="583"/>
        <v>3045.7528829611783</v>
      </c>
      <c r="AH261" s="160">
        <f t="shared" si="583"/>
        <v>4228.4052515215935</v>
      </c>
      <c r="AI261" s="160">
        <f t="shared" ref="AI261:BB261" si="584">AI253*AI678</f>
        <v>1341.7129923042098</v>
      </c>
      <c r="AJ261" s="160">
        <f t="shared" si="584"/>
        <v>3083.7034206433273</v>
      </c>
      <c r="AK261" s="160">
        <f t="shared" si="584"/>
        <v>4273.7204788257695</v>
      </c>
      <c r="AL261" s="160">
        <f t="shared" si="584"/>
        <v>3441.6817547165087</v>
      </c>
      <c r="AM261" s="160">
        <f t="shared" si="584"/>
        <v>2254.8864904417819</v>
      </c>
      <c r="AN261" s="160">
        <f t="shared" si="584"/>
        <v>3920.8229106904555</v>
      </c>
      <c r="AO261" s="160">
        <f t="shared" si="584"/>
        <v>3432.2522235092583</v>
      </c>
      <c r="AP261" s="160">
        <f t="shared" si="584"/>
        <v>4332.4464122547715</v>
      </c>
      <c r="AQ261" s="160">
        <f t="shared" si="584"/>
        <v>1822.7264631763328</v>
      </c>
      <c r="AR261" s="160">
        <f t="shared" si="584"/>
        <v>5930.0404405601685</v>
      </c>
      <c r="AS261" s="160">
        <f t="shared" si="584"/>
        <v>2934.0220639332397</v>
      </c>
      <c r="AT261" s="160">
        <f t="shared" si="584"/>
        <v>2794.280814637511</v>
      </c>
      <c r="AU261" s="160">
        <f t="shared" si="584"/>
        <v>1789.7576710800997</v>
      </c>
      <c r="AV261" s="160">
        <f t="shared" si="584"/>
        <v>5444.842277628677</v>
      </c>
      <c r="AW261" s="160">
        <f t="shared" si="584"/>
        <v>3327.767038790917</v>
      </c>
      <c r="AX261" s="160">
        <f t="shared" si="584"/>
        <v>4164.2687636124247</v>
      </c>
      <c r="AY261" s="160">
        <f t="shared" si="584"/>
        <v>1397.8921126848365</v>
      </c>
      <c r="AZ261" s="160">
        <f t="shared" si="584"/>
        <v>5644.1179164236064</v>
      </c>
      <c r="BA261" s="160">
        <f t="shared" si="584"/>
        <v>4211.7825008717728</v>
      </c>
      <c r="BB261" s="160">
        <f t="shared" si="584"/>
        <v>1745.0780728140041</v>
      </c>
      <c r="BC261" s="156">
        <f t="shared" si="561"/>
        <v>178296.10553956425</v>
      </c>
    </row>
    <row r="262" spans="2:56" x14ac:dyDescent="0.25">
      <c r="B262" s="151" t="str">
        <f t="shared" si="576"/>
        <v>SDT Loss VAS Product F</v>
      </c>
      <c r="C262" s="160">
        <f t="shared" ref="C262:AH262" si="585">C254*C679</f>
        <v>0</v>
      </c>
      <c r="D262" s="160">
        <f t="shared" si="585"/>
        <v>1542.4946933974065</v>
      </c>
      <c r="E262" s="160">
        <f t="shared" si="585"/>
        <v>2619.157629950681</v>
      </c>
      <c r="F262" s="160">
        <f t="shared" si="585"/>
        <v>0</v>
      </c>
      <c r="G262" s="160">
        <f t="shared" si="585"/>
        <v>0</v>
      </c>
      <c r="H262" s="160">
        <f t="shared" si="585"/>
        <v>1332.5927238319566</v>
      </c>
      <c r="I262" s="160">
        <f t="shared" si="585"/>
        <v>3648.3291243657568</v>
      </c>
      <c r="J262" s="160">
        <f t="shared" si="585"/>
        <v>2968.2513510322624</v>
      </c>
      <c r="K262" s="160">
        <f t="shared" si="585"/>
        <v>1171.2335159734432</v>
      </c>
      <c r="L262" s="160">
        <f t="shared" si="585"/>
        <v>2231.7587496825176</v>
      </c>
      <c r="M262" s="160">
        <f t="shared" si="585"/>
        <v>3384.6311266342796</v>
      </c>
      <c r="N262" s="160">
        <f t="shared" si="585"/>
        <v>2986.6487112416148</v>
      </c>
      <c r="O262" s="160">
        <f t="shared" si="585"/>
        <v>0</v>
      </c>
      <c r="P262" s="160">
        <f t="shared" si="585"/>
        <v>1166.2764754955999</v>
      </c>
      <c r="Q262" s="160">
        <f t="shared" si="585"/>
        <v>4199.7830577580808</v>
      </c>
      <c r="R262" s="160">
        <f t="shared" si="585"/>
        <v>2553.8237313406266</v>
      </c>
      <c r="S262" s="160">
        <f t="shared" si="585"/>
        <v>0</v>
      </c>
      <c r="T262" s="160">
        <f t="shared" si="585"/>
        <v>1417.1265424416356</v>
      </c>
      <c r="U262" s="160">
        <f t="shared" si="585"/>
        <v>4065.2810242932696</v>
      </c>
      <c r="V262" s="160">
        <f t="shared" si="585"/>
        <v>2246.8051082881934</v>
      </c>
      <c r="W262" s="160">
        <f t="shared" si="585"/>
        <v>0</v>
      </c>
      <c r="X262" s="160">
        <f t="shared" si="585"/>
        <v>1311.4458632155001</v>
      </c>
      <c r="Y262" s="160">
        <f t="shared" si="585"/>
        <v>2851.5308666125748</v>
      </c>
      <c r="Z262" s="160">
        <f t="shared" si="585"/>
        <v>3616.5776141720548</v>
      </c>
      <c r="AA262" s="160">
        <f t="shared" si="585"/>
        <v>0</v>
      </c>
      <c r="AB262" s="160">
        <f t="shared" si="585"/>
        <v>1822.4853821629779</v>
      </c>
      <c r="AC262" s="160">
        <f t="shared" si="585"/>
        <v>2619.1576299506805</v>
      </c>
      <c r="AD262" s="160">
        <f t="shared" si="585"/>
        <v>1196.5227593388877</v>
      </c>
      <c r="AE262" s="160">
        <f t="shared" si="585"/>
        <v>0</v>
      </c>
      <c r="AF262" s="160">
        <f t="shared" si="585"/>
        <v>1603.2756208603223</v>
      </c>
      <c r="AG262" s="160">
        <f t="shared" si="585"/>
        <v>2814.4253245107252</v>
      </c>
      <c r="AH262" s="160">
        <f t="shared" si="585"/>
        <v>3757.5878535164602</v>
      </c>
      <c r="AI262" s="160">
        <f t="shared" ref="AI262:BB262" si="586">AI254*AI679</f>
        <v>0</v>
      </c>
      <c r="AJ262" s="160">
        <f t="shared" si="586"/>
        <v>1564.531906993931</v>
      </c>
      <c r="AK262" s="160">
        <f t="shared" si="586"/>
        <v>2732.7170805037167</v>
      </c>
      <c r="AL262" s="160">
        <f t="shared" si="586"/>
        <v>3056.8691738835237</v>
      </c>
      <c r="AM262" s="160">
        <f t="shared" si="586"/>
        <v>0</v>
      </c>
      <c r="AN262" s="160">
        <f t="shared" si="586"/>
        <v>1072.2219210201481</v>
      </c>
      <c r="AO262" s="160">
        <f t="shared" si="586"/>
        <v>3173.1694214172167</v>
      </c>
      <c r="AP262" s="160">
        <f t="shared" si="586"/>
        <v>1538.386404864284</v>
      </c>
      <c r="AQ262" s="160">
        <f t="shared" si="586"/>
        <v>0</v>
      </c>
      <c r="AR262" s="160">
        <f t="shared" si="586"/>
        <v>1915.6020405084364</v>
      </c>
      <c r="AS262" s="160">
        <f t="shared" si="586"/>
        <v>2712.3179728210607</v>
      </c>
      <c r="AT262" s="160">
        <f t="shared" si="586"/>
        <v>2483.6458502373334</v>
      </c>
      <c r="AU262" s="160">
        <f t="shared" si="586"/>
        <v>1272.6625010723785</v>
      </c>
      <c r="AV262" s="160">
        <f t="shared" si="586"/>
        <v>1489.2254647790267</v>
      </c>
      <c r="AW262" s="160">
        <f t="shared" si="586"/>
        <v>3075.0202619654219</v>
      </c>
      <c r="AX262" s="160">
        <f t="shared" si="586"/>
        <v>3700.6770090791824</v>
      </c>
      <c r="AY262" s="160">
        <f t="shared" si="586"/>
        <v>1192.9230255285067</v>
      </c>
      <c r="AZ262" s="160">
        <f t="shared" si="586"/>
        <v>1542.0468107580175</v>
      </c>
      <c r="BA262" s="160">
        <f t="shared" si="586"/>
        <v>2693.1124851340974</v>
      </c>
      <c r="BB262" s="160">
        <f t="shared" si="586"/>
        <v>1549.9618346451666</v>
      </c>
      <c r="BC262" s="156">
        <f t="shared" si="561"/>
        <v>95892.293645278944</v>
      </c>
    </row>
    <row r="263" spans="2:56" x14ac:dyDescent="0.25">
      <c r="B263" s="151" t="str">
        <f t="shared" si="576"/>
        <v>SDT Loss VAS Product G</v>
      </c>
      <c r="C263" s="160">
        <f t="shared" ref="C263:AH263" si="587">C255*C680</f>
        <v>0</v>
      </c>
      <c r="D263" s="160">
        <f t="shared" si="587"/>
        <v>1639.4383412361958</v>
      </c>
      <c r="E263" s="160">
        <f t="shared" si="587"/>
        <v>2140.5488037245186</v>
      </c>
      <c r="F263" s="160">
        <f t="shared" si="587"/>
        <v>9115.4553594534427</v>
      </c>
      <c r="G263" s="160">
        <f t="shared" si="587"/>
        <v>0</v>
      </c>
      <c r="H263" s="160">
        <f t="shared" si="587"/>
        <v>0</v>
      </c>
      <c r="I263" s="160">
        <f t="shared" si="587"/>
        <v>2487.0743842529123</v>
      </c>
      <c r="J263" s="160">
        <f t="shared" si="587"/>
        <v>6836.8669865579741</v>
      </c>
      <c r="K263" s="160">
        <f t="shared" si="587"/>
        <v>0</v>
      </c>
      <c r="L263" s="160">
        <f t="shared" si="587"/>
        <v>0</v>
      </c>
      <c r="M263" s="160">
        <f t="shared" si="587"/>
        <v>2309.4760811847132</v>
      </c>
      <c r="N263" s="160">
        <f t="shared" si="587"/>
        <v>5826.4561987572533</v>
      </c>
      <c r="O263" s="160">
        <f t="shared" si="587"/>
        <v>0</v>
      </c>
      <c r="P263" s="160">
        <f t="shared" si="587"/>
        <v>0</v>
      </c>
      <c r="Q263" s="160">
        <f t="shared" si="587"/>
        <v>2860.2298051459852</v>
      </c>
      <c r="R263" s="160">
        <f t="shared" si="587"/>
        <v>3173.2056058549515</v>
      </c>
      <c r="S263" s="160">
        <f t="shared" si="587"/>
        <v>0</v>
      </c>
      <c r="T263" s="160">
        <f t="shared" si="587"/>
        <v>0</v>
      </c>
      <c r="U263" s="160">
        <f t="shared" si="587"/>
        <v>2771.3114567389584</v>
      </c>
      <c r="V263" s="160">
        <f t="shared" si="587"/>
        <v>5175.3634939243648</v>
      </c>
      <c r="W263" s="160">
        <f t="shared" si="587"/>
        <v>0</v>
      </c>
      <c r="X263" s="160">
        <f t="shared" si="587"/>
        <v>0</v>
      </c>
      <c r="Y263" s="160">
        <f t="shared" si="587"/>
        <v>2810.4029081861481</v>
      </c>
      <c r="Z263" s="160">
        <f t="shared" si="587"/>
        <v>8338.8854710510059</v>
      </c>
      <c r="AA263" s="160">
        <f t="shared" si="587"/>
        <v>0</v>
      </c>
      <c r="AB263" s="160">
        <f t="shared" si="587"/>
        <v>0</v>
      </c>
      <c r="AC263" s="160">
        <f t="shared" si="587"/>
        <v>1783.7906697704314</v>
      </c>
      <c r="AD263" s="160">
        <f t="shared" si="587"/>
        <v>6904.3078389545826</v>
      </c>
      <c r="AE263" s="160">
        <f t="shared" si="587"/>
        <v>0</v>
      </c>
      <c r="AF263" s="160">
        <f t="shared" si="587"/>
        <v>0</v>
      </c>
      <c r="AG263" s="160">
        <f t="shared" si="587"/>
        <v>1918.600239280817</v>
      </c>
      <c r="AH263" s="160">
        <f t="shared" si="587"/>
        <v>8655.3492915631632</v>
      </c>
      <c r="AI263" s="160">
        <f t="shared" ref="AI263:BB263" si="588">AI255*AI680</f>
        <v>0</v>
      </c>
      <c r="AJ263" s="160">
        <f t="shared" si="588"/>
        <v>0</v>
      </c>
      <c r="AK263" s="160">
        <f t="shared" si="588"/>
        <v>2693.3027870117253</v>
      </c>
      <c r="AL263" s="160">
        <f t="shared" si="588"/>
        <v>7048.343671959783</v>
      </c>
      <c r="AM263" s="160">
        <f t="shared" si="588"/>
        <v>0</v>
      </c>
      <c r="AN263" s="160">
        <f t="shared" si="588"/>
        <v>0</v>
      </c>
      <c r="AO263" s="160">
        <f t="shared" si="588"/>
        <v>2161.0625194436338</v>
      </c>
      <c r="AP263" s="160">
        <f t="shared" si="588"/>
        <v>8876.967221513034</v>
      </c>
      <c r="AQ263" s="160">
        <f t="shared" si="588"/>
        <v>0</v>
      </c>
      <c r="AR263" s="160">
        <f t="shared" si="588"/>
        <v>0</v>
      </c>
      <c r="AS263" s="160">
        <f t="shared" si="588"/>
        <v>1847.5042807490213</v>
      </c>
      <c r="AT263" s="160">
        <f t="shared" si="588"/>
        <v>5718.7069683354312</v>
      </c>
      <c r="AU263" s="160">
        <f t="shared" si="588"/>
        <v>0</v>
      </c>
      <c r="AV263" s="160">
        <f t="shared" si="588"/>
        <v>0</v>
      </c>
      <c r="AW263" s="160">
        <f t="shared" si="588"/>
        <v>2096.2484095845962</v>
      </c>
      <c r="AX263" s="160">
        <f t="shared" si="588"/>
        <v>8523.886113111239</v>
      </c>
      <c r="AY263" s="160">
        <f t="shared" si="588"/>
        <v>0</v>
      </c>
      <c r="AZ263" s="160">
        <f t="shared" si="588"/>
        <v>0</v>
      </c>
      <c r="BA263" s="160">
        <f t="shared" si="588"/>
        <v>2654.2694132869174</v>
      </c>
      <c r="BB263" s="160">
        <f t="shared" si="588"/>
        <v>3573.8080590218619</v>
      </c>
      <c r="BC263" s="156">
        <f t="shared" si="561"/>
        <v>119940.86237965465</v>
      </c>
    </row>
    <row r="264" spans="2:56" x14ac:dyDescent="0.25">
      <c r="B264" s="151" t="str">
        <f t="shared" si="576"/>
        <v>SDT Loss VAS Product H</v>
      </c>
      <c r="C264" s="160">
        <f t="shared" ref="C264:AH264" si="589">C256*C681</f>
        <v>0</v>
      </c>
      <c r="D264" s="160">
        <f t="shared" si="589"/>
        <v>0</v>
      </c>
      <c r="E264" s="160">
        <f t="shared" si="589"/>
        <v>0</v>
      </c>
      <c r="F264" s="160">
        <f t="shared" si="589"/>
        <v>4868.9892862688266</v>
      </c>
      <c r="G264" s="160">
        <f t="shared" si="589"/>
        <v>0</v>
      </c>
      <c r="H264" s="160">
        <f t="shared" si="589"/>
        <v>0</v>
      </c>
      <c r="I264" s="160">
        <f t="shared" si="589"/>
        <v>0</v>
      </c>
      <c r="J264" s="160">
        <f t="shared" si="589"/>
        <v>3089.2665918018952</v>
      </c>
      <c r="K264" s="160">
        <f t="shared" si="589"/>
        <v>0</v>
      </c>
      <c r="L264" s="160">
        <f t="shared" si="589"/>
        <v>0</v>
      </c>
      <c r="M264" s="160">
        <f t="shared" si="589"/>
        <v>0</v>
      </c>
      <c r="N264" s="160">
        <f t="shared" si="589"/>
        <v>3111.7438818870787</v>
      </c>
      <c r="O264" s="160">
        <f t="shared" si="589"/>
        <v>0</v>
      </c>
      <c r="P264" s="160">
        <f t="shared" si="589"/>
        <v>0</v>
      </c>
      <c r="Q264" s="160">
        <f t="shared" si="589"/>
        <v>4032.008395307721</v>
      </c>
      <c r="R264" s="160">
        <f t="shared" si="589"/>
        <v>2663.4134802604494</v>
      </c>
      <c r="S264" s="160">
        <f t="shared" si="589"/>
        <v>0</v>
      </c>
      <c r="T264" s="160">
        <f t="shared" si="589"/>
        <v>0</v>
      </c>
      <c r="U264" s="160">
        <f t="shared" si="589"/>
        <v>0</v>
      </c>
      <c r="V264" s="160">
        <f t="shared" si="589"/>
        <v>2338.5218271479289</v>
      </c>
      <c r="W264" s="160">
        <f t="shared" si="589"/>
        <v>4260.1606156631942</v>
      </c>
      <c r="X264" s="160">
        <f t="shared" si="589"/>
        <v>0</v>
      </c>
      <c r="Y264" s="160">
        <f t="shared" si="589"/>
        <v>0</v>
      </c>
      <c r="Z264" s="160">
        <f t="shared" si="589"/>
        <v>3768.4388106646338</v>
      </c>
      <c r="AA264" s="160">
        <f t="shared" si="589"/>
        <v>0</v>
      </c>
      <c r="AB264" s="160">
        <f t="shared" si="589"/>
        <v>2275.5727101776729</v>
      </c>
      <c r="AC264" s="160">
        <f t="shared" si="589"/>
        <v>0</v>
      </c>
      <c r="AD264" s="160">
        <f t="shared" si="589"/>
        <v>3120.5285373555507</v>
      </c>
      <c r="AE264" s="160">
        <f t="shared" si="589"/>
        <v>0</v>
      </c>
      <c r="AF264" s="160">
        <f t="shared" si="589"/>
        <v>0</v>
      </c>
      <c r="AG264" s="160">
        <f t="shared" si="589"/>
        <v>0</v>
      </c>
      <c r="AH264" s="160">
        <f t="shared" si="589"/>
        <v>3910.976159195674</v>
      </c>
      <c r="AI264" s="160">
        <f t="shared" ref="AI264:BB264" si="590">AI256*AI681</f>
        <v>2382.0252904783451</v>
      </c>
      <c r="AJ264" s="160">
        <f t="shared" si="590"/>
        <v>0</v>
      </c>
      <c r="AK264" s="160">
        <f t="shared" si="590"/>
        <v>0</v>
      </c>
      <c r="AL264" s="160">
        <f t="shared" si="590"/>
        <v>3185.2280423474899</v>
      </c>
      <c r="AM264" s="160">
        <f t="shared" si="590"/>
        <v>0</v>
      </c>
      <c r="AN264" s="160">
        <f t="shared" si="590"/>
        <v>0</v>
      </c>
      <c r="AO264" s="160">
        <f t="shared" si="590"/>
        <v>3046.4063431213899</v>
      </c>
      <c r="AP264" s="160">
        <f t="shared" si="590"/>
        <v>4012.1081194571361</v>
      </c>
      <c r="AQ264" s="160">
        <f t="shared" si="590"/>
        <v>0</v>
      </c>
      <c r="AR264" s="160">
        <f t="shared" si="590"/>
        <v>0</v>
      </c>
      <c r="AS264" s="160">
        <f t="shared" si="590"/>
        <v>0</v>
      </c>
      <c r="AT264" s="160">
        <f t="shared" si="590"/>
        <v>2583.9139569556587</v>
      </c>
      <c r="AU264" s="160">
        <f t="shared" si="590"/>
        <v>0</v>
      </c>
      <c r="AV264" s="160">
        <f t="shared" si="590"/>
        <v>0</v>
      </c>
      <c r="AW264" s="160">
        <f t="shared" si="590"/>
        <v>0</v>
      </c>
      <c r="AX264" s="160">
        <f t="shared" si="590"/>
        <v>3851.5531534153497</v>
      </c>
      <c r="AY264" s="160">
        <f t="shared" si="590"/>
        <v>0</v>
      </c>
      <c r="AZ264" s="160">
        <f t="shared" si="590"/>
        <v>0</v>
      </c>
      <c r="BA264" s="160">
        <f t="shared" si="590"/>
        <v>0</v>
      </c>
      <c r="BB264" s="160">
        <f t="shared" si="590"/>
        <v>1615.0452045705579</v>
      </c>
      <c r="BC264" s="156">
        <f t="shared" si="561"/>
        <v>58115.900406076551</v>
      </c>
    </row>
    <row r="265" spans="2:56" x14ac:dyDescent="0.25">
      <c r="B265" s="110" t="str">
        <f>"Total VAS SDT"</f>
        <v>Total VAS SDT</v>
      </c>
      <c r="C265" s="156">
        <f>SUM(C257:C264)</f>
        <v>20131.386206896557</v>
      </c>
      <c r="D265" s="156">
        <f t="shared" ref="D265:BB265" si="591">SUM(D257:D264)</f>
        <v>20262.059163467369</v>
      </c>
      <c r="E265" s="156">
        <f t="shared" si="591"/>
        <v>14252.388183046918</v>
      </c>
      <c r="F265" s="156">
        <f t="shared" si="591"/>
        <v>27385.148201438846</v>
      </c>
      <c r="G265" s="156">
        <f t="shared" si="591"/>
        <v>15607.882859941237</v>
      </c>
      <c r="H265" s="156">
        <f t="shared" si="591"/>
        <v>15346.018373291514</v>
      </c>
      <c r="I265" s="156">
        <f t="shared" si="591"/>
        <v>16499.046777322703</v>
      </c>
      <c r="J265" s="156">
        <f t="shared" si="591"/>
        <v>20003.987572493785</v>
      </c>
      <c r="K265" s="156">
        <f t="shared" si="591"/>
        <v>14261.242840512225</v>
      </c>
      <c r="L265" s="156">
        <f t="shared" si="591"/>
        <v>23200.402728851393</v>
      </c>
      <c r="M265" s="156">
        <f t="shared" si="591"/>
        <v>13847.576277632515</v>
      </c>
      <c r="N265" s="156">
        <f t="shared" si="591"/>
        <v>17664.250803858529</v>
      </c>
      <c r="O265" s="156">
        <f t="shared" si="591"/>
        <v>22337.565517241379</v>
      </c>
      <c r="P265" s="156">
        <f t="shared" si="591"/>
        <v>15509.51359870681</v>
      </c>
      <c r="Q265" s="156">
        <f t="shared" si="591"/>
        <v>23016.077441726062</v>
      </c>
      <c r="R265" s="156">
        <f t="shared" si="591"/>
        <v>13298.768652979466</v>
      </c>
      <c r="S265" s="156">
        <f t="shared" si="591"/>
        <v>18787.266405484821</v>
      </c>
      <c r="T265" s="156">
        <f t="shared" si="591"/>
        <v>16615.902937878454</v>
      </c>
      <c r="U265" s="156">
        <f t="shared" si="591"/>
        <v>18384.652123302432</v>
      </c>
      <c r="V265" s="156">
        <f t="shared" si="591"/>
        <v>15454.590174854282</v>
      </c>
      <c r="W265" s="156">
        <f t="shared" si="591"/>
        <v>27146.897872340418</v>
      </c>
      <c r="X265" s="156">
        <f t="shared" si="591"/>
        <v>13633.22634581989</v>
      </c>
      <c r="Y265" s="156">
        <f t="shared" si="591"/>
        <v>17367.843754444191</v>
      </c>
      <c r="Z265" s="156">
        <f t="shared" si="591"/>
        <v>22034.333240611955</v>
      </c>
      <c r="AA265" s="156">
        <f t="shared" si="591"/>
        <v>15443.255172413787</v>
      </c>
      <c r="AB265" s="156">
        <f t="shared" si="591"/>
        <v>24278.420706357214</v>
      </c>
      <c r="AC265" s="156">
        <f t="shared" si="591"/>
        <v>14306.885190191151</v>
      </c>
      <c r="AD265" s="156">
        <f t="shared" si="591"/>
        <v>16970.72827868853</v>
      </c>
      <c r="AE265" s="156">
        <f t="shared" si="591"/>
        <v>20232.440744368272</v>
      </c>
      <c r="AF265" s="156">
        <f t="shared" si="591"/>
        <v>18463.178355366348</v>
      </c>
      <c r="AG265" s="156">
        <f t="shared" si="591"/>
        <v>12727.836085363222</v>
      </c>
      <c r="AH265" s="156">
        <f t="shared" si="591"/>
        <v>25846.469775187335</v>
      </c>
      <c r="AI265" s="156">
        <f t="shared" si="591"/>
        <v>15178.910638297868</v>
      </c>
      <c r="AJ265" s="156">
        <f t="shared" si="591"/>
        <v>16264.199851153564</v>
      </c>
      <c r="AK265" s="156">
        <f t="shared" si="591"/>
        <v>16644.183598009015</v>
      </c>
      <c r="AL265" s="156">
        <f t="shared" si="591"/>
        <v>18624.257858136309</v>
      </c>
      <c r="AM265" s="156">
        <f t="shared" si="591"/>
        <v>21510.248275862068</v>
      </c>
      <c r="AN265" s="156">
        <f t="shared" si="591"/>
        <v>14258.746373004644</v>
      </c>
      <c r="AO265" s="156">
        <f t="shared" si="591"/>
        <v>17389.925178193029</v>
      </c>
      <c r="AP265" s="156">
        <f t="shared" si="591"/>
        <v>21819.507786885253</v>
      </c>
      <c r="AQ265" s="156">
        <f t="shared" si="591"/>
        <v>16474.9874632713</v>
      </c>
      <c r="AR265" s="156">
        <f t="shared" si="591"/>
        <v>22059.901411606537</v>
      </c>
      <c r="AS265" s="156">
        <f t="shared" si="591"/>
        <v>14391.076400078597</v>
      </c>
      <c r="AT265" s="156">
        <f t="shared" si="591"/>
        <v>17518.878343949051</v>
      </c>
      <c r="AU265" s="156">
        <f t="shared" si="591"/>
        <v>18343.004278074874</v>
      </c>
      <c r="AV265" s="156">
        <f t="shared" si="591"/>
        <v>21016.898966660163</v>
      </c>
      <c r="AW265" s="156">
        <f t="shared" si="591"/>
        <v>13906.339426600554</v>
      </c>
      <c r="AX265" s="156">
        <f t="shared" si="591"/>
        <v>24940.03645401822</v>
      </c>
      <c r="AY265" s="156">
        <f t="shared" si="591"/>
        <v>14525.33993015134</v>
      </c>
      <c r="AZ265" s="156">
        <f t="shared" si="591"/>
        <v>15707.920215106335</v>
      </c>
      <c r="BA265" s="156">
        <f t="shared" si="591"/>
        <v>16402.963545863957</v>
      </c>
      <c r="BB265" s="156">
        <f t="shared" si="591"/>
        <v>9443.2856745479839</v>
      </c>
      <c r="BC265" s="156">
        <f>SUM(C265:BB265)</f>
        <v>936737.85403155023</v>
      </c>
    </row>
    <row r="266" spans="2:56" x14ac:dyDescent="0.25">
      <c r="B266" s="110" t="s">
        <v>292</v>
      </c>
      <c r="C266" s="156">
        <f>C265/C247</f>
        <v>2757.7241379310344</v>
      </c>
      <c r="D266" s="156">
        <f t="shared" ref="D266:BB266" si="592">D265/D247</f>
        <v>2470.9828248130939</v>
      </c>
      <c r="E266" s="156">
        <f t="shared" si="592"/>
        <v>2545.0693184012357</v>
      </c>
      <c r="F266" s="156">
        <f t="shared" si="592"/>
        <v>2794.4028776978416</v>
      </c>
      <c r="G266" s="156">
        <f t="shared" si="592"/>
        <v>2890.3486777668959</v>
      </c>
      <c r="H266" s="156">
        <f t="shared" si="592"/>
        <v>2397.8153708267982</v>
      </c>
      <c r="I266" s="156">
        <f t="shared" si="592"/>
        <v>2357.0066824746709</v>
      </c>
      <c r="J266" s="156">
        <f t="shared" si="592"/>
        <v>2597.9204639602322</v>
      </c>
      <c r="K266" s="156">
        <f t="shared" si="592"/>
        <v>2640.970896391153</v>
      </c>
      <c r="L266" s="156">
        <f t="shared" si="592"/>
        <v>2391.7940957578762</v>
      </c>
      <c r="M266" s="156">
        <f t="shared" si="592"/>
        <v>2347.046826717376</v>
      </c>
      <c r="N266" s="156">
        <f t="shared" si="592"/>
        <v>2523.4644005512173</v>
      </c>
      <c r="O266" s="156">
        <f t="shared" si="592"/>
        <v>2757.724137931034</v>
      </c>
      <c r="P266" s="156">
        <f t="shared" si="592"/>
        <v>2501.5344514043245</v>
      </c>
      <c r="Q266" s="156">
        <f t="shared" si="592"/>
        <v>2557.3419379695629</v>
      </c>
      <c r="R266" s="156">
        <f t="shared" si="592"/>
        <v>2417.9579369053581</v>
      </c>
      <c r="S266" s="156">
        <f t="shared" si="592"/>
        <v>2890.3486777668945</v>
      </c>
      <c r="T266" s="156">
        <f t="shared" si="592"/>
        <v>2443.5151379233012</v>
      </c>
      <c r="U266" s="156">
        <f t="shared" si="592"/>
        <v>2357.0066824746709</v>
      </c>
      <c r="V266" s="156">
        <f t="shared" si="592"/>
        <v>2664.5845129059112</v>
      </c>
      <c r="W266" s="156">
        <f t="shared" si="592"/>
        <v>2919.0212765957449</v>
      </c>
      <c r="X266" s="156">
        <f t="shared" si="592"/>
        <v>2391.7940957578762</v>
      </c>
      <c r="Y266" s="156">
        <f t="shared" si="592"/>
        <v>2412.2005214505812</v>
      </c>
      <c r="Z266" s="156">
        <f t="shared" si="592"/>
        <v>2623.1349095966611</v>
      </c>
      <c r="AA266" s="156">
        <f t="shared" si="592"/>
        <v>2757.724137931034</v>
      </c>
      <c r="AB266" s="156">
        <f t="shared" si="592"/>
        <v>2502.9299697275478</v>
      </c>
      <c r="AC266" s="156">
        <f t="shared" si="592"/>
        <v>2554.8009268198489</v>
      </c>
      <c r="AD266" s="156">
        <f t="shared" si="592"/>
        <v>2693.7663934426232</v>
      </c>
      <c r="AE266" s="156">
        <f t="shared" si="592"/>
        <v>2890.348677766895</v>
      </c>
      <c r="AF266" s="156">
        <f t="shared" si="592"/>
        <v>2397.8153708267987</v>
      </c>
      <c r="AG266" s="156">
        <f t="shared" si="592"/>
        <v>2357.0066824746709</v>
      </c>
      <c r="AH266" s="156">
        <f t="shared" si="592"/>
        <v>2664.5845129059117</v>
      </c>
      <c r="AI266" s="156">
        <f t="shared" si="592"/>
        <v>2919.0212765957449</v>
      </c>
      <c r="AJ266" s="156">
        <f t="shared" si="592"/>
        <v>2391.7940957578762</v>
      </c>
      <c r="AK266" s="156">
        <f t="shared" si="592"/>
        <v>2412.2005214505812</v>
      </c>
      <c r="AL266" s="156">
        <f t="shared" si="592"/>
        <v>2623.1349095966625</v>
      </c>
      <c r="AM266" s="156">
        <f t="shared" si="592"/>
        <v>2757.7241379310344</v>
      </c>
      <c r="AN266" s="156">
        <f t="shared" si="592"/>
        <v>2501.534451404324</v>
      </c>
      <c r="AO266" s="156">
        <f t="shared" si="592"/>
        <v>2557.3419379695624</v>
      </c>
      <c r="AP266" s="156">
        <f t="shared" si="592"/>
        <v>2693.7663934426232</v>
      </c>
      <c r="AQ266" s="156">
        <f t="shared" si="592"/>
        <v>2890.348677766895</v>
      </c>
      <c r="AR266" s="156">
        <f t="shared" si="592"/>
        <v>2397.8153708267982</v>
      </c>
      <c r="AS266" s="156">
        <f t="shared" si="592"/>
        <v>2524.7502456278248</v>
      </c>
      <c r="AT266" s="156">
        <f t="shared" si="592"/>
        <v>2614.7579617834394</v>
      </c>
      <c r="AU266" s="156">
        <f t="shared" si="592"/>
        <v>2658.4064171122996</v>
      </c>
      <c r="AV266" s="156">
        <f t="shared" si="592"/>
        <v>2563.0364593488007</v>
      </c>
      <c r="AW266" s="156">
        <f t="shared" si="592"/>
        <v>2357.0066824746709</v>
      </c>
      <c r="AX266" s="156">
        <f t="shared" si="592"/>
        <v>2597.9204639602317</v>
      </c>
      <c r="AY266" s="156">
        <f t="shared" si="592"/>
        <v>2640.970896391153</v>
      </c>
      <c r="AZ266" s="156">
        <f t="shared" si="592"/>
        <v>2309.9882669274016</v>
      </c>
      <c r="BA266" s="156">
        <f t="shared" si="592"/>
        <v>2412.2005214505812</v>
      </c>
      <c r="BB266" s="156">
        <f t="shared" si="592"/>
        <v>2623.1349095966611</v>
      </c>
      <c r="BC266" s="110"/>
    </row>
    <row r="267" spans="2:56" x14ac:dyDescent="0.25">
      <c r="B267" s="110" t="s">
        <v>229</v>
      </c>
      <c r="C267" s="110" t="b">
        <f>IF(C266=C181,TRUE,FALSE)</f>
        <v>1</v>
      </c>
      <c r="D267" s="110" t="b">
        <f t="shared" ref="D267:BB267" si="593">IF(D266=D181,TRUE,FALSE)</f>
        <v>1</v>
      </c>
      <c r="E267" s="110" t="b">
        <f t="shared" si="593"/>
        <v>1</v>
      </c>
      <c r="F267" s="110" t="b">
        <f t="shared" si="593"/>
        <v>1</v>
      </c>
      <c r="G267" s="110" t="b">
        <f t="shared" si="593"/>
        <v>0</v>
      </c>
      <c r="H267" s="110" t="b">
        <f t="shared" si="593"/>
        <v>1</v>
      </c>
      <c r="I267" s="110" t="b">
        <f t="shared" si="593"/>
        <v>1</v>
      </c>
      <c r="J267" s="110" t="b">
        <f t="shared" si="593"/>
        <v>1</v>
      </c>
      <c r="K267" s="110" t="b">
        <f t="shared" si="593"/>
        <v>1</v>
      </c>
      <c r="L267" s="110" t="b">
        <f t="shared" si="593"/>
        <v>1</v>
      </c>
      <c r="M267" s="110" t="b">
        <f t="shared" si="593"/>
        <v>1</v>
      </c>
      <c r="N267" s="110" t="b">
        <f t="shared" si="593"/>
        <v>1</v>
      </c>
      <c r="O267" s="110" t="b">
        <f t="shared" si="593"/>
        <v>1</v>
      </c>
      <c r="P267" s="110" t="b">
        <f t="shared" si="593"/>
        <v>1</v>
      </c>
      <c r="Q267" s="110" t="b">
        <f t="shared" si="593"/>
        <v>1</v>
      </c>
      <c r="R267" s="110" t="b">
        <f t="shared" si="593"/>
        <v>1</v>
      </c>
      <c r="S267" s="110" t="b">
        <f t="shared" si="593"/>
        <v>0</v>
      </c>
      <c r="T267" s="110" t="b">
        <f t="shared" si="593"/>
        <v>1</v>
      </c>
      <c r="U267" s="110" t="b">
        <f t="shared" si="593"/>
        <v>1</v>
      </c>
      <c r="V267" s="110" t="b">
        <f t="shared" si="593"/>
        <v>1</v>
      </c>
      <c r="W267" s="110" t="b">
        <f t="shared" si="593"/>
        <v>1</v>
      </c>
      <c r="X267" s="110" t="b">
        <f t="shared" si="593"/>
        <v>1</v>
      </c>
      <c r="Y267" s="110" t="b">
        <f t="shared" si="593"/>
        <v>1</v>
      </c>
      <c r="Z267" s="110" t="b">
        <f t="shared" si="593"/>
        <v>1</v>
      </c>
      <c r="AA267" s="110" t="b">
        <f t="shared" si="593"/>
        <v>1</v>
      </c>
      <c r="AB267" s="110" t="b">
        <f t="shared" si="593"/>
        <v>1</v>
      </c>
      <c r="AC267" s="110" t="b">
        <f t="shared" si="593"/>
        <v>1</v>
      </c>
      <c r="AD267" s="110" t="b">
        <f t="shared" si="593"/>
        <v>1</v>
      </c>
      <c r="AE267" s="110" t="b">
        <f t="shared" si="593"/>
        <v>0</v>
      </c>
      <c r="AF267" s="110" t="b">
        <f t="shared" si="593"/>
        <v>1</v>
      </c>
      <c r="AG267" s="110" t="b">
        <f t="shared" si="593"/>
        <v>1</v>
      </c>
      <c r="AH267" s="110" t="b">
        <f t="shared" si="593"/>
        <v>1</v>
      </c>
      <c r="AI267" s="110" t="b">
        <f t="shared" si="593"/>
        <v>0</v>
      </c>
      <c r="AJ267" s="110" t="b">
        <f t="shared" si="593"/>
        <v>1</v>
      </c>
      <c r="AK267" s="110" t="b">
        <f t="shared" si="593"/>
        <v>1</v>
      </c>
      <c r="AL267" s="110" t="b">
        <f t="shared" si="593"/>
        <v>1</v>
      </c>
      <c r="AM267" s="110" t="b">
        <f t="shared" si="593"/>
        <v>1</v>
      </c>
      <c r="AN267" s="110" t="b">
        <f t="shared" si="593"/>
        <v>1</v>
      </c>
      <c r="AO267" s="110" t="b">
        <f t="shared" si="593"/>
        <v>1</v>
      </c>
      <c r="AP267" s="110" t="b">
        <f t="shared" si="593"/>
        <v>1</v>
      </c>
      <c r="AQ267" s="110" t="b">
        <f t="shared" si="593"/>
        <v>0</v>
      </c>
      <c r="AR267" s="110" t="b">
        <f t="shared" si="593"/>
        <v>1</v>
      </c>
      <c r="AS267" s="110" t="b">
        <f t="shared" si="593"/>
        <v>1</v>
      </c>
      <c r="AT267" s="110" t="b">
        <f t="shared" si="593"/>
        <v>1</v>
      </c>
      <c r="AU267" s="110" t="b">
        <f t="shared" si="593"/>
        <v>1</v>
      </c>
      <c r="AV267" s="110" t="b">
        <f t="shared" si="593"/>
        <v>1</v>
      </c>
      <c r="AW267" s="110" t="b">
        <f t="shared" si="593"/>
        <v>1</v>
      </c>
      <c r="AX267" s="110" t="b">
        <f t="shared" si="593"/>
        <v>1</v>
      </c>
      <c r="AY267" s="110" t="b">
        <f t="shared" si="593"/>
        <v>1</v>
      </c>
      <c r="AZ267" s="110" t="b">
        <f t="shared" si="593"/>
        <v>1</v>
      </c>
      <c r="BA267" s="110" t="b">
        <f t="shared" si="593"/>
        <v>1</v>
      </c>
      <c r="BB267" s="110" t="b">
        <f t="shared" si="593"/>
        <v>1</v>
      </c>
      <c r="BC267" s="110"/>
    </row>
    <row r="268" spans="2:56" x14ac:dyDescent="0.25">
      <c r="B268" s="110" t="s">
        <v>295</v>
      </c>
      <c r="C268" s="156">
        <f>C266*SUM(C192:C197,C199:C204,C206:C211,C213:C218,C220:C225,C227:C232,C234:C239,C241:C246)</f>
        <v>20131.386206896557</v>
      </c>
      <c r="D268" s="156">
        <f t="shared" ref="D268:BB268" si="594">D266*SUM(D192:D197,D199:D204,D206:D211,D213:D218,D220:D225,D227:D232,D234:D239,D241:D246)</f>
        <v>20262.059163467369</v>
      </c>
      <c r="E268" s="156">
        <f t="shared" si="594"/>
        <v>14252.38818304692</v>
      </c>
      <c r="F268" s="156">
        <f t="shared" si="594"/>
        <v>27385.148201438846</v>
      </c>
      <c r="G268" s="156">
        <f t="shared" si="594"/>
        <v>15607.882859941235</v>
      </c>
      <c r="H268" s="156">
        <f t="shared" si="594"/>
        <v>15346.018373291514</v>
      </c>
      <c r="I268" s="156">
        <f t="shared" si="594"/>
        <v>16499.046777322703</v>
      </c>
      <c r="J268" s="156">
        <f t="shared" si="594"/>
        <v>20003.987572493785</v>
      </c>
      <c r="K268" s="156">
        <f t="shared" si="594"/>
        <v>14261.242840512225</v>
      </c>
      <c r="L268" s="156">
        <f t="shared" si="594"/>
        <v>23200.402728851393</v>
      </c>
      <c r="M268" s="156">
        <f t="shared" si="594"/>
        <v>13847.576277632515</v>
      </c>
      <c r="N268" s="156">
        <f t="shared" si="594"/>
        <v>17664.250803858529</v>
      </c>
      <c r="O268" s="156">
        <f t="shared" si="594"/>
        <v>22337.565517241379</v>
      </c>
      <c r="P268" s="156">
        <f t="shared" si="594"/>
        <v>15509.51359870681</v>
      </c>
      <c r="Q268" s="156">
        <f t="shared" si="594"/>
        <v>23016.077441726062</v>
      </c>
      <c r="R268" s="156">
        <f t="shared" si="594"/>
        <v>13298.768652979465</v>
      </c>
      <c r="S268" s="156">
        <f t="shared" si="594"/>
        <v>18787.266405484821</v>
      </c>
      <c r="T268" s="156">
        <f t="shared" si="594"/>
        <v>16615.902937878454</v>
      </c>
      <c r="U268" s="156">
        <f t="shared" si="594"/>
        <v>18384.652123302432</v>
      </c>
      <c r="V268" s="156">
        <f t="shared" si="594"/>
        <v>15454.590174854282</v>
      </c>
      <c r="W268" s="156">
        <f t="shared" si="594"/>
        <v>27146.897872340418</v>
      </c>
      <c r="X268" s="156">
        <f t="shared" si="594"/>
        <v>13633.22634581989</v>
      </c>
      <c r="Y268" s="156">
        <f t="shared" si="594"/>
        <v>17367.843754444191</v>
      </c>
      <c r="Z268" s="156">
        <f t="shared" si="594"/>
        <v>22034.333240611955</v>
      </c>
      <c r="AA268" s="156">
        <f t="shared" si="594"/>
        <v>15443.255172413787</v>
      </c>
      <c r="AB268" s="156">
        <f t="shared" si="594"/>
        <v>24278.42070635721</v>
      </c>
      <c r="AC268" s="156">
        <f t="shared" si="594"/>
        <v>14306.885190191151</v>
      </c>
      <c r="AD268" s="156">
        <f t="shared" si="594"/>
        <v>16970.72827868853</v>
      </c>
      <c r="AE268" s="156">
        <f t="shared" si="594"/>
        <v>20232.440744368272</v>
      </c>
      <c r="AF268" s="156">
        <f t="shared" si="594"/>
        <v>18463.178355366348</v>
      </c>
      <c r="AG268" s="156">
        <f t="shared" si="594"/>
        <v>12727.836085363222</v>
      </c>
      <c r="AH268" s="156">
        <f t="shared" si="594"/>
        <v>25846.469775187335</v>
      </c>
      <c r="AI268" s="156">
        <f t="shared" si="594"/>
        <v>15178.910638297868</v>
      </c>
      <c r="AJ268" s="156">
        <f t="shared" si="594"/>
        <v>16264.199851153564</v>
      </c>
      <c r="AK268" s="156">
        <f t="shared" si="594"/>
        <v>16644.183598009015</v>
      </c>
      <c r="AL268" s="156">
        <f t="shared" si="594"/>
        <v>18624.257858136309</v>
      </c>
      <c r="AM268" s="156">
        <f t="shared" si="594"/>
        <v>21510.248275862068</v>
      </c>
      <c r="AN268" s="156">
        <f t="shared" si="594"/>
        <v>14258.746373004644</v>
      </c>
      <c r="AO268" s="156">
        <f t="shared" si="594"/>
        <v>17389.925178193029</v>
      </c>
      <c r="AP268" s="156">
        <f t="shared" si="594"/>
        <v>21819.507786885253</v>
      </c>
      <c r="AQ268" s="156">
        <f t="shared" si="594"/>
        <v>16474.9874632713</v>
      </c>
      <c r="AR268" s="156">
        <f t="shared" si="594"/>
        <v>22059.901411606537</v>
      </c>
      <c r="AS268" s="156">
        <f t="shared" si="594"/>
        <v>14391.076400078597</v>
      </c>
      <c r="AT268" s="156">
        <f t="shared" si="594"/>
        <v>17518.878343949051</v>
      </c>
      <c r="AU268" s="156">
        <f t="shared" si="594"/>
        <v>18343.004278074874</v>
      </c>
      <c r="AV268" s="156">
        <f t="shared" si="594"/>
        <v>21016.898966660163</v>
      </c>
      <c r="AW268" s="156">
        <f t="shared" si="594"/>
        <v>13906.339426600554</v>
      </c>
      <c r="AX268" s="156">
        <f t="shared" si="594"/>
        <v>24940.03645401822</v>
      </c>
      <c r="AY268" s="156">
        <f t="shared" si="594"/>
        <v>14525.33993015134</v>
      </c>
      <c r="AZ268" s="156">
        <f t="shared" si="594"/>
        <v>15707.920215106335</v>
      </c>
      <c r="BA268" s="156">
        <f t="shared" si="594"/>
        <v>16402.963545863957</v>
      </c>
      <c r="BB268" s="156">
        <f t="shared" si="594"/>
        <v>9443.2856745479839</v>
      </c>
      <c r="BC268" s="156">
        <f>SUM(C268:BB268)</f>
        <v>936737.85403155023</v>
      </c>
    </row>
    <row r="269" spans="2:56" x14ac:dyDescent="0.25">
      <c r="B269" s="135" t="s">
        <v>229</v>
      </c>
      <c r="C269" s="157" t="b">
        <f>IF(C268=C91,TRUE,FALSE)</f>
        <v>0</v>
      </c>
      <c r="D269" s="157"/>
      <c r="E269" s="158"/>
      <c r="F269" s="158"/>
      <c r="G269" s="158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157"/>
      <c r="AJ269" s="157"/>
      <c r="AK269" s="157"/>
      <c r="AL269" s="157"/>
      <c r="AM269" s="157"/>
      <c r="AN269" s="157"/>
      <c r="AO269" s="157"/>
      <c r="AP269" s="157"/>
      <c r="AQ269" s="157"/>
      <c r="AR269" s="157"/>
      <c r="AS269" s="157"/>
      <c r="AT269" s="157"/>
      <c r="AU269" s="157"/>
      <c r="AV269" s="157"/>
      <c r="AW269" s="157"/>
      <c r="AX269" s="157"/>
      <c r="AY269" s="157"/>
      <c r="AZ269" s="157"/>
      <c r="BA269" s="157"/>
      <c r="BB269" s="157"/>
      <c r="BC269" s="157"/>
    </row>
    <row r="270" spans="2:56" x14ac:dyDescent="0.25">
      <c r="B270" s="159"/>
      <c r="C270" s="135"/>
      <c r="D270" s="135"/>
      <c r="E270" s="155"/>
      <c r="F270" s="155"/>
      <c r="G270" s="15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  <c r="AJ270" s="135"/>
      <c r="AK270" s="135"/>
      <c r="AL270" s="135"/>
      <c r="AM270" s="135"/>
      <c r="AN270" s="135"/>
      <c r="AO270" s="135"/>
      <c r="AP270" s="135"/>
      <c r="AQ270" s="135"/>
      <c r="AR270" s="135"/>
      <c r="AS270" s="135"/>
      <c r="AT270" s="135"/>
      <c r="AU270" s="135"/>
      <c r="AV270" s="135"/>
      <c r="AW270" s="135"/>
      <c r="AX270" s="135"/>
      <c r="AY270" s="135"/>
      <c r="AZ270" s="135"/>
      <c r="BA270" s="135"/>
      <c r="BB270" s="135"/>
      <c r="BC270" s="135"/>
    </row>
    <row r="271" spans="2:56" x14ac:dyDescent="0.25">
      <c r="B271" s="151" t="str">
        <f>_xlfn.CONCAT("Standard CT"," ",B322)</f>
        <v>Standard CT Product A</v>
      </c>
      <c r="C271" s="151">
        <f>C825</f>
        <v>9</v>
      </c>
      <c r="D271" s="151">
        <f>C271</f>
        <v>9</v>
      </c>
      <c r="E271" s="151">
        <f t="shared" ref="E271:BB271" si="595">D271</f>
        <v>9</v>
      </c>
      <c r="F271" s="151">
        <f t="shared" si="595"/>
        <v>9</v>
      </c>
      <c r="G271" s="151">
        <f t="shared" si="595"/>
        <v>9</v>
      </c>
      <c r="H271" s="151">
        <f t="shared" si="595"/>
        <v>9</v>
      </c>
      <c r="I271" s="151">
        <f t="shared" si="595"/>
        <v>9</v>
      </c>
      <c r="J271" s="151">
        <f t="shared" si="595"/>
        <v>9</v>
      </c>
      <c r="K271" s="151">
        <f t="shared" si="595"/>
        <v>9</v>
      </c>
      <c r="L271" s="151">
        <f t="shared" si="595"/>
        <v>9</v>
      </c>
      <c r="M271" s="151">
        <f t="shared" si="595"/>
        <v>9</v>
      </c>
      <c r="N271" s="151">
        <f t="shared" si="595"/>
        <v>9</v>
      </c>
      <c r="O271" s="151">
        <f t="shared" si="595"/>
        <v>9</v>
      </c>
      <c r="P271" s="151">
        <f t="shared" si="595"/>
        <v>9</v>
      </c>
      <c r="Q271" s="151">
        <f t="shared" si="595"/>
        <v>9</v>
      </c>
      <c r="R271" s="151">
        <f t="shared" si="595"/>
        <v>9</v>
      </c>
      <c r="S271" s="151">
        <f t="shared" si="595"/>
        <v>9</v>
      </c>
      <c r="T271" s="151">
        <f t="shared" si="595"/>
        <v>9</v>
      </c>
      <c r="U271" s="151">
        <f t="shared" si="595"/>
        <v>9</v>
      </c>
      <c r="V271" s="151">
        <f t="shared" si="595"/>
        <v>9</v>
      </c>
      <c r="W271" s="151">
        <f t="shared" si="595"/>
        <v>9</v>
      </c>
      <c r="X271" s="151">
        <f t="shared" si="595"/>
        <v>9</v>
      </c>
      <c r="Y271" s="151">
        <f t="shared" si="595"/>
        <v>9</v>
      </c>
      <c r="Z271" s="151">
        <f t="shared" si="595"/>
        <v>9</v>
      </c>
      <c r="AA271" s="151">
        <f t="shared" si="595"/>
        <v>9</v>
      </c>
      <c r="AB271" s="151">
        <f t="shared" si="595"/>
        <v>9</v>
      </c>
      <c r="AC271" s="151">
        <f t="shared" si="595"/>
        <v>9</v>
      </c>
      <c r="AD271" s="151">
        <f t="shared" si="595"/>
        <v>9</v>
      </c>
      <c r="AE271" s="151">
        <f t="shared" si="595"/>
        <v>9</v>
      </c>
      <c r="AF271" s="151">
        <f t="shared" si="595"/>
        <v>9</v>
      </c>
      <c r="AG271" s="151">
        <f t="shared" si="595"/>
        <v>9</v>
      </c>
      <c r="AH271" s="151">
        <f t="shared" si="595"/>
        <v>9</v>
      </c>
      <c r="AI271" s="151">
        <f t="shared" si="595"/>
        <v>9</v>
      </c>
      <c r="AJ271" s="151">
        <f t="shared" si="595"/>
        <v>9</v>
      </c>
      <c r="AK271" s="151">
        <f t="shared" si="595"/>
        <v>9</v>
      </c>
      <c r="AL271" s="151">
        <f t="shared" si="595"/>
        <v>9</v>
      </c>
      <c r="AM271" s="151">
        <f t="shared" si="595"/>
        <v>9</v>
      </c>
      <c r="AN271" s="151">
        <f t="shared" si="595"/>
        <v>9</v>
      </c>
      <c r="AO271" s="151">
        <f t="shared" si="595"/>
        <v>9</v>
      </c>
      <c r="AP271" s="151">
        <f t="shared" si="595"/>
        <v>9</v>
      </c>
      <c r="AQ271" s="151">
        <f t="shared" si="595"/>
        <v>9</v>
      </c>
      <c r="AR271" s="151">
        <f t="shared" si="595"/>
        <v>9</v>
      </c>
      <c r="AS271" s="151">
        <f t="shared" si="595"/>
        <v>9</v>
      </c>
      <c r="AT271" s="151">
        <f t="shared" si="595"/>
        <v>9</v>
      </c>
      <c r="AU271" s="151">
        <f t="shared" si="595"/>
        <v>9</v>
      </c>
      <c r="AV271" s="151">
        <f t="shared" si="595"/>
        <v>9</v>
      </c>
      <c r="AW271" s="151">
        <f t="shared" si="595"/>
        <v>9</v>
      </c>
      <c r="AX271" s="151">
        <f t="shared" si="595"/>
        <v>9</v>
      </c>
      <c r="AY271" s="151">
        <f t="shared" si="595"/>
        <v>9</v>
      </c>
      <c r="AZ271" s="151">
        <f t="shared" si="595"/>
        <v>9</v>
      </c>
      <c r="BA271" s="151">
        <f t="shared" si="595"/>
        <v>9</v>
      </c>
      <c r="BB271" s="151">
        <f t="shared" si="595"/>
        <v>9</v>
      </c>
      <c r="BC271" s="151"/>
    </row>
    <row r="272" spans="2:56" x14ac:dyDescent="0.25">
      <c r="B272" s="151" t="str">
        <f t="shared" ref="B272:B278" si="596">_xlfn.CONCAT("Standard CT"," ",B323)</f>
        <v>Standard CT Product B</v>
      </c>
      <c r="C272" s="151">
        <f>C826</f>
        <v>9.8000000000000007</v>
      </c>
      <c r="D272" s="151">
        <f t="shared" ref="D272:BB272" si="597">C272</f>
        <v>9.8000000000000007</v>
      </c>
      <c r="E272" s="151">
        <f t="shared" si="597"/>
        <v>9.8000000000000007</v>
      </c>
      <c r="F272" s="151">
        <f t="shared" si="597"/>
        <v>9.8000000000000007</v>
      </c>
      <c r="G272" s="151">
        <f t="shared" si="597"/>
        <v>9.8000000000000007</v>
      </c>
      <c r="H272" s="151">
        <f t="shared" si="597"/>
        <v>9.8000000000000007</v>
      </c>
      <c r="I272" s="151">
        <f t="shared" si="597"/>
        <v>9.8000000000000007</v>
      </c>
      <c r="J272" s="151">
        <f t="shared" si="597"/>
        <v>9.8000000000000007</v>
      </c>
      <c r="K272" s="151">
        <f t="shared" si="597"/>
        <v>9.8000000000000007</v>
      </c>
      <c r="L272" s="151">
        <f t="shared" si="597"/>
        <v>9.8000000000000007</v>
      </c>
      <c r="M272" s="151">
        <f t="shared" si="597"/>
        <v>9.8000000000000007</v>
      </c>
      <c r="N272" s="151">
        <f t="shared" si="597"/>
        <v>9.8000000000000007</v>
      </c>
      <c r="O272" s="151">
        <f t="shared" si="597"/>
        <v>9.8000000000000007</v>
      </c>
      <c r="P272" s="151">
        <f t="shared" si="597"/>
        <v>9.8000000000000007</v>
      </c>
      <c r="Q272" s="151">
        <f t="shared" si="597"/>
        <v>9.8000000000000007</v>
      </c>
      <c r="R272" s="151">
        <f t="shared" si="597"/>
        <v>9.8000000000000007</v>
      </c>
      <c r="S272" s="151">
        <f t="shared" si="597"/>
        <v>9.8000000000000007</v>
      </c>
      <c r="T272" s="151">
        <f t="shared" si="597"/>
        <v>9.8000000000000007</v>
      </c>
      <c r="U272" s="151">
        <f t="shared" si="597"/>
        <v>9.8000000000000007</v>
      </c>
      <c r="V272" s="151">
        <f t="shared" si="597"/>
        <v>9.8000000000000007</v>
      </c>
      <c r="W272" s="151">
        <f t="shared" si="597"/>
        <v>9.8000000000000007</v>
      </c>
      <c r="X272" s="151">
        <f t="shared" si="597"/>
        <v>9.8000000000000007</v>
      </c>
      <c r="Y272" s="151">
        <f t="shared" si="597"/>
        <v>9.8000000000000007</v>
      </c>
      <c r="Z272" s="151">
        <f t="shared" si="597"/>
        <v>9.8000000000000007</v>
      </c>
      <c r="AA272" s="151">
        <f t="shared" si="597"/>
        <v>9.8000000000000007</v>
      </c>
      <c r="AB272" s="151">
        <f t="shared" si="597"/>
        <v>9.8000000000000007</v>
      </c>
      <c r="AC272" s="151">
        <f t="shared" si="597"/>
        <v>9.8000000000000007</v>
      </c>
      <c r="AD272" s="151">
        <f t="shared" si="597"/>
        <v>9.8000000000000007</v>
      </c>
      <c r="AE272" s="151">
        <f t="shared" si="597"/>
        <v>9.8000000000000007</v>
      </c>
      <c r="AF272" s="151">
        <f t="shared" si="597"/>
        <v>9.8000000000000007</v>
      </c>
      <c r="AG272" s="151">
        <f t="shared" si="597"/>
        <v>9.8000000000000007</v>
      </c>
      <c r="AH272" s="151">
        <f t="shared" si="597"/>
        <v>9.8000000000000007</v>
      </c>
      <c r="AI272" s="151">
        <f t="shared" si="597"/>
        <v>9.8000000000000007</v>
      </c>
      <c r="AJ272" s="151">
        <f t="shared" si="597"/>
        <v>9.8000000000000007</v>
      </c>
      <c r="AK272" s="151">
        <f t="shared" si="597"/>
        <v>9.8000000000000007</v>
      </c>
      <c r="AL272" s="151">
        <f t="shared" si="597"/>
        <v>9.8000000000000007</v>
      </c>
      <c r="AM272" s="151">
        <f t="shared" si="597"/>
        <v>9.8000000000000007</v>
      </c>
      <c r="AN272" s="151">
        <f t="shared" si="597"/>
        <v>9.8000000000000007</v>
      </c>
      <c r="AO272" s="151">
        <f t="shared" si="597"/>
        <v>9.8000000000000007</v>
      </c>
      <c r="AP272" s="151">
        <f t="shared" si="597"/>
        <v>9.8000000000000007</v>
      </c>
      <c r="AQ272" s="151">
        <f t="shared" si="597"/>
        <v>9.8000000000000007</v>
      </c>
      <c r="AR272" s="151">
        <f t="shared" si="597"/>
        <v>9.8000000000000007</v>
      </c>
      <c r="AS272" s="151">
        <f t="shared" si="597"/>
        <v>9.8000000000000007</v>
      </c>
      <c r="AT272" s="151">
        <f t="shared" si="597"/>
        <v>9.8000000000000007</v>
      </c>
      <c r="AU272" s="151">
        <f t="shared" si="597"/>
        <v>9.8000000000000007</v>
      </c>
      <c r="AV272" s="151">
        <f t="shared" si="597"/>
        <v>9.8000000000000007</v>
      </c>
      <c r="AW272" s="151">
        <f t="shared" si="597"/>
        <v>9.8000000000000007</v>
      </c>
      <c r="AX272" s="151">
        <f t="shared" si="597"/>
        <v>9.8000000000000007</v>
      </c>
      <c r="AY272" s="151">
        <f t="shared" si="597"/>
        <v>9.8000000000000007</v>
      </c>
      <c r="AZ272" s="151">
        <f t="shared" si="597"/>
        <v>9.8000000000000007</v>
      </c>
      <c r="BA272" s="151">
        <f t="shared" si="597"/>
        <v>9.8000000000000007</v>
      </c>
      <c r="BB272" s="151">
        <f t="shared" si="597"/>
        <v>9.8000000000000007</v>
      </c>
      <c r="BC272" s="151"/>
    </row>
    <row r="273" spans="2:56" x14ac:dyDescent="0.25">
      <c r="B273" s="151" t="str">
        <f t="shared" si="596"/>
        <v>Standard CT Product C</v>
      </c>
      <c r="C273" s="151">
        <f t="shared" ref="C273:C278" si="598">C827</f>
        <v>9.6</v>
      </c>
      <c r="D273" s="151">
        <f t="shared" ref="D273:BB273" si="599">C273</f>
        <v>9.6</v>
      </c>
      <c r="E273" s="151">
        <f t="shared" si="599"/>
        <v>9.6</v>
      </c>
      <c r="F273" s="151">
        <f t="shared" si="599"/>
        <v>9.6</v>
      </c>
      <c r="G273" s="151">
        <f t="shared" si="599"/>
        <v>9.6</v>
      </c>
      <c r="H273" s="151">
        <f t="shared" si="599"/>
        <v>9.6</v>
      </c>
      <c r="I273" s="151">
        <f t="shared" si="599"/>
        <v>9.6</v>
      </c>
      <c r="J273" s="151">
        <f t="shared" si="599"/>
        <v>9.6</v>
      </c>
      <c r="K273" s="151">
        <f t="shared" si="599"/>
        <v>9.6</v>
      </c>
      <c r="L273" s="151">
        <f t="shared" si="599"/>
        <v>9.6</v>
      </c>
      <c r="M273" s="151">
        <f t="shared" si="599"/>
        <v>9.6</v>
      </c>
      <c r="N273" s="151">
        <f t="shared" si="599"/>
        <v>9.6</v>
      </c>
      <c r="O273" s="151">
        <f t="shared" si="599"/>
        <v>9.6</v>
      </c>
      <c r="P273" s="151">
        <f t="shared" si="599"/>
        <v>9.6</v>
      </c>
      <c r="Q273" s="151">
        <f t="shared" si="599"/>
        <v>9.6</v>
      </c>
      <c r="R273" s="151">
        <f t="shared" si="599"/>
        <v>9.6</v>
      </c>
      <c r="S273" s="151">
        <f t="shared" si="599"/>
        <v>9.6</v>
      </c>
      <c r="T273" s="151">
        <f t="shared" si="599"/>
        <v>9.6</v>
      </c>
      <c r="U273" s="151">
        <f t="shared" si="599"/>
        <v>9.6</v>
      </c>
      <c r="V273" s="151">
        <f t="shared" si="599"/>
        <v>9.6</v>
      </c>
      <c r="W273" s="151">
        <f t="shared" si="599"/>
        <v>9.6</v>
      </c>
      <c r="X273" s="151">
        <f t="shared" si="599"/>
        <v>9.6</v>
      </c>
      <c r="Y273" s="151">
        <f t="shared" si="599"/>
        <v>9.6</v>
      </c>
      <c r="Z273" s="151">
        <f t="shared" si="599"/>
        <v>9.6</v>
      </c>
      <c r="AA273" s="151">
        <f t="shared" si="599"/>
        <v>9.6</v>
      </c>
      <c r="AB273" s="151">
        <f t="shared" si="599"/>
        <v>9.6</v>
      </c>
      <c r="AC273" s="151">
        <f t="shared" si="599"/>
        <v>9.6</v>
      </c>
      <c r="AD273" s="151">
        <f t="shared" si="599"/>
        <v>9.6</v>
      </c>
      <c r="AE273" s="151">
        <f t="shared" si="599"/>
        <v>9.6</v>
      </c>
      <c r="AF273" s="151">
        <f t="shared" si="599"/>
        <v>9.6</v>
      </c>
      <c r="AG273" s="151">
        <f t="shared" si="599"/>
        <v>9.6</v>
      </c>
      <c r="AH273" s="151">
        <f t="shared" si="599"/>
        <v>9.6</v>
      </c>
      <c r="AI273" s="151">
        <f t="shared" si="599"/>
        <v>9.6</v>
      </c>
      <c r="AJ273" s="151">
        <f t="shared" si="599"/>
        <v>9.6</v>
      </c>
      <c r="AK273" s="151">
        <f t="shared" si="599"/>
        <v>9.6</v>
      </c>
      <c r="AL273" s="151">
        <f t="shared" si="599"/>
        <v>9.6</v>
      </c>
      <c r="AM273" s="151">
        <f t="shared" si="599"/>
        <v>9.6</v>
      </c>
      <c r="AN273" s="151">
        <f t="shared" si="599"/>
        <v>9.6</v>
      </c>
      <c r="AO273" s="151">
        <f t="shared" si="599"/>
        <v>9.6</v>
      </c>
      <c r="AP273" s="151">
        <f t="shared" si="599"/>
        <v>9.6</v>
      </c>
      <c r="AQ273" s="151">
        <f t="shared" si="599"/>
        <v>9.6</v>
      </c>
      <c r="AR273" s="151">
        <f t="shared" si="599"/>
        <v>9.6</v>
      </c>
      <c r="AS273" s="151">
        <f t="shared" si="599"/>
        <v>9.6</v>
      </c>
      <c r="AT273" s="151">
        <f t="shared" si="599"/>
        <v>9.6</v>
      </c>
      <c r="AU273" s="151">
        <f t="shared" si="599"/>
        <v>9.6</v>
      </c>
      <c r="AV273" s="151">
        <f t="shared" si="599"/>
        <v>9.6</v>
      </c>
      <c r="AW273" s="151">
        <f t="shared" si="599"/>
        <v>9.6</v>
      </c>
      <c r="AX273" s="151">
        <f t="shared" si="599"/>
        <v>9.6</v>
      </c>
      <c r="AY273" s="151">
        <f t="shared" si="599"/>
        <v>9.6</v>
      </c>
      <c r="AZ273" s="151">
        <f t="shared" si="599"/>
        <v>9.6</v>
      </c>
      <c r="BA273" s="151">
        <f t="shared" si="599"/>
        <v>9.6</v>
      </c>
      <c r="BB273" s="151">
        <f t="shared" si="599"/>
        <v>9.6</v>
      </c>
      <c r="BC273" s="151"/>
    </row>
    <row r="274" spans="2:56" x14ac:dyDescent="0.25">
      <c r="B274" s="151" t="str">
        <f t="shared" si="596"/>
        <v>Standard CT Product D</v>
      </c>
      <c r="C274" s="151">
        <f t="shared" si="598"/>
        <v>11</v>
      </c>
      <c r="D274" s="151">
        <f t="shared" ref="D274:BB274" si="600">C274</f>
        <v>11</v>
      </c>
      <c r="E274" s="151">
        <f t="shared" si="600"/>
        <v>11</v>
      </c>
      <c r="F274" s="151">
        <f t="shared" si="600"/>
        <v>11</v>
      </c>
      <c r="G274" s="151">
        <f t="shared" si="600"/>
        <v>11</v>
      </c>
      <c r="H274" s="151">
        <f t="shared" si="600"/>
        <v>11</v>
      </c>
      <c r="I274" s="151">
        <f t="shared" si="600"/>
        <v>11</v>
      </c>
      <c r="J274" s="151">
        <f t="shared" si="600"/>
        <v>11</v>
      </c>
      <c r="K274" s="151">
        <f t="shared" si="600"/>
        <v>11</v>
      </c>
      <c r="L274" s="151">
        <f t="shared" si="600"/>
        <v>11</v>
      </c>
      <c r="M274" s="151">
        <f t="shared" si="600"/>
        <v>11</v>
      </c>
      <c r="N274" s="151">
        <f t="shared" si="600"/>
        <v>11</v>
      </c>
      <c r="O274" s="151">
        <f t="shared" si="600"/>
        <v>11</v>
      </c>
      <c r="P274" s="151">
        <f t="shared" si="600"/>
        <v>11</v>
      </c>
      <c r="Q274" s="151">
        <f t="shared" si="600"/>
        <v>11</v>
      </c>
      <c r="R274" s="151">
        <f t="shared" si="600"/>
        <v>11</v>
      </c>
      <c r="S274" s="151">
        <f t="shared" si="600"/>
        <v>11</v>
      </c>
      <c r="T274" s="151">
        <f t="shared" si="600"/>
        <v>11</v>
      </c>
      <c r="U274" s="151">
        <f t="shared" si="600"/>
        <v>11</v>
      </c>
      <c r="V274" s="151">
        <f t="shared" si="600"/>
        <v>11</v>
      </c>
      <c r="W274" s="151">
        <f t="shared" si="600"/>
        <v>11</v>
      </c>
      <c r="X274" s="151">
        <f t="shared" si="600"/>
        <v>11</v>
      </c>
      <c r="Y274" s="151">
        <f t="shared" si="600"/>
        <v>11</v>
      </c>
      <c r="Z274" s="151">
        <f t="shared" si="600"/>
        <v>11</v>
      </c>
      <c r="AA274" s="151">
        <f t="shared" si="600"/>
        <v>11</v>
      </c>
      <c r="AB274" s="151">
        <f t="shared" si="600"/>
        <v>11</v>
      </c>
      <c r="AC274" s="151">
        <f t="shared" si="600"/>
        <v>11</v>
      </c>
      <c r="AD274" s="151">
        <f t="shared" si="600"/>
        <v>11</v>
      </c>
      <c r="AE274" s="151">
        <f t="shared" si="600"/>
        <v>11</v>
      </c>
      <c r="AF274" s="151">
        <f t="shared" si="600"/>
        <v>11</v>
      </c>
      <c r="AG274" s="151">
        <f t="shared" si="600"/>
        <v>11</v>
      </c>
      <c r="AH274" s="151">
        <f t="shared" si="600"/>
        <v>11</v>
      </c>
      <c r="AI274" s="151">
        <f t="shared" si="600"/>
        <v>11</v>
      </c>
      <c r="AJ274" s="151">
        <f t="shared" si="600"/>
        <v>11</v>
      </c>
      <c r="AK274" s="151">
        <f t="shared" si="600"/>
        <v>11</v>
      </c>
      <c r="AL274" s="151">
        <f t="shared" si="600"/>
        <v>11</v>
      </c>
      <c r="AM274" s="151">
        <f t="shared" si="600"/>
        <v>11</v>
      </c>
      <c r="AN274" s="151">
        <f t="shared" si="600"/>
        <v>11</v>
      </c>
      <c r="AO274" s="151">
        <f t="shared" si="600"/>
        <v>11</v>
      </c>
      <c r="AP274" s="151">
        <f t="shared" si="600"/>
        <v>11</v>
      </c>
      <c r="AQ274" s="151">
        <f t="shared" si="600"/>
        <v>11</v>
      </c>
      <c r="AR274" s="151">
        <f t="shared" si="600"/>
        <v>11</v>
      </c>
      <c r="AS274" s="151">
        <f t="shared" si="600"/>
        <v>11</v>
      </c>
      <c r="AT274" s="151">
        <f t="shared" si="600"/>
        <v>11</v>
      </c>
      <c r="AU274" s="151">
        <f t="shared" si="600"/>
        <v>11</v>
      </c>
      <c r="AV274" s="151">
        <f t="shared" si="600"/>
        <v>11</v>
      </c>
      <c r="AW274" s="151">
        <f t="shared" si="600"/>
        <v>11</v>
      </c>
      <c r="AX274" s="151">
        <f t="shared" si="600"/>
        <v>11</v>
      </c>
      <c r="AY274" s="151">
        <f t="shared" si="600"/>
        <v>11</v>
      </c>
      <c r="AZ274" s="151">
        <f t="shared" si="600"/>
        <v>11</v>
      </c>
      <c r="BA274" s="151">
        <f t="shared" si="600"/>
        <v>11</v>
      </c>
      <c r="BB274" s="151">
        <f t="shared" si="600"/>
        <v>11</v>
      </c>
      <c r="BC274" s="151"/>
    </row>
    <row r="275" spans="2:56" x14ac:dyDescent="0.25">
      <c r="B275" s="151" t="str">
        <f t="shared" si="596"/>
        <v>Standard CT Product E</v>
      </c>
      <c r="C275" s="151">
        <f t="shared" si="598"/>
        <v>10.8</v>
      </c>
      <c r="D275" s="151">
        <f t="shared" ref="D275:BB275" si="601">C275</f>
        <v>10.8</v>
      </c>
      <c r="E275" s="151">
        <f t="shared" si="601"/>
        <v>10.8</v>
      </c>
      <c r="F275" s="151">
        <f t="shared" si="601"/>
        <v>10.8</v>
      </c>
      <c r="G275" s="151">
        <f t="shared" si="601"/>
        <v>10.8</v>
      </c>
      <c r="H275" s="151">
        <f t="shared" si="601"/>
        <v>10.8</v>
      </c>
      <c r="I275" s="151">
        <f t="shared" si="601"/>
        <v>10.8</v>
      </c>
      <c r="J275" s="151">
        <f t="shared" si="601"/>
        <v>10.8</v>
      </c>
      <c r="K275" s="151">
        <f t="shared" si="601"/>
        <v>10.8</v>
      </c>
      <c r="L275" s="151">
        <f t="shared" si="601"/>
        <v>10.8</v>
      </c>
      <c r="M275" s="151">
        <f t="shared" si="601"/>
        <v>10.8</v>
      </c>
      <c r="N275" s="151">
        <f t="shared" si="601"/>
        <v>10.8</v>
      </c>
      <c r="O275" s="151">
        <f t="shared" si="601"/>
        <v>10.8</v>
      </c>
      <c r="P275" s="151">
        <f t="shared" si="601"/>
        <v>10.8</v>
      </c>
      <c r="Q275" s="151">
        <f t="shared" si="601"/>
        <v>10.8</v>
      </c>
      <c r="R275" s="151">
        <f t="shared" si="601"/>
        <v>10.8</v>
      </c>
      <c r="S275" s="151">
        <f t="shared" si="601"/>
        <v>10.8</v>
      </c>
      <c r="T275" s="151">
        <f t="shared" si="601"/>
        <v>10.8</v>
      </c>
      <c r="U275" s="151">
        <f t="shared" si="601"/>
        <v>10.8</v>
      </c>
      <c r="V275" s="151">
        <f t="shared" si="601"/>
        <v>10.8</v>
      </c>
      <c r="W275" s="151">
        <f t="shared" si="601"/>
        <v>10.8</v>
      </c>
      <c r="X275" s="151">
        <f t="shared" si="601"/>
        <v>10.8</v>
      </c>
      <c r="Y275" s="151">
        <f t="shared" si="601"/>
        <v>10.8</v>
      </c>
      <c r="Z275" s="151">
        <f t="shared" si="601"/>
        <v>10.8</v>
      </c>
      <c r="AA275" s="151">
        <f t="shared" si="601"/>
        <v>10.8</v>
      </c>
      <c r="AB275" s="151">
        <f t="shared" si="601"/>
        <v>10.8</v>
      </c>
      <c r="AC275" s="151">
        <f t="shared" si="601"/>
        <v>10.8</v>
      </c>
      <c r="AD275" s="151">
        <f t="shared" si="601"/>
        <v>10.8</v>
      </c>
      <c r="AE275" s="151">
        <f t="shared" si="601"/>
        <v>10.8</v>
      </c>
      <c r="AF275" s="151">
        <f t="shared" si="601"/>
        <v>10.8</v>
      </c>
      <c r="AG275" s="151">
        <f t="shared" si="601"/>
        <v>10.8</v>
      </c>
      <c r="AH275" s="151">
        <f t="shared" si="601"/>
        <v>10.8</v>
      </c>
      <c r="AI275" s="151">
        <f t="shared" si="601"/>
        <v>10.8</v>
      </c>
      <c r="AJ275" s="151">
        <f t="shared" si="601"/>
        <v>10.8</v>
      </c>
      <c r="AK275" s="151">
        <f t="shared" si="601"/>
        <v>10.8</v>
      </c>
      <c r="AL275" s="151">
        <f t="shared" si="601"/>
        <v>10.8</v>
      </c>
      <c r="AM275" s="151">
        <f t="shared" si="601"/>
        <v>10.8</v>
      </c>
      <c r="AN275" s="151">
        <f t="shared" si="601"/>
        <v>10.8</v>
      </c>
      <c r="AO275" s="151">
        <f t="shared" si="601"/>
        <v>10.8</v>
      </c>
      <c r="AP275" s="151">
        <f t="shared" si="601"/>
        <v>10.8</v>
      </c>
      <c r="AQ275" s="151">
        <f t="shared" si="601"/>
        <v>10.8</v>
      </c>
      <c r="AR275" s="151">
        <f t="shared" si="601"/>
        <v>10.8</v>
      </c>
      <c r="AS275" s="151">
        <f t="shared" si="601"/>
        <v>10.8</v>
      </c>
      <c r="AT275" s="151">
        <f t="shared" si="601"/>
        <v>10.8</v>
      </c>
      <c r="AU275" s="151">
        <f t="shared" si="601"/>
        <v>10.8</v>
      </c>
      <c r="AV275" s="151">
        <f t="shared" si="601"/>
        <v>10.8</v>
      </c>
      <c r="AW275" s="151">
        <f t="shared" si="601"/>
        <v>10.8</v>
      </c>
      <c r="AX275" s="151">
        <f t="shared" si="601"/>
        <v>10.8</v>
      </c>
      <c r="AY275" s="151">
        <f t="shared" si="601"/>
        <v>10.8</v>
      </c>
      <c r="AZ275" s="151">
        <f t="shared" si="601"/>
        <v>10.8</v>
      </c>
      <c r="BA275" s="151">
        <f t="shared" si="601"/>
        <v>10.8</v>
      </c>
      <c r="BB275" s="151">
        <f t="shared" si="601"/>
        <v>10.8</v>
      </c>
      <c r="BC275" s="151"/>
    </row>
    <row r="276" spans="2:56" x14ac:dyDescent="0.25">
      <c r="B276" s="151" t="str">
        <f t="shared" si="596"/>
        <v>Standard CT Product F</v>
      </c>
      <c r="C276" s="151">
        <f t="shared" si="598"/>
        <v>10.5</v>
      </c>
      <c r="D276" s="151">
        <f t="shared" ref="D276:BB276" si="602">C276</f>
        <v>10.5</v>
      </c>
      <c r="E276" s="151">
        <f t="shared" si="602"/>
        <v>10.5</v>
      </c>
      <c r="F276" s="151">
        <f t="shared" si="602"/>
        <v>10.5</v>
      </c>
      <c r="G276" s="151">
        <f t="shared" si="602"/>
        <v>10.5</v>
      </c>
      <c r="H276" s="151">
        <f t="shared" si="602"/>
        <v>10.5</v>
      </c>
      <c r="I276" s="151">
        <f t="shared" si="602"/>
        <v>10.5</v>
      </c>
      <c r="J276" s="151">
        <f t="shared" si="602"/>
        <v>10.5</v>
      </c>
      <c r="K276" s="151">
        <f t="shared" si="602"/>
        <v>10.5</v>
      </c>
      <c r="L276" s="151">
        <f t="shared" si="602"/>
        <v>10.5</v>
      </c>
      <c r="M276" s="151">
        <f t="shared" si="602"/>
        <v>10.5</v>
      </c>
      <c r="N276" s="151">
        <f t="shared" si="602"/>
        <v>10.5</v>
      </c>
      <c r="O276" s="151">
        <f t="shared" si="602"/>
        <v>10.5</v>
      </c>
      <c r="P276" s="151">
        <f t="shared" si="602"/>
        <v>10.5</v>
      </c>
      <c r="Q276" s="151">
        <f t="shared" si="602"/>
        <v>10.5</v>
      </c>
      <c r="R276" s="151">
        <f t="shared" si="602"/>
        <v>10.5</v>
      </c>
      <c r="S276" s="151">
        <f t="shared" si="602"/>
        <v>10.5</v>
      </c>
      <c r="T276" s="151">
        <f t="shared" si="602"/>
        <v>10.5</v>
      </c>
      <c r="U276" s="151">
        <f t="shared" si="602"/>
        <v>10.5</v>
      </c>
      <c r="V276" s="151">
        <f t="shared" si="602"/>
        <v>10.5</v>
      </c>
      <c r="W276" s="151">
        <f t="shared" si="602"/>
        <v>10.5</v>
      </c>
      <c r="X276" s="151">
        <f t="shared" si="602"/>
        <v>10.5</v>
      </c>
      <c r="Y276" s="151">
        <f t="shared" si="602"/>
        <v>10.5</v>
      </c>
      <c r="Z276" s="151">
        <f t="shared" si="602"/>
        <v>10.5</v>
      </c>
      <c r="AA276" s="151">
        <f t="shared" si="602"/>
        <v>10.5</v>
      </c>
      <c r="AB276" s="151">
        <f t="shared" si="602"/>
        <v>10.5</v>
      </c>
      <c r="AC276" s="151">
        <f t="shared" si="602"/>
        <v>10.5</v>
      </c>
      <c r="AD276" s="151">
        <f t="shared" si="602"/>
        <v>10.5</v>
      </c>
      <c r="AE276" s="151">
        <f t="shared" si="602"/>
        <v>10.5</v>
      </c>
      <c r="AF276" s="151">
        <f t="shared" si="602"/>
        <v>10.5</v>
      </c>
      <c r="AG276" s="151">
        <f t="shared" si="602"/>
        <v>10.5</v>
      </c>
      <c r="AH276" s="151">
        <f t="shared" si="602"/>
        <v>10.5</v>
      </c>
      <c r="AI276" s="151">
        <f t="shared" si="602"/>
        <v>10.5</v>
      </c>
      <c r="AJ276" s="151">
        <f t="shared" si="602"/>
        <v>10.5</v>
      </c>
      <c r="AK276" s="151">
        <f t="shared" si="602"/>
        <v>10.5</v>
      </c>
      <c r="AL276" s="151">
        <f t="shared" si="602"/>
        <v>10.5</v>
      </c>
      <c r="AM276" s="151">
        <f t="shared" si="602"/>
        <v>10.5</v>
      </c>
      <c r="AN276" s="151">
        <f t="shared" si="602"/>
        <v>10.5</v>
      </c>
      <c r="AO276" s="151">
        <f t="shared" si="602"/>
        <v>10.5</v>
      </c>
      <c r="AP276" s="151">
        <f t="shared" si="602"/>
        <v>10.5</v>
      </c>
      <c r="AQ276" s="151">
        <f t="shared" si="602"/>
        <v>10.5</v>
      </c>
      <c r="AR276" s="151">
        <f t="shared" si="602"/>
        <v>10.5</v>
      </c>
      <c r="AS276" s="151">
        <f t="shared" si="602"/>
        <v>10.5</v>
      </c>
      <c r="AT276" s="151">
        <f t="shared" si="602"/>
        <v>10.5</v>
      </c>
      <c r="AU276" s="151">
        <f t="shared" si="602"/>
        <v>10.5</v>
      </c>
      <c r="AV276" s="151">
        <f t="shared" si="602"/>
        <v>10.5</v>
      </c>
      <c r="AW276" s="151">
        <f t="shared" si="602"/>
        <v>10.5</v>
      </c>
      <c r="AX276" s="151">
        <f t="shared" si="602"/>
        <v>10.5</v>
      </c>
      <c r="AY276" s="151">
        <f t="shared" si="602"/>
        <v>10.5</v>
      </c>
      <c r="AZ276" s="151">
        <f t="shared" si="602"/>
        <v>10.5</v>
      </c>
      <c r="BA276" s="151">
        <f t="shared" si="602"/>
        <v>10.5</v>
      </c>
      <c r="BB276" s="151">
        <f t="shared" si="602"/>
        <v>10.5</v>
      </c>
      <c r="BC276" s="151"/>
    </row>
    <row r="277" spans="2:56" x14ac:dyDescent="0.25">
      <c r="B277" s="151" t="str">
        <f t="shared" si="596"/>
        <v>Standard CT Product G</v>
      </c>
      <c r="C277" s="151">
        <f t="shared" si="598"/>
        <v>9</v>
      </c>
      <c r="D277" s="151">
        <f t="shared" ref="D277:BB277" si="603">C277</f>
        <v>9</v>
      </c>
      <c r="E277" s="151">
        <f t="shared" si="603"/>
        <v>9</v>
      </c>
      <c r="F277" s="151">
        <f t="shared" si="603"/>
        <v>9</v>
      </c>
      <c r="G277" s="151">
        <f t="shared" si="603"/>
        <v>9</v>
      </c>
      <c r="H277" s="151">
        <f t="shared" si="603"/>
        <v>9</v>
      </c>
      <c r="I277" s="151">
        <f t="shared" si="603"/>
        <v>9</v>
      </c>
      <c r="J277" s="151">
        <f t="shared" si="603"/>
        <v>9</v>
      </c>
      <c r="K277" s="151">
        <f t="shared" si="603"/>
        <v>9</v>
      </c>
      <c r="L277" s="151">
        <f t="shared" si="603"/>
        <v>9</v>
      </c>
      <c r="M277" s="151">
        <f t="shared" si="603"/>
        <v>9</v>
      </c>
      <c r="N277" s="151">
        <f t="shared" si="603"/>
        <v>9</v>
      </c>
      <c r="O277" s="151">
        <f t="shared" si="603"/>
        <v>9</v>
      </c>
      <c r="P277" s="151">
        <f t="shared" si="603"/>
        <v>9</v>
      </c>
      <c r="Q277" s="151">
        <f t="shared" si="603"/>
        <v>9</v>
      </c>
      <c r="R277" s="151">
        <f t="shared" si="603"/>
        <v>9</v>
      </c>
      <c r="S277" s="151">
        <f t="shared" si="603"/>
        <v>9</v>
      </c>
      <c r="T277" s="151">
        <f t="shared" si="603"/>
        <v>9</v>
      </c>
      <c r="U277" s="151">
        <f t="shared" si="603"/>
        <v>9</v>
      </c>
      <c r="V277" s="151">
        <f t="shared" si="603"/>
        <v>9</v>
      </c>
      <c r="W277" s="151">
        <f t="shared" si="603"/>
        <v>9</v>
      </c>
      <c r="X277" s="151">
        <f t="shared" si="603"/>
        <v>9</v>
      </c>
      <c r="Y277" s="151">
        <f t="shared" si="603"/>
        <v>9</v>
      </c>
      <c r="Z277" s="151">
        <f t="shared" si="603"/>
        <v>9</v>
      </c>
      <c r="AA277" s="151">
        <f t="shared" si="603"/>
        <v>9</v>
      </c>
      <c r="AB277" s="151">
        <f t="shared" si="603"/>
        <v>9</v>
      </c>
      <c r="AC277" s="151">
        <f t="shared" si="603"/>
        <v>9</v>
      </c>
      <c r="AD277" s="151">
        <f t="shared" si="603"/>
        <v>9</v>
      </c>
      <c r="AE277" s="151">
        <f t="shared" si="603"/>
        <v>9</v>
      </c>
      <c r="AF277" s="151">
        <f t="shared" si="603"/>
        <v>9</v>
      </c>
      <c r="AG277" s="151">
        <f t="shared" si="603"/>
        <v>9</v>
      </c>
      <c r="AH277" s="151">
        <f t="shared" si="603"/>
        <v>9</v>
      </c>
      <c r="AI277" s="151">
        <f t="shared" si="603"/>
        <v>9</v>
      </c>
      <c r="AJ277" s="151">
        <f t="shared" si="603"/>
        <v>9</v>
      </c>
      <c r="AK277" s="151">
        <f t="shared" si="603"/>
        <v>9</v>
      </c>
      <c r="AL277" s="151">
        <f t="shared" si="603"/>
        <v>9</v>
      </c>
      <c r="AM277" s="151">
        <f t="shared" si="603"/>
        <v>9</v>
      </c>
      <c r="AN277" s="151">
        <f t="shared" si="603"/>
        <v>9</v>
      </c>
      <c r="AO277" s="151">
        <f t="shared" si="603"/>
        <v>9</v>
      </c>
      <c r="AP277" s="151">
        <f t="shared" si="603"/>
        <v>9</v>
      </c>
      <c r="AQ277" s="151">
        <f t="shared" si="603"/>
        <v>9</v>
      </c>
      <c r="AR277" s="151">
        <f t="shared" si="603"/>
        <v>9</v>
      </c>
      <c r="AS277" s="151">
        <f t="shared" si="603"/>
        <v>9</v>
      </c>
      <c r="AT277" s="151">
        <f t="shared" si="603"/>
        <v>9</v>
      </c>
      <c r="AU277" s="151">
        <f t="shared" si="603"/>
        <v>9</v>
      </c>
      <c r="AV277" s="151">
        <f t="shared" si="603"/>
        <v>9</v>
      </c>
      <c r="AW277" s="151">
        <f t="shared" si="603"/>
        <v>9</v>
      </c>
      <c r="AX277" s="151">
        <f t="shared" si="603"/>
        <v>9</v>
      </c>
      <c r="AY277" s="151">
        <f t="shared" si="603"/>
        <v>9</v>
      </c>
      <c r="AZ277" s="151">
        <f t="shared" si="603"/>
        <v>9</v>
      </c>
      <c r="BA277" s="151">
        <f t="shared" si="603"/>
        <v>9</v>
      </c>
      <c r="BB277" s="151">
        <f t="shared" si="603"/>
        <v>9</v>
      </c>
      <c r="BC277" s="151"/>
    </row>
    <row r="278" spans="2:56" x14ac:dyDescent="0.25">
      <c r="B278" s="151" t="str">
        <f t="shared" si="596"/>
        <v>Standard CT Product H</v>
      </c>
      <c r="C278" s="151">
        <f t="shared" si="598"/>
        <v>9.1999999999999993</v>
      </c>
      <c r="D278" s="151">
        <f t="shared" ref="D278:BB278" si="604">C278</f>
        <v>9.1999999999999993</v>
      </c>
      <c r="E278" s="151">
        <f t="shared" si="604"/>
        <v>9.1999999999999993</v>
      </c>
      <c r="F278" s="151">
        <f t="shared" si="604"/>
        <v>9.1999999999999993</v>
      </c>
      <c r="G278" s="151">
        <f t="shared" si="604"/>
        <v>9.1999999999999993</v>
      </c>
      <c r="H278" s="151">
        <f t="shared" si="604"/>
        <v>9.1999999999999993</v>
      </c>
      <c r="I278" s="151">
        <f t="shared" si="604"/>
        <v>9.1999999999999993</v>
      </c>
      <c r="J278" s="151">
        <f t="shared" si="604"/>
        <v>9.1999999999999993</v>
      </c>
      <c r="K278" s="151">
        <f t="shared" si="604"/>
        <v>9.1999999999999993</v>
      </c>
      <c r="L278" s="151">
        <f t="shared" si="604"/>
        <v>9.1999999999999993</v>
      </c>
      <c r="M278" s="151">
        <f t="shared" si="604"/>
        <v>9.1999999999999993</v>
      </c>
      <c r="N278" s="151">
        <f t="shared" si="604"/>
        <v>9.1999999999999993</v>
      </c>
      <c r="O278" s="151">
        <f t="shared" si="604"/>
        <v>9.1999999999999993</v>
      </c>
      <c r="P278" s="151">
        <f t="shared" si="604"/>
        <v>9.1999999999999993</v>
      </c>
      <c r="Q278" s="151">
        <f t="shared" si="604"/>
        <v>9.1999999999999993</v>
      </c>
      <c r="R278" s="151">
        <f t="shared" si="604"/>
        <v>9.1999999999999993</v>
      </c>
      <c r="S278" s="151">
        <f t="shared" si="604"/>
        <v>9.1999999999999993</v>
      </c>
      <c r="T278" s="151">
        <f t="shared" si="604"/>
        <v>9.1999999999999993</v>
      </c>
      <c r="U278" s="151">
        <f t="shared" si="604"/>
        <v>9.1999999999999993</v>
      </c>
      <c r="V278" s="151">
        <f t="shared" si="604"/>
        <v>9.1999999999999993</v>
      </c>
      <c r="W278" s="151">
        <f t="shared" si="604"/>
        <v>9.1999999999999993</v>
      </c>
      <c r="X278" s="151">
        <f t="shared" si="604"/>
        <v>9.1999999999999993</v>
      </c>
      <c r="Y278" s="151">
        <f t="shared" si="604"/>
        <v>9.1999999999999993</v>
      </c>
      <c r="Z278" s="151">
        <f t="shared" si="604"/>
        <v>9.1999999999999993</v>
      </c>
      <c r="AA278" s="151">
        <f t="shared" si="604"/>
        <v>9.1999999999999993</v>
      </c>
      <c r="AB278" s="151">
        <f t="shared" si="604"/>
        <v>9.1999999999999993</v>
      </c>
      <c r="AC278" s="151">
        <f t="shared" si="604"/>
        <v>9.1999999999999993</v>
      </c>
      <c r="AD278" s="151">
        <f t="shared" si="604"/>
        <v>9.1999999999999993</v>
      </c>
      <c r="AE278" s="151">
        <f t="shared" si="604"/>
        <v>9.1999999999999993</v>
      </c>
      <c r="AF278" s="151">
        <f t="shared" si="604"/>
        <v>9.1999999999999993</v>
      </c>
      <c r="AG278" s="151">
        <f t="shared" si="604"/>
        <v>9.1999999999999993</v>
      </c>
      <c r="AH278" s="151">
        <f t="shared" si="604"/>
        <v>9.1999999999999993</v>
      </c>
      <c r="AI278" s="151">
        <f t="shared" si="604"/>
        <v>9.1999999999999993</v>
      </c>
      <c r="AJ278" s="151">
        <f t="shared" si="604"/>
        <v>9.1999999999999993</v>
      </c>
      <c r="AK278" s="151">
        <f t="shared" si="604"/>
        <v>9.1999999999999993</v>
      </c>
      <c r="AL278" s="151">
        <f t="shared" si="604"/>
        <v>9.1999999999999993</v>
      </c>
      <c r="AM278" s="151">
        <f t="shared" si="604"/>
        <v>9.1999999999999993</v>
      </c>
      <c r="AN278" s="151">
        <f t="shared" si="604"/>
        <v>9.1999999999999993</v>
      </c>
      <c r="AO278" s="151">
        <f t="shared" si="604"/>
        <v>9.1999999999999993</v>
      </c>
      <c r="AP278" s="151">
        <f t="shared" si="604"/>
        <v>9.1999999999999993</v>
      </c>
      <c r="AQ278" s="151">
        <f t="shared" si="604"/>
        <v>9.1999999999999993</v>
      </c>
      <c r="AR278" s="151">
        <f t="shared" si="604"/>
        <v>9.1999999999999993</v>
      </c>
      <c r="AS278" s="151">
        <f t="shared" si="604"/>
        <v>9.1999999999999993</v>
      </c>
      <c r="AT278" s="151">
        <f t="shared" si="604"/>
        <v>9.1999999999999993</v>
      </c>
      <c r="AU278" s="151">
        <f t="shared" si="604"/>
        <v>9.1999999999999993</v>
      </c>
      <c r="AV278" s="151">
        <f t="shared" si="604"/>
        <v>9.1999999999999993</v>
      </c>
      <c r="AW278" s="151">
        <f t="shared" si="604"/>
        <v>9.1999999999999993</v>
      </c>
      <c r="AX278" s="151">
        <f t="shared" si="604"/>
        <v>9.1999999999999993</v>
      </c>
      <c r="AY278" s="151">
        <f t="shared" si="604"/>
        <v>9.1999999999999993</v>
      </c>
      <c r="AZ278" s="151">
        <f t="shared" si="604"/>
        <v>9.1999999999999993</v>
      </c>
      <c r="BA278" s="151">
        <f t="shared" si="604"/>
        <v>9.1999999999999993</v>
      </c>
      <c r="BB278" s="151">
        <f t="shared" si="604"/>
        <v>9.1999999999999993</v>
      </c>
      <c r="BC278" s="151"/>
    </row>
    <row r="279" spans="2:56" x14ac:dyDescent="0.25">
      <c r="B279" s="19" t="s">
        <v>306</v>
      </c>
      <c r="C279" s="110">
        <f>C650</f>
        <v>10.419787798408487</v>
      </c>
      <c r="D279" s="110">
        <f t="shared" ref="D279:BB279" si="605">D650</f>
        <v>0</v>
      </c>
      <c r="E279" s="110">
        <f t="shared" si="605"/>
        <v>10.429932419385981</v>
      </c>
      <c r="F279" s="110">
        <f t="shared" si="605"/>
        <v>0</v>
      </c>
      <c r="G279" s="110">
        <f t="shared" si="605"/>
        <v>10.411145935357492</v>
      </c>
      <c r="H279" s="110">
        <f t="shared" si="605"/>
        <v>0</v>
      </c>
      <c r="I279" s="110">
        <f t="shared" si="605"/>
        <v>0</v>
      </c>
      <c r="J279" s="110">
        <f t="shared" si="605"/>
        <v>0</v>
      </c>
      <c r="K279" s="110">
        <f t="shared" si="605"/>
        <v>10.429592549476135</v>
      </c>
      <c r="L279" s="110">
        <f t="shared" si="605"/>
        <v>0</v>
      </c>
      <c r="M279" s="110">
        <f t="shared" si="605"/>
        <v>0</v>
      </c>
      <c r="N279" s="110">
        <f t="shared" si="605"/>
        <v>0</v>
      </c>
      <c r="O279" s="110">
        <f t="shared" si="605"/>
        <v>10.419787798408487</v>
      </c>
      <c r="P279" s="110">
        <f t="shared" si="605"/>
        <v>10.426676096181046</v>
      </c>
      <c r="Q279" s="110">
        <f t="shared" si="605"/>
        <v>0</v>
      </c>
      <c r="R279" s="110">
        <f t="shared" si="605"/>
        <v>0</v>
      </c>
      <c r="S279" s="110">
        <f t="shared" si="605"/>
        <v>10.411145935357492</v>
      </c>
      <c r="T279" s="110">
        <f t="shared" si="605"/>
        <v>0</v>
      </c>
      <c r="U279" s="110">
        <f t="shared" si="605"/>
        <v>0</v>
      </c>
      <c r="V279" s="110">
        <f t="shared" si="605"/>
        <v>10.424462947543713</v>
      </c>
      <c r="W279" s="110">
        <f t="shared" si="605"/>
        <v>10.428510638297873</v>
      </c>
      <c r="X279" s="110">
        <f t="shared" si="605"/>
        <v>0</v>
      </c>
      <c r="Y279" s="110">
        <f t="shared" si="605"/>
        <v>0</v>
      </c>
      <c r="Z279" s="110">
        <f t="shared" si="605"/>
        <v>0</v>
      </c>
      <c r="AA279" s="110">
        <f t="shared" si="605"/>
        <v>10.419787798408487</v>
      </c>
      <c r="AB279" s="110">
        <f t="shared" si="605"/>
        <v>0</v>
      </c>
      <c r="AC279" s="110">
        <f t="shared" si="605"/>
        <v>10.429932419385981</v>
      </c>
      <c r="AD279" s="110">
        <f t="shared" si="605"/>
        <v>0</v>
      </c>
      <c r="AE279" s="110">
        <f t="shared" si="605"/>
        <v>10.411145935357492</v>
      </c>
      <c r="AF279" s="110">
        <f t="shared" si="605"/>
        <v>0</v>
      </c>
      <c r="AG279" s="110">
        <f t="shared" si="605"/>
        <v>0</v>
      </c>
      <c r="AH279" s="110">
        <f t="shared" si="605"/>
        <v>10.424462947543713</v>
      </c>
      <c r="AI279" s="110">
        <f t="shared" si="605"/>
        <v>10.428510638297873</v>
      </c>
      <c r="AJ279" s="110">
        <f t="shared" si="605"/>
        <v>0</v>
      </c>
      <c r="AK279" s="110">
        <f t="shared" si="605"/>
        <v>0</v>
      </c>
      <c r="AL279" s="110">
        <f t="shared" si="605"/>
        <v>0</v>
      </c>
      <c r="AM279" s="110">
        <f t="shared" si="605"/>
        <v>10.419787798408487</v>
      </c>
      <c r="AN279" s="110">
        <f t="shared" si="605"/>
        <v>10.426676096181046</v>
      </c>
      <c r="AO279" s="110">
        <f t="shared" si="605"/>
        <v>0</v>
      </c>
      <c r="AP279" s="110">
        <f t="shared" si="605"/>
        <v>0</v>
      </c>
      <c r="AQ279" s="110">
        <f t="shared" si="605"/>
        <v>10.411145935357492</v>
      </c>
      <c r="AR279" s="110">
        <f t="shared" si="605"/>
        <v>0</v>
      </c>
      <c r="AS279" s="110">
        <f t="shared" si="605"/>
        <v>10.428693259972489</v>
      </c>
      <c r="AT279" s="110">
        <f t="shared" si="605"/>
        <v>0</v>
      </c>
      <c r="AU279" s="110">
        <f t="shared" si="605"/>
        <v>10.428128342245989</v>
      </c>
      <c r="AV279" s="110">
        <f t="shared" si="605"/>
        <v>10.429249366348216</v>
      </c>
      <c r="AW279" s="110">
        <f t="shared" si="605"/>
        <v>0</v>
      </c>
      <c r="AX279" s="110">
        <f t="shared" si="605"/>
        <v>0</v>
      </c>
      <c r="AY279" s="110">
        <f t="shared" si="605"/>
        <v>10.429592549476135</v>
      </c>
      <c r="AZ279" s="110">
        <f t="shared" si="605"/>
        <v>0</v>
      </c>
      <c r="BA279" s="110">
        <f t="shared" si="605"/>
        <v>0</v>
      </c>
      <c r="BB279" s="110">
        <f t="shared" si="605"/>
        <v>0</v>
      </c>
      <c r="BC279" s="19"/>
      <c r="BD279" s="161"/>
    </row>
    <row r="280" spans="2:56" x14ac:dyDescent="0.25">
      <c r="B280" s="19" t="s">
        <v>307</v>
      </c>
      <c r="C280" s="110">
        <f t="shared" ref="C280:R286" si="606">C651</f>
        <v>8.0126578249336866</v>
      </c>
      <c r="D280" s="110">
        <f t="shared" si="606"/>
        <v>8.0201584158415855</v>
      </c>
      <c r="E280" s="110">
        <f t="shared" si="606"/>
        <v>0</v>
      </c>
      <c r="F280" s="110">
        <f t="shared" si="606"/>
        <v>7.9984748201438833</v>
      </c>
      <c r="G280" s="110">
        <f t="shared" si="606"/>
        <v>8.0032477962781599</v>
      </c>
      <c r="H280" s="110">
        <f t="shared" si="606"/>
        <v>8.0114640376428383</v>
      </c>
      <c r="I280" s="110">
        <f t="shared" si="606"/>
        <v>0</v>
      </c>
      <c r="J280" s="110">
        <f t="shared" si="606"/>
        <v>8.0181574150787078</v>
      </c>
      <c r="K280" s="110">
        <f t="shared" si="606"/>
        <v>8.0233341094295696</v>
      </c>
      <c r="L280" s="110">
        <f t="shared" si="606"/>
        <v>8.0019756884147846</v>
      </c>
      <c r="M280" s="110">
        <f t="shared" si="606"/>
        <v>0</v>
      </c>
      <c r="N280" s="110">
        <f t="shared" si="606"/>
        <v>0</v>
      </c>
      <c r="O280" s="110">
        <f t="shared" si="606"/>
        <v>8.0126578249336866</v>
      </c>
      <c r="P280" s="110">
        <f t="shared" si="606"/>
        <v>8.0201584158415855</v>
      </c>
      <c r="Q280" s="110">
        <f t="shared" si="606"/>
        <v>0</v>
      </c>
      <c r="R280" s="110">
        <f t="shared" si="606"/>
        <v>0</v>
      </c>
      <c r="S280" s="110">
        <f t="shared" ref="S280:BB280" si="607">S651</f>
        <v>8.0032477962781599</v>
      </c>
      <c r="T280" s="110">
        <f t="shared" si="607"/>
        <v>8.011384615384614</v>
      </c>
      <c r="U280" s="110">
        <f t="shared" si="607"/>
        <v>0</v>
      </c>
      <c r="V280" s="110">
        <f t="shared" si="607"/>
        <v>0</v>
      </c>
      <c r="W280" s="110">
        <f t="shared" si="607"/>
        <v>8.0221560283687943</v>
      </c>
      <c r="X280" s="110">
        <f t="shared" si="607"/>
        <v>8.0019756884147846</v>
      </c>
      <c r="Y280" s="110">
        <f t="shared" si="607"/>
        <v>0</v>
      </c>
      <c r="Z280" s="110">
        <f t="shared" si="607"/>
        <v>0</v>
      </c>
      <c r="AA280" s="110">
        <f t="shared" si="607"/>
        <v>8.0126578249336866</v>
      </c>
      <c r="AB280" s="110">
        <f t="shared" si="607"/>
        <v>8.0202550958627654</v>
      </c>
      <c r="AC280" s="110">
        <f t="shared" si="607"/>
        <v>0</v>
      </c>
      <c r="AD280" s="110">
        <f t="shared" si="607"/>
        <v>0</v>
      </c>
      <c r="AE280" s="110">
        <f t="shared" si="607"/>
        <v>8.0032477962781599</v>
      </c>
      <c r="AF280" s="110">
        <f t="shared" si="607"/>
        <v>8.0114640376428383</v>
      </c>
      <c r="AG280" s="110">
        <f t="shared" si="607"/>
        <v>0</v>
      </c>
      <c r="AH280" s="110">
        <f t="shared" si="607"/>
        <v>0</v>
      </c>
      <c r="AI280" s="110">
        <f t="shared" si="607"/>
        <v>8.0221560283687943</v>
      </c>
      <c r="AJ280" s="110">
        <f t="shared" si="607"/>
        <v>8.0019756884147846</v>
      </c>
      <c r="AK280" s="110">
        <f t="shared" si="607"/>
        <v>0</v>
      </c>
      <c r="AL280" s="110">
        <f t="shared" si="607"/>
        <v>0</v>
      </c>
      <c r="AM280" s="110">
        <f t="shared" si="607"/>
        <v>8.0126578249336866</v>
      </c>
      <c r="AN280" s="110">
        <f t="shared" si="607"/>
        <v>8.0201584158415855</v>
      </c>
      <c r="AO280" s="110">
        <f t="shared" si="607"/>
        <v>0</v>
      </c>
      <c r="AP280" s="110">
        <f t="shared" si="607"/>
        <v>0</v>
      </c>
      <c r="AQ280" s="110">
        <f t="shared" si="607"/>
        <v>8.0032477962781599</v>
      </c>
      <c r="AR280" s="110">
        <f t="shared" si="607"/>
        <v>8.0114640376428383</v>
      </c>
      <c r="AS280" s="110">
        <f t="shared" si="607"/>
        <v>0</v>
      </c>
      <c r="AT280" s="110">
        <f t="shared" si="607"/>
        <v>8.0213503184713346</v>
      </c>
      <c r="AU280" s="110">
        <f t="shared" si="607"/>
        <v>8.0217397504456329</v>
      </c>
      <c r="AV280" s="110">
        <f t="shared" si="607"/>
        <v>8.022960421134723</v>
      </c>
      <c r="AW280" s="110">
        <f t="shared" si="607"/>
        <v>0</v>
      </c>
      <c r="AX280" s="110">
        <f t="shared" si="607"/>
        <v>8.0181574150787078</v>
      </c>
      <c r="AY280" s="110">
        <f t="shared" si="607"/>
        <v>8.0233341094295696</v>
      </c>
      <c r="AZ280" s="110">
        <f t="shared" si="607"/>
        <v>8.0034133463700812</v>
      </c>
      <c r="BA280" s="110">
        <f t="shared" si="607"/>
        <v>0</v>
      </c>
      <c r="BB280" s="110">
        <f t="shared" si="607"/>
        <v>0</v>
      </c>
      <c r="BC280" s="19"/>
      <c r="BD280" s="161"/>
    </row>
    <row r="281" spans="2:56" x14ac:dyDescent="0.25">
      <c r="B281" s="19" t="s">
        <v>308</v>
      </c>
      <c r="C281" s="110">
        <f t="shared" si="606"/>
        <v>8.9144403183023879</v>
      </c>
      <c r="D281" s="110">
        <f t="shared" si="606"/>
        <v>8.92178783592645</v>
      </c>
      <c r="E281" s="110">
        <f t="shared" si="606"/>
        <v>8.9252612473450466</v>
      </c>
      <c r="F281" s="110">
        <f t="shared" si="606"/>
        <v>0</v>
      </c>
      <c r="G281" s="110">
        <f t="shared" si="606"/>
        <v>8.9052223310479928</v>
      </c>
      <c r="H281" s="110">
        <f t="shared" si="606"/>
        <v>8.9132708940174776</v>
      </c>
      <c r="I281" s="110">
        <f t="shared" si="606"/>
        <v>8.9165613278723868</v>
      </c>
      <c r="J281" s="110">
        <f t="shared" si="606"/>
        <v>0</v>
      </c>
      <c r="K281" s="110">
        <f t="shared" si="606"/>
        <v>8.9248987194412113</v>
      </c>
      <c r="L281" s="110">
        <f t="shared" si="606"/>
        <v>8.9039761845695864</v>
      </c>
      <c r="M281" s="110">
        <f t="shared" si="606"/>
        <v>8.9079933444259574</v>
      </c>
      <c r="N281" s="110">
        <f t="shared" si="606"/>
        <v>0</v>
      </c>
      <c r="O281" s="110">
        <f t="shared" si="606"/>
        <v>8.9144403183023879</v>
      </c>
      <c r="P281" s="110">
        <f t="shared" si="606"/>
        <v>8.92178783592645</v>
      </c>
      <c r="Q281" s="110">
        <f t="shared" si="606"/>
        <v>8.9254340204199583</v>
      </c>
      <c r="R281" s="110">
        <f t="shared" si="606"/>
        <v>0</v>
      </c>
      <c r="S281" s="110">
        <f t="shared" ref="S281:BB281" si="608">S652</f>
        <v>8.9052223310479928</v>
      </c>
      <c r="T281" s="110">
        <f t="shared" si="608"/>
        <v>8.9131930926216647</v>
      </c>
      <c r="U281" s="110">
        <f t="shared" si="608"/>
        <v>8.9165613278723868</v>
      </c>
      <c r="V281" s="110">
        <f t="shared" si="608"/>
        <v>0</v>
      </c>
      <c r="W281" s="110">
        <f t="shared" si="608"/>
        <v>8.9237446808510636</v>
      </c>
      <c r="X281" s="110">
        <f t="shared" si="608"/>
        <v>8.9039761845695864</v>
      </c>
      <c r="Y281" s="110">
        <f t="shared" si="608"/>
        <v>8.9082550367385629</v>
      </c>
      <c r="Z281" s="110">
        <f t="shared" si="608"/>
        <v>0</v>
      </c>
      <c r="AA281" s="110">
        <f t="shared" si="608"/>
        <v>8.9144403183023879</v>
      </c>
      <c r="AB281" s="110">
        <f t="shared" si="608"/>
        <v>8.9218825428859745</v>
      </c>
      <c r="AC281" s="110">
        <f t="shared" si="608"/>
        <v>8.9252612473450466</v>
      </c>
      <c r="AD281" s="110">
        <f t="shared" si="608"/>
        <v>0</v>
      </c>
      <c r="AE281" s="110">
        <f t="shared" si="608"/>
        <v>8.9052223310479928</v>
      </c>
      <c r="AF281" s="110">
        <f t="shared" si="608"/>
        <v>8.9132708940174776</v>
      </c>
      <c r="AG281" s="110">
        <f t="shared" si="608"/>
        <v>8.9165613278723868</v>
      </c>
      <c r="AH281" s="110">
        <f t="shared" si="608"/>
        <v>0</v>
      </c>
      <c r="AI281" s="110">
        <f t="shared" si="608"/>
        <v>8.9237446808510636</v>
      </c>
      <c r="AJ281" s="110">
        <f t="shared" si="608"/>
        <v>8.9039761845695864</v>
      </c>
      <c r="AK281" s="110">
        <f t="shared" si="608"/>
        <v>8.9082550367385629</v>
      </c>
      <c r="AL281" s="110">
        <f t="shared" si="608"/>
        <v>0</v>
      </c>
      <c r="AM281" s="110">
        <f t="shared" si="608"/>
        <v>8.9144403183023879</v>
      </c>
      <c r="AN281" s="110">
        <f t="shared" si="608"/>
        <v>8.92178783592645</v>
      </c>
      <c r="AO281" s="110">
        <f t="shared" si="608"/>
        <v>8.9254340204199583</v>
      </c>
      <c r="AP281" s="110">
        <f t="shared" si="608"/>
        <v>0</v>
      </c>
      <c r="AQ281" s="110">
        <f t="shared" si="608"/>
        <v>8.9052223310479928</v>
      </c>
      <c r="AR281" s="110">
        <f t="shared" si="608"/>
        <v>8.9132708940174776</v>
      </c>
      <c r="AS281" s="110">
        <f t="shared" si="608"/>
        <v>8.9239394773039891</v>
      </c>
      <c r="AT281" s="110">
        <f t="shared" si="608"/>
        <v>0</v>
      </c>
      <c r="AU281" s="110">
        <f t="shared" si="608"/>
        <v>8.9233368983957213</v>
      </c>
      <c r="AV281" s="110">
        <f t="shared" si="608"/>
        <v>8.9245326574380979</v>
      </c>
      <c r="AW281" s="110">
        <f t="shared" si="608"/>
        <v>8.9165613278723868</v>
      </c>
      <c r="AX281" s="110">
        <f t="shared" si="608"/>
        <v>0</v>
      </c>
      <c r="AY281" s="110">
        <f t="shared" si="608"/>
        <v>8.9248987194412113</v>
      </c>
      <c r="AZ281" s="110">
        <f t="shared" si="608"/>
        <v>8.9053845025666103</v>
      </c>
      <c r="BA281" s="110">
        <f t="shared" si="608"/>
        <v>8.9082550367385629</v>
      </c>
      <c r="BB281" s="110">
        <f t="shared" si="608"/>
        <v>0</v>
      </c>
      <c r="BC281" s="19"/>
      <c r="BD281" s="161"/>
    </row>
    <row r="282" spans="2:56" x14ac:dyDescent="0.25">
      <c r="B282" s="19" t="s">
        <v>309</v>
      </c>
      <c r="C282" s="110">
        <f t="shared" si="606"/>
        <v>4.401962864721483</v>
      </c>
      <c r="D282" s="110">
        <f t="shared" si="606"/>
        <v>4.4103818953323923</v>
      </c>
      <c r="E282" s="110">
        <f t="shared" si="606"/>
        <v>4.4143618459162006</v>
      </c>
      <c r="F282" s="110">
        <f t="shared" si="606"/>
        <v>4.3860431654676262</v>
      </c>
      <c r="G282" s="110">
        <f t="shared" si="606"/>
        <v>4.391400587659156</v>
      </c>
      <c r="H282" s="110">
        <f t="shared" si="606"/>
        <v>4.4006228993950245</v>
      </c>
      <c r="I282" s="110">
        <f t="shared" si="606"/>
        <v>4.4043931881871075</v>
      </c>
      <c r="J282" s="110">
        <f t="shared" si="606"/>
        <v>4.4081358740679377</v>
      </c>
      <c r="K282" s="110">
        <f t="shared" si="606"/>
        <v>4.4139464493597202</v>
      </c>
      <c r="L282" s="110">
        <f t="shared" si="606"/>
        <v>4.3899727114859814</v>
      </c>
      <c r="M282" s="110">
        <f t="shared" si="606"/>
        <v>4.3945757071547433</v>
      </c>
      <c r="N282" s="110">
        <f t="shared" si="606"/>
        <v>4.3981350482315094</v>
      </c>
      <c r="O282" s="110">
        <f t="shared" si="606"/>
        <v>4.401962864721483</v>
      </c>
      <c r="P282" s="110">
        <f t="shared" si="606"/>
        <v>4.4103818953323923</v>
      </c>
      <c r="Q282" s="110">
        <f t="shared" si="606"/>
        <v>4.4145598150645355</v>
      </c>
      <c r="R282" s="110">
        <f t="shared" si="606"/>
        <v>4.388953430145218</v>
      </c>
      <c r="S282" s="110">
        <f t="shared" ref="S282:BB282" si="609">S653</f>
        <v>4.391400587659156</v>
      </c>
      <c r="T282" s="110">
        <f t="shared" si="609"/>
        <v>4.4005337519623211</v>
      </c>
      <c r="U282" s="110">
        <f t="shared" si="609"/>
        <v>4.4043931881871075</v>
      </c>
      <c r="V282" s="110">
        <f t="shared" si="609"/>
        <v>4.4076769358867622</v>
      </c>
      <c r="W282" s="110">
        <f t="shared" si="609"/>
        <v>4.4126241134751751</v>
      </c>
      <c r="X282" s="110">
        <f t="shared" si="609"/>
        <v>4.3899727114859814</v>
      </c>
      <c r="Y282" s="110">
        <f t="shared" si="609"/>
        <v>4.3948755629296059</v>
      </c>
      <c r="Z282" s="110">
        <f t="shared" si="609"/>
        <v>4.3971905424200273</v>
      </c>
      <c r="AA282" s="110">
        <f t="shared" si="609"/>
        <v>4.401962864721483</v>
      </c>
      <c r="AB282" s="110">
        <f t="shared" si="609"/>
        <v>4.4104904137235117</v>
      </c>
      <c r="AC282" s="110">
        <f t="shared" si="609"/>
        <v>4.4143618459162006</v>
      </c>
      <c r="AD282" s="110">
        <f t="shared" si="609"/>
        <v>4.3863934426229534</v>
      </c>
      <c r="AE282" s="110">
        <f t="shared" si="609"/>
        <v>4.391400587659156</v>
      </c>
      <c r="AF282" s="110">
        <f t="shared" si="609"/>
        <v>4.4006228993950245</v>
      </c>
      <c r="AG282" s="110">
        <f t="shared" si="609"/>
        <v>4.4043931881871075</v>
      </c>
      <c r="AH282" s="110">
        <f t="shared" si="609"/>
        <v>4.4076769358867622</v>
      </c>
      <c r="AI282" s="110">
        <f t="shared" si="609"/>
        <v>4.4126241134751751</v>
      </c>
      <c r="AJ282" s="110">
        <f t="shared" si="609"/>
        <v>4.3899727114859814</v>
      </c>
      <c r="AK282" s="110">
        <f t="shared" si="609"/>
        <v>4.3948755629296059</v>
      </c>
      <c r="AL282" s="110">
        <f t="shared" si="609"/>
        <v>4.3971905424200273</v>
      </c>
      <c r="AM282" s="110">
        <f t="shared" si="609"/>
        <v>4.401962864721483</v>
      </c>
      <c r="AN282" s="110">
        <f t="shared" si="609"/>
        <v>4.4103818953323923</v>
      </c>
      <c r="AO282" s="110">
        <f t="shared" si="609"/>
        <v>4.4145598150645355</v>
      </c>
      <c r="AP282" s="110">
        <f t="shared" si="609"/>
        <v>4.3863934426229534</v>
      </c>
      <c r="AQ282" s="110">
        <f t="shared" si="609"/>
        <v>4.391400587659156</v>
      </c>
      <c r="AR282" s="110">
        <f t="shared" si="609"/>
        <v>4.4006228993950245</v>
      </c>
      <c r="AS282" s="110">
        <f t="shared" si="609"/>
        <v>4.4128473177441521</v>
      </c>
      <c r="AT282" s="110">
        <f t="shared" si="609"/>
        <v>4.411719745222932</v>
      </c>
      <c r="AU282" s="110">
        <f t="shared" si="609"/>
        <v>4.4121568627450998</v>
      </c>
      <c r="AV282" s="110">
        <f t="shared" si="609"/>
        <v>4.4135270033144849</v>
      </c>
      <c r="AW282" s="110">
        <f t="shared" si="609"/>
        <v>4.4043931881871075</v>
      </c>
      <c r="AX282" s="110">
        <f t="shared" si="609"/>
        <v>4.4081358740679377</v>
      </c>
      <c r="AY282" s="110">
        <f t="shared" si="609"/>
        <v>4.4139464493597202</v>
      </c>
      <c r="AZ282" s="110">
        <f t="shared" si="609"/>
        <v>4.3915864091909071</v>
      </c>
      <c r="BA282" s="110">
        <f t="shared" si="609"/>
        <v>4.3948755629296059</v>
      </c>
      <c r="BB282" s="110">
        <f t="shared" si="609"/>
        <v>4.3971905424200273</v>
      </c>
      <c r="BC282" s="19"/>
      <c r="BD282" s="161"/>
    </row>
    <row r="283" spans="2:56" x14ac:dyDescent="0.25">
      <c r="B283" s="19" t="s">
        <v>310</v>
      </c>
      <c r="C283" s="110">
        <f t="shared" si="606"/>
        <v>7.1037453580901868</v>
      </c>
      <c r="D283" s="110">
        <f t="shared" si="606"/>
        <v>7.1120113154172557</v>
      </c>
      <c r="E283" s="110">
        <f t="shared" si="606"/>
        <v>7.1159189032631787</v>
      </c>
      <c r="F283" s="110">
        <f t="shared" si="606"/>
        <v>7.0881151079136693</v>
      </c>
      <c r="G283" s="110">
        <f t="shared" si="606"/>
        <v>7.0933751224289914</v>
      </c>
      <c r="H283" s="110">
        <f t="shared" si="606"/>
        <v>7.1024297557696627</v>
      </c>
      <c r="I283" s="110">
        <f t="shared" si="606"/>
        <v>7.1061314938564344</v>
      </c>
      <c r="J283" s="110">
        <f t="shared" si="606"/>
        <v>7.1098061309030669</v>
      </c>
      <c r="K283" s="110">
        <f t="shared" si="606"/>
        <v>7.1155110593713626</v>
      </c>
      <c r="L283" s="110">
        <f t="shared" si="606"/>
        <v>7.091973207640784</v>
      </c>
      <c r="M283" s="110">
        <f t="shared" si="606"/>
        <v>7.0964925124792018</v>
      </c>
      <c r="N283" s="110">
        <f t="shared" si="606"/>
        <v>7.0999871382636659</v>
      </c>
      <c r="O283" s="110">
        <f t="shared" si="606"/>
        <v>7.1037453580901868</v>
      </c>
      <c r="P283" s="110">
        <f t="shared" si="606"/>
        <v>7.1120113154172557</v>
      </c>
      <c r="Q283" s="110">
        <f t="shared" si="606"/>
        <v>7.1161132729724521</v>
      </c>
      <c r="R283" s="110">
        <f t="shared" si="606"/>
        <v>7.0909724586880323</v>
      </c>
      <c r="S283" s="110">
        <f t="shared" ref="S283:BB283" si="610">S654</f>
        <v>7.0933751224289914</v>
      </c>
      <c r="T283" s="110">
        <f t="shared" si="610"/>
        <v>7.1023422291993725</v>
      </c>
      <c r="U283" s="110">
        <f t="shared" si="610"/>
        <v>7.1061314938564344</v>
      </c>
      <c r="V283" s="110">
        <f t="shared" si="610"/>
        <v>7.1093555370524566</v>
      </c>
      <c r="W283" s="110">
        <f t="shared" si="610"/>
        <v>7.114212765957447</v>
      </c>
      <c r="X283" s="110">
        <f t="shared" si="610"/>
        <v>7.091973207640784</v>
      </c>
      <c r="Y283" s="110">
        <f t="shared" si="610"/>
        <v>7.0967869163308848</v>
      </c>
      <c r="Z283" s="110">
        <f t="shared" si="610"/>
        <v>7.099059805285119</v>
      </c>
      <c r="AA283" s="110">
        <f t="shared" si="610"/>
        <v>7.1037453580901868</v>
      </c>
      <c r="AB283" s="110">
        <f t="shared" si="610"/>
        <v>7.1121178607467215</v>
      </c>
      <c r="AC283" s="110">
        <f t="shared" si="610"/>
        <v>7.1159189032631787</v>
      </c>
      <c r="AD283" s="110">
        <f t="shared" si="610"/>
        <v>7.0884590163934433</v>
      </c>
      <c r="AE283" s="110">
        <f t="shared" si="610"/>
        <v>7.0933751224289914</v>
      </c>
      <c r="AF283" s="110">
        <f t="shared" si="610"/>
        <v>7.1024297557696627</v>
      </c>
      <c r="AG283" s="110">
        <f t="shared" si="610"/>
        <v>7.1061314938564344</v>
      </c>
      <c r="AH283" s="110">
        <f t="shared" si="610"/>
        <v>7.1093555370524566</v>
      </c>
      <c r="AI283" s="110">
        <f t="shared" si="610"/>
        <v>7.114212765957447</v>
      </c>
      <c r="AJ283" s="110">
        <f t="shared" si="610"/>
        <v>7.091973207640784</v>
      </c>
      <c r="AK283" s="110">
        <f t="shared" si="610"/>
        <v>7.0967869163308848</v>
      </c>
      <c r="AL283" s="110">
        <f t="shared" si="610"/>
        <v>7.099059805285119</v>
      </c>
      <c r="AM283" s="110">
        <f t="shared" si="610"/>
        <v>7.1037453580901868</v>
      </c>
      <c r="AN283" s="110">
        <f t="shared" si="610"/>
        <v>7.1120113154172557</v>
      </c>
      <c r="AO283" s="110">
        <f t="shared" si="610"/>
        <v>7.1161132729724521</v>
      </c>
      <c r="AP283" s="110">
        <f t="shared" si="610"/>
        <v>7.0884590163934433</v>
      </c>
      <c r="AQ283" s="110">
        <f t="shared" si="610"/>
        <v>7.0933751224289914</v>
      </c>
      <c r="AR283" s="110">
        <f t="shared" si="610"/>
        <v>7.1024297557696627</v>
      </c>
      <c r="AS283" s="110">
        <f t="shared" si="610"/>
        <v>7.1144319119669888</v>
      </c>
      <c r="AT283" s="110">
        <f t="shared" si="610"/>
        <v>7.1133248407643315</v>
      </c>
      <c r="AU283" s="110">
        <f t="shared" si="610"/>
        <v>7.1137540106951871</v>
      </c>
      <c r="AV283" s="110">
        <f t="shared" si="610"/>
        <v>7.1150992396178587</v>
      </c>
      <c r="AW283" s="110">
        <f t="shared" si="610"/>
        <v>7.1061314938564344</v>
      </c>
      <c r="AX283" s="110">
        <f t="shared" si="610"/>
        <v>7.1098061309030669</v>
      </c>
      <c r="AY283" s="110">
        <f t="shared" si="610"/>
        <v>7.1155110593713626</v>
      </c>
      <c r="AZ283" s="110">
        <f t="shared" si="610"/>
        <v>7.0935575653874352</v>
      </c>
      <c r="BA283" s="110">
        <f t="shared" si="610"/>
        <v>7.0967869163308848</v>
      </c>
      <c r="BB283" s="110">
        <f t="shared" si="610"/>
        <v>7.099059805285119</v>
      </c>
      <c r="BC283" s="19"/>
      <c r="BD283" s="161"/>
    </row>
    <row r="284" spans="2:56" x14ac:dyDescent="0.25">
      <c r="B284" s="19" t="s">
        <v>311</v>
      </c>
      <c r="C284" s="110">
        <f t="shared" si="606"/>
        <v>0</v>
      </c>
      <c r="D284" s="110">
        <f t="shared" si="606"/>
        <v>5.0144554455445558</v>
      </c>
      <c r="E284" s="110">
        <f t="shared" si="606"/>
        <v>5.0182544892836454</v>
      </c>
      <c r="F284" s="110">
        <f t="shared" si="606"/>
        <v>0</v>
      </c>
      <c r="G284" s="110">
        <f t="shared" si="606"/>
        <v>0</v>
      </c>
      <c r="H284" s="110">
        <f t="shared" si="606"/>
        <v>5.0051400403316144</v>
      </c>
      <c r="I284" s="110">
        <f t="shared" si="606"/>
        <v>5.0087389523604209</v>
      </c>
      <c r="J284" s="110">
        <f t="shared" si="606"/>
        <v>5.0123115161557585</v>
      </c>
      <c r="K284" s="110">
        <f t="shared" si="606"/>
        <v>5.017857974388825</v>
      </c>
      <c r="L284" s="110">
        <f t="shared" si="606"/>
        <v>4.9949739518729857</v>
      </c>
      <c r="M284" s="110">
        <f t="shared" si="606"/>
        <v>4.9993677204658908</v>
      </c>
      <c r="N284" s="110">
        <f t="shared" si="606"/>
        <v>5.0027652733118977</v>
      </c>
      <c r="O284" s="110">
        <f t="shared" si="606"/>
        <v>0</v>
      </c>
      <c r="P284" s="110">
        <f t="shared" si="606"/>
        <v>5.0144554455445558</v>
      </c>
      <c r="Q284" s="110">
        <f t="shared" si="606"/>
        <v>5.0184434598343302</v>
      </c>
      <c r="R284" s="110">
        <f t="shared" si="606"/>
        <v>4.9940010015022551</v>
      </c>
      <c r="S284" s="110">
        <f t="shared" ref="S284:BB284" si="611">S655</f>
        <v>0</v>
      </c>
      <c r="T284" s="110">
        <f t="shared" si="611"/>
        <v>5.005054945054944</v>
      </c>
      <c r="U284" s="110">
        <f t="shared" si="611"/>
        <v>5.0087389523604209</v>
      </c>
      <c r="V284" s="110">
        <f t="shared" si="611"/>
        <v>5.0118734388009969</v>
      </c>
      <c r="W284" s="110">
        <f t="shared" si="611"/>
        <v>0</v>
      </c>
      <c r="X284" s="110">
        <f t="shared" si="611"/>
        <v>4.9949739518729857</v>
      </c>
      <c r="Y284" s="110">
        <f t="shared" si="611"/>
        <v>4.9996539464328045</v>
      </c>
      <c r="Z284" s="110">
        <f t="shared" si="611"/>
        <v>5.0018636995827528</v>
      </c>
      <c r="AA284" s="110">
        <f t="shared" si="611"/>
        <v>0</v>
      </c>
      <c r="AB284" s="110">
        <f t="shared" si="611"/>
        <v>5.0145590312815322</v>
      </c>
      <c r="AC284" s="110">
        <f t="shared" si="611"/>
        <v>5.0182544892836454</v>
      </c>
      <c r="AD284" s="110">
        <f t="shared" si="611"/>
        <v>4.9915573770491797</v>
      </c>
      <c r="AE284" s="110">
        <f t="shared" si="611"/>
        <v>0</v>
      </c>
      <c r="AF284" s="110">
        <f t="shared" si="611"/>
        <v>5.0051400403316144</v>
      </c>
      <c r="AG284" s="110">
        <f t="shared" si="611"/>
        <v>5.0087389523604209</v>
      </c>
      <c r="AH284" s="110">
        <f t="shared" si="611"/>
        <v>5.0118734388009969</v>
      </c>
      <c r="AI284" s="110">
        <f t="shared" si="611"/>
        <v>0</v>
      </c>
      <c r="AJ284" s="110">
        <f t="shared" si="611"/>
        <v>4.9949739518729857</v>
      </c>
      <c r="AK284" s="110">
        <f t="shared" si="611"/>
        <v>4.9996539464328045</v>
      </c>
      <c r="AL284" s="110">
        <f t="shared" si="611"/>
        <v>5.0018636995827528</v>
      </c>
      <c r="AM284" s="110">
        <f t="shared" si="611"/>
        <v>0</v>
      </c>
      <c r="AN284" s="110">
        <f t="shared" si="611"/>
        <v>5.0144554455445558</v>
      </c>
      <c r="AO284" s="110">
        <f t="shared" si="611"/>
        <v>5.0184434598343302</v>
      </c>
      <c r="AP284" s="110">
        <f t="shared" si="611"/>
        <v>4.9915573770491797</v>
      </c>
      <c r="AQ284" s="110">
        <f t="shared" si="611"/>
        <v>0</v>
      </c>
      <c r="AR284" s="110">
        <f t="shared" si="611"/>
        <v>5.0051400403316144</v>
      </c>
      <c r="AS284" s="110">
        <f t="shared" si="611"/>
        <v>5.0168088033012381</v>
      </c>
      <c r="AT284" s="110">
        <f t="shared" si="611"/>
        <v>5.0157324840764339</v>
      </c>
      <c r="AU284" s="110">
        <f t="shared" si="611"/>
        <v>5.0161497326203204</v>
      </c>
      <c r="AV284" s="110">
        <f t="shared" si="611"/>
        <v>5.0174575940729191</v>
      </c>
      <c r="AW284" s="110">
        <f t="shared" si="611"/>
        <v>5.0087389523604209</v>
      </c>
      <c r="AX284" s="110">
        <f t="shared" si="611"/>
        <v>5.0123115161557585</v>
      </c>
      <c r="AY284" s="110">
        <f t="shared" si="611"/>
        <v>5.017857974388825</v>
      </c>
      <c r="AZ284" s="110">
        <f t="shared" si="611"/>
        <v>4.9965142996822287</v>
      </c>
      <c r="BA284" s="110">
        <f t="shared" si="611"/>
        <v>4.9996539464328045</v>
      </c>
      <c r="BB284" s="110">
        <f t="shared" si="611"/>
        <v>5.0018636995827528</v>
      </c>
      <c r="BC284" s="19"/>
      <c r="BD284" s="161"/>
    </row>
    <row r="285" spans="2:56" x14ac:dyDescent="0.25">
      <c r="B285" s="19" t="s">
        <v>312</v>
      </c>
      <c r="C285" s="110">
        <f t="shared" si="606"/>
        <v>0</v>
      </c>
      <c r="D285" s="110">
        <f t="shared" si="606"/>
        <v>9.0266760961810455</v>
      </c>
      <c r="E285" s="110">
        <f t="shared" si="606"/>
        <v>9.0299324193859807</v>
      </c>
      <c r="F285" s="110">
        <f t="shared" si="606"/>
        <v>9.0067625899280568</v>
      </c>
      <c r="G285" s="110">
        <f t="shared" si="606"/>
        <v>0</v>
      </c>
      <c r="H285" s="110">
        <f t="shared" si="606"/>
        <v>0</v>
      </c>
      <c r="I285" s="110">
        <f t="shared" si="606"/>
        <v>9.0217762448803622</v>
      </c>
      <c r="J285" s="110">
        <f t="shared" si="606"/>
        <v>9.0248384424192203</v>
      </c>
      <c r="K285" s="110">
        <f t="shared" si="606"/>
        <v>0</v>
      </c>
      <c r="L285" s="110">
        <f t="shared" si="606"/>
        <v>0</v>
      </c>
      <c r="M285" s="110">
        <f t="shared" si="606"/>
        <v>9.0137437603993344</v>
      </c>
      <c r="N285" s="110">
        <f t="shared" si="606"/>
        <v>9.0166559485530549</v>
      </c>
      <c r="O285" s="110">
        <f t="shared" si="606"/>
        <v>0</v>
      </c>
      <c r="P285" s="110">
        <f t="shared" si="606"/>
        <v>0</v>
      </c>
      <c r="Q285" s="110">
        <f t="shared" si="606"/>
        <v>9.0300943941437097</v>
      </c>
      <c r="R285" s="110">
        <f t="shared" si="606"/>
        <v>9.0091437155733605</v>
      </c>
      <c r="S285" s="110">
        <f t="shared" ref="S285:BB285" si="612">S656</f>
        <v>0</v>
      </c>
      <c r="T285" s="110">
        <f t="shared" si="612"/>
        <v>0</v>
      </c>
      <c r="U285" s="110">
        <f t="shared" si="612"/>
        <v>9.0217762448803622</v>
      </c>
      <c r="V285" s="110">
        <f t="shared" si="612"/>
        <v>9.0244629475437126</v>
      </c>
      <c r="W285" s="110">
        <f t="shared" si="612"/>
        <v>0</v>
      </c>
      <c r="X285" s="110">
        <f t="shared" si="612"/>
        <v>0</v>
      </c>
      <c r="Y285" s="110">
        <f t="shared" si="612"/>
        <v>9.013989096942403</v>
      </c>
      <c r="Z285" s="110">
        <f t="shared" si="612"/>
        <v>9.0158831710709322</v>
      </c>
      <c r="AA285" s="110">
        <f t="shared" si="612"/>
        <v>0</v>
      </c>
      <c r="AB285" s="110">
        <f t="shared" si="612"/>
        <v>0</v>
      </c>
      <c r="AC285" s="110">
        <f t="shared" si="612"/>
        <v>9.0299324193859807</v>
      </c>
      <c r="AD285" s="110">
        <f t="shared" si="612"/>
        <v>9.0070491803278685</v>
      </c>
      <c r="AE285" s="110">
        <f t="shared" si="612"/>
        <v>0</v>
      </c>
      <c r="AF285" s="110">
        <f t="shared" si="612"/>
        <v>0</v>
      </c>
      <c r="AG285" s="110">
        <f t="shared" si="612"/>
        <v>9.0217762448803622</v>
      </c>
      <c r="AH285" s="110">
        <f t="shared" si="612"/>
        <v>9.0244629475437126</v>
      </c>
      <c r="AI285" s="110">
        <f t="shared" si="612"/>
        <v>0</v>
      </c>
      <c r="AJ285" s="110">
        <f t="shared" si="612"/>
        <v>0</v>
      </c>
      <c r="AK285" s="110">
        <f t="shared" si="612"/>
        <v>9.013989096942403</v>
      </c>
      <c r="AL285" s="110">
        <f t="shared" si="612"/>
        <v>9.0158831710709322</v>
      </c>
      <c r="AM285" s="110">
        <f t="shared" si="612"/>
        <v>0</v>
      </c>
      <c r="AN285" s="110">
        <f t="shared" si="612"/>
        <v>0</v>
      </c>
      <c r="AO285" s="110">
        <f t="shared" si="612"/>
        <v>9.0300943941437097</v>
      </c>
      <c r="AP285" s="110">
        <f t="shared" si="612"/>
        <v>9.0070491803278685</v>
      </c>
      <c r="AQ285" s="110">
        <f t="shared" si="612"/>
        <v>0</v>
      </c>
      <c r="AR285" s="110">
        <f t="shared" si="612"/>
        <v>0</v>
      </c>
      <c r="AS285" s="110">
        <f t="shared" si="612"/>
        <v>9.0286932599724885</v>
      </c>
      <c r="AT285" s="110">
        <f t="shared" si="612"/>
        <v>9.0277707006369425</v>
      </c>
      <c r="AU285" s="110">
        <f t="shared" si="612"/>
        <v>0</v>
      </c>
      <c r="AV285" s="110">
        <f t="shared" si="612"/>
        <v>0</v>
      </c>
      <c r="AW285" s="110">
        <f t="shared" si="612"/>
        <v>9.0217762448803622</v>
      </c>
      <c r="AX285" s="110">
        <f t="shared" si="612"/>
        <v>9.0248384424192203</v>
      </c>
      <c r="AY285" s="110">
        <f t="shared" si="612"/>
        <v>0</v>
      </c>
      <c r="AZ285" s="110">
        <f t="shared" si="612"/>
        <v>0</v>
      </c>
      <c r="BA285" s="110">
        <f t="shared" si="612"/>
        <v>9.013989096942403</v>
      </c>
      <c r="BB285" s="110">
        <f t="shared" si="612"/>
        <v>9.0158831710709322</v>
      </c>
      <c r="BC285" s="19"/>
      <c r="BD285" s="161"/>
    </row>
    <row r="286" spans="2:56" x14ac:dyDescent="0.25">
      <c r="B286" s="19" t="s">
        <v>313</v>
      </c>
      <c r="C286" s="110">
        <f t="shared" si="606"/>
        <v>0</v>
      </c>
      <c r="D286" s="110">
        <f t="shared" si="606"/>
        <v>0</v>
      </c>
      <c r="E286" s="110">
        <f t="shared" si="606"/>
        <v>0</v>
      </c>
      <c r="F286" s="110">
        <f t="shared" si="606"/>
        <v>10.604690647482014</v>
      </c>
      <c r="G286" s="110">
        <f t="shared" si="606"/>
        <v>0</v>
      </c>
      <c r="H286" s="110">
        <f t="shared" si="606"/>
        <v>0</v>
      </c>
      <c r="I286" s="110">
        <f t="shared" si="606"/>
        <v>0</v>
      </c>
      <c r="J286" s="110">
        <f t="shared" si="606"/>
        <v>10.623168185584092</v>
      </c>
      <c r="K286" s="110">
        <f t="shared" si="606"/>
        <v>0</v>
      </c>
      <c r="L286" s="110">
        <f t="shared" si="606"/>
        <v>0</v>
      </c>
      <c r="M286" s="110">
        <f t="shared" si="606"/>
        <v>0</v>
      </c>
      <c r="N286" s="110">
        <f t="shared" si="606"/>
        <v>10.614803858520901</v>
      </c>
      <c r="O286" s="110">
        <f t="shared" si="606"/>
        <v>0</v>
      </c>
      <c r="P286" s="110">
        <f t="shared" si="606"/>
        <v>0</v>
      </c>
      <c r="Q286" s="110">
        <f t="shared" si="606"/>
        <v>10.628540936235794</v>
      </c>
      <c r="R286" s="110">
        <f t="shared" si="606"/>
        <v>10.607124687030545</v>
      </c>
      <c r="S286" s="110">
        <f t="shared" ref="S286:BB286" si="613">S657</f>
        <v>0</v>
      </c>
      <c r="T286" s="110">
        <f t="shared" si="613"/>
        <v>0</v>
      </c>
      <c r="U286" s="110">
        <f t="shared" si="613"/>
        <v>0</v>
      </c>
      <c r="V286" s="110">
        <f t="shared" si="613"/>
        <v>10.622784346378019</v>
      </c>
      <c r="W286" s="110">
        <f t="shared" si="613"/>
        <v>10.626921985815603</v>
      </c>
      <c r="X286" s="110">
        <f t="shared" si="613"/>
        <v>0</v>
      </c>
      <c r="Y286" s="110">
        <f t="shared" si="613"/>
        <v>0</v>
      </c>
      <c r="Z286" s="110">
        <f t="shared" si="613"/>
        <v>10.614013908205841</v>
      </c>
      <c r="AA286" s="110">
        <f t="shared" si="613"/>
        <v>0</v>
      </c>
      <c r="AB286" s="110">
        <f t="shared" si="613"/>
        <v>10.625137436932391</v>
      </c>
      <c r="AC286" s="110">
        <f t="shared" si="613"/>
        <v>0</v>
      </c>
      <c r="AD286" s="110">
        <f t="shared" si="613"/>
        <v>10.604983606557377</v>
      </c>
      <c r="AE286" s="110">
        <f t="shared" si="613"/>
        <v>0</v>
      </c>
      <c r="AF286" s="110">
        <f t="shared" si="613"/>
        <v>0</v>
      </c>
      <c r="AG286" s="110">
        <f t="shared" si="613"/>
        <v>0</v>
      </c>
      <c r="AH286" s="110">
        <f t="shared" si="613"/>
        <v>10.622784346378019</v>
      </c>
      <c r="AI286" s="110">
        <f t="shared" si="613"/>
        <v>10.626921985815603</v>
      </c>
      <c r="AJ286" s="110">
        <f t="shared" si="613"/>
        <v>0</v>
      </c>
      <c r="AK286" s="110">
        <f t="shared" si="613"/>
        <v>0</v>
      </c>
      <c r="AL286" s="110">
        <f t="shared" si="613"/>
        <v>10.614013908205841</v>
      </c>
      <c r="AM286" s="110">
        <f t="shared" si="613"/>
        <v>0</v>
      </c>
      <c r="AN286" s="110">
        <f t="shared" si="613"/>
        <v>0</v>
      </c>
      <c r="AO286" s="110">
        <f t="shared" si="613"/>
        <v>10.628540936235794</v>
      </c>
      <c r="AP286" s="110">
        <f t="shared" si="613"/>
        <v>10.604983606557377</v>
      </c>
      <c r="AQ286" s="110">
        <f t="shared" si="613"/>
        <v>0</v>
      </c>
      <c r="AR286" s="110">
        <f t="shared" si="613"/>
        <v>0</v>
      </c>
      <c r="AS286" s="110">
        <f t="shared" si="613"/>
        <v>0</v>
      </c>
      <c r="AT286" s="110">
        <f t="shared" si="613"/>
        <v>10.626165605095542</v>
      </c>
      <c r="AU286" s="110">
        <f t="shared" si="613"/>
        <v>0</v>
      </c>
      <c r="AV286" s="110">
        <f t="shared" si="613"/>
        <v>0</v>
      </c>
      <c r="AW286" s="110">
        <f t="shared" si="613"/>
        <v>0</v>
      </c>
      <c r="AX286" s="110">
        <f t="shared" si="613"/>
        <v>10.623168185584092</v>
      </c>
      <c r="AY286" s="110">
        <f t="shared" si="613"/>
        <v>0</v>
      </c>
      <c r="AZ286" s="110">
        <f t="shared" si="613"/>
        <v>0</v>
      </c>
      <c r="BA286" s="110">
        <f t="shared" si="613"/>
        <v>0</v>
      </c>
      <c r="BB286" s="110">
        <f t="shared" si="613"/>
        <v>10.614013908205841</v>
      </c>
      <c r="BC286" s="19"/>
      <c r="BD286" s="161"/>
    </row>
    <row r="287" spans="2:56" x14ac:dyDescent="0.25">
      <c r="B287" s="131" t="s">
        <v>314</v>
      </c>
      <c r="C287" s="151">
        <f>C666</f>
        <v>4167.9151193633952</v>
      </c>
      <c r="D287" s="151">
        <f t="shared" ref="D287:BB287" si="614">D666</f>
        <v>0</v>
      </c>
      <c r="E287" s="151">
        <f t="shared" si="614"/>
        <v>4171.9729677543928</v>
      </c>
      <c r="F287" s="151">
        <f t="shared" si="614"/>
        <v>0</v>
      </c>
      <c r="G287" s="151">
        <f t="shared" si="614"/>
        <v>4164.4583741429969</v>
      </c>
      <c r="H287" s="151">
        <f t="shared" si="614"/>
        <v>0</v>
      </c>
      <c r="I287" s="151">
        <f t="shared" si="614"/>
        <v>0</v>
      </c>
      <c r="J287" s="151">
        <f t="shared" si="614"/>
        <v>0</v>
      </c>
      <c r="K287" s="151">
        <f t="shared" si="614"/>
        <v>4171.8370197904542</v>
      </c>
      <c r="L287" s="151">
        <f t="shared" si="614"/>
        <v>0</v>
      </c>
      <c r="M287" s="151">
        <f t="shared" si="614"/>
        <v>0</v>
      </c>
      <c r="N287" s="151">
        <f t="shared" si="614"/>
        <v>0</v>
      </c>
      <c r="O287" s="151">
        <f t="shared" si="614"/>
        <v>4167.9151193633952</v>
      </c>
      <c r="P287" s="151">
        <f t="shared" si="614"/>
        <v>4170.670438472418</v>
      </c>
      <c r="Q287" s="151">
        <f t="shared" si="614"/>
        <v>0</v>
      </c>
      <c r="R287" s="151">
        <f t="shared" si="614"/>
        <v>0</v>
      </c>
      <c r="S287" s="151">
        <f t="shared" si="614"/>
        <v>4164.4583741429969</v>
      </c>
      <c r="T287" s="151">
        <f t="shared" si="614"/>
        <v>0</v>
      </c>
      <c r="U287" s="151">
        <f t="shared" si="614"/>
        <v>0</v>
      </c>
      <c r="V287" s="151">
        <f t="shared" si="614"/>
        <v>4169.7851790174846</v>
      </c>
      <c r="W287" s="151">
        <f t="shared" si="614"/>
        <v>4171.4042553191493</v>
      </c>
      <c r="X287" s="151">
        <f t="shared" si="614"/>
        <v>0</v>
      </c>
      <c r="Y287" s="151">
        <f t="shared" si="614"/>
        <v>0</v>
      </c>
      <c r="Z287" s="151">
        <f t="shared" si="614"/>
        <v>0</v>
      </c>
      <c r="AA287" s="151">
        <f t="shared" si="614"/>
        <v>4167.9151193633952</v>
      </c>
      <c r="AB287" s="151">
        <f t="shared" si="614"/>
        <v>0</v>
      </c>
      <c r="AC287" s="151">
        <f t="shared" si="614"/>
        <v>4171.9729677543928</v>
      </c>
      <c r="AD287" s="151">
        <f t="shared" si="614"/>
        <v>0</v>
      </c>
      <c r="AE287" s="151">
        <f t="shared" si="614"/>
        <v>4164.4583741429969</v>
      </c>
      <c r="AF287" s="151">
        <f t="shared" si="614"/>
        <v>0</v>
      </c>
      <c r="AG287" s="151">
        <f t="shared" si="614"/>
        <v>0</v>
      </c>
      <c r="AH287" s="151">
        <f t="shared" si="614"/>
        <v>4169.7851790174846</v>
      </c>
      <c r="AI287" s="151">
        <f t="shared" si="614"/>
        <v>4171.4042553191493</v>
      </c>
      <c r="AJ287" s="151">
        <f t="shared" si="614"/>
        <v>0</v>
      </c>
      <c r="AK287" s="151">
        <f t="shared" si="614"/>
        <v>0</v>
      </c>
      <c r="AL287" s="151">
        <f t="shared" si="614"/>
        <v>0</v>
      </c>
      <c r="AM287" s="151">
        <f t="shared" si="614"/>
        <v>4167.9151193633952</v>
      </c>
      <c r="AN287" s="151">
        <f t="shared" si="614"/>
        <v>4170.670438472418</v>
      </c>
      <c r="AO287" s="151">
        <f t="shared" si="614"/>
        <v>0</v>
      </c>
      <c r="AP287" s="151">
        <f t="shared" si="614"/>
        <v>0</v>
      </c>
      <c r="AQ287" s="151">
        <f t="shared" si="614"/>
        <v>4164.4583741429969</v>
      </c>
      <c r="AR287" s="151">
        <f t="shared" si="614"/>
        <v>0</v>
      </c>
      <c r="AS287" s="151">
        <f t="shared" si="614"/>
        <v>4171.477303988996</v>
      </c>
      <c r="AT287" s="151">
        <f t="shared" si="614"/>
        <v>0</v>
      </c>
      <c r="AU287" s="151">
        <f t="shared" si="614"/>
        <v>4171.2513368983955</v>
      </c>
      <c r="AV287" s="151">
        <f t="shared" si="614"/>
        <v>4171.699746539286</v>
      </c>
      <c r="AW287" s="151">
        <f t="shared" si="614"/>
        <v>0</v>
      </c>
      <c r="AX287" s="151">
        <f t="shared" si="614"/>
        <v>0</v>
      </c>
      <c r="AY287" s="151">
        <f t="shared" si="614"/>
        <v>4171.8370197904542</v>
      </c>
      <c r="AZ287" s="151">
        <f t="shared" si="614"/>
        <v>0</v>
      </c>
      <c r="BA287" s="151">
        <f t="shared" si="614"/>
        <v>0</v>
      </c>
      <c r="BB287" s="151">
        <f t="shared" si="614"/>
        <v>0</v>
      </c>
      <c r="BC287" s="131"/>
    </row>
    <row r="288" spans="2:56" x14ac:dyDescent="0.25">
      <c r="B288" s="131" t="s">
        <v>315</v>
      </c>
      <c r="C288" s="151">
        <f t="shared" ref="C288:R294" si="615">C667</f>
        <v>2943.4253234450275</v>
      </c>
      <c r="D288" s="151">
        <f t="shared" si="615"/>
        <v>2946.1806425540512</v>
      </c>
      <c r="E288" s="151">
        <f t="shared" si="615"/>
        <v>0</v>
      </c>
      <c r="F288" s="151">
        <f t="shared" si="615"/>
        <v>2938.2152400528548</v>
      </c>
      <c r="G288" s="151">
        <f t="shared" si="615"/>
        <v>2939.9685782246302</v>
      </c>
      <c r="H288" s="151">
        <f t="shared" si="615"/>
        <v>2942.9867893381852</v>
      </c>
      <c r="I288" s="151">
        <f t="shared" si="615"/>
        <v>0</v>
      </c>
      <c r="J288" s="151">
        <f t="shared" si="615"/>
        <v>2945.4455810493209</v>
      </c>
      <c r="K288" s="151">
        <f t="shared" si="615"/>
        <v>2947.3472238720869</v>
      </c>
      <c r="L288" s="151">
        <f t="shared" si="615"/>
        <v>2939.5012732952268</v>
      </c>
      <c r="M288" s="151">
        <f t="shared" si="615"/>
        <v>0</v>
      </c>
      <c r="N288" s="151">
        <f t="shared" si="615"/>
        <v>0</v>
      </c>
      <c r="O288" s="151">
        <f t="shared" si="615"/>
        <v>2943.4253234450275</v>
      </c>
      <c r="P288" s="151">
        <f t="shared" si="615"/>
        <v>2946.1806425540512</v>
      </c>
      <c r="Q288" s="151">
        <f t="shared" si="615"/>
        <v>0</v>
      </c>
      <c r="R288" s="151">
        <f t="shared" si="615"/>
        <v>0</v>
      </c>
      <c r="S288" s="151">
        <f t="shared" ref="S288:BB288" si="616">S667</f>
        <v>2939.9685782246302</v>
      </c>
      <c r="T288" s="151">
        <f t="shared" si="616"/>
        <v>2942.9576138147563</v>
      </c>
      <c r="U288" s="151">
        <f t="shared" si="616"/>
        <v>0</v>
      </c>
      <c r="V288" s="151">
        <f t="shared" si="616"/>
        <v>0</v>
      </c>
      <c r="W288" s="151">
        <f t="shared" si="616"/>
        <v>2946.9144594007817</v>
      </c>
      <c r="X288" s="151">
        <f t="shared" si="616"/>
        <v>2939.5012732952268</v>
      </c>
      <c r="Y288" s="151">
        <f t="shared" si="616"/>
        <v>0</v>
      </c>
      <c r="Z288" s="151">
        <f t="shared" si="616"/>
        <v>0</v>
      </c>
      <c r="AA288" s="151">
        <f t="shared" si="616"/>
        <v>2943.4253234450275</v>
      </c>
      <c r="AB288" s="151">
        <f t="shared" si="616"/>
        <v>2946.2161576638728</v>
      </c>
      <c r="AC288" s="151">
        <f t="shared" si="616"/>
        <v>0</v>
      </c>
      <c r="AD288" s="151">
        <f t="shared" si="616"/>
        <v>0</v>
      </c>
      <c r="AE288" s="151">
        <f t="shared" si="616"/>
        <v>2939.9685782246302</v>
      </c>
      <c r="AF288" s="151">
        <f t="shared" si="616"/>
        <v>2942.9867893381852</v>
      </c>
      <c r="AG288" s="151">
        <f t="shared" si="616"/>
        <v>0</v>
      </c>
      <c r="AH288" s="151">
        <f t="shared" si="616"/>
        <v>0</v>
      </c>
      <c r="AI288" s="151">
        <f t="shared" si="616"/>
        <v>2946.9144594007817</v>
      </c>
      <c r="AJ288" s="151">
        <f t="shared" si="616"/>
        <v>2939.5012732952268</v>
      </c>
      <c r="AK288" s="151">
        <f t="shared" si="616"/>
        <v>0</v>
      </c>
      <c r="AL288" s="151">
        <f t="shared" si="616"/>
        <v>0</v>
      </c>
      <c r="AM288" s="151">
        <f t="shared" si="616"/>
        <v>2943.4253234450275</v>
      </c>
      <c r="AN288" s="151">
        <f t="shared" si="616"/>
        <v>2946.1806425540512</v>
      </c>
      <c r="AO288" s="151">
        <f t="shared" si="616"/>
        <v>0</v>
      </c>
      <c r="AP288" s="151">
        <f t="shared" si="616"/>
        <v>0</v>
      </c>
      <c r="AQ288" s="151">
        <f t="shared" si="616"/>
        <v>2939.9685782246302</v>
      </c>
      <c r="AR288" s="151">
        <f t="shared" si="616"/>
        <v>2942.9867893381852</v>
      </c>
      <c r="AS288" s="151">
        <f t="shared" si="616"/>
        <v>0</v>
      </c>
      <c r="AT288" s="151">
        <f t="shared" si="616"/>
        <v>2946.6184843364081</v>
      </c>
      <c r="AU288" s="151">
        <f t="shared" si="616"/>
        <v>2946.7615409800283</v>
      </c>
      <c r="AV288" s="151">
        <f t="shared" si="616"/>
        <v>2947.2099506209183</v>
      </c>
      <c r="AW288" s="151">
        <f t="shared" si="616"/>
        <v>0</v>
      </c>
      <c r="AX288" s="151">
        <f t="shared" si="616"/>
        <v>2945.4455810493209</v>
      </c>
      <c r="AY288" s="151">
        <f t="shared" si="616"/>
        <v>2947.3472238720869</v>
      </c>
      <c r="AZ288" s="151">
        <f t="shared" si="616"/>
        <v>2940.0293925441115</v>
      </c>
      <c r="BA288" s="151">
        <f t="shared" si="616"/>
        <v>0</v>
      </c>
      <c r="BB288" s="151">
        <f t="shared" si="616"/>
        <v>0</v>
      </c>
      <c r="BC288" s="131"/>
    </row>
    <row r="289" spans="2:56" x14ac:dyDescent="0.25">
      <c r="B289" s="131" t="s">
        <v>316</v>
      </c>
      <c r="C289" s="151">
        <f t="shared" si="615"/>
        <v>3342.9151193633957</v>
      </c>
      <c r="D289" s="151">
        <f t="shared" si="615"/>
        <v>3345.6704384724189</v>
      </c>
      <c r="E289" s="151">
        <f t="shared" si="615"/>
        <v>3346.9729677543924</v>
      </c>
      <c r="F289" s="151">
        <f t="shared" si="615"/>
        <v>0</v>
      </c>
      <c r="G289" s="151">
        <f t="shared" si="615"/>
        <v>3339.4583741429979</v>
      </c>
      <c r="H289" s="151">
        <f t="shared" si="615"/>
        <v>3342.4765852565542</v>
      </c>
      <c r="I289" s="151">
        <f t="shared" si="615"/>
        <v>3343.710497952145</v>
      </c>
      <c r="J289" s="151">
        <f t="shared" si="615"/>
        <v>0</v>
      </c>
      <c r="K289" s="151">
        <f t="shared" si="615"/>
        <v>3346.8370197904542</v>
      </c>
      <c r="L289" s="151">
        <f t="shared" si="615"/>
        <v>3338.9910692135954</v>
      </c>
      <c r="M289" s="151">
        <f t="shared" si="615"/>
        <v>3340.497504159734</v>
      </c>
      <c r="N289" s="151">
        <f t="shared" si="615"/>
        <v>0</v>
      </c>
      <c r="O289" s="151">
        <f t="shared" si="615"/>
        <v>3342.9151193633957</v>
      </c>
      <c r="P289" s="151">
        <f t="shared" si="615"/>
        <v>3345.6704384724189</v>
      </c>
      <c r="Q289" s="151">
        <f t="shared" si="615"/>
        <v>3347.0377576574847</v>
      </c>
      <c r="R289" s="151">
        <f t="shared" si="615"/>
        <v>0</v>
      </c>
      <c r="S289" s="151">
        <f t="shared" ref="S289:BB289" si="617">S668</f>
        <v>3339.4583741429979</v>
      </c>
      <c r="T289" s="151">
        <f t="shared" si="617"/>
        <v>3342.4474097331245</v>
      </c>
      <c r="U289" s="151">
        <f t="shared" si="617"/>
        <v>3343.710497952145</v>
      </c>
      <c r="V289" s="151">
        <f t="shared" si="617"/>
        <v>0</v>
      </c>
      <c r="W289" s="151">
        <f t="shared" si="617"/>
        <v>3346.4042553191489</v>
      </c>
      <c r="X289" s="151">
        <f t="shared" si="617"/>
        <v>3338.9910692135954</v>
      </c>
      <c r="Y289" s="151">
        <f t="shared" si="617"/>
        <v>3340.5956387769616</v>
      </c>
      <c r="Z289" s="151">
        <f t="shared" si="617"/>
        <v>0</v>
      </c>
      <c r="AA289" s="151">
        <f t="shared" si="617"/>
        <v>3342.9151193633957</v>
      </c>
      <c r="AB289" s="151">
        <f t="shared" si="617"/>
        <v>3345.7059535822405</v>
      </c>
      <c r="AC289" s="151">
        <f t="shared" si="617"/>
        <v>3346.9729677543924</v>
      </c>
      <c r="AD289" s="151">
        <f t="shared" si="617"/>
        <v>0</v>
      </c>
      <c r="AE289" s="151">
        <f t="shared" si="617"/>
        <v>3339.4583741429979</v>
      </c>
      <c r="AF289" s="151">
        <f t="shared" si="617"/>
        <v>3342.4765852565542</v>
      </c>
      <c r="AG289" s="151">
        <f t="shared" si="617"/>
        <v>3343.710497952145</v>
      </c>
      <c r="AH289" s="151">
        <f t="shared" si="617"/>
        <v>0</v>
      </c>
      <c r="AI289" s="151">
        <f t="shared" si="617"/>
        <v>3346.4042553191489</v>
      </c>
      <c r="AJ289" s="151">
        <f t="shared" si="617"/>
        <v>3338.9910692135954</v>
      </c>
      <c r="AK289" s="151">
        <f t="shared" si="617"/>
        <v>3340.5956387769616</v>
      </c>
      <c r="AL289" s="151">
        <f t="shared" si="617"/>
        <v>0</v>
      </c>
      <c r="AM289" s="151">
        <f t="shared" si="617"/>
        <v>3342.9151193633957</v>
      </c>
      <c r="AN289" s="151">
        <f t="shared" si="617"/>
        <v>3345.6704384724189</v>
      </c>
      <c r="AO289" s="151">
        <f t="shared" si="617"/>
        <v>3347.0377576574847</v>
      </c>
      <c r="AP289" s="151">
        <f t="shared" si="617"/>
        <v>0</v>
      </c>
      <c r="AQ289" s="151">
        <f t="shared" si="617"/>
        <v>3339.4583741429979</v>
      </c>
      <c r="AR289" s="151">
        <f t="shared" si="617"/>
        <v>3342.4765852565542</v>
      </c>
      <c r="AS289" s="151">
        <f t="shared" si="617"/>
        <v>3346.477303988996</v>
      </c>
      <c r="AT289" s="151">
        <f t="shared" si="617"/>
        <v>0</v>
      </c>
      <c r="AU289" s="151">
        <f t="shared" si="617"/>
        <v>3346.2513368983955</v>
      </c>
      <c r="AV289" s="151">
        <f t="shared" si="617"/>
        <v>3346.6997465392869</v>
      </c>
      <c r="AW289" s="151">
        <f t="shared" si="617"/>
        <v>3343.710497952145</v>
      </c>
      <c r="AX289" s="151">
        <f t="shared" si="617"/>
        <v>0</v>
      </c>
      <c r="AY289" s="151">
        <f t="shared" si="617"/>
        <v>3346.8370197904542</v>
      </c>
      <c r="AZ289" s="151">
        <f t="shared" si="617"/>
        <v>3339.5191884624787</v>
      </c>
      <c r="BA289" s="151">
        <f t="shared" si="617"/>
        <v>3340.5956387769616</v>
      </c>
      <c r="BB289" s="151">
        <f t="shared" si="617"/>
        <v>0</v>
      </c>
      <c r="BC289" s="131"/>
    </row>
    <row r="290" spans="2:56" x14ac:dyDescent="0.25">
      <c r="B290" s="131" t="s">
        <v>317</v>
      </c>
      <c r="C290" s="151">
        <f t="shared" si="615"/>
        <v>1440.642392090667</v>
      </c>
      <c r="D290" s="151">
        <f t="shared" si="615"/>
        <v>1443.3977111996919</v>
      </c>
      <c r="E290" s="151">
        <f t="shared" si="615"/>
        <v>1444.7002404816658</v>
      </c>
      <c r="F290" s="151">
        <f t="shared" si="615"/>
        <v>1435.4323086984957</v>
      </c>
      <c r="G290" s="151">
        <f t="shared" si="615"/>
        <v>1437.1856468702692</v>
      </c>
      <c r="H290" s="151">
        <f t="shared" si="615"/>
        <v>1440.2038579838263</v>
      </c>
      <c r="I290" s="151">
        <f t="shared" si="615"/>
        <v>1441.4377706794171</v>
      </c>
      <c r="J290" s="151">
        <f t="shared" si="615"/>
        <v>1442.6626496949614</v>
      </c>
      <c r="K290" s="151">
        <f t="shared" si="615"/>
        <v>1444.5642925177267</v>
      </c>
      <c r="L290" s="151">
        <f t="shared" si="615"/>
        <v>1436.7183419408666</v>
      </c>
      <c r="M290" s="151">
        <f t="shared" si="615"/>
        <v>1438.2247768870068</v>
      </c>
      <c r="N290" s="151">
        <f t="shared" si="615"/>
        <v>1439.389652148494</v>
      </c>
      <c r="O290" s="151">
        <f t="shared" si="615"/>
        <v>1440.642392090667</v>
      </c>
      <c r="P290" s="151">
        <f t="shared" si="615"/>
        <v>1443.3977111996919</v>
      </c>
      <c r="Q290" s="151">
        <f t="shared" si="615"/>
        <v>1444.7650303847572</v>
      </c>
      <c r="R290" s="151">
        <f t="shared" si="615"/>
        <v>1436.3847589566167</v>
      </c>
      <c r="S290" s="151">
        <f t="shared" ref="S290:BB290" si="618">S669</f>
        <v>1437.1856468702692</v>
      </c>
      <c r="T290" s="151">
        <f t="shared" si="618"/>
        <v>1440.1746824603961</v>
      </c>
      <c r="U290" s="151">
        <f t="shared" si="618"/>
        <v>1441.4377706794171</v>
      </c>
      <c r="V290" s="151">
        <f t="shared" si="618"/>
        <v>1442.5124517447584</v>
      </c>
      <c r="W290" s="151">
        <f t="shared" si="618"/>
        <v>1444.131528046421</v>
      </c>
      <c r="X290" s="151">
        <f t="shared" si="618"/>
        <v>1436.7183419408666</v>
      </c>
      <c r="Y290" s="151">
        <f t="shared" si="618"/>
        <v>1438.3229115042345</v>
      </c>
      <c r="Z290" s="151">
        <f t="shared" si="618"/>
        <v>1439.0805411556453</v>
      </c>
      <c r="AA290" s="151">
        <f t="shared" si="618"/>
        <v>1440.642392090667</v>
      </c>
      <c r="AB290" s="151">
        <f t="shared" si="618"/>
        <v>1443.433226309513</v>
      </c>
      <c r="AC290" s="151">
        <f t="shared" si="618"/>
        <v>1444.7002404816658</v>
      </c>
      <c r="AD290" s="151">
        <f t="shared" si="618"/>
        <v>1435.5469448584211</v>
      </c>
      <c r="AE290" s="151">
        <f t="shared" si="618"/>
        <v>1437.1856468702692</v>
      </c>
      <c r="AF290" s="151">
        <f t="shared" si="618"/>
        <v>1440.2038579838263</v>
      </c>
      <c r="AG290" s="151">
        <f t="shared" si="618"/>
        <v>1441.4377706794171</v>
      </c>
      <c r="AH290" s="151">
        <f t="shared" si="618"/>
        <v>1442.5124517447584</v>
      </c>
      <c r="AI290" s="151">
        <f t="shared" si="618"/>
        <v>1444.131528046421</v>
      </c>
      <c r="AJ290" s="151">
        <f t="shared" si="618"/>
        <v>1436.7183419408666</v>
      </c>
      <c r="AK290" s="151">
        <f t="shared" si="618"/>
        <v>1438.3229115042345</v>
      </c>
      <c r="AL290" s="151">
        <f t="shared" si="618"/>
        <v>1439.0805411556453</v>
      </c>
      <c r="AM290" s="151">
        <f t="shared" si="618"/>
        <v>1440.642392090667</v>
      </c>
      <c r="AN290" s="151">
        <f t="shared" si="618"/>
        <v>1443.3977111996919</v>
      </c>
      <c r="AO290" s="151">
        <f t="shared" si="618"/>
        <v>1444.7650303847572</v>
      </c>
      <c r="AP290" s="151">
        <f t="shared" si="618"/>
        <v>1435.5469448584211</v>
      </c>
      <c r="AQ290" s="151">
        <f t="shared" si="618"/>
        <v>1437.1856468702692</v>
      </c>
      <c r="AR290" s="151">
        <f t="shared" si="618"/>
        <v>1440.2038579838263</v>
      </c>
      <c r="AS290" s="151">
        <f t="shared" si="618"/>
        <v>1444.2045767162681</v>
      </c>
      <c r="AT290" s="151">
        <f t="shared" si="618"/>
        <v>1443.8355529820503</v>
      </c>
      <c r="AU290" s="151">
        <f t="shared" si="618"/>
        <v>1443.9786096256692</v>
      </c>
      <c r="AV290" s="151">
        <f t="shared" si="618"/>
        <v>1444.4270192665585</v>
      </c>
      <c r="AW290" s="151">
        <f t="shared" si="618"/>
        <v>1441.4377706794171</v>
      </c>
      <c r="AX290" s="151">
        <f t="shared" si="618"/>
        <v>1442.6626496949614</v>
      </c>
      <c r="AY290" s="151">
        <f t="shared" si="618"/>
        <v>1444.5642925177267</v>
      </c>
      <c r="AZ290" s="151">
        <f t="shared" si="618"/>
        <v>1437.2464611897515</v>
      </c>
      <c r="BA290" s="151">
        <f t="shared" si="618"/>
        <v>1438.3229115042345</v>
      </c>
      <c r="BB290" s="151">
        <f t="shared" si="618"/>
        <v>1439.0805411556453</v>
      </c>
      <c r="BC290" s="131"/>
    </row>
    <row r="291" spans="2:56" x14ac:dyDescent="0.25">
      <c r="B291" s="131" t="s">
        <v>318</v>
      </c>
      <c r="C291" s="151">
        <f t="shared" si="615"/>
        <v>2367.9151193633957</v>
      </c>
      <c r="D291" s="151">
        <f t="shared" si="615"/>
        <v>2370.6704384724185</v>
      </c>
      <c r="E291" s="151">
        <f t="shared" si="615"/>
        <v>2371.9729677543928</v>
      </c>
      <c r="F291" s="151">
        <f t="shared" si="615"/>
        <v>2362.705035971223</v>
      </c>
      <c r="G291" s="151">
        <f t="shared" si="615"/>
        <v>2364.4583741429969</v>
      </c>
      <c r="H291" s="151">
        <f t="shared" si="615"/>
        <v>2367.4765852565542</v>
      </c>
      <c r="I291" s="151">
        <f t="shared" si="615"/>
        <v>2368.7104979521446</v>
      </c>
      <c r="J291" s="151">
        <f t="shared" si="615"/>
        <v>2369.9353769676882</v>
      </c>
      <c r="K291" s="151">
        <f t="shared" si="615"/>
        <v>2371.8370197904542</v>
      </c>
      <c r="L291" s="151">
        <f t="shared" si="615"/>
        <v>2363.9910692135945</v>
      </c>
      <c r="M291" s="151">
        <f t="shared" si="615"/>
        <v>2365.4975041597336</v>
      </c>
      <c r="N291" s="151">
        <f t="shared" si="615"/>
        <v>2366.6623794212219</v>
      </c>
      <c r="O291" s="151">
        <f t="shared" si="615"/>
        <v>2367.9151193633957</v>
      </c>
      <c r="P291" s="151">
        <f t="shared" si="615"/>
        <v>2370.6704384724185</v>
      </c>
      <c r="Q291" s="151">
        <f t="shared" si="615"/>
        <v>2372.0377576574838</v>
      </c>
      <c r="R291" s="151">
        <f t="shared" si="615"/>
        <v>2363.6574862293437</v>
      </c>
      <c r="S291" s="151">
        <f t="shared" ref="S291:BB291" si="619">S670</f>
        <v>2364.4583741429969</v>
      </c>
      <c r="T291" s="151">
        <f t="shared" si="619"/>
        <v>2367.447409733124</v>
      </c>
      <c r="U291" s="151">
        <f t="shared" si="619"/>
        <v>2368.7104979521446</v>
      </c>
      <c r="V291" s="151">
        <f t="shared" si="619"/>
        <v>2369.7851790174855</v>
      </c>
      <c r="W291" s="151">
        <f t="shared" si="619"/>
        <v>2371.4042553191489</v>
      </c>
      <c r="X291" s="151">
        <f t="shared" si="619"/>
        <v>2363.9910692135945</v>
      </c>
      <c r="Y291" s="151">
        <f t="shared" si="619"/>
        <v>2365.595638776962</v>
      </c>
      <c r="Z291" s="151">
        <f t="shared" si="619"/>
        <v>2366.3532684283728</v>
      </c>
      <c r="AA291" s="151">
        <f t="shared" si="619"/>
        <v>2367.9151193633957</v>
      </c>
      <c r="AB291" s="151">
        <f t="shared" si="619"/>
        <v>2370.70595358224</v>
      </c>
      <c r="AC291" s="151">
        <f t="shared" si="619"/>
        <v>2371.9729677543928</v>
      </c>
      <c r="AD291" s="151">
        <f t="shared" si="619"/>
        <v>2362.8196721311479</v>
      </c>
      <c r="AE291" s="151">
        <f t="shared" si="619"/>
        <v>2364.4583741429969</v>
      </c>
      <c r="AF291" s="151">
        <f t="shared" si="619"/>
        <v>2367.4765852565542</v>
      </c>
      <c r="AG291" s="151">
        <f t="shared" si="619"/>
        <v>2368.7104979521446</v>
      </c>
      <c r="AH291" s="151">
        <f t="shared" si="619"/>
        <v>2369.7851790174855</v>
      </c>
      <c r="AI291" s="151">
        <f t="shared" si="619"/>
        <v>2371.4042553191489</v>
      </c>
      <c r="AJ291" s="151">
        <f t="shared" si="619"/>
        <v>2363.9910692135945</v>
      </c>
      <c r="AK291" s="151">
        <f t="shared" si="619"/>
        <v>2365.595638776962</v>
      </c>
      <c r="AL291" s="151">
        <f t="shared" si="619"/>
        <v>2366.3532684283728</v>
      </c>
      <c r="AM291" s="151">
        <f t="shared" si="619"/>
        <v>2367.9151193633957</v>
      </c>
      <c r="AN291" s="151">
        <f t="shared" si="619"/>
        <v>2370.6704384724185</v>
      </c>
      <c r="AO291" s="151">
        <f t="shared" si="619"/>
        <v>2372.0377576574838</v>
      </c>
      <c r="AP291" s="151">
        <f t="shared" si="619"/>
        <v>2362.8196721311479</v>
      </c>
      <c r="AQ291" s="151">
        <f t="shared" si="619"/>
        <v>2364.4583741429969</v>
      </c>
      <c r="AR291" s="151">
        <f t="shared" si="619"/>
        <v>2367.4765852565542</v>
      </c>
      <c r="AS291" s="151">
        <f t="shared" si="619"/>
        <v>2371.477303988996</v>
      </c>
      <c r="AT291" s="151">
        <f t="shared" si="619"/>
        <v>2371.1082802547771</v>
      </c>
      <c r="AU291" s="151">
        <f t="shared" si="619"/>
        <v>2371.2513368983955</v>
      </c>
      <c r="AV291" s="151">
        <f t="shared" si="619"/>
        <v>2371.6997465392856</v>
      </c>
      <c r="AW291" s="151">
        <f t="shared" si="619"/>
        <v>2368.7104979521446</v>
      </c>
      <c r="AX291" s="151">
        <f t="shared" si="619"/>
        <v>2369.9353769676882</v>
      </c>
      <c r="AY291" s="151">
        <f t="shared" si="619"/>
        <v>2371.8370197904542</v>
      </c>
      <c r="AZ291" s="151">
        <f t="shared" si="619"/>
        <v>2364.5191884624778</v>
      </c>
      <c r="BA291" s="151">
        <f t="shared" si="619"/>
        <v>2365.595638776962</v>
      </c>
      <c r="BB291" s="151">
        <f t="shared" si="619"/>
        <v>2366.3532684283728</v>
      </c>
      <c r="BC291" s="131"/>
    </row>
    <row r="292" spans="2:56" x14ac:dyDescent="0.25">
      <c r="B292" s="131" t="s">
        <v>319</v>
      </c>
      <c r="C292" s="151">
        <f t="shared" si="615"/>
        <v>0</v>
      </c>
      <c r="D292" s="151">
        <f t="shared" si="615"/>
        <v>1719.2418670438476</v>
      </c>
      <c r="E292" s="151">
        <f t="shared" si="615"/>
        <v>1720.5443963258213</v>
      </c>
      <c r="F292" s="151">
        <f t="shared" si="615"/>
        <v>0</v>
      </c>
      <c r="G292" s="151">
        <f t="shared" si="615"/>
        <v>0</v>
      </c>
      <c r="H292" s="151">
        <f t="shared" si="615"/>
        <v>1716.0480138279822</v>
      </c>
      <c r="I292" s="151">
        <f t="shared" si="615"/>
        <v>1717.281926523573</v>
      </c>
      <c r="J292" s="151">
        <f t="shared" si="615"/>
        <v>1718.5068055391173</v>
      </c>
      <c r="K292" s="151">
        <f t="shared" si="615"/>
        <v>1720.4084483618828</v>
      </c>
      <c r="L292" s="151">
        <f t="shared" si="615"/>
        <v>1712.5624977850237</v>
      </c>
      <c r="M292" s="151">
        <f t="shared" si="615"/>
        <v>1714.0689327311625</v>
      </c>
      <c r="N292" s="151">
        <f t="shared" si="615"/>
        <v>1715.2338079926508</v>
      </c>
      <c r="O292" s="151">
        <f t="shared" si="615"/>
        <v>0</v>
      </c>
      <c r="P292" s="151">
        <f t="shared" si="615"/>
        <v>1719.2418670438476</v>
      </c>
      <c r="Q292" s="151">
        <f t="shared" si="615"/>
        <v>1720.6091862289131</v>
      </c>
      <c r="R292" s="151">
        <f t="shared" si="615"/>
        <v>1712.2289148007733</v>
      </c>
      <c r="S292" s="151">
        <f t="shared" ref="S292:BB292" si="620">S671</f>
        <v>0</v>
      </c>
      <c r="T292" s="151">
        <f t="shared" si="620"/>
        <v>1716.0188383045522</v>
      </c>
      <c r="U292" s="151">
        <f t="shared" si="620"/>
        <v>1717.281926523573</v>
      </c>
      <c r="V292" s="151">
        <f t="shared" si="620"/>
        <v>1718.3566075889132</v>
      </c>
      <c r="W292" s="151">
        <f t="shared" si="620"/>
        <v>0</v>
      </c>
      <c r="X292" s="151">
        <f t="shared" si="620"/>
        <v>1712.5624977850237</v>
      </c>
      <c r="Y292" s="151">
        <f t="shared" si="620"/>
        <v>1714.16706734839</v>
      </c>
      <c r="Z292" s="151">
        <f t="shared" si="620"/>
        <v>1714.9246969998007</v>
      </c>
      <c r="AA292" s="151">
        <f t="shared" si="620"/>
        <v>0</v>
      </c>
      <c r="AB292" s="151">
        <f t="shared" si="620"/>
        <v>1719.2773821536682</v>
      </c>
      <c r="AC292" s="151">
        <f t="shared" si="620"/>
        <v>1720.5443963258213</v>
      </c>
      <c r="AD292" s="151">
        <f t="shared" si="620"/>
        <v>1711.3911007025761</v>
      </c>
      <c r="AE292" s="151">
        <f t="shared" si="620"/>
        <v>0</v>
      </c>
      <c r="AF292" s="151">
        <f t="shared" si="620"/>
        <v>1716.0480138279822</v>
      </c>
      <c r="AG292" s="151">
        <f t="shared" si="620"/>
        <v>1717.281926523573</v>
      </c>
      <c r="AH292" s="151">
        <f t="shared" si="620"/>
        <v>1718.3566075889132</v>
      </c>
      <c r="AI292" s="151">
        <f t="shared" si="620"/>
        <v>0</v>
      </c>
      <c r="AJ292" s="151">
        <f t="shared" si="620"/>
        <v>1712.5624977850237</v>
      </c>
      <c r="AK292" s="151">
        <f t="shared" si="620"/>
        <v>1714.16706734839</v>
      </c>
      <c r="AL292" s="151">
        <f t="shared" si="620"/>
        <v>1714.9246969998007</v>
      </c>
      <c r="AM292" s="151">
        <f t="shared" si="620"/>
        <v>0</v>
      </c>
      <c r="AN292" s="151">
        <f t="shared" si="620"/>
        <v>1719.2418670438476</v>
      </c>
      <c r="AO292" s="151">
        <f t="shared" si="620"/>
        <v>1720.6091862289131</v>
      </c>
      <c r="AP292" s="151">
        <f t="shared" si="620"/>
        <v>1711.3911007025761</v>
      </c>
      <c r="AQ292" s="151">
        <f t="shared" si="620"/>
        <v>0</v>
      </c>
      <c r="AR292" s="151">
        <f t="shared" si="620"/>
        <v>1716.0480138279822</v>
      </c>
      <c r="AS292" s="151">
        <f t="shared" si="620"/>
        <v>1720.0487325604245</v>
      </c>
      <c r="AT292" s="151">
        <f t="shared" si="620"/>
        <v>1719.679708826206</v>
      </c>
      <c r="AU292" s="151">
        <f t="shared" si="620"/>
        <v>1719.8227654698239</v>
      </c>
      <c r="AV292" s="151">
        <f t="shared" si="620"/>
        <v>1720.2711751107151</v>
      </c>
      <c r="AW292" s="151">
        <f t="shared" si="620"/>
        <v>1717.281926523573</v>
      </c>
      <c r="AX292" s="151">
        <f t="shared" si="620"/>
        <v>1718.5068055391173</v>
      </c>
      <c r="AY292" s="151">
        <f t="shared" si="620"/>
        <v>1720.4084483618828</v>
      </c>
      <c r="AZ292" s="151">
        <f t="shared" si="620"/>
        <v>1713.0906170339069</v>
      </c>
      <c r="BA292" s="151">
        <f t="shared" si="620"/>
        <v>1714.16706734839</v>
      </c>
      <c r="BB292" s="151">
        <f t="shared" si="620"/>
        <v>1714.9246969998007</v>
      </c>
      <c r="BC292" s="131"/>
    </row>
    <row r="293" spans="2:56" x14ac:dyDescent="0.25">
      <c r="B293" s="131" t="s">
        <v>320</v>
      </c>
      <c r="C293" s="151">
        <f t="shared" si="615"/>
        <v>0</v>
      </c>
      <c r="D293" s="151">
        <f t="shared" si="615"/>
        <v>3610.6704384724176</v>
      </c>
      <c r="E293" s="151">
        <f t="shared" si="615"/>
        <v>3611.9729677543919</v>
      </c>
      <c r="F293" s="151">
        <f t="shared" si="615"/>
        <v>3602.7050359712225</v>
      </c>
      <c r="G293" s="151">
        <f t="shared" si="615"/>
        <v>0</v>
      </c>
      <c r="H293" s="151">
        <f t="shared" si="615"/>
        <v>0</v>
      </c>
      <c r="I293" s="151">
        <f t="shared" si="615"/>
        <v>3608.7104979521446</v>
      </c>
      <c r="J293" s="151">
        <f t="shared" si="615"/>
        <v>3609.9353769676882</v>
      </c>
      <c r="K293" s="151">
        <f t="shared" si="615"/>
        <v>0</v>
      </c>
      <c r="L293" s="151">
        <f t="shared" si="615"/>
        <v>0</v>
      </c>
      <c r="M293" s="151">
        <f t="shared" si="615"/>
        <v>3605.4975041597336</v>
      </c>
      <c r="N293" s="151">
        <f t="shared" si="615"/>
        <v>3606.6623794212223</v>
      </c>
      <c r="O293" s="151">
        <f t="shared" si="615"/>
        <v>0</v>
      </c>
      <c r="P293" s="151">
        <f t="shared" si="615"/>
        <v>0</v>
      </c>
      <c r="Q293" s="151">
        <f t="shared" si="615"/>
        <v>3612.0377576574842</v>
      </c>
      <c r="R293" s="151">
        <f t="shared" si="615"/>
        <v>3603.6574862293446</v>
      </c>
      <c r="S293" s="151">
        <f t="shared" ref="S293:BB293" si="621">S672</f>
        <v>0</v>
      </c>
      <c r="T293" s="151">
        <f t="shared" si="621"/>
        <v>0</v>
      </c>
      <c r="U293" s="151">
        <f t="shared" si="621"/>
        <v>3608.7104979521446</v>
      </c>
      <c r="V293" s="151">
        <f t="shared" si="621"/>
        <v>3609.785179017485</v>
      </c>
      <c r="W293" s="151">
        <f t="shared" si="621"/>
        <v>0</v>
      </c>
      <c r="X293" s="151">
        <f t="shared" si="621"/>
        <v>0</v>
      </c>
      <c r="Y293" s="151">
        <f t="shared" si="621"/>
        <v>3605.5956387769611</v>
      </c>
      <c r="Z293" s="151">
        <f t="shared" si="621"/>
        <v>3606.3532684283728</v>
      </c>
      <c r="AA293" s="151">
        <f t="shared" si="621"/>
        <v>0</v>
      </c>
      <c r="AB293" s="151">
        <f t="shared" si="621"/>
        <v>0</v>
      </c>
      <c r="AC293" s="151">
        <f t="shared" si="621"/>
        <v>3611.9729677543919</v>
      </c>
      <c r="AD293" s="151">
        <f t="shared" si="621"/>
        <v>3602.8196721311469</v>
      </c>
      <c r="AE293" s="151">
        <f t="shared" si="621"/>
        <v>0</v>
      </c>
      <c r="AF293" s="151">
        <f t="shared" si="621"/>
        <v>0</v>
      </c>
      <c r="AG293" s="151">
        <f t="shared" si="621"/>
        <v>3608.7104979521446</v>
      </c>
      <c r="AH293" s="151">
        <f t="shared" si="621"/>
        <v>3609.785179017485</v>
      </c>
      <c r="AI293" s="151">
        <f t="shared" si="621"/>
        <v>0</v>
      </c>
      <c r="AJ293" s="151">
        <f t="shared" si="621"/>
        <v>0</v>
      </c>
      <c r="AK293" s="151">
        <f t="shared" si="621"/>
        <v>3605.5956387769611</v>
      </c>
      <c r="AL293" s="151">
        <f t="shared" si="621"/>
        <v>3606.3532684283728</v>
      </c>
      <c r="AM293" s="151">
        <f t="shared" si="621"/>
        <v>0</v>
      </c>
      <c r="AN293" s="151">
        <f t="shared" si="621"/>
        <v>0</v>
      </c>
      <c r="AO293" s="151">
        <f t="shared" si="621"/>
        <v>3612.0377576574842</v>
      </c>
      <c r="AP293" s="151">
        <f t="shared" si="621"/>
        <v>3602.8196721311469</v>
      </c>
      <c r="AQ293" s="151">
        <f t="shared" si="621"/>
        <v>0</v>
      </c>
      <c r="AR293" s="151">
        <f t="shared" si="621"/>
        <v>0</v>
      </c>
      <c r="AS293" s="151">
        <f t="shared" si="621"/>
        <v>3611.4773039889951</v>
      </c>
      <c r="AT293" s="151">
        <f t="shared" si="621"/>
        <v>3611.1082802547771</v>
      </c>
      <c r="AU293" s="151">
        <f t="shared" si="621"/>
        <v>0</v>
      </c>
      <c r="AV293" s="151">
        <f t="shared" si="621"/>
        <v>0</v>
      </c>
      <c r="AW293" s="151">
        <f t="shared" si="621"/>
        <v>3608.7104979521446</v>
      </c>
      <c r="AX293" s="151">
        <f t="shared" si="621"/>
        <v>3609.9353769676882</v>
      </c>
      <c r="AY293" s="151">
        <f t="shared" si="621"/>
        <v>0</v>
      </c>
      <c r="AZ293" s="151">
        <f t="shared" si="621"/>
        <v>0</v>
      </c>
      <c r="BA293" s="151">
        <f t="shared" si="621"/>
        <v>3605.5956387769611</v>
      </c>
      <c r="BB293" s="151">
        <f t="shared" si="621"/>
        <v>3606.3532684283728</v>
      </c>
      <c r="BC293" s="131"/>
    </row>
    <row r="294" spans="2:56" x14ac:dyDescent="0.25">
      <c r="B294" s="131" t="s">
        <v>321</v>
      </c>
      <c r="C294" s="151">
        <f t="shared" si="615"/>
        <v>0</v>
      </c>
      <c r="D294" s="151">
        <f t="shared" si="615"/>
        <v>0</v>
      </c>
      <c r="E294" s="151">
        <f t="shared" si="615"/>
        <v>0</v>
      </c>
      <c r="F294" s="151">
        <f t="shared" si="615"/>
        <v>4149.6615577103539</v>
      </c>
      <c r="G294" s="151">
        <f t="shared" si="615"/>
        <v>0</v>
      </c>
      <c r="H294" s="151">
        <f t="shared" si="615"/>
        <v>0</v>
      </c>
      <c r="I294" s="151">
        <f t="shared" si="615"/>
        <v>0</v>
      </c>
      <c r="J294" s="151">
        <f t="shared" si="615"/>
        <v>4156.8918987068191</v>
      </c>
      <c r="K294" s="151">
        <f t="shared" si="615"/>
        <v>0</v>
      </c>
      <c r="L294" s="151">
        <f t="shared" si="615"/>
        <v>0</v>
      </c>
      <c r="M294" s="151">
        <f t="shared" si="615"/>
        <v>0</v>
      </c>
      <c r="N294" s="151">
        <f t="shared" si="615"/>
        <v>4153.6189011603528</v>
      </c>
      <c r="O294" s="151">
        <f t="shared" si="615"/>
        <v>0</v>
      </c>
      <c r="P294" s="151">
        <f t="shared" si="615"/>
        <v>0</v>
      </c>
      <c r="Q294" s="151">
        <f t="shared" si="615"/>
        <v>4158.9942793966156</v>
      </c>
      <c r="R294" s="151">
        <f t="shared" si="615"/>
        <v>4150.6140079684737</v>
      </c>
      <c r="S294" s="151">
        <f t="shared" ref="S294:BB294" si="622">S673</f>
        <v>0</v>
      </c>
      <c r="T294" s="151">
        <f t="shared" si="622"/>
        <v>0</v>
      </c>
      <c r="U294" s="151">
        <f t="shared" si="622"/>
        <v>0</v>
      </c>
      <c r="V294" s="151">
        <f t="shared" si="622"/>
        <v>4156.7417007566164</v>
      </c>
      <c r="W294" s="151">
        <f t="shared" si="622"/>
        <v>4158.3607770582794</v>
      </c>
      <c r="X294" s="151">
        <f t="shared" si="622"/>
        <v>0</v>
      </c>
      <c r="Y294" s="151">
        <f t="shared" si="622"/>
        <v>0</v>
      </c>
      <c r="Z294" s="151">
        <f t="shared" si="622"/>
        <v>4153.3097901675028</v>
      </c>
      <c r="AA294" s="151">
        <f t="shared" si="622"/>
        <v>0</v>
      </c>
      <c r="AB294" s="151">
        <f t="shared" si="622"/>
        <v>4157.66247532137</v>
      </c>
      <c r="AC294" s="151">
        <f t="shared" si="622"/>
        <v>0</v>
      </c>
      <c r="AD294" s="151">
        <f t="shared" si="622"/>
        <v>4149.7761938702788</v>
      </c>
      <c r="AE294" s="151">
        <f t="shared" si="622"/>
        <v>0</v>
      </c>
      <c r="AF294" s="151">
        <f t="shared" si="622"/>
        <v>0</v>
      </c>
      <c r="AG294" s="151">
        <f t="shared" si="622"/>
        <v>0</v>
      </c>
      <c r="AH294" s="151">
        <f t="shared" si="622"/>
        <v>4156.7417007566164</v>
      </c>
      <c r="AI294" s="151">
        <f t="shared" si="622"/>
        <v>4158.3607770582794</v>
      </c>
      <c r="AJ294" s="151">
        <f t="shared" si="622"/>
        <v>0</v>
      </c>
      <c r="AK294" s="151">
        <f t="shared" si="622"/>
        <v>0</v>
      </c>
      <c r="AL294" s="151">
        <f t="shared" si="622"/>
        <v>4153.3097901675028</v>
      </c>
      <c r="AM294" s="151">
        <f t="shared" si="622"/>
        <v>0</v>
      </c>
      <c r="AN294" s="151">
        <f t="shared" si="622"/>
        <v>0</v>
      </c>
      <c r="AO294" s="151">
        <f t="shared" si="622"/>
        <v>4158.9942793966156</v>
      </c>
      <c r="AP294" s="151">
        <f t="shared" si="622"/>
        <v>4149.7761938702788</v>
      </c>
      <c r="AQ294" s="151">
        <f t="shared" si="622"/>
        <v>0</v>
      </c>
      <c r="AR294" s="151">
        <f t="shared" si="622"/>
        <v>0</v>
      </c>
      <c r="AS294" s="151">
        <f t="shared" si="622"/>
        <v>0</v>
      </c>
      <c r="AT294" s="151">
        <f t="shared" si="622"/>
        <v>4158.0648019939081</v>
      </c>
      <c r="AU294" s="151">
        <f t="shared" si="622"/>
        <v>0</v>
      </c>
      <c r="AV294" s="151">
        <f t="shared" si="622"/>
        <v>0</v>
      </c>
      <c r="AW294" s="151">
        <f t="shared" si="622"/>
        <v>0</v>
      </c>
      <c r="AX294" s="151">
        <f t="shared" si="622"/>
        <v>4156.8918987068191</v>
      </c>
      <c r="AY294" s="151">
        <f t="shared" si="622"/>
        <v>0</v>
      </c>
      <c r="AZ294" s="151">
        <f t="shared" si="622"/>
        <v>0</v>
      </c>
      <c r="BA294" s="151">
        <f t="shared" si="622"/>
        <v>0</v>
      </c>
      <c r="BB294" s="151">
        <f t="shared" si="622"/>
        <v>4153.3097901675028</v>
      </c>
      <c r="BC294" s="131"/>
    </row>
    <row r="295" spans="2:56" x14ac:dyDescent="0.25">
      <c r="B295" s="19" t="s">
        <v>324</v>
      </c>
      <c r="C295" s="110">
        <f>IF(C785-C798&lt;0,(C785-C798)*(-1),0)/(60*60)</f>
        <v>5.6100795755968162</v>
      </c>
      <c r="D295" s="110">
        <f t="shared" ref="D295:BB295" si="623">IF(D785-D798&lt;0,(D785-D798)*(-1),0)/(60*60)</f>
        <v>0</v>
      </c>
      <c r="E295" s="110">
        <f t="shared" si="623"/>
        <v>1.298030507820042</v>
      </c>
      <c r="F295" s="110">
        <f t="shared" si="623"/>
        <v>0</v>
      </c>
      <c r="G295" s="110">
        <f t="shared" si="623"/>
        <v>9.233594515181192</v>
      </c>
      <c r="H295" s="110">
        <f t="shared" si="623"/>
        <v>0</v>
      </c>
      <c r="I295" s="110">
        <f t="shared" si="623"/>
        <v>0</v>
      </c>
      <c r="J295" s="110">
        <f t="shared" si="623"/>
        <v>0</v>
      </c>
      <c r="K295" s="110">
        <f t="shared" si="623"/>
        <v>2.6140861466821863</v>
      </c>
      <c r="L295" s="110">
        <f t="shared" si="623"/>
        <v>0</v>
      </c>
      <c r="M295" s="110">
        <f t="shared" si="623"/>
        <v>0</v>
      </c>
      <c r="N295" s="110">
        <f t="shared" si="623"/>
        <v>0</v>
      </c>
      <c r="O295" s="110">
        <f t="shared" si="623"/>
        <v>5.4847480106100797</v>
      </c>
      <c r="P295" s="110">
        <f t="shared" si="623"/>
        <v>1.1253788644170537</v>
      </c>
      <c r="Q295" s="110">
        <f t="shared" si="623"/>
        <v>0</v>
      </c>
      <c r="R295" s="110">
        <f t="shared" si="623"/>
        <v>0</v>
      </c>
      <c r="S295" s="110">
        <f t="shared" si="623"/>
        <v>9.0154260528893229</v>
      </c>
      <c r="T295" s="110">
        <f t="shared" si="623"/>
        <v>0</v>
      </c>
      <c r="U295" s="110">
        <f t="shared" si="623"/>
        <v>0</v>
      </c>
      <c r="V295" s="110">
        <f t="shared" si="623"/>
        <v>1.4138218151540383</v>
      </c>
      <c r="W295" s="110">
        <f t="shared" si="623"/>
        <v>2.3297872340425561</v>
      </c>
      <c r="X295" s="110">
        <f t="shared" si="623"/>
        <v>0</v>
      </c>
      <c r="Y295" s="110">
        <f t="shared" si="623"/>
        <v>0</v>
      </c>
      <c r="Z295" s="110">
        <f t="shared" si="623"/>
        <v>0</v>
      </c>
      <c r="AA295" s="110">
        <f t="shared" si="623"/>
        <v>5.9323607427055682</v>
      </c>
      <c r="AB295" s="110">
        <f t="shared" si="623"/>
        <v>0</v>
      </c>
      <c r="AC295" s="110">
        <f t="shared" si="623"/>
        <v>1.6410503958293117</v>
      </c>
      <c r="AD295" s="110">
        <f t="shared" si="623"/>
        <v>0</v>
      </c>
      <c r="AE295" s="110">
        <f t="shared" si="623"/>
        <v>8.7972575905974537</v>
      </c>
      <c r="AF295" s="110">
        <f t="shared" si="623"/>
        <v>0</v>
      </c>
      <c r="AG295" s="110">
        <f t="shared" si="623"/>
        <v>0</v>
      </c>
      <c r="AH295" s="110">
        <f t="shared" si="623"/>
        <v>1.1777685262281437</v>
      </c>
      <c r="AI295" s="110">
        <f t="shared" si="623"/>
        <v>3.0797872340425561</v>
      </c>
      <c r="AJ295" s="110">
        <f t="shared" si="623"/>
        <v>0</v>
      </c>
      <c r="AK295" s="110">
        <f t="shared" si="623"/>
        <v>0</v>
      </c>
      <c r="AL295" s="110">
        <f t="shared" si="623"/>
        <v>0</v>
      </c>
      <c r="AM295" s="110">
        <f t="shared" si="623"/>
        <v>5.6279840848806355</v>
      </c>
      <c r="AN295" s="110">
        <f t="shared" si="623"/>
        <v>1.1853909880783997</v>
      </c>
      <c r="AO295" s="110">
        <f t="shared" si="623"/>
        <v>0</v>
      </c>
      <c r="AP295" s="110">
        <f t="shared" si="623"/>
        <v>0</v>
      </c>
      <c r="AQ295" s="110">
        <f t="shared" si="623"/>
        <v>9.0352595494613102</v>
      </c>
      <c r="AR295" s="110">
        <f t="shared" si="623"/>
        <v>0</v>
      </c>
      <c r="AS295" s="110">
        <f t="shared" si="623"/>
        <v>1.577421890351739</v>
      </c>
      <c r="AT295" s="110">
        <f t="shared" si="623"/>
        <v>0</v>
      </c>
      <c r="AU295" s="110">
        <f t="shared" si="623"/>
        <v>2.8155080213903743</v>
      </c>
      <c r="AV295" s="110">
        <f t="shared" si="623"/>
        <v>1.2131994540846163</v>
      </c>
      <c r="AW295" s="110">
        <f t="shared" si="623"/>
        <v>0</v>
      </c>
      <c r="AX295" s="110">
        <f t="shared" si="623"/>
        <v>0</v>
      </c>
      <c r="AY295" s="110">
        <f t="shared" si="623"/>
        <v>2.5197904540162965</v>
      </c>
      <c r="AZ295" s="110">
        <f t="shared" si="623"/>
        <v>0</v>
      </c>
      <c r="BA295" s="110">
        <f t="shared" si="623"/>
        <v>0</v>
      </c>
      <c r="BB295" s="110">
        <f t="shared" si="623"/>
        <v>0</v>
      </c>
      <c r="BC295" s="61">
        <f t="shared" ref="BC295:BC302" si="624">SUM(C295:BB295)</f>
        <v>82.727731654059696</v>
      </c>
      <c r="BD295" s="161"/>
    </row>
    <row r="296" spans="2:56" x14ac:dyDescent="0.25">
      <c r="B296" s="19" t="s">
        <v>325</v>
      </c>
      <c r="C296" s="110">
        <f t="shared" ref="C296:R302" si="625">IF(C786-C799&lt;0,(C786-C799)*(-1),0)/(60*60)</f>
        <v>5.4300029472443283</v>
      </c>
      <c r="D296" s="110">
        <f t="shared" si="625"/>
        <v>3.3732673267326714</v>
      </c>
      <c r="E296" s="110">
        <f t="shared" si="625"/>
        <v>0</v>
      </c>
      <c r="F296" s="110">
        <f t="shared" si="625"/>
        <v>7.0083932853717066</v>
      </c>
      <c r="G296" s="110">
        <f t="shared" si="625"/>
        <v>8.9372075307432812</v>
      </c>
      <c r="H296" s="110">
        <f t="shared" si="625"/>
        <v>6.8828366569572044</v>
      </c>
      <c r="I296" s="110">
        <f t="shared" si="625"/>
        <v>0</v>
      </c>
      <c r="J296" s="110">
        <f t="shared" si="625"/>
        <v>1.4364402098867717</v>
      </c>
      <c r="K296" s="110">
        <f t="shared" si="625"/>
        <v>2.5301772086405374</v>
      </c>
      <c r="L296" s="110">
        <f t="shared" si="625"/>
        <v>9.2833788141900246</v>
      </c>
      <c r="M296" s="110">
        <f t="shared" si="625"/>
        <v>0</v>
      </c>
      <c r="N296" s="110">
        <f t="shared" si="625"/>
        <v>0</v>
      </c>
      <c r="O296" s="110">
        <f t="shared" si="625"/>
        <v>5.3086943707633365</v>
      </c>
      <c r="P296" s="110">
        <f t="shared" si="625"/>
        <v>3.6762376237623742</v>
      </c>
      <c r="Q296" s="110">
        <f t="shared" si="625"/>
        <v>0</v>
      </c>
      <c r="R296" s="110">
        <f t="shared" si="625"/>
        <v>0</v>
      </c>
      <c r="S296" s="110">
        <f t="shared" ref="S296:BB296" si="626">IF(S786-S799&lt;0,(S786-S799)*(-1),0)/(60*60)</f>
        <v>8.726042006747198</v>
      </c>
      <c r="T296" s="110">
        <f t="shared" si="626"/>
        <v>6.7923076923076913</v>
      </c>
      <c r="U296" s="110">
        <f t="shared" si="626"/>
        <v>0</v>
      </c>
      <c r="V296" s="110">
        <f t="shared" si="626"/>
        <v>0</v>
      </c>
      <c r="W296" s="110">
        <f t="shared" si="626"/>
        <v>2.2550039401103237</v>
      </c>
      <c r="X296" s="110">
        <f t="shared" si="626"/>
        <v>10.289878442073924</v>
      </c>
      <c r="Y296" s="110">
        <f t="shared" si="626"/>
        <v>0</v>
      </c>
      <c r="Z296" s="110">
        <f t="shared" si="626"/>
        <v>0</v>
      </c>
      <c r="AA296" s="110">
        <f t="shared" si="626"/>
        <v>5.7419392867668728</v>
      </c>
      <c r="AB296" s="110">
        <f t="shared" si="626"/>
        <v>3.0369122098890027</v>
      </c>
      <c r="AC296" s="110">
        <f t="shared" si="626"/>
        <v>0</v>
      </c>
      <c r="AD296" s="110">
        <f t="shared" si="626"/>
        <v>0</v>
      </c>
      <c r="AE296" s="110">
        <f t="shared" si="626"/>
        <v>8.5148764827511165</v>
      </c>
      <c r="AF296" s="110">
        <f t="shared" si="626"/>
        <v>6.6654492493838227</v>
      </c>
      <c r="AG296" s="110">
        <f t="shared" si="626"/>
        <v>0</v>
      </c>
      <c r="AH296" s="110">
        <f t="shared" si="626"/>
        <v>0</v>
      </c>
      <c r="AI296" s="110">
        <f t="shared" si="626"/>
        <v>2.9809298660362482</v>
      </c>
      <c r="AJ296" s="110">
        <f t="shared" si="626"/>
        <v>10.071074175142643</v>
      </c>
      <c r="AK296" s="110">
        <f t="shared" si="626"/>
        <v>0</v>
      </c>
      <c r="AL296" s="110">
        <f t="shared" si="626"/>
        <v>0</v>
      </c>
      <c r="AM296" s="110">
        <f t="shared" si="626"/>
        <v>5.4473327438844681</v>
      </c>
      <c r="AN296" s="110">
        <f t="shared" si="626"/>
        <v>3.8722772277227704</v>
      </c>
      <c r="AO296" s="110">
        <f t="shared" si="626"/>
        <v>0</v>
      </c>
      <c r="AP296" s="110">
        <f t="shared" si="626"/>
        <v>0</v>
      </c>
      <c r="AQ296" s="110">
        <f t="shared" si="626"/>
        <v>8.7452388725650234</v>
      </c>
      <c r="AR296" s="110">
        <f t="shared" si="626"/>
        <v>6.191149451041901</v>
      </c>
      <c r="AS296" s="110">
        <f t="shared" si="626"/>
        <v>0</v>
      </c>
      <c r="AT296" s="110">
        <f t="shared" si="626"/>
        <v>1.8184271054493992</v>
      </c>
      <c r="AU296" s="110">
        <f t="shared" si="626"/>
        <v>2.7251336898395717</v>
      </c>
      <c r="AV296" s="110">
        <f t="shared" si="626"/>
        <v>2.3778709300058511</v>
      </c>
      <c r="AW296" s="110">
        <f t="shared" si="626"/>
        <v>0</v>
      </c>
      <c r="AX296" s="110">
        <f t="shared" si="626"/>
        <v>1.2476663904998622</v>
      </c>
      <c r="AY296" s="110">
        <f t="shared" si="626"/>
        <v>2.4389082912947884</v>
      </c>
      <c r="AZ296" s="110">
        <f t="shared" si="626"/>
        <v>3.188014340422066</v>
      </c>
      <c r="BA296" s="110">
        <f t="shared" si="626"/>
        <v>0</v>
      </c>
      <c r="BB296" s="110">
        <f t="shared" si="626"/>
        <v>0</v>
      </c>
      <c r="BC296" s="61">
        <f t="shared" si="624"/>
        <v>156.99306836822674</v>
      </c>
      <c r="BD296" s="161"/>
    </row>
    <row r="297" spans="2:56" x14ac:dyDescent="0.25">
      <c r="B297" s="19" t="s">
        <v>326</v>
      </c>
      <c r="C297" s="110">
        <f t="shared" si="625"/>
        <v>6.6489832007073391</v>
      </c>
      <c r="D297" s="110">
        <f t="shared" si="625"/>
        <v>2.9372667879032774</v>
      </c>
      <c r="E297" s="110">
        <f t="shared" si="625"/>
        <v>2.4922185750144812</v>
      </c>
      <c r="F297" s="110">
        <f t="shared" si="625"/>
        <v>0</v>
      </c>
      <c r="G297" s="110">
        <f t="shared" si="625"/>
        <v>10.943519425399936</v>
      </c>
      <c r="H297" s="110">
        <f t="shared" si="625"/>
        <v>5.9932183135409653</v>
      </c>
      <c r="I297" s="110">
        <f t="shared" si="625"/>
        <v>5.3897822806639386</v>
      </c>
      <c r="J297" s="110">
        <f t="shared" si="625"/>
        <v>0</v>
      </c>
      <c r="K297" s="110">
        <f t="shared" si="625"/>
        <v>3.0981761738455598</v>
      </c>
      <c r="L297" s="110">
        <f t="shared" si="625"/>
        <v>8.0834863143967599</v>
      </c>
      <c r="M297" s="110">
        <f t="shared" si="625"/>
        <v>8.6130734490135481</v>
      </c>
      <c r="N297" s="110">
        <f t="shared" si="625"/>
        <v>0</v>
      </c>
      <c r="O297" s="110">
        <f t="shared" si="625"/>
        <v>6.5004420866489863</v>
      </c>
      <c r="P297" s="110">
        <f t="shared" si="625"/>
        <v>3.201077658786287</v>
      </c>
      <c r="Q297" s="110">
        <f t="shared" si="625"/>
        <v>1.9982277017915637</v>
      </c>
      <c r="R297" s="110">
        <f t="shared" si="625"/>
        <v>0</v>
      </c>
      <c r="S297" s="110">
        <f t="shared" ref="S297:BB297" si="627">IF(S787-S800&lt;0,(S787-S800)*(-1),0)/(60*60)</f>
        <v>10.684949396016981</v>
      </c>
      <c r="T297" s="110">
        <f t="shared" si="627"/>
        <v>5.9143903715332309</v>
      </c>
      <c r="U297" s="110">
        <f t="shared" si="627"/>
        <v>5.3339081698641975</v>
      </c>
      <c r="V297" s="110">
        <f t="shared" si="627"/>
        <v>0</v>
      </c>
      <c r="W297" s="110">
        <f t="shared" si="627"/>
        <v>2.7612293144208038</v>
      </c>
      <c r="X297" s="110">
        <f t="shared" si="627"/>
        <v>8.9598941536426029</v>
      </c>
      <c r="Y297" s="110">
        <f t="shared" si="627"/>
        <v>8.1926522872718657</v>
      </c>
      <c r="Z297" s="110">
        <f t="shared" si="627"/>
        <v>0</v>
      </c>
      <c r="AA297" s="110">
        <f t="shared" si="627"/>
        <v>7.0309460654288261</v>
      </c>
      <c r="AB297" s="110">
        <f t="shared" si="627"/>
        <v>2.6443861419441639</v>
      </c>
      <c r="AC297" s="110">
        <f t="shared" si="627"/>
        <v>2.6256806333268994</v>
      </c>
      <c r="AD297" s="110">
        <f t="shared" si="627"/>
        <v>0</v>
      </c>
      <c r="AE297" s="110">
        <f t="shared" si="627"/>
        <v>10.426379366634016</v>
      </c>
      <c r="AF297" s="110">
        <f t="shared" si="627"/>
        <v>5.8039285981029183</v>
      </c>
      <c r="AG297" s="110">
        <f t="shared" si="627"/>
        <v>5.7622763526622132</v>
      </c>
      <c r="AH297" s="110">
        <f t="shared" si="627"/>
        <v>0</v>
      </c>
      <c r="AI297" s="110">
        <f t="shared" si="627"/>
        <v>3.6501182033096931</v>
      </c>
      <c r="AJ297" s="110">
        <f t="shared" si="627"/>
        <v>8.7693707103282907</v>
      </c>
      <c r="AK297" s="110">
        <f t="shared" si="627"/>
        <v>8.3155250059255756</v>
      </c>
      <c r="AL297" s="110">
        <f t="shared" si="627"/>
        <v>0</v>
      </c>
      <c r="AM297" s="110">
        <f t="shared" si="627"/>
        <v>6.6702033598585331</v>
      </c>
      <c r="AN297" s="110">
        <f t="shared" si="627"/>
        <v>3.3717788105341122</v>
      </c>
      <c r="AO297" s="110">
        <f t="shared" si="627"/>
        <v>2.2811789635908322</v>
      </c>
      <c r="AP297" s="110">
        <f t="shared" si="627"/>
        <v>0</v>
      </c>
      <c r="AQ297" s="110">
        <f t="shared" si="627"/>
        <v>10.708455762324521</v>
      </c>
      <c r="AR297" s="110">
        <f t="shared" si="627"/>
        <v>5.3909328553290026</v>
      </c>
      <c r="AS297" s="110">
        <f t="shared" si="627"/>
        <v>3.0286500294753407</v>
      </c>
      <c r="AT297" s="110">
        <f t="shared" si="627"/>
        <v>0</v>
      </c>
      <c r="AU297" s="110">
        <f t="shared" si="627"/>
        <v>3.336898395721926</v>
      </c>
      <c r="AV297" s="110">
        <f t="shared" si="627"/>
        <v>2.0705270683044161</v>
      </c>
      <c r="AW297" s="110">
        <f t="shared" si="627"/>
        <v>5.557404613063162</v>
      </c>
      <c r="AX297" s="110">
        <f t="shared" si="627"/>
        <v>0</v>
      </c>
      <c r="AY297" s="110">
        <f t="shared" si="627"/>
        <v>2.9864183158711683</v>
      </c>
      <c r="AZ297" s="110">
        <f t="shared" si="627"/>
        <v>8.3278741953882491</v>
      </c>
      <c r="BA297" s="110">
        <f t="shared" si="627"/>
        <v>8.3564825788101444</v>
      </c>
      <c r="BB297" s="110">
        <f t="shared" si="627"/>
        <v>0</v>
      </c>
      <c r="BC297" s="61">
        <f t="shared" si="624"/>
        <v>224.86191168639635</v>
      </c>
    </row>
    <row r="298" spans="2:56" x14ac:dyDescent="0.25">
      <c r="B298" s="19" t="s">
        <v>327</v>
      </c>
      <c r="C298" s="110">
        <f t="shared" si="625"/>
        <v>9.9042145593869719</v>
      </c>
      <c r="D298" s="110">
        <f t="shared" si="625"/>
        <v>4.2070227430906337</v>
      </c>
      <c r="E298" s="110">
        <f t="shared" si="625"/>
        <v>2.5383707708480827</v>
      </c>
      <c r="F298" s="110">
        <f t="shared" si="625"/>
        <v>11.799845837615624</v>
      </c>
      <c r="G298" s="110">
        <f t="shared" si="625"/>
        <v>11.285504407443684</v>
      </c>
      <c r="H298" s="110">
        <f t="shared" si="625"/>
        <v>8.5840366469987774</v>
      </c>
      <c r="I298" s="110">
        <f t="shared" si="625"/>
        <v>5.4895930636391936</v>
      </c>
      <c r="J298" s="110">
        <f t="shared" si="625"/>
        <v>4.8369925434962715</v>
      </c>
      <c r="K298" s="110">
        <f t="shared" si="625"/>
        <v>4.6149915922907772</v>
      </c>
      <c r="L298" s="110">
        <f t="shared" si="625"/>
        <v>11.577910085724531</v>
      </c>
      <c r="M298" s="110">
        <f t="shared" si="625"/>
        <v>8.7725748091804654</v>
      </c>
      <c r="N298" s="110">
        <f t="shared" si="625"/>
        <v>8.3118971061093223</v>
      </c>
      <c r="O298" s="110">
        <f t="shared" si="625"/>
        <v>9.6829501915708782</v>
      </c>
      <c r="P298" s="110">
        <f t="shared" si="625"/>
        <v>4.5848768550324408</v>
      </c>
      <c r="Q298" s="110">
        <f t="shared" si="625"/>
        <v>2.0352319184914087</v>
      </c>
      <c r="R298" s="110">
        <f t="shared" si="625"/>
        <v>12.035553329994995</v>
      </c>
      <c r="S298" s="110">
        <f t="shared" ref="S298:BB298" si="628">IF(S788-S801&lt;0,(S788-S801)*(-1),0)/(60*60)</f>
        <v>11.018854064642509</v>
      </c>
      <c r="T298" s="110">
        <f t="shared" si="628"/>
        <v>6.7769056340484939</v>
      </c>
      <c r="U298" s="110">
        <f t="shared" si="628"/>
        <v>5.432684247083901</v>
      </c>
      <c r="V298" s="110">
        <f t="shared" si="628"/>
        <v>5.1840133222314719</v>
      </c>
      <c r="W298" s="110">
        <f t="shared" si="628"/>
        <v>4.1130811662726616</v>
      </c>
      <c r="X298" s="110">
        <f t="shared" si="628"/>
        <v>12.833181730477687</v>
      </c>
      <c r="Y298" s="110">
        <f t="shared" si="628"/>
        <v>8.3443680703694962</v>
      </c>
      <c r="Z298" s="110">
        <f t="shared" si="628"/>
        <v>6.4553392056869097</v>
      </c>
      <c r="AA298" s="110">
        <f t="shared" si="628"/>
        <v>10.473180076628349</v>
      </c>
      <c r="AB298" s="110">
        <f t="shared" si="628"/>
        <v>3.7875322345554419</v>
      </c>
      <c r="AC298" s="110">
        <f t="shared" si="628"/>
        <v>2.6743043487588753</v>
      </c>
      <c r="AD298" s="110">
        <f t="shared" si="628"/>
        <v>12.82018442622951</v>
      </c>
      <c r="AE298" s="110">
        <f t="shared" si="628"/>
        <v>10.752203721841328</v>
      </c>
      <c r="AF298" s="110">
        <f t="shared" si="628"/>
        <v>8.312918564991163</v>
      </c>
      <c r="AG298" s="110">
        <f t="shared" si="628"/>
        <v>5.8689851740078058</v>
      </c>
      <c r="AH298" s="110">
        <f t="shared" si="628"/>
        <v>4.3184845961698572</v>
      </c>
      <c r="AI298" s="110">
        <f t="shared" si="628"/>
        <v>5.4371552403467325</v>
      </c>
      <c r="AJ298" s="110">
        <f t="shared" si="628"/>
        <v>12.560296590313964</v>
      </c>
      <c r="AK298" s="110">
        <f t="shared" si="628"/>
        <v>8.4695162097390124</v>
      </c>
      <c r="AL298" s="110">
        <f t="shared" si="628"/>
        <v>6.6873744398083765</v>
      </c>
      <c r="AM298" s="110">
        <f t="shared" si="628"/>
        <v>9.9358237547892756</v>
      </c>
      <c r="AN298" s="110">
        <f t="shared" si="628"/>
        <v>4.8293706921712554</v>
      </c>
      <c r="AO298" s="110">
        <f t="shared" si="628"/>
        <v>2.3234230184721429</v>
      </c>
      <c r="AP298" s="110">
        <f t="shared" si="628"/>
        <v>12.186219262295086</v>
      </c>
      <c r="AQ298" s="110">
        <f t="shared" si="628"/>
        <v>11.043095004897163</v>
      </c>
      <c r="AR298" s="110">
        <f t="shared" si="628"/>
        <v>7.721388204247269</v>
      </c>
      <c r="AS298" s="110">
        <f t="shared" si="628"/>
        <v>3.0847361411322871</v>
      </c>
      <c r="AT298" s="110">
        <f t="shared" si="628"/>
        <v>3.6739649681528639</v>
      </c>
      <c r="AU298" s="110">
        <f t="shared" si="628"/>
        <v>4.9705882352941098</v>
      </c>
      <c r="AV298" s="110">
        <f t="shared" si="628"/>
        <v>2.9655986655401727</v>
      </c>
      <c r="AW298" s="110">
        <f t="shared" si="628"/>
        <v>5.6603195133050717</v>
      </c>
      <c r="AX298" s="110">
        <f t="shared" si="628"/>
        <v>4.201325600662801</v>
      </c>
      <c r="AY298" s="110">
        <f t="shared" si="628"/>
        <v>4.4485189496830975</v>
      </c>
      <c r="AZ298" s="110">
        <f t="shared" si="628"/>
        <v>11.927944811102959</v>
      </c>
      <c r="BA298" s="110">
        <f t="shared" si="628"/>
        <v>8.5112322561955196</v>
      </c>
      <c r="BB298" s="110">
        <f t="shared" si="628"/>
        <v>7.5976665121310445</v>
      </c>
      <c r="BC298" s="61">
        <f t="shared" si="624"/>
        <v>377.66334511518977</v>
      </c>
    </row>
    <row r="299" spans="2:56" x14ac:dyDescent="0.25">
      <c r="B299" s="19" t="s">
        <v>328</v>
      </c>
      <c r="C299" s="110">
        <f t="shared" si="625"/>
        <v>3.7400530503978775</v>
      </c>
      <c r="D299" s="110">
        <f t="shared" si="625"/>
        <v>5.3696908466356801</v>
      </c>
      <c r="E299" s="110">
        <f t="shared" si="625"/>
        <v>3.1152732187681047</v>
      </c>
      <c r="F299" s="110">
        <f t="shared" si="625"/>
        <v>10.298047276464542</v>
      </c>
      <c r="G299" s="110">
        <f t="shared" si="625"/>
        <v>6.1557296767874625</v>
      </c>
      <c r="H299" s="110">
        <f t="shared" si="625"/>
        <v>9.2707595787586889</v>
      </c>
      <c r="I299" s="110">
        <f t="shared" si="625"/>
        <v>6.7372278508299175</v>
      </c>
      <c r="J299" s="110">
        <f t="shared" si="625"/>
        <v>4.2213753106876535</v>
      </c>
      <c r="K299" s="110">
        <f t="shared" si="625"/>
        <v>1.7427240977881269</v>
      </c>
      <c r="L299" s="110">
        <f t="shared" si="625"/>
        <v>7.95718184073431</v>
      </c>
      <c r="M299" s="110">
        <f t="shared" si="625"/>
        <v>6.4598050867601646</v>
      </c>
      <c r="N299" s="110">
        <f t="shared" si="625"/>
        <v>7.254019292604502</v>
      </c>
      <c r="O299" s="110">
        <f t="shared" si="625"/>
        <v>3.6564986737400531</v>
      </c>
      <c r="P299" s="110">
        <f t="shared" si="625"/>
        <v>5.8519700949686779</v>
      </c>
      <c r="Q299" s="110">
        <f t="shared" si="625"/>
        <v>2.4977846272394526</v>
      </c>
      <c r="R299" s="110">
        <f t="shared" si="625"/>
        <v>10.503755633450172</v>
      </c>
      <c r="S299" s="110">
        <f t="shared" ref="S299:BB299" si="629">IF(S789-S802&lt;0,(S789-S802)*(-1),0)/(60*60)</f>
        <v>6.0102840352595495</v>
      </c>
      <c r="T299" s="110">
        <f t="shared" si="629"/>
        <v>10.812244897959188</v>
      </c>
      <c r="U299" s="110">
        <f t="shared" si="629"/>
        <v>6.66738521233024</v>
      </c>
      <c r="V299" s="110">
        <f t="shared" si="629"/>
        <v>4.5242298084929198</v>
      </c>
      <c r="W299" s="110">
        <f t="shared" si="629"/>
        <v>1.5531914893617027</v>
      </c>
      <c r="X299" s="110">
        <f t="shared" si="629"/>
        <v>8.8198958074919371</v>
      </c>
      <c r="Y299" s="110">
        <f t="shared" si="629"/>
        <v>10.240815359089829</v>
      </c>
      <c r="Z299" s="110">
        <f t="shared" si="629"/>
        <v>7.2433936022253125</v>
      </c>
      <c r="AA299" s="110">
        <f t="shared" si="629"/>
        <v>3.9549071618037122</v>
      </c>
      <c r="AB299" s="110">
        <f t="shared" si="629"/>
        <v>4.8342684157416729</v>
      </c>
      <c r="AC299" s="110">
        <f t="shared" si="629"/>
        <v>3.2821007916586233</v>
      </c>
      <c r="AD299" s="110">
        <f t="shared" si="629"/>
        <v>11.188524590163935</v>
      </c>
      <c r="AE299" s="110">
        <f t="shared" si="629"/>
        <v>5.8648383937316328</v>
      </c>
      <c r="AF299" s="110">
        <f t="shared" si="629"/>
        <v>8.9779520501904617</v>
      </c>
      <c r="AG299" s="110">
        <f t="shared" si="629"/>
        <v>7.2028454408277645</v>
      </c>
      <c r="AH299" s="110">
        <f t="shared" si="629"/>
        <v>3.7688592839300568</v>
      </c>
      <c r="AI299" s="110">
        <f t="shared" si="629"/>
        <v>2.0531914893617027</v>
      </c>
      <c r="AJ299" s="110">
        <f t="shared" si="629"/>
        <v>8.6323492929794075</v>
      </c>
      <c r="AK299" s="110">
        <f t="shared" si="629"/>
        <v>10.394406257406962</v>
      </c>
      <c r="AL299" s="110">
        <f t="shared" si="629"/>
        <v>7.5037552155771889</v>
      </c>
      <c r="AM299" s="110">
        <f t="shared" si="629"/>
        <v>3.7519893899204222</v>
      </c>
      <c r="AN299" s="110">
        <f t="shared" si="629"/>
        <v>6.1640331380076772</v>
      </c>
      <c r="AO299" s="110">
        <f t="shared" si="629"/>
        <v>2.8514737044885381</v>
      </c>
      <c r="AP299" s="110">
        <f t="shared" si="629"/>
        <v>10.635245901639342</v>
      </c>
      <c r="AQ299" s="110">
        <f t="shared" si="629"/>
        <v>6.0235063663075401</v>
      </c>
      <c r="AR299" s="110">
        <f t="shared" si="629"/>
        <v>8.3390992605870551</v>
      </c>
      <c r="AS299" s="110">
        <f t="shared" si="629"/>
        <v>3.7858125368441726</v>
      </c>
      <c r="AT299" s="110">
        <f t="shared" si="629"/>
        <v>3.2063694267515892</v>
      </c>
      <c r="AU299" s="110">
        <f t="shared" si="629"/>
        <v>1.8770053475935815</v>
      </c>
      <c r="AV299" s="110">
        <f t="shared" si="629"/>
        <v>3.7851822967440079</v>
      </c>
      <c r="AW299" s="110">
        <f t="shared" si="629"/>
        <v>6.9467557663289501</v>
      </c>
      <c r="AX299" s="110">
        <f t="shared" si="629"/>
        <v>3.6666114333057136</v>
      </c>
      <c r="AY299" s="110">
        <f t="shared" si="629"/>
        <v>1.6798603026775325</v>
      </c>
      <c r="AZ299" s="110">
        <f t="shared" si="629"/>
        <v>15.224395013444147</v>
      </c>
      <c r="BA299" s="110">
        <f t="shared" si="629"/>
        <v>10.445603223512679</v>
      </c>
      <c r="BB299" s="110">
        <f t="shared" si="629"/>
        <v>8.5251738525730172</v>
      </c>
      <c r="BC299" s="61">
        <f t="shared" si="624"/>
        <v>325.2694517129251</v>
      </c>
    </row>
    <row r="300" spans="2:56" x14ac:dyDescent="0.25">
      <c r="B300" s="19" t="s">
        <v>329</v>
      </c>
      <c r="C300" s="110">
        <f t="shared" si="625"/>
        <v>0</v>
      </c>
      <c r="D300" s="110">
        <f t="shared" si="625"/>
        <v>2.007897218293258</v>
      </c>
      <c r="E300" s="110">
        <f t="shared" si="625"/>
        <v>3.9373592070541297</v>
      </c>
      <c r="F300" s="110">
        <f t="shared" si="625"/>
        <v>0</v>
      </c>
      <c r="G300" s="110">
        <f t="shared" si="625"/>
        <v>0</v>
      </c>
      <c r="H300" s="110">
        <f t="shared" si="625"/>
        <v>4.0969265815221458</v>
      </c>
      <c r="I300" s="110">
        <f t="shared" si="625"/>
        <v>8.5151074225767012</v>
      </c>
      <c r="J300" s="110">
        <f t="shared" si="625"/>
        <v>5.1301436067384687</v>
      </c>
      <c r="K300" s="110">
        <f t="shared" si="625"/>
        <v>2.0331781140861493</v>
      </c>
      <c r="L300" s="110">
        <f t="shared" si="625"/>
        <v>5.5258207227321572</v>
      </c>
      <c r="M300" s="110">
        <f t="shared" si="625"/>
        <v>13.607459789240156</v>
      </c>
      <c r="N300" s="110">
        <f t="shared" si="625"/>
        <v>8.8156484458735296</v>
      </c>
      <c r="O300" s="110">
        <f t="shared" si="625"/>
        <v>0</v>
      </c>
      <c r="P300" s="110">
        <f t="shared" si="625"/>
        <v>2.1882366808109386</v>
      </c>
      <c r="Q300" s="110">
        <f t="shared" si="625"/>
        <v>3.1569222372054195</v>
      </c>
      <c r="R300" s="110">
        <f t="shared" si="625"/>
        <v>12.76498080454015</v>
      </c>
      <c r="S300" s="110">
        <f t="shared" ref="S300:BB300" si="630">IF(S790-S803&lt;0,(S790-S803)*(-1),0)/(60*60)</f>
        <v>0</v>
      </c>
      <c r="T300" s="110">
        <f t="shared" si="630"/>
        <v>4.0430402930402929</v>
      </c>
      <c r="U300" s="110">
        <f t="shared" si="630"/>
        <v>8.4268340878062737</v>
      </c>
      <c r="V300" s="110">
        <f t="shared" si="630"/>
        <v>5.4981959478212632</v>
      </c>
      <c r="W300" s="110">
        <f t="shared" si="630"/>
        <v>0</v>
      </c>
      <c r="X300" s="110">
        <f t="shared" si="630"/>
        <v>6.1249276440916223</v>
      </c>
      <c r="Y300" s="110">
        <f t="shared" si="630"/>
        <v>8.9607134392036052</v>
      </c>
      <c r="Z300" s="110">
        <f t="shared" si="630"/>
        <v>8.8027352804821479</v>
      </c>
      <c r="AA300" s="110">
        <f t="shared" si="630"/>
        <v>0</v>
      </c>
      <c r="AB300" s="110">
        <f t="shared" si="630"/>
        <v>1.8076858392196422</v>
      </c>
      <c r="AC300" s="110">
        <f t="shared" si="630"/>
        <v>4.1482107227907541</v>
      </c>
      <c r="AD300" s="110">
        <f t="shared" si="630"/>
        <v>5.4388661202185782</v>
      </c>
      <c r="AE300" s="110">
        <f t="shared" si="630"/>
        <v>0</v>
      </c>
      <c r="AF300" s="110">
        <f t="shared" si="630"/>
        <v>3.9675293151094189</v>
      </c>
      <c r="AG300" s="110">
        <f t="shared" si="630"/>
        <v>9.103596321046199</v>
      </c>
      <c r="AH300" s="110">
        <f t="shared" si="630"/>
        <v>4.58021093533167</v>
      </c>
      <c r="AI300" s="110">
        <f t="shared" si="630"/>
        <v>0</v>
      </c>
      <c r="AJ300" s="110">
        <f t="shared" si="630"/>
        <v>5.994687009013477</v>
      </c>
      <c r="AK300" s="110">
        <f t="shared" si="630"/>
        <v>9.0951054752310991</v>
      </c>
      <c r="AL300" s="110">
        <f t="shared" si="630"/>
        <v>9.1191469633750568</v>
      </c>
      <c r="AM300" s="110">
        <f t="shared" si="630"/>
        <v>0</v>
      </c>
      <c r="AN300" s="110">
        <f t="shared" si="630"/>
        <v>2.3049269212635548</v>
      </c>
      <c r="AO300" s="110">
        <f t="shared" si="630"/>
        <v>3.6039459320618983</v>
      </c>
      <c r="AP300" s="110">
        <f t="shared" si="630"/>
        <v>5.1699112021857907</v>
      </c>
      <c r="AQ300" s="110">
        <f t="shared" si="630"/>
        <v>0</v>
      </c>
      <c r="AR300" s="110">
        <f t="shared" si="630"/>
        <v>3.6852080065725588</v>
      </c>
      <c r="AS300" s="110">
        <f t="shared" si="630"/>
        <v>4.7848464007336107</v>
      </c>
      <c r="AT300" s="110">
        <f t="shared" si="630"/>
        <v>3.8966295116772827</v>
      </c>
      <c r="AU300" s="110">
        <f t="shared" si="630"/>
        <v>1.8248663101604283</v>
      </c>
      <c r="AV300" s="110">
        <f t="shared" si="630"/>
        <v>1.4153993630987194</v>
      </c>
      <c r="AW300" s="110">
        <f t="shared" si="630"/>
        <v>8.7799274268879763</v>
      </c>
      <c r="AX300" s="110">
        <f t="shared" si="630"/>
        <v>4.4559513946423612</v>
      </c>
      <c r="AY300" s="110">
        <f t="shared" si="630"/>
        <v>1.9598370197904538</v>
      </c>
      <c r="AZ300" s="110">
        <f t="shared" si="630"/>
        <v>5.6928827507536859</v>
      </c>
      <c r="BA300" s="110">
        <f t="shared" si="630"/>
        <v>9.1399028205735959</v>
      </c>
      <c r="BB300" s="110">
        <f t="shared" si="630"/>
        <v>10.360454334724151</v>
      </c>
      <c r="BC300" s="61">
        <f t="shared" si="624"/>
        <v>233.96585561958037</v>
      </c>
    </row>
    <row r="301" spans="2:56" x14ac:dyDescent="0.25">
      <c r="B301" s="19" t="s">
        <v>330</v>
      </c>
      <c r="C301" s="110">
        <f t="shared" si="625"/>
        <v>0</v>
      </c>
      <c r="D301" s="110">
        <f t="shared" si="625"/>
        <v>1.0326328551222468</v>
      </c>
      <c r="E301" s="110">
        <f t="shared" si="625"/>
        <v>1.5576366093840524</v>
      </c>
      <c r="F301" s="110">
        <f t="shared" si="625"/>
        <v>11.799845837615624</v>
      </c>
      <c r="G301" s="110">
        <f t="shared" si="625"/>
        <v>0</v>
      </c>
      <c r="H301" s="110">
        <f t="shared" si="625"/>
        <v>0</v>
      </c>
      <c r="I301" s="110">
        <f t="shared" si="625"/>
        <v>2.8071782711791333</v>
      </c>
      <c r="J301" s="110">
        <f t="shared" si="625"/>
        <v>5.7164457332228631</v>
      </c>
      <c r="K301" s="110">
        <f t="shared" si="625"/>
        <v>0</v>
      </c>
      <c r="L301" s="110">
        <f t="shared" si="625"/>
        <v>0</v>
      </c>
      <c r="M301" s="110">
        <f t="shared" si="625"/>
        <v>4.4859757546945564</v>
      </c>
      <c r="N301" s="110">
        <f t="shared" si="625"/>
        <v>8.3118971061093223</v>
      </c>
      <c r="O301" s="110">
        <f t="shared" si="625"/>
        <v>0</v>
      </c>
      <c r="P301" s="110">
        <f t="shared" si="625"/>
        <v>0</v>
      </c>
      <c r="Q301" s="110">
        <f t="shared" si="625"/>
        <v>1.0407435946831052</v>
      </c>
      <c r="R301" s="110">
        <f t="shared" si="625"/>
        <v>7.6589884827240891</v>
      </c>
      <c r="S301" s="110">
        <f t="shared" ref="S301:BB301" si="631">IF(S791-S804&lt;0,(S791-S804)*(-1),0)/(60*60)</f>
        <v>0</v>
      </c>
      <c r="T301" s="110">
        <f t="shared" si="631"/>
        <v>0</v>
      </c>
      <c r="U301" s="110">
        <f t="shared" si="631"/>
        <v>2.7780771718042687</v>
      </c>
      <c r="V301" s="110">
        <f t="shared" si="631"/>
        <v>6.1265611990008297</v>
      </c>
      <c r="W301" s="110">
        <f t="shared" si="631"/>
        <v>0</v>
      </c>
      <c r="X301" s="110">
        <f t="shared" si="631"/>
        <v>0</v>
      </c>
      <c r="Y301" s="110">
        <f t="shared" si="631"/>
        <v>4.2670063996207626</v>
      </c>
      <c r="Z301" s="110">
        <f t="shared" si="631"/>
        <v>9.8087621696801062</v>
      </c>
      <c r="AA301" s="110">
        <f t="shared" si="631"/>
        <v>0</v>
      </c>
      <c r="AB301" s="110">
        <f t="shared" si="631"/>
        <v>0</v>
      </c>
      <c r="AC301" s="110">
        <f t="shared" si="631"/>
        <v>1.3675419965244247</v>
      </c>
      <c r="AD301" s="110">
        <f t="shared" si="631"/>
        <v>15.151127049180326</v>
      </c>
      <c r="AE301" s="110">
        <f t="shared" si="631"/>
        <v>0</v>
      </c>
      <c r="AF301" s="110">
        <f t="shared" si="631"/>
        <v>0</v>
      </c>
      <c r="AG301" s="110">
        <f t="shared" si="631"/>
        <v>3.0011856003449027</v>
      </c>
      <c r="AH301" s="110">
        <f t="shared" si="631"/>
        <v>5.1036636136552911</v>
      </c>
      <c r="AI301" s="110">
        <f t="shared" si="631"/>
        <v>0</v>
      </c>
      <c r="AJ301" s="110">
        <f t="shared" si="631"/>
        <v>0</v>
      </c>
      <c r="AK301" s="110">
        <f t="shared" si="631"/>
        <v>4.3310026072529038</v>
      </c>
      <c r="AL301" s="110">
        <f t="shared" si="631"/>
        <v>10.161335187760779</v>
      </c>
      <c r="AM301" s="110">
        <f t="shared" si="631"/>
        <v>0</v>
      </c>
      <c r="AN301" s="110">
        <f t="shared" si="631"/>
        <v>0</v>
      </c>
      <c r="AO301" s="110">
        <f t="shared" si="631"/>
        <v>1.188114043536892</v>
      </c>
      <c r="AP301" s="110">
        <f t="shared" si="631"/>
        <v>14.401895491803273</v>
      </c>
      <c r="AQ301" s="110">
        <f t="shared" si="631"/>
        <v>0</v>
      </c>
      <c r="AR301" s="110">
        <f t="shared" si="631"/>
        <v>0</v>
      </c>
      <c r="AS301" s="110">
        <f t="shared" si="631"/>
        <v>1.577421890351739</v>
      </c>
      <c r="AT301" s="110">
        <f t="shared" si="631"/>
        <v>4.3419585987261158</v>
      </c>
      <c r="AU301" s="110">
        <f t="shared" si="631"/>
        <v>0</v>
      </c>
      <c r="AV301" s="110">
        <f t="shared" si="631"/>
        <v>0</v>
      </c>
      <c r="AW301" s="110">
        <f t="shared" si="631"/>
        <v>2.8944815693037302</v>
      </c>
      <c r="AX301" s="110">
        <f t="shared" si="631"/>
        <v>4.9652029826014932</v>
      </c>
      <c r="AY301" s="110">
        <f t="shared" si="631"/>
        <v>0</v>
      </c>
      <c r="AZ301" s="110">
        <f t="shared" si="631"/>
        <v>0</v>
      </c>
      <c r="BA301" s="110">
        <f t="shared" si="631"/>
        <v>4.3523346764636175</v>
      </c>
      <c r="BB301" s="110">
        <f t="shared" si="631"/>
        <v>11.544506258692628</v>
      </c>
      <c r="BC301" s="61">
        <f t="shared" si="624"/>
        <v>151.77352275103905</v>
      </c>
    </row>
    <row r="302" spans="2:56" x14ac:dyDescent="0.25">
      <c r="B302" s="19" t="s">
        <v>331</v>
      </c>
      <c r="C302" s="110">
        <f t="shared" si="625"/>
        <v>0</v>
      </c>
      <c r="D302" s="110">
        <f t="shared" si="625"/>
        <v>0</v>
      </c>
      <c r="E302" s="110">
        <f t="shared" si="625"/>
        <v>0</v>
      </c>
      <c r="F302" s="110">
        <f t="shared" si="625"/>
        <v>5.4827566518214006</v>
      </c>
      <c r="G302" s="110">
        <f t="shared" si="625"/>
        <v>0</v>
      </c>
      <c r="H302" s="110">
        <f t="shared" si="625"/>
        <v>0</v>
      </c>
      <c r="I302" s="110">
        <f t="shared" si="625"/>
        <v>0</v>
      </c>
      <c r="J302" s="110">
        <f t="shared" si="625"/>
        <v>2.247491484856853</v>
      </c>
      <c r="K302" s="110">
        <f t="shared" si="625"/>
        <v>0</v>
      </c>
      <c r="L302" s="110">
        <f t="shared" si="625"/>
        <v>0</v>
      </c>
      <c r="M302" s="110">
        <f t="shared" si="625"/>
        <v>0</v>
      </c>
      <c r="N302" s="110">
        <f t="shared" si="625"/>
        <v>3.8620936048588779</v>
      </c>
      <c r="O302" s="110">
        <f t="shared" si="625"/>
        <v>0</v>
      </c>
      <c r="P302" s="110">
        <f t="shared" si="625"/>
        <v>0</v>
      </c>
      <c r="Q302" s="110">
        <f t="shared" si="625"/>
        <v>1.27664547614461</v>
      </c>
      <c r="R302" s="110">
        <f t="shared" si="625"/>
        <v>5.5922773048461591</v>
      </c>
      <c r="S302" s="110">
        <f t="shared" ref="S302:BB302" si="632">IF(S792-S805&lt;0,(S792-S805)*(-1),0)/(60*60)</f>
        <v>0</v>
      </c>
      <c r="T302" s="110">
        <f t="shared" si="632"/>
        <v>0</v>
      </c>
      <c r="U302" s="110">
        <f t="shared" si="632"/>
        <v>0</v>
      </c>
      <c r="V302" s="110">
        <f t="shared" si="632"/>
        <v>2.4087334628550283</v>
      </c>
      <c r="W302" s="110">
        <f t="shared" si="632"/>
        <v>1.5877068557919625</v>
      </c>
      <c r="X302" s="110">
        <f t="shared" si="632"/>
        <v>0</v>
      </c>
      <c r="Y302" s="110">
        <f t="shared" si="632"/>
        <v>0</v>
      </c>
      <c r="Z302" s="110">
        <f t="shared" si="632"/>
        <v>3.8564364085921805</v>
      </c>
      <c r="AA302" s="110">
        <f t="shared" si="632"/>
        <v>0</v>
      </c>
      <c r="AB302" s="110">
        <f t="shared" si="632"/>
        <v>0.95032626976118384</v>
      </c>
      <c r="AC302" s="110">
        <f t="shared" si="632"/>
        <v>0</v>
      </c>
      <c r="AD302" s="110">
        <f t="shared" si="632"/>
        <v>5.9568533697632056</v>
      </c>
      <c r="AE302" s="110">
        <f t="shared" si="632"/>
        <v>0</v>
      </c>
      <c r="AF302" s="110">
        <f t="shared" si="632"/>
        <v>0</v>
      </c>
      <c r="AG302" s="110">
        <f t="shared" si="632"/>
        <v>0</v>
      </c>
      <c r="AH302" s="110">
        <f t="shared" si="632"/>
        <v>2.0065686002405405</v>
      </c>
      <c r="AI302" s="110">
        <f t="shared" si="632"/>
        <v>2.0988179669030735</v>
      </c>
      <c r="AJ302" s="110">
        <f t="shared" si="632"/>
        <v>0</v>
      </c>
      <c r="AK302" s="110">
        <f t="shared" si="632"/>
        <v>0</v>
      </c>
      <c r="AL302" s="110">
        <f t="shared" si="632"/>
        <v>3.9950548601452627</v>
      </c>
      <c r="AM302" s="110">
        <f t="shared" si="632"/>
        <v>0</v>
      </c>
      <c r="AN302" s="110">
        <f t="shared" si="632"/>
        <v>0</v>
      </c>
      <c r="AO302" s="110">
        <f t="shared" si="632"/>
        <v>1.4574198934052542</v>
      </c>
      <c r="AP302" s="110">
        <f t="shared" si="632"/>
        <v>5.6622836976320592</v>
      </c>
      <c r="AQ302" s="110">
        <f t="shared" si="632"/>
        <v>0</v>
      </c>
      <c r="AR302" s="110">
        <f t="shared" si="632"/>
        <v>0</v>
      </c>
      <c r="AS302" s="110">
        <f t="shared" si="632"/>
        <v>0</v>
      </c>
      <c r="AT302" s="110">
        <f t="shared" si="632"/>
        <v>1.7070948336871901</v>
      </c>
      <c r="AU302" s="110">
        <f t="shared" si="632"/>
        <v>0</v>
      </c>
      <c r="AV302" s="110">
        <f t="shared" si="632"/>
        <v>0</v>
      </c>
      <c r="AW302" s="110">
        <f t="shared" si="632"/>
        <v>0</v>
      </c>
      <c r="AX302" s="110">
        <f t="shared" si="632"/>
        <v>1.9521310871766542</v>
      </c>
      <c r="AY302" s="110">
        <f t="shared" si="632"/>
        <v>0</v>
      </c>
      <c r="AZ302" s="110">
        <f t="shared" si="632"/>
        <v>0</v>
      </c>
      <c r="BA302" s="110">
        <f t="shared" si="632"/>
        <v>0</v>
      </c>
      <c r="BB302" s="110">
        <f t="shared" si="632"/>
        <v>4.5388657085458197</v>
      </c>
      <c r="BC302" s="61">
        <f t="shared" si="624"/>
        <v>56.639557537027308</v>
      </c>
    </row>
    <row r="303" spans="2:56" x14ac:dyDescent="0.25">
      <c r="B303" s="131" t="s">
        <v>298</v>
      </c>
      <c r="C303" s="151">
        <f>C287*C295</f>
        <v>23382.33548396175</v>
      </c>
      <c r="D303" s="151">
        <f t="shared" ref="D303:BB303" si="633">D287*D295</f>
        <v>0</v>
      </c>
      <c r="E303" s="151">
        <f t="shared" si="633"/>
        <v>5415.348189945722</v>
      </c>
      <c r="F303" s="151">
        <f t="shared" si="633"/>
        <v>0</v>
      </c>
      <c r="G303" s="151">
        <f t="shared" si="633"/>
        <v>38452.920002187158</v>
      </c>
      <c r="H303" s="151">
        <f t="shared" si="633"/>
        <v>0</v>
      </c>
      <c r="I303" s="151">
        <f t="shared" si="633"/>
        <v>0</v>
      </c>
      <c r="J303" s="151">
        <f t="shared" si="633"/>
        <v>0</v>
      </c>
      <c r="K303" s="151">
        <f t="shared" si="633"/>
        <v>10905.541359650124</v>
      </c>
      <c r="L303" s="151">
        <f t="shared" si="633"/>
        <v>0</v>
      </c>
      <c r="M303" s="151">
        <f t="shared" si="633"/>
        <v>0</v>
      </c>
      <c r="N303" s="151">
        <f t="shared" si="633"/>
        <v>0</v>
      </c>
      <c r="O303" s="151">
        <f t="shared" si="633"/>
        <v>22859.964159320054</v>
      </c>
      <c r="P303" s="151">
        <f t="shared" si="633"/>
        <v>4693.5843619058651</v>
      </c>
      <c r="Q303" s="151">
        <f t="shared" si="633"/>
        <v>0</v>
      </c>
      <c r="R303" s="151">
        <f t="shared" si="633"/>
        <v>0</v>
      </c>
      <c r="S303" s="151">
        <f t="shared" si="633"/>
        <v>37544.366522421886</v>
      </c>
      <c r="T303" s="151">
        <f t="shared" si="633"/>
        <v>0</v>
      </c>
      <c r="U303" s="151">
        <f t="shared" si="633"/>
        <v>0</v>
      </c>
      <c r="V303" s="151">
        <f t="shared" si="633"/>
        <v>5895.3332506009065</v>
      </c>
      <c r="W303" s="151">
        <f t="shared" si="633"/>
        <v>9718.4843820733495</v>
      </c>
      <c r="X303" s="151">
        <f t="shared" si="633"/>
        <v>0</v>
      </c>
      <c r="Y303" s="151">
        <f t="shared" si="633"/>
        <v>0</v>
      </c>
      <c r="Z303" s="151">
        <f t="shared" si="633"/>
        <v>0</v>
      </c>
      <c r="AA303" s="151">
        <f t="shared" si="633"/>
        <v>24725.576033040397</v>
      </c>
      <c r="AB303" s="151">
        <f t="shared" si="633"/>
        <v>0</v>
      </c>
      <c r="AC303" s="151">
        <f t="shared" si="633"/>
        <v>6846.4178901225341</v>
      </c>
      <c r="AD303" s="151">
        <f t="shared" si="633"/>
        <v>0</v>
      </c>
      <c r="AE303" s="151">
        <f t="shared" si="633"/>
        <v>36635.813042656613</v>
      </c>
      <c r="AF303" s="151">
        <f t="shared" si="633"/>
        <v>0</v>
      </c>
      <c r="AG303" s="151">
        <f t="shared" si="633"/>
        <v>0</v>
      </c>
      <c r="AH303" s="151">
        <f t="shared" si="633"/>
        <v>4911.0417449793786</v>
      </c>
      <c r="AI303" s="151">
        <f t="shared" si="633"/>
        <v>12847.037573562711</v>
      </c>
      <c r="AJ303" s="151">
        <f t="shared" si="633"/>
        <v>0</v>
      </c>
      <c r="AK303" s="151">
        <f t="shared" si="633"/>
        <v>0</v>
      </c>
      <c r="AL303" s="151">
        <f t="shared" si="633"/>
        <v>0</v>
      </c>
      <c r="AM303" s="151">
        <f t="shared" si="633"/>
        <v>23456.959958910564</v>
      </c>
      <c r="AN303" s="151">
        <f t="shared" si="633"/>
        <v>4943.8751520101923</v>
      </c>
      <c r="AO303" s="151">
        <f t="shared" si="633"/>
        <v>0</v>
      </c>
      <c r="AP303" s="151">
        <f t="shared" si="633"/>
        <v>0</v>
      </c>
      <c r="AQ303" s="151">
        <f t="shared" si="633"/>
        <v>37626.962293309633</v>
      </c>
      <c r="AR303" s="151">
        <f t="shared" si="633"/>
        <v>0</v>
      </c>
      <c r="AS303" s="151">
        <f t="shared" si="633"/>
        <v>6580.1796144176978</v>
      </c>
      <c r="AT303" s="151">
        <f t="shared" si="633"/>
        <v>0</v>
      </c>
      <c r="AU303" s="151">
        <f t="shared" si="633"/>
        <v>11744.191598272755</v>
      </c>
      <c r="AV303" s="151">
        <f t="shared" si="633"/>
        <v>5061.1038551063939</v>
      </c>
      <c r="AW303" s="151">
        <f t="shared" si="633"/>
        <v>0</v>
      </c>
      <c r="AX303" s="151">
        <f t="shared" si="633"/>
        <v>0</v>
      </c>
      <c r="AY303" s="151">
        <f t="shared" si="633"/>
        <v>10512.155098179783</v>
      </c>
      <c r="AZ303" s="151">
        <f t="shared" si="633"/>
        <v>0</v>
      </c>
      <c r="BA303" s="151">
        <f t="shared" si="633"/>
        <v>0</v>
      </c>
      <c r="BB303" s="151">
        <f t="shared" si="633"/>
        <v>0</v>
      </c>
      <c r="BC303" s="162">
        <f t="shared" ref="BC303:BC310" si="634">SUM(C303:BB303)</f>
        <v>344759.19156663545</v>
      </c>
      <c r="BD303" s="163"/>
    </row>
    <row r="304" spans="2:56" x14ac:dyDescent="0.25">
      <c r="B304" s="131" t="s">
        <v>299</v>
      </c>
      <c r="C304" s="151">
        <f t="shared" ref="C304:R310" si="635">C288*C296</f>
        <v>15982.80818130009</v>
      </c>
      <c r="D304" s="151">
        <f t="shared" si="635"/>
        <v>9938.2549001798488</v>
      </c>
      <c r="E304" s="151">
        <f t="shared" si="635"/>
        <v>0</v>
      </c>
      <c r="F304" s="151">
        <f t="shared" si="635"/>
        <v>20592.167959363243</v>
      </c>
      <c r="G304" s="151">
        <f t="shared" si="635"/>
        <v>26275.109317457784</v>
      </c>
      <c r="H304" s="151">
        <f t="shared" si="635"/>
        <v>20256.097354597652</v>
      </c>
      <c r="I304" s="151">
        <f t="shared" si="635"/>
        <v>0</v>
      </c>
      <c r="J304" s="151">
        <f t="shared" si="635"/>
        <v>4230.9564686525509</v>
      </c>
      <c r="K304" s="151">
        <f t="shared" si="635"/>
        <v>7457.3107717911143</v>
      </c>
      <c r="L304" s="151">
        <f t="shared" si="635"/>
        <v>27288.503844793511</v>
      </c>
      <c r="M304" s="151">
        <f t="shared" si="635"/>
        <v>0</v>
      </c>
      <c r="N304" s="151">
        <f t="shared" si="635"/>
        <v>0</v>
      </c>
      <c r="O304" s="151">
        <f t="shared" si="635"/>
        <v>15625.745445334871</v>
      </c>
      <c r="P304" s="151">
        <f t="shared" si="635"/>
        <v>10830.86012455761</v>
      </c>
      <c r="Q304" s="151">
        <f t="shared" si="635"/>
        <v>0</v>
      </c>
      <c r="R304" s="151">
        <f t="shared" si="635"/>
        <v>0</v>
      </c>
      <c r="S304" s="151">
        <f t="shared" ref="S304:BB304" si="636">S288*S296</f>
        <v>25654.28931210496</v>
      </c>
      <c r="T304" s="151">
        <f t="shared" si="636"/>
        <v>19989.473638449457</v>
      </c>
      <c r="U304" s="151">
        <f t="shared" si="636"/>
        <v>0</v>
      </c>
      <c r="V304" s="151">
        <f t="shared" si="636"/>
        <v>0</v>
      </c>
      <c r="W304" s="151">
        <f t="shared" si="636"/>
        <v>6645.3037171168471</v>
      </c>
      <c r="X304" s="151">
        <f t="shared" si="636"/>
        <v>30247.110782529406</v>
      </c>
      <c r="Y304" s="151">
        <f t="shared" si="636"/>
        <v>0</v>
      </c>
      <c r="Z304" s="151">
        <f t="shared" si="636"/>
        <v>0</v>
      </c>
      <c r="AA304" s="151">
        <f t="shared" si="636"/>
        <v>16900.969502353495</v>
      </c>
      <c r="AB304" s="151">
        <f t="shared" si="636"/>
        <v>8947.3998221816782</v>
      </c>
      <c r="AC304" s="151">
        <f t="shared" si="636"/>
        <v>0</v>
      </c>
      <c r="AD304" s="151">
        <f t="shared" si="636"/>
        <v>0</v>
      </c>
      <c r="AE304" s="151">
        <f t="shared" si="636"/>
        <v>25033.46930675214</v>
      </c>
      <c r="AF304" s="151">
        <f t="shared" si="636"/>
        <v>19616.329085940713</v>
      </c>
      <c r="AG304" s="151">
        <f t="shared" si="636"/>
        <v>0</v>
      </c>
      <c r="AH304" s="151">
        <f t="shared" si="636"/>
        <v>0</v>
      </c>
      <c r="AI304" s="151">
        <f t="shared" si="636"/>
        <v>8784.5453246818543</v>
      </c>
      <c r="AJ304" s="151">
        <f t="shared" si="636"/>
        <v>29603.935361282474</v>
      </c>
      <c r="AK304" s="151">
        <f t="shared" si="636"/>
        <v>0</v>
      </c>
      <c r="AL304" s="151">
        <f t="shared" si="636"/>
        <v>0</v>
      </c>
      <c r="AM304" s="151">
        <f t="shared" si="636"/>
        <v>16033.817143580829</v>
      </c>
      <c r="AN304" s="151">
        <f t="shared" si="636"/>
        <v>11408.428210919692</v>
      </c>
      <c r="AO304" s="151">
        <f t="shared" si="636"/>
        <v>0</v>
      </c>
      <c r="AP304" s="151">
        <f t="shared" si="636"/>
        <v>0</v>
      </c>
      <c r="AQ304" s="151">
        <f t="shared" si="636"/>
        <v>25710.727494409759</v>
      </c>
      <c r="AR304" s="151">
        <f t="shared" si="636"/>
        <v>18220.471045234674</v>
      </c>
      <c r="AS304" s="151">
        <f t="shared" si="636"/>
        <v>0</v>
      </c>
      <c r="AT304" s="151">
        <f t="shared" si="636"/>
        <v>5358.2109213355507</v>
      </c>
      <c r="AU304" s="151">
        <f t="shared" si="636"/>
        <v>8030.3191512482463</v>
      </c>
      <c r="AV304" s="151">
        <f t="shared" si="636"/>
        <v>7008.0848662054614</v>
      </c>
      <c r="AW304" s="151">
        <f t="shared" si="636"/>
        <v>0</v>
      </c>
      <c r="AX304" s="151">
        <f t="shared" si="636"/>
        <v>3674.9334565215754</v>
      </c>
      <c r="AY304" s="151">
        <f t="shared" si="636"/>
        <v>7188.3095816263094</v>
      </c>
      <c r="AZ304" s="151">
        <f t="shared" si="636"/>
        <v>9372.8558646930032</v>
      </c>
      <c r="BA304" s="151">
        <f t="shared" si="636"/>
        <v>0</v>
      </c>
      <c r="BB304" s="151">
        <f t="shared" si="636"/>
        <v>0</v>
      </c>
      <c r="BC304" s="162">
        <f t="shared" si="634"/>
        <v>461906.79795719642</v>
      </c>
      <c r="BD304" s="163"/>
    </row>
    <row r="305" spans="2:56" x14ac:dyDescent="0.25">
      <c r="B305" s="131" t="s">
        <v>300</v>
      </c>
      <c r="C305" s="151">
        <f t="shared" si="635"/>
        <v>22226.986470037788</v>
      </c>
      <c r="D305" s="151">
        <f t="shared" si="635"/>
        <v>9827.1266621948325</v>
      </c>
      <c r="E305" s="151">
        <f t="shared" si="635"/>
        <v>8341.3882003088402</v>
      </c>
      <c r="F305" s="151">
        <f t="shared" si="635"/>
        <v>0</v>
      </c>
      <c r="G305" s="151">
        <f t="shared" si="635"/>
        <v>36545.427587748381</v>
      </c>
      <c r="H305" s="151">
        <f t="shared" si="635"/>
        <v>20032.191883341449</v>
      </c>
      <c r="I305" s="151">
        <f t="shared" si="635"/>
        <v>18021.871593532465</v>
      </c>
      <c r="J305" s="151">
        <f t="shared" si="635"/>
        <v>0</v>
      </c>
      <c r="K305" s="151">
        <f t="shared" si="635"/>
        <v>10369.090712459065</v>
      </c>
      <c r="L305" s="151">
        <f t="shared" si="635"/>
        <v>26990.688611881102</v>
      </c>
      <c r="M305" s="151">
        <f t="shared" si="635"/>
        <v>28771.950359574228</v>
      </c>
      <c r="N305" s="151">
        <f t="shared" si="635"/>
        <v>0</v>
      </c>
      <c r="O305" s="151">
        <f t="shared" si="635"/>
        <v>21730.426134005036</v>
      </c>
      <c r="P305" s="151">
        <f t="shared" si="635"/>
        <v>10709.750894255782</v>
      </c>
      <c r="Q305" s="151">
        <f t="shared" si="635"/>
        <v>6688.1435662935046</v>
      </c>
      <c r="R305" s="151">
        <f t="shared" si="635"/>
        <v>0</v>
      </c>
      <c r="S305" s="151">
        <f t="shared" ref="S305:BB305" si="637">S289*S297</f>
        <v>35681.943737823072</v>
      </c>
      <c r="T305" s="151">
        <f t="shared" si="637"/>
        <v>19768.538777481779</v>
      </c>
      <c r="U305" s="151">
        <f t="shared" si="637"/>
        <v>17835.044742687631</v>
      </c>
      <c r="V305" s="151">
        <f t="shared" si="637"/>
        <v>0</v>
      </c>
      <c r="W305" s="151">
        <f t="shared" si="637"/>
        <v>9240.189527689754</v>
      </c>
      <c r="X305" s="151">
        <f t="shared" si="637"/>
        <v>29917.006560111757</v>
      </c>
      <c r="Y305" s="151">
        <f t="shared" si="637"/>
        <v>27368.338500876493</v>
      </c>
      <c r="Z305" s="151">
        <f t="shared" si="637"/>
        <v>0</v>
      </c>
      <c r="AA305" s="151">
        <f t="shared" si="637"/>
        <v>23503.855905550601</v>
      </c>
      <c r="AB305" s="151">
        <f t="shared" si="637"/>
        <v>8847.3384586729608</v>
      </c>
      <c r="AC305" s="151">
        <f t="shared" si="637"/>
        <v>8788.0821017013641</v>
      </c>
      <c r="AD305" s="151">
        <f t="shared" si="637"/>
        <v>0</v>
      </c>
      <c r="AE305" s="151">
        <f t="shared" si="637"/>
        <v>34818.459887897734</v>
      </c>
      <c r="AF305" s="151">
        <f t="shared" si="637"/>
        <v>19399.495441659903</v>
      </c>
      <c r="AG305" s="151">
        <f t="shared" si="637"/>
        <v>19267.38393249804</v>
      </c>
      <c r="AH305" s="151">
        <f t="shared" si="637"/>
        <v>0</v>
      </c>
      <c r="AI305" s="151">
        <f t="shared" si="637"/>
        <v>12214.771087973442</v>
      </c>
      <c r="AJ305" s="151">
        <f t="shared" si="637"/>
        <v>29280.850484409446</v>
      </c>
      <c r="AK305" s="151">
        <f t="shared" si="637"/>
        <v>27778.806568935746</v>
      </c>
      <c r="AL305" s="151">
        <f t="shared" si="637"/>
        <v>0</v>
      </c>
      <c r="AM305" s="151">
        <f t="shared" si="637"/>
        <v>22297.923660899611</v>
      </c>
      <c r="AN305" s="151">
        <f t="shared" si="637"/>
        <v>11280.860691471675</v>
      </c>
      <c r="AO305" s="151">
        <f t="shared" si="637"/>
        <v>7635.1921231124834</v>
      </c>
      <c r="AP305" s="151">
        <f t="shared" si="637"/>
        <v>0</v>
      </c>
      <c r="AQ305" s="151">
        <f t="shared" si="637"/>
        <v>35760.442269634463</v>
      </c>
      <c r="AR305" s="151">
        <f t="shared" si="637"/>
        <v>18019.066841627449</v>
      </c>
      <c r="AS305" s="151">
        <f t="shared" si="637"/>
        <v>10135.308585364832</v>
      </c>
      <c r="AT305" s="151">
        <f t="shared" si="637"/>
        <v>0</v>
      </c>
      <c r="AU305" s="151">
        <f t="shared" si="637"/>
        <v>11166.100717778607</v>
      </c>
      <c r="AV305" s="151">
        <f t="shared" si="637"/>
        <v>6929.4324146971221</v>
      </c>
      <c r="AW305" s="151">
        <f t="shared" si="637"/>
        <v>18582.352146066973</v>
      </c>
      <c r="AX305" s="151">
        <f t="shared" si="637"/>
        <v>0</v>
      </c>
      <c r="AY305" s="151">
        <f t="shared" si="637"/>
        <v>9995.0553761378887</v>
      </c>
      <c r="AZ305" s="151">
        <f t="shared" si="637"/>
        <v>27811.095674600583</v>
      </c>
      <c r="BA305" s="151">
        <f t="shared" si="637"/>
        <v>27915.629258288824</v>
      </c>
      <c r="BB305" s="151">
        <f t="shared" si="637"/>
        <v>0</v>
      </c>
      <c r="BC305" s="162">
        <f t="shared" si="634"/>
        <v>751493.60815128253</v>
      </c>
      <c r="BD305" s="163"/>
    </row>
    <row r="306" spans="2:56" x14ac:dyDescent="0.25">
      <c r="B306" s="131" t="s">
        <v>301</v>
      </c>
      <c r="C306" s="151">
        <f t="shared" si="635"/>
        <v>14268.431354614459</v>
      </c>
      <c r="D306" s="151">
        <f t="shared" si="635"/>
        <v>6072.4069983420704</v>
      </c>
      <c r="E306" s="151">
        <f t="shared" si="635"/>
        <v>3667.1848630758564</v>
      </c>
      <c r="F306" s="151">
        <f t="shared" si="635"/>
        <v>16937.87995297493</v>
      </c>
      <c r="G306" s="151">
        <f t="shared" si="635"/>
        <v>16219.364952069225</v>
      </c>
      <c r="H306" s="151">
        <f t="shared" si="635"/>
        <v>12362.762696082187</v>
      </c>
      <c r="I306" s="151">
        <f t="shared" si="635"/>
        <v>7912.9067875892706</v>
      </c>
      <c r="J306" s="151">
        <f t="shared" si="635"/>
        <v>6978.1484793551017</v>
      </c>
      <c r="K306" s="151">
        <f t="shared" si="635"/>
        <v>6666.6520644927832</v>
      </c>
      <c r="L306" s="151">
        <f t="shared" si="635"/>
        <v>16634.195781502585</v>
      </c>
      <c r="M306" s="151">
        <f t="shared" si="635"/>
        <v>12616.934447658152</v>
      </c>
      <c r="N306" s="151">
        <f t="shared" si="635"/>
        <v>11964.058684256772</v>
      </c>
      <c r="O306" s="151">
        <f t="shared" si="635"/>
        <v>13949.668526479452</v>
      </c>
      <c r="P306" s="151">
        <f t="shared" si="635"/>
        <v>6617.8007586862668</v>
      </c>
      <c r="Q306" s="151">
        <f t="shared" si="635"/>
        <v>2940.4319045592679</v>
      </c>
      <c r="R306" s="151">
        <f t="shared" si="635"/>
        <v>17287.685368814367</v>
      </c>
      <c r="S306" s="151">
        <f t="shared" ref="S306:BB306" si="638">S290*S298</f>
        <v>15836.13890666234</v>
      </c>
      <c r="T306" s="151">
        <f t="shared" si="638"/>
        <v>9759.927919579859</v>
      </c>
      <c r="U306" s="151">
        <f t="shared" si="638"/>
        <v>7830.8762699218059</v>
      </c>
      <c r="V306" s="151">
        <f t="shared" si="638"/>
        <v>7478.003767329611</v>
      </c>
      <c r="W306" s="151">
        <f t="shared" si="638"/>
        <v>5939.8301896282937</v>
      </c>
      <c r="X306" s="151">
        <f t="shared" si="638"/>
        <v>18437.667577637723</v>
      </c>
      <c r="Y306" s="151">
        <f t="shared" si="638"/>
        <v>12001.895777636824</v>
      </c>
      <c r="Z306" s="151">
        <f t="shared" si="638"/>
        <v>9289.7530374631715</v>
      </c>
      <c r="AA306" s="151">
        <f t="shared" si="638"/>
        <v>15088.10719839018</v>
      </c>
      <c r="AB306" s="151">
        <f t="shared" si="638"/>
        <v>5467.0498730756408</v>
      </c>
      <c r="AC306" s="151">
        <f t="shared" si="638"/>
        <v>3863.5681357731119</v>
      </c>
      <c r="AD306" s="151">
        <f t="shared" si="638"/>
        <v>18403.976585595283</v>
      </c>
      <c r="AE306" s="151">
        <f t="shared" si="638"/>
        <v>15452.912861255445</v>
      </c>
      <c r="AF306" s="151">
        <f t="shared" si="638"/>
        <v>11972.297388405646</v>
      </c>
      <c r="AG306" s="151">
        <f t="shared" si="638"/>
        <v>8459.7769053723623</v>
      </c>
      <c r="AH306" s="151">
        <f t="shared" si="638"/>
        <v>6229.4678026429538</v>
      </c>
      <c r="AI306" s="151">
        <f t="shared" si="638"/>
        <v>7851.9673054675322</v>
      </c>
      <c r="AJ306" s="151">
        <f t="shared" si="638"/>
        <v>18045.608491521398</v>
      </c>
      <c r="AK306" s="151">
        <f t="shared" si="638"/>
        <v>12181.899213824125</v>
      </c>
      <c r="AL306" s="151">
        <f t="shared" si="638"/>
        <v>9623.6704277498684</v>
      </c>
      <c r="AM306" s="151">
        <f t="shared" si="638"/>
        <v>14313.968901490894</v>
      </c>
      <c r="AN306" s="151">
        <f t="shared" si="638"/>
        <v>6970.7026036148618</v>
      </c>
      <c r="AO306" s="151">
        <f t="shared" si="638"/>
        <v>3356.80032787955</v>
      </c>
      <c r="AP306" s="151">
        <f t="shared" si="638"/>
        <v>17493.889831362554</v>
      </c>
      <c r="AQ306" s="151">
        <f t="shared" si="638"/>
        <v>15870.977638062968</v>
      </c>
      <c r="AR306" s="151">
        <f t="shared" si="638"/>
        <v>11120.373080747726</v>
      </c>
      <c r="AS306" s="151">
        <f t="shared" si="638"/>
        <v>4454.9900529853294</v>
      </c>
      <c r="AT306" s="151">
        <f t="shared" si="638"/>
        <v>5304.6012414296711</v>
      </c>
      <c r="AU306" s="151">
        <f t="shared" si="638"/>
        <v>7177.4230890216968</v>
      </c>
      <c r="AV306" s="151">
        <f t="shared" si="638"/>
        <v>4283.5908408070754</v>
      </c>
      <c r="AW306" s="151">
        <f t="shared" si="638"/>
        <v>8158.9983405916655</v>
      </c>
      <c r="AX306" s="151">
        <f t="shared" si="638"/>
        <v>6061.0955232834713</v>
      </c>
      <c r="AY306" s="151">
        <f t="shared" si="638"/>
        <v>6426.1716293006648</v>
      </c>
      <c r="AZ306" s="151">
        <f t="shared" si="638"/>
        <v>17143.396469024388</v>
      </c>
      <c r="BA306" s="151">
        <f t="shared" si="638"/>
        <v>12241.900359219895</v>
      </c>
      <c r="BB306" s="151">
        <f t="shared" si="638"/>
        <v>10933.654035797668</v>
      </c>
      <c r="BC306" s="162">
        <f t="shared" si="634"/>
        <v>543623.44322010619</v>
      </c>
      <c r="BD306" s="163"/>
    </row>
    <row r="307" spans="2:56" x14ac:dyDescent="0.25">
      <c r="B307" s="131" t="s">
        <v>302</v>
      </c>
      <c r="C307" s="151">
        <f t="shared" si="635"/>
        <v>8856.128165258322</v>
      </c>
      <c r="D307" s="151">
        <f t="shared" si="635"/>
        <v>12729.767353855139</v>
      </c>
      <c r="E307" s="151">
        <f t="shared" si="635"/>
        <v>7389.3438620871611</v>
      </c>
      <c r="F307" s="151">
        <f t="shared" si="635"/>
        <v>24331.248160772509</v>
      </c>
      <c r="G307" s="151">
        <f t="shared" si="635"/>
        <v>14554.966583240679</v>
      </c>
      <c r="H307" s="151">
        <f t="shared" si="635"/>
        <v>21948.306230254111</v>
      </c>
      <c r="I307" s="151">
        <f t="shared" si="635"/>
        <v>15958.54233735639</v>
      </c>
      <c r="J307" s="151">
        <f t="shared" si="635"/>
        <v>10004.386688256636</v>
      </c>
      <c r="K307" s="151">
        <f t="shared" si="635"/>
        <v>4133.4575304147993</v>
      </c>
      <c r="L307" s="151">
        <f t="shared" si="635"/>
        <v>18810.7068076045</v>
      </c>
      <c r="M307" s="151">
        <f t="shared" si="635"/>
        <v>15280.652810089521</v>
      </c>
      <c r="N307" s="151">
        <f t="shared" si="635"/>
        <v>17167.814559402821</v>
      </c>
      <c r="O307" s="151">
        <f t="shared" si="635"/>
        <v>8658.2784934812753</v>
      </c>
      <c r="P307" s="151">
        <f t="shared" si="635"/>
        <v>13873.092510966877</v>
      </c>
      <c r="Q307" s="151">
        <f t="shared" si="635"/>
        <v>5924.8394463084051</v>
      </c>
      <c r="R307" s="151">
        <f t="shared" si="635"/>
        <v>24827.280636528143</v>
      </c>
      <c r="S307" s="151">
        <f t="shared" ref="S307:BB307" si="639">S291*S299</f>
        <v>14211.066418147406</v>
      </c>
      <c r="T307" s="151">
        <f t="shared" si="639"/>
        <v>25597.421177073666</v>
      </c>
      <c r="U307" s="151">
        <f t="shared" si="639"/>
        <v>15793.105346337528</v>
      </c>
      <c r="V307" s="151">
        <f t="shared" si="639"/>
        <v>10721.452746635638</v>
      </c>
      <c r="W307" s="151">
        <f t="shared" si="639"/>
        <v>3683.2449071978285</v>
      </c>
      <c r="X307" s="151">
        <f t="shared" si="639"/>
        <v>20850.154920305366</v>
      </c>
      <c r="Y307" s="151">
        <f t="shared" si="639"/>
        <v>24225.62815098303</v>
      </c>
      <c r="Z307" s="151">
        <f t="shared" si="639"/>
        <v>17140.428125139031</v>
      </c>
      <c r="AA307" s="151">
        <f t="shared" si="639"/>
        <v>9364.8844641135856</v>
      </c>
      <c r="AB307" s="151">
        <f t="shared" si="639"/>
        <v>11460.628914413368</v>
      </c>
      <c r="AC307" s="151">
        <f t="shared" si="639"/>
        <v>7785.0543552595473</v>
      </c>
      <c r="AD307" s="151">
        <f t="shared" si="639"/>
        <v>26436.466003762434</v>
      </c>
      <c r="AE307" s="151">
        <f t="shared" si="639"/>
        <v>13867.166253054122</v>
      </c>
      <c r="AF307" s="151">
        <f t="shared" si="639"/>
        <v>21255.091262381993</v>
      </c>
      <c r="AG307" s="151">
        <f t="shared" si="639"/>
        <v>17061.455610815468</v>
      </c>
      <c r="AH307" s="151">
        <f t="shared" si="639"/>
        <v>8931.3868728599009</v>
      </c>
      <c r="AI307" s="151">
        <f t="shared" si="639"/>
        <v>4868.9470348574032</v>
      </c>
      <c r="AJ307" s="151">
        <f t="shared" si="639"/>
        <v>20406.796634935607</v>
      </c>
      <c r="AK307" s="151">
        <f t="shared" si="639"/>
        <v>24588.962110197874</v>
      </c>
      <c r="AL307" s="151">
        <f t="shared" si="639"/>
        <v>17756.535679867531</v>
      </c>
      <c r="AM307" s="151">
        <f t="shared" si="639"/>
        <v>8884.39240408361</v>
      </c>
      <c r="AN307" s="151">
        <f t="shared" si="639"/>
        <v>14612.891142039178</v>
      </c>
      <c r="AO307" s="151">
        <f t="shared" si="639"/>
        <v>6763.8032920142705</v>
      </c>
      <c r="AP307" s="151">
        <f t="shared" si="639"/>
        <v>25129.168234345605</v>
      </c>
      <c r="AQ307" s="151">
        <f t="shared" si="639"/>
        <v>14242.330069519518</v>
      </c>
      <c r="AR307" s="151">
        <f t="shared" si="639"/>
        <v>19742.622241570098</v>
      </c>
      <c r="AS307" s="151">
        <f t="shared" si="639"/>
        <v>8977.9685082829601</v>
      </c>
      <c r="AT307" s="151">
        <f t="shared" si="639"/>
        <v>7602.6490973264563</v>
      </c>
      <c r="AU307" s="151">
        <f t="shared" si="639"/>
        <v>4450.8514398467178</v>
      </c>
      <c r="AV307" s="151">
        <f t="shared" si="639"/>
        <v>8977.3158937927547</v>
      </c>
      <c r="AW307" s="151">
        <f t="shared" si="639"/>
        <v>16454.853310412978</v>
      </c>
      <c r="AX307" s="151">
        <f t="shared" si="639"/>
        <v>8689.632149385412</v>
      </c>
      <c r="AY307" s="151">
        <f t="shared" si="639"/>
        <v>3984.3548539669691</v>
      </c>
      <c r="AZ307" s="151">
        <f t="shared" si="639"/>
        <v>35998.374142021145</v>
      </c>
      <c r="BA307" s="151">
        <f t="shared" si="639"/>
        <v>24710.073429936168</v>
      </c>
      <c r="BB307" s="151">
        <f t="shared" si="639"/>
        <v>20173.573009956261</v>
      </c>
      <c r="BC307" s="162">
        <f t="shared" si="634"/>
        <v>769849.54238271574</v>
      </c>
      <c r="BD307" s="163"/>
    </row>
    <row r="308" spans="2:56" x14ac:dyDescent="0.25">
      <c r="B308" s="131" t="s">
        <v>303</v>
      </c>
      <c r="C308" s="151">
        <f t="shared" si="635"/>
        <v>0</v>
      </c>
      <c r="D308" s="151">
        <f t="shared" si="635"/>
        <v>3452.0609624106487</v>
      </c>
      <c r="E308" s="151">
        <f t="shared" si="635"/>
        <v>6774.401320018862</v>
      </c>
      <c r="F308" s="151">
        <f t="shared" si="635"/>
        <v>0</v>
      </c>
      <c r="G308" s="151">
        <f t="shared" si="635"/>
        <v>0</v>
      </c>
      <c r="H308" s="151">
        <f t="shared" si="635"/>
        <v>7030.5227230201435</v>
      </c>
      <c r="I308" s="151">
        <f t="shared" si="635"/>
        <v>14622.840079197695</v>
      </c>
      <c r="J308" s="151">
        <f t="shared" si="635"/>
        <v>8816.1867015730513</v>
      </c>
      <c r="K308" s="151">
        <f t="shared" si="635"/>
        <v>3497.8968044982912</v>
      </c>
      <c r="L308" s="151">
        <f t="shared" si="635"/>
        <v>9463.313339234428</v>
      </c>
      <c r="M308" s="151">
        <f t="shared" si="635"/>
        <v>23324.124078125085</v>
      </c>
      <c r="N308" s="151">
        <f t="shared" si="635"/>
        <v>15120.898253740148</v>
      </c>
      <c r="O308" s="151">
        <f t="shared" si="635"/>
        <v>0</v>
      </c>
      <c r="P308" s="151">
        <f t="shared" si="635"/>
        <v>3762.1081166512299</v>
      </c>
      <c r="Q308" s="151">
        <f t="shared" si="635"/>
        <v>5431.8294015459769</v>
      </c>
      <c r="R308" s="151">
        <f t="shared" si="635"/>
        <v>21856.569230410481</v>
      </c>
      <c r="S308" s="151">
        <f t="shared" ref="S308:BB308" si="640">S292*S300</f>
        <v>0</v>
      </c>
      <c r="T308" s="151">
        <f t="shared" si="640"/>
        <v>6937.9333068814994</v>
      </c>
      <c r="U308" s="151">
        <f t="shared" si="640"/>
        <v>14471.249876802474</v>
      </c>
      <c r="V308" s="151">
        <f t="shared" si="640"/>
        <v>9447.8613367572543</v>
      </c>
      <c r="W308" s="151">
        <f t="shared" si="640"/>
        <v>0</v>
      </c>
      <c r="X308" s="151">
        <f t="shared" si="640"/>
        <v>10489.321384918088</v>
      </c>
      <c r="Y308" s="151">
        <f t="shared" si="640"/>
        <v>15360.15987742895</v>
      </c>
      <c r="Z308" s="151">
        <f t="shared" si="640"/>
        <v>15096.028133650303</v>
      </c>
      <c r="AA308" s="151">
        <f t="shared" si="640"/>
        <v>0</v>
      </c>
      <c r="AB308" s="151">
        <f t="shared" si="640"/>
        <v>3107.9133774098032</v>
      </c>
      <c r="AC308" s="151">
        <f t="shared" si="640"/>
        <v>7137.180713876317</v>
      </c>
      <c r="AD308" s="151">
        <f t="shared" si="640"/>
        <v>9308.0270760548228</v>
      </c>
      <c r="AE308" s="151">
        <f t="shared" si="640"/>
        <v>0</v>
      </c>
      <c r="AF308" s="151">
        <f t="shared" si="640"/>
        <v>6808.4708009978131</v>
      </c>
      <c r="AG308" s="151">
        <f t="shared" si="640"/>
        <v>15633.441428499129</v>
      </c>
      <c r="AH308" s="151">
        <f t="shared" si="640"/>
        <v>7870.4357248781716</v>
      </c>
      <c r="AI308" s="151">
        <f t="shared" si="640"/>
        <v>0</v>
      </c>
      <c r="AJ308" s="151">
        <f t="shared" si="640"/>
        <v>10266.276157595552</v>
      </c>
      <c r="AK308" s="151">
        <f t="shared" si="640"/>
        <v>15590.530279701177</v>
      </c>
      <c r="AL308" s="151">
        <f t="shared" si="640"/>
        <v>15638.650343062622</v>
      </c>
      <c r="AM308" s="151">
        <f t="shared" si="640"/>
        <v>0</v>
      </c>
      <c r="AN308" s="151">
        <f t="shared" si="640"/>
        <v>3962.7268635127816</v>
      </c>
      <c r="AO308" s="151">
        <f t="shared" si="640"/>
        <v>6200.9824773780247</v>
      </c>
      <c r="AP308" s="151">
        <f t="shared" si="640"/>
        <v>8847.740022843318</v>
      </c>
      <c r="AQ308" s="151">
        <f t="shared" si="640"/>
        <v>0</v>
      </c>
      <c r="AR308" s="151">
        <f t="shared" si="640"/>
        <v>6323.9938802218176</v>
      </c>
      <c r="AS308" s="151">
        <f t="shared" si="640"/>
        <v>8230.1689870781556</v>
      </c>
      <c r="AT308" s="151">
        <f t="shared" si="640"/>
        <v>6700.9547040447906</v>
      </c>
      <c r="AU308" s="151">
        <f t="shared" si="640"/>
        <v>3138.4466241528212</v>
      </c>
      <c r="AV308" s="151">
        <f t="shared" si="640"/>
        <v>2434.8707256087919</v>
      </c>
      <c r="AW308" s="151">
        <f t="shared" si="640"/>
        <v>15077.610686383341</v>
      </c>
      <c r="AX308" s="151">
        <f t="shared" si="640"/>
        <v>7657.5827968444191</v>
      </c>
      <c r="AY308" s="151">
        <f t="shared" si="640"/>
        <v>3371.7201662598713</v>
      </c>
      <c r="AZ308" s="151">
        <f t="shared" si="640"/>
        <v>9752.4240241903171</v>
      </c>
      <c r="BA308" s="151">
        <f t="shared" si="640"/>
        <v>15667.320413791918</v>
      </c>
      <c r="BB308" s="151">
        <f t="shared" si="640"/>
        <v>17767.399010757086</v>
      </c>
      <c r="BC308" s="162">
        <f t="shared" si="634"/>
        <v>401450.17221200746</v>
      </c>
      <c r="BD308" s="163"/>
    </row>
    <row r="309" spans="2:56" x14ac:dyDescent="0.25">
      <c r="B309" s="131" t="s">
        <v>304</v>
      </c>
      <c r="C309" s="151">
        <f t="shared" si="635"/>
        <v>0</v>
      </c>
      <c r="D309" s="151">
        <f t="shared" si="635"/>
        <v>3728.4969237852674</v>
      </c>
      <c r="E309" s="151">
        <f t="shared" si="635"/>
        <v>5626.1413266798045</v>
      </c>
      <c r="F309" s="151">
        <f t="shared" si="635"/>
        <v>42511.364022861875</v>
      </c>
      <c r="G309" s="151">
        <f t="shared" si="635"/>
        <v>0</v>
      </c>
      <c r="H309" s="151">
        <f t="shared" si="635"/>
        <v>0</v>
      </c>
      <c r="I309" s="151">
        <f t="shared" si="635"/>
        <v>10130.29369682729</v>
      </c>
      <c r="J309" s="151">
        <f t="shared" si="635"/>
        <v>20635.999682877209</v>
      </c>
      <c r="K309" s="151">
        <f t="shared" si="635"/>
        <v>0</v>
      </c>
      <c r="L309" s="151">
        <f t="shared" si="635"/>
        <v>0</v>
      </c>
      <c r="M309" s="151">
        <f t="shared" si="635"/>
        <v>16174.1743872723</v>
      </c>
      <c r="N309" s="151">
        <f t="shared" si="635"/>
        <v>29978.206594224619</v>
      </c>
      <c r="O309" s="151">
        <f t="shared" si="635"/>
        <v>0</v>
      </c>
      <c r="P309" s="151">
        <f t="shared" si="635"/>
        <v>0</v>
      </c>
      <c r="Q309" s="151">
        <f t="shared" si="635"/>
        <v>3759.205160035553</v>
      </c>
      <c r="R309" s="151">
        <f t="shared" si="635"/>
        <v>27600.371182712992</v>
      </c>
      <c r="S309" s="151">
        <f t="shared" ref="S309:BB309" si="641">S293*S301</f>
        <v>0</v>
      </c>
      <c r="T309" s="151">
        <f t="shared" si="641"/>
        <v>0</v>
      </c>
      <c r="U309" s="151">
        <f t="shared" si="641"/>
        <v>10025.276254011269</v>
      </c>
      <c r="V309" s="151">
        <f t="shared" si="641"/>
        <v>22115.569814496786</v>
      </c>
      <c r="W309" s="151">
        <f t="shared" si="641"/>
        <v>0</v>
      </c>
      <c r="X309" s="151">
        <f t="shared" si="641"/>
        <v>0</v>
      </c>
      <c r="Y309" s="151">
        <f t="shared" si="641"/>
        <v>15385.099665106005</v>
      </c>
      <c r="Z309" s="151">
        <f t="shared" si="641"/>
        <v>35373.861509862429</v>
      </c>
      <c r="AA309" s="151">
        <f t="shared" si="641"/>
        <v>0</v>
      </c>
      <c r="AB309" s="151">
        <f t="shared" si="641"/>
        <v>0</v>
      </c>
      <c r="AC309" s="151">
        <f t="shared" si="641"/>
        <v>4939.5247237150925</v>
      </c>
      <c r="AD309" s="151">
        <f t="shared" si="641"/>
        <v>54586.778587745212</v>
      </c>
      <c r="AE309" s="151">
        <f t="shared" si="641"/>
        <v>0</v>
      </c>
      <c r="AF309" s="151">
        <f t="shared" si="641"/>
        <v>0</v>
      </c>
      <c r="AG309" s="151">
        <f t="shared" si="641"/>
        <v>10830.40998226746</v>
      </c>
      <c r="AH309" s="151">
        <f t="shared" si="641"/>
        <v>18423.12927126369</v>
      </c>
      <c r="AI309" s="151">
        <f t="shared" si="641"/>
        <v>0</v>
      </c>
      <c r="AJ309" s="151">
        <f t="shared" si="641"/>
        <v>0</v>
      </c>
      <c r="AK309" s="151">
        <f t="shared" si="641"/>
        <v>15615.844112242718</v>
      </c>
      <c r="AL309" s="151">
        <f t="shared" si="641"/>
        <v>36645.364365977315</v>
      </c>
      <c r="AM309" s="151">
        <f t="shared" si="641"/>
        <v>0</v>
      </c>
      <c r="AN309" s="151">
        <f t="shared" si="641"/>
        <v>0</v>
      </c>
      <c r="AO309" s="151">
        <f t="shared" si="641"/>
        <v>4291.5127856583622</v>
      </c>
      <c r="AP309" s="151">
        <f t="shared" si="641"/>
        <v>51887.432393845709</v>
      </c>
      <c r="AQ309" s="151">
        <f t="shared" si="641"/>
        <v>0</v>
      </c>
      <c r="AR309" s="151">
        <f t="shared" si="641"/>
        <v>0</v>
      </c>
      <c r="AS309" s="151">
        <f t="shared" si="641"/>
        <v>5696.8233558207221</v>
      </c>
      <c r="AT309" s="151">
        <f t="shared" si="641"/>
        <v>15679.282648383305</v>
      </c>
      <c r="AU309" s="151">
        <f t="shared" si="641"/>
        <v>0</v>
      </c>
      <c r="AV309" s="151">
        <f t="shared" si="641"/>
        <v>0</v>
      </c>
      <c r="AW309" s="151">
        <f t="shared" si="641"/>
        <v>10445.346025275368</v>
      </c>
      <c r="AX309" s="151">
        <f t="shared" si="641"/>
        <v>17924.061900718611</v>
      </c>
      <c r="AY309" s="151">
        <f t="shared" si="641"/>
        <v>0</v>
      </c>
      <c r="AZ309" s="151">
        <f t="shared" si="641"/>
        <v>0</v>
      </c>
      <c r="BA309" s="151">
        <f t="shared" si="641"/>
        <v>15692.758927954956</v>
      </c>
      <c r="BB309" s="151">
        <f t="shared" si="641"/>
        <v>41633.567878427966</v>
      </c>
      <c r="BC309" s="162">
        <f t="shared" si="634"/>
        <v>547335.8971800498</v>
      </c>
      <c r="BD309" s="163"/>
    </row>
    <row r="310" spans="2:56" x14ac:dyDescent="0.25">
      <c r="B310" s="131" t="s">
        <v>305</v>
      </c>
      <c r="C310" s="151">
        <f t="shared" si="635"/>
        <v>0</v>
      </c>
      <c r="D310" s="151">
        <f t="shared" si="635"/>
        <v>0</v>
      </c>
      <c r="E310" s="151">
        <f t="shared" si="635"/>
        <v>0</v>
      </c>
      <c r="F310" s="151">
        <f t="shared" si="635"/>
        <v>22751.584508343996</v>
      </c>
      <c r="G310" s="151">
        <f t="shared" si="635"/>
        <v>0</v>
      </c>
      <c r="H310" s="151">
        <f t="shared" si="635"/>
        <v>0</v>
      </c>
      <c r="I310" s="151">
        <f t="shared" si="635"/>
        <v>0</v>
      </c>
      <c r="J310" s="151">
        <f t="shared" si="635"/>
        <v>9342.579145814012</v>
      </c>
      <c r="K310" s="151">
        <f t="shared" si="635"/>
        <v>0</v>
      </c>
      <c r="L310" s="151">
        <f t="shared" si="635"/>
        <v>0</v>
      </c>
      <c r="M310" s="151">
        <f t="shared" si="635"/>
        <v>0</v>
      </c>
      <c r="N310" s="151">
        <f t="shared" si="635"/>
        <v>16041.664995192357</v>
      </c>
      <c r="O310" s="151">
        <f t="shared" si="635"/>
        <v>0</v>
      </c>
      <c r="P310" s="151">
        <f t="shared" si="635"/>
        <v>0</v>
      </c>
      <c r="Q310" s="151">
        <f t="shared" si="635"/>
        <v>5309.5612321030012</v>
      </c>
      <c r="R310" s="151">
        <f t="shared" si="635"/>
        <v>23211.384517938652</v>
      </c>
      <c r="S310" s="151">
        <f t="shared" ref="S310:BB310" si="642">S294*S302</f>
        <v>0</v>
      </c>
      <c r="T310" s="151">
        <f t="shared" si="642"/>
        <v>0</v>
      </c>
      <c r="U310" s="151">
        <f t="shared" si="642"/>
        <v>0</v>
      </c>
      <c r="V310" s="151">
        <f t="shared" si="642"/>
        <v>10012.482831057385</v>
      </c>
      <c r="W310" s="151">
        <f t="shared" si="642"/>
        <v>6602.2579145918226</v>
      </c>
      <c r="X310" s="151">
        <f t="shared" si="642"/>
        <v>0</v>
      </c>
      <c r="Y310" s="151">
        <f t="shared" si="642"/>
        <v>0</v>
      </c>
      <c r="Z310" s="151">
        <f t="shared" si="642"/>
        <v>16016.975090964308</v>
      </c>
      <c r="AA310" s="151">
        <f t="shared" si="642"/>
        <v>0</v>
      </c>
      <c r="AB310" s="151">
        <f t="shared" si="642"/>
        <v>3951.1358710982076</v>
      </c>
      <c r="AC310" s="151">
        <f t="shared" si="642"/>
        <v>0</v>
      </c>
      <c r="AD310" s="151">
        <f t="shared" si="642"/>
        <v>24719.608304219299</v>
      </c>
      <c r="AE310" s="151">
        <f t="shared" si="642"/>
        <v>0</v>
      </c>
      <c r="AF310" s="151">
        <f t="shared" si="642"/>
        <v>0</v>
      </c>
      <c r="AG310" s="151">
        <f t="shared" si="642"/>
        <v>0</v>
      </c>
      <c r="AH310" s="151">
        <f t="shared" si="642"/>
        <v>8340.7873760486873</v>
      </c>
      <c r="AI310" s="151">
        <f t="shared" si="642"/>
        <v>8727.6423117549439</v>
      </c>
      <c r="AJ310" s="151">
        <f t="shared" si="642"/>
        <v>0</v>
      </c>
      <c r="AK310" s="151">
        <f t="shared" si="642"/>
        <v>0</v>
      </c>
      <c r="AL310" s="151">
        <f t="shared" si="642"/>
        <v>16592.700462897585</v>
      </c>
      <c r="AM310" s="151">
        <f t="shared" si="642"/>
        <v>0</v>
      </c>
      <c r="AN310" s="151">
        <f t="shared" si="642"/>
        <v>0</v>
      </c>
      <c r="AO310" s="151">
        <f t="shared" si="642"/>
        <v>6061.4009993512782</v>
      </c>
      <c r="AP310" s="151">
        <f t="shared" si="642"/>
        <v>23497.210091373294</v>
      </c>
      <c r="AQ310" s="151">
        <f t="shared" si="642"/>
        <v>0</v>
      </c>
      <c r="AR310" s="151">
        <f t="shared" si="642"/>
        <v>0</v>
      </c>
      <c r="AS310" s="151">
        <f t="shared" si="642"/>
        <v>0</v>
      </c>
      <c r="AT310" s="151">
        <f t="shared" si="642"/>
        <v>7098.2109416203493</v>
      </c>
      <c r="AU310" s="151">
        <f t="shared" si="642"/>
        <v>0</v>
      </c>
      <c r="AV310" s="151">
        <f t="shared" si="642"/>
        <v>0</v>
      </c>
      <c r="AW310" s="151">
        <f t="shared" si="642"/>
        <v>0</v>
      </c>
      <c r="AX310" s="151">
        <f t="shared" si="642"/>
        <v>8114.7979014983694</v>
      </c>
      <c r="AY310" s="151">
        <f t="shared" si="642"/>
        <v>0</v>
      </c>
      <c r="AZ310" s="151">
        <f t="shared" si="642"/>
        <v>0</v>
      </c>
      <c r="BA310" s="151">
        <f t="shared" si="642"/>
        <v>0</v>
      </c>
      <c r="BB310" s="151">
        <f t="shared" si="642"/>
        <v>18851.315383558911</v>
      </c>
      <c r="BC310" s="162">
        <f t="shared" si="634"/>
        <v>235243.29987942646</v>
      </c>
      <c r="BD310" s="163"/>
    </row>
    <row r="311" spans="2:56" s="1" customFormat="1" x14ac:dyDescent="0.25">
      <c r="B311" s="61" t="s">
        <v>414</v>
      </c>
      <c r="C311" s="110">
        <f>SUM(C303:C310)</f>
        <v>84716.68965517242</v>
      </c>
      <c r="D311" s="110">
        <f t="shared" ref="D311:BB311" si="643">SUM(D303:D310)</f>
        <v>45748.113800767809</v>
      </c>
      <c r="E311" s="110">
        <f t="shared" si="643"/>
        <v>37213.807762116245</v>
      </c>
      <c r="F311" s="110">
        <f t="shared" si="643"/>
        <v>127124.24460431655</v>
      </c>
      <c r="G311" s="110">
        <f t="shared" si="643"/>
        <v>132047.78844270323</v>
      </c>
      <c r="H311" s="110">
        <f t="shared" si="643"/>
        <v>81629.880887295541</v>
      </c>
      <c r="I311" s="110">
        <f t="shared" si="643"/>
        <v>66646.454494503108</v>
      </c>
      <c r="J311" s="110">
        <f t="shared" si="643"/>
        <v>60008.257166528565</v>
      </c>
      <c r="K311" s="110">
        <f t="shared" si="643"/>
        <v>43029.949243306175</v>
      </c>
      <c r="L311" s="110">
        <f t="shared" si="643"/>
        <v>99187.408385016126</v>
      </c>
      <c r="M311" s="110">
        <f t="shared" si="643"/>
        <v>96167.836082719296</v>
      </c>
      <c r="N311" s="110">
        <f t="shared" si="643"/>
        <v>90272.643086816723</v>
      </c>
      <c r="O311" s="110">
        <f t="shared" si="643"/>
        <v>82824.082758620701</v>
      </c>
      <c r="P311" s="110">
        <f t="shared" si="643"/>
        <v>50487.196767023626</v>
      </c>
      <c r="Q311" s="110">
        <f t="shared" si="643"/>
        <v>30054.010710845709</v>
      </c>
      <c r="R311" s="110">
        <f t="shared" si="643"/>
        <v>114783.29093640464</v>
      </c>
      <c r="S311" s="110">
        <f t="shared" si="643"/>
        <v>128927.80489715966</v>
      </c>
      <c r="T311" s="110">
        <f t="shared" si="643"/>
        <v>82053.29481946626</v>
      </c>
      <c r="U311" s="110">
        <f t="shared" si="643"/>
        <v>65955.55248976071</v>
      </c>
      <c r="V311" s="110">
        <f t="shared" si="643"/>
        <v>65670.703746877582</v>
      </c>
      <c r="W311" s="110">
        <f t="shared" si="643"/>
        <v>41829.310638297895</v>
      </c>
      <c r="X311" s="110">
        <f t="shared" si="643"/>
        <v>109941.26122550233</v>
      </c>
      <c r="Y311" s="110">
        <f t="shared" si="643"/>
        <v>94341.121972031309</v>
      </c>
      <c r="Z311" s="110">
        <f t="shared" si="643"/>
        <v>92917.045897079239</v>
      </c>
      <c r="AA311" s="110">
        <f t="shared" si="643"/>
        <v>89583.393103448252</v>
      </c>
      <c r="AB311" s="110">
        <f t="shared" si="643"/>
        <v>41781.466316851656</v>
      </c>
      <c r="AC311" s="110">
        <f t="shared" si="643"/>
        <v>39359.827920447962</v>
      </c>
      <c r="AD311" s="110">
        <f t="shared" si="643"/>
        <v>133454.85655737703</v>
      </c>
      <c r="AE311" s="110">
        <f t="shared" si="643"/>
        <v>125807.82135161606</v>
      </c>
      <c r="AF311" s="110">
        <f t="shared" si="643"/>
        <v>79051.683979386085</v>
      </c>
      <c r="AG311" s="110">
        <f t="shared" si="643"/>
        <v>71252.467859452459</v>
      </c>
      <c r="AH311" s="110">
        <f t="shared" si="643"/>
        <v>54706.248792672777</v>
      </c>
      <c r="AI311" s="110">
        <f t="shared" si="643"/>
        <v>55294.910638297886</v>
      </c>
      <c r="AJ311" s="110">
        <f t="shared" si="643"/>
        <v>107603.46712974449</v>
      </c>
      <c r="AK311" s="110">
        <f t="shared" si="643"/>
        <v>95756.042284901647</v>
      </c>
      <c r="AL311" s="110">
        <f t="shared" si="643"/>
        <v>96256.92127955491</v>
      </c>
      <c r="AM311" s="110">
        <f t="shared" si="643"/>
        <v>84987.062068965519</v>
      </c>
      <c r="AN311" s="110">
        <f t="shared" si="643"/>
        <v>53179.484663568379</v>
      </c>
      <c r="AO311" s="110">
        <f t="shared" si="643"/>
        <v>34309.692005393968</v>
      </c>
      <c r="AP311" s="110">
        <f t="shared" si="643"/>
        <v>126855.44057377049</v>
      </c>
      <c r="AQ311" s="110">
        <f t="shared" si="643"/>
        <v>129211.43976493634</v>
      </c>
      <c r="AR311" s="110">
        <f t="shared" si="643"/>
        <v>73426.527089401759</v>
      </c>
      <c r="AS311" s="110">
        <f t="shared" si="643"/>
        <v>44075.439103949691</v>
      </c>
      <c r="AT311" s="110">
        <f t="shared" si="643"/>
        <v>47743.909554140118</v>
      </c>
      <c r="AU311" s="110">
        <f t="shared" si="643"/>
        <v>45707.332620320842</v>
      </c>
      <c r="AV311" s="110">
        <f t="shared" si="643"/>
        <v>34694.398596217601</v>
      </c>
      <c r="AW311" s="110">
        <f t="shared" si="643"/>
        <v>68719.160508730332</v>
      </c>
      <c r="AX311" s="110">
        <f t="shared" si="643"/>
        <v>52122.103728251859</v>
      </c>
      <c r="AY311" s="110">
        <f t="shared" si="643"/>
        <v>41477.766705471491</v>
      </c>
      <c r="AZ311" s="110">
        <f t="shared" si="643"/>
        <v>100078.14617452944</v>
      </c>
      <c r="BA311" s="110">
        <f t="shared" si="643"/>
        <v>96227.682389191774</v>
      </c>
      <c r="BB311" s="110">
        <f t="shared" si="643"/>
        <v>109359.50931849791</v>
      </c>
      <c r="BC311" s="61">
        <f>SUM(C311:BB311)</f>
        <v>4055661.9525494212</v>
      </c>
    </row>
    <row r="312" spans="2:56" x14ac:dyDescent="0.25">
      <c r="B312" s="110" t="s">
        <v>332</v>
      </c>
      <c r="C312" s="110">
        <f>C311/SUM(C295:C302)</f>
        <v>2703.7241379310344</v>
      </c>
      <c r="D312" s="110">
        <f t="shared" ref="D312" si="644">C312</f>
        <v>2703.7241379310344</v>
      </c>
      <c r="E312" s="110">
        <f t="shared" ref="E312:T312" si="645">D312</f>
        <v>2703.7241379310344</v>
      </c>
      <c r="F312" s="110">
        <f t="shared" si="645"/>
        <v>2703.7241379310344</v>
      </c>
      <c r="G312" s="110">
        <f t="shared" si="645"/>
        <v>2703.7241379310344</v>
      </c>
      <c r="H312" s="110">
        <f t="shared" si="645"/>
        <v>2703.7241379310344</v>
      </c>
      <c r="I312" s="110">
        <f t="shared" si="645"/>
        <v>2703.7241379310344</v>
      </c>
      <c r="J312" s="110">
        <f t="shared" si="645"/>
        <v>2703.7241379310344</v>
      </c>
      <c r="K312" s="110">
        <f t="shared" si="645"/>
        <v>2703.7241379310344</v>
      </c>
      <c r="L312" s="110">
        <f t="shared" si="645"/>
        <v>2703.7241379310344</v>
      </c>
      <c r="M312" s="110">
        <f t="shared" si="645"/>
        <v>2703.7241379310344</v>
      </c>
      <c r="N312" s="110">
        <f t="shared" si="645"/>
        <v>2703.7241379310344</v>
      </c>
      <c r="O312" s="110">
        <f t="shared" si="645"/>
        <v>2703.7241379310344</v>
      </c>
      <c r="P312" s="110">
        <f t="shared" si="645"/>
        <v>2703.7241379310344</v>
      </c>
      <c r="Q312" s="110">
        <f t="shared" si="645"/>
        <v>2703.7241379310344</v>
      </c>
      <c r="R312" s="110">
        <f t="shared" si="645"/>
        <v>2703.7241379310344</v>
      </c>
      <c r="S312" s="110">
        <f t="shared" si="645"/>
        <v>2703.7241379310344</v>
      </c>
      <c r="T312" s="110">
        <f t="shared" si="645"/>
        <v>2703.7241379310344</v>
      </c>
      <c r="U312" s="110">
        <f t="shared" ref="U312:AA312" si="646">T312</f>
        <v>2703.7241379310344</v>
      </c>
      <c r="V312" s="110">
        <f t="shared" si="646"/>
        <v>2703.7241379310344</v>
      </c>
      <c r="W312" s="110">
        <f t="shared" si="646"/>
        <v>2703.7241379310344</v>
      </c>
      <c r="X312" s="110">
        <f t="shared" si="646"/>
        <v>2703.7241379310344</v>
      </c>
      <c r="Y312" s="110">
        <f t="shared" si="646"/>
        <v>2703.7241379310344</v>
      </c>
      <c r="Z312" s="110">
        <f t="shared" si="646"/>
        <v>2703.7241379310344</v>
      </c>
      <c r="AA312" s="110">
        <f t="shared" si="646"/>
        <v>2703.7241379310344</v>
      </c>
      <c r="AB312" s="110">
        <f t="shared" ref="AB312:BB312" si="647">AA312</f>
        <v>2703.7241379310344</v>
      </c>
      <c r="AC312" s="110">
        <f t="shared" si="647"/>
        <v>2703.7241379310344</v>
      </c>
      <c r="AD312" s="110">
        <f t="shared" si="647"/>
        <v>2703.7241379310344</v>
      </c>
      <c r="AE312" s="110">
        <f t="shared" si="647"/>
        <v>2703.7241379310344</v>
      </c>
      <c r="AF312" s="110">
        <f t="shared" si="647"/>
        <v>2703.7241379310344</v>
      </c>
      <c r="AG312" s="110">
        <f t="shared" si="647"/>
        <v>2703.7241379310344</v>
      </c>
      <c r="AH312" s="110">
        <f t="shared" si="647"/>
        <v>2703.7241379310344</v>
      </c>
      <c r="AI312" s="110">
        <f t="shared" si="647"/>
        <v>2703.7241379310344</v>
      </c>
      <c r="AJ312" s="110">
        <f t="shared" si="647"/>
        <v>2703.7241379310344</v>
      </c>
      <c r="AK312" s="110">
        <f t="shared" si="647"/>
        <v>2703.7241379310344</v>
      </c>
      <c r="AL312" s="110">
        <f t="shared" si="647"/>
        <v>2703.7241379310344</v>
      </c>
      <c r="AM312" s="110">
        <f t="shared" si="647"/>
        <v>2703.7241379310344</v>
      </c>
      <c r="AN312" s="110">
        <f t="shared" si="647"/>
        <v>2703.7241379310344</v>
      </c>
      <c r="AO312" s="110">
        <f t="shared" si="647"/>
        <v>2703.7241379310344</v>
      </c>
      <c r="AP312" s="110">
        <f t="shared" si="647"/>
        <v>2703.7241379310344</v>
      </c>
      <c r="AQ312" s="110">
        <f t="shared" si="647"/>
        <v>2703.7241379310344</v>
      </c>
      <c r="AR312" s="110">
        <f t="shared" si="647"/>
        <v>2703.7241379310344</v>
      </c>
      <c r="AS312" s="110">
        <f t="shared" si="647"/>
        <v>2703.7241379310344</v>
      </c>
      <c r="AT312" s="110">
        <f t="shared" si="647"/>
        <v>2703.7241379310344</v>
      </c>
      <c r="AU312" s="110">
        <f t="shared" si="647"/>
        <v>2703.7241379310344</v>
      </c>
      <c r="AV312" s="110">
        <f t="shared" si="647"/>
        <v>2703.7241379310344</v>
      </c>
      <c r="AW312" s="110">
        <f t="shared" si="647"/>
        <v>2703.7241379310344</v>
      </c>
      <c r="AX312" s="110">
        <f t="shared" si="647"/>
        <v>2703.7241379310344</v>
      </c>
      <c r="AY312" s="110">
        <f t="shared" si="647"/>
        <v>2703.7241379310344</v>
      </c>
      <c r="AZ312" s="110">
        <f t="shared" si="647"/>
        <v>2703.7241379310344</v>
      </c>
      <c r="BA312" s="110">
        <f t="shared" si="647"/>
        <v>2703.7241379310344</v>
      </c>
      <c r="BB312" s="110">
        <f t="shared" si="647"/>
        <v>2703.7241379310344</v>
      </c>
      <c r="BC312" s="110"/>
    </row>
    <row r="313" spans="2:56" x14ac:dyDescent="0.25"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  <c r="AA313" s="135"/>
      <c r="AB313" s="135"/>
      <c r="AC313" s="135"/>
      <c r="AD313" s="135"/>
      <c r="AE313" s="135"/>
      <c r="AF313" s="135"/>
      <c r="AG313" s="135"/>
      <c r="AH313" s="135"/>
      <c r="AI313" s="135"/>
      <c r="AJ313" s="135"/>
      <c r="AK313" s="135"/>
      <c r="AL313" s="135"/>
      <c r="AM313" s="135"/>
      <c r="AN313" s="135"/>
      <c r="AO313" s="135"/>
      <c r="AP313" s="135"/>
      <c r="AQ313" s="135"/>
      <c r="AR313" s="135"/>
      <c r="AS313" s="135"/>
      <c r="AT313" s="135"/>
      <c r="AU313" s="135"/>
      <c r="AV313" s="135"/>
      <c r="AW313" s="135"/>
      <c r="AX313" s="135"/>
      <c r="AY313" s="135"/>
      <c r="AZ313" s="135"/>
      <c r="BA313" s="135"/>
      <c r="BB313" s="135"/>
      <c r="BC313" s="135"/>
    </row>
    <row r="315" spans="2:56" x14ac:dyDescent="0.25">
      <c r="B315" s="19" t="s">
        <v>296</v>
      </c>
      <c r="C315" s="50">
        <f>BC180/BC162</f>
        <v>2573.6832423362025</v>
      </c>
      <c r="D315" s="50">
        <f t="shared" ref="D315:AI315" si="648">IF(D190&gt;0,C315,0)</f>
        <v>2573.6832423362025</v>
      </c>
      <c r="E315" s="50">
        <f t="shared" si="648"/>
        <v>2573.6832423362025</v>
      </c>
      <c r="F315" s="50">
        <f t="shared" si="648"/>
        <v>2573.6832423362025</v>
      </c>
      <c r="G315" s="50">
        <f t="shared" si="648"/>
        <v>2573.6832423362025</v>
      </c>
      <c r="H315" s="50">
        <f t="shared" si="648"/>
        <v>2573.6832423362025</v>
      </c>
      <c r="I315" s="50">
        <f t="shared" si="648"/>
        <v>2573.6832423362025</v>
      </c>
      <c r="J315" s="50">
        <f t="shared" si="648"/>
        <v>2573.6832423362025</v>
      </c>
      <c r="K315" s="50">
        <f t="shared" si="648"/>
        <v>2573.6832423362025</v>
      </c>
      <c r="L315" s="50">
        <f t="shared" si="648"/>
        <v>2573.6832423362025</v>
      </c>
      <c r="M315" s="50">
        <f t="shared" si="648"/>
        <v>2573.6832423362025</v>
      </c>
      <c r="N315" s="50">
        <f t="shared" si="648"/>
        <v>2573.6832423362025</v>
      </c>
      <c r="O315" s="50">
        <f t="shared" si="648"/>
        <v>2573.6832423362025</v>
      </c>
      <c r="P315" s="50">
        <f t="shared" si="648"/>
        <v>2573.6832423362025</v>
      </c>
      <c r="Q315" s="50">
        <f t="shared" si="648"/>
        <v>2573.6832423362025</v>
      </c>
      <c r="R315" s="50">
        <f t="shared" si="648"/>
        <v>2573.6832423362025</v>
      </c>
      <c r="S315" s="50">
        <f t="shared" si="648"/>
        <v>2573.6832423362025</v>
      </c>
      <c r="T315" s="50">
        <f t="shared" si="648"/>
        <v>2573.6832423362025</v>
      </c>
      <c r="U315" s="50">
        <f t="shared" si="648"/>
        <v>2573.6832423362025</v>
      </c>
      <c r="V315" s="50">
        <f t="shared" si="648"/>
        <v>2573.6832423362025</v>
      </c>
      <c r="W315" s="50">
        <f t="shared" si="648"/>
        <v>2573.6832423362025</v>
      </c>
      <c r="X315" s="50">
        <f t="shared" si="648"/>
        <v>2573.6832423362025</v>
      </c>
      <c r="Y315" s="50">
        <f t="shared" si="648"/>
        <v>2573.6832423362025</v>
      </c>
      <c r="Z315" s="50">
        <f t="shared" si="648"/>
        <v>2573.6832423362025</v>
      </c>
      <c r="AA315" s="50">
        <f t="shared" si="648"/>
        <v>2573.6832423362025</v>
      </c>
      <c r="AB315" s="50">
        <f t="shared" si="648"/>
        <v>2573.6832423362025</v>
      </c>
      <c r="AC315" s="50">
        <f t="shared" si="648"/>
        <v>2573.6832423362025</v>
      </c>
      <c r="AD315" s="50">
        <f t="shared" si="648"/>
        <v>2573.6832423362025</v>
      </c>
      <c r="AE315" s="50">
        <f t="shared" si="648"/>
        <v>2573.6832423362025</v>
      </c>
      <c r="AF315" s="50">
        <f t="shared" si="648"/>
        <v>2573.6832423362025</v>
      </c>
      <c r="AG315" s="50">
        <f t="shared" si="648"/>
        <v>2573.6832423362025</v>
      </c>
      <c r="AH315" s="50">
        <f t="shared" si="648"/>
        <v>2573.6832423362025</v>
      </c>
      <c r="AI315" s="50">
        <f t="shared" si="648"/>
        <v>2573.6832423362025</v>
      </c>
      <c r="AJ315" s="50">
        <f t="shared" ref="AJ315:BB315" si="649">IF(AJ190&gt;0,AI315,0)</f>
        <v>2573.6832423362025</v>
      </c>
      <c r="AK315" s="50">
        <f t="shared" si="649"/>
        <v>2573.6832423362025</v>
      </c>
      <c r="AL315" s="50">
        <f t="shared" si="649"/>
        <v>2573.6832423362025</v>
      </c>
      <c r="AM315" s="50">
        <f t="shared" si="649"/>
        <v>2573.6832423362025</v>
      </c>
      <c r="AN315" s="50">
        <f t="shared" si="649"/>
        <v>2573.6832423362025</v>
      </c>
      <c r="AO315" s="50">
        <f t="shared" si="649"/>
        <v>2573.6832423362025</v>
      </c>
      <c r="AP315" s="50">
        <f t="shared" si="649"/>
        <v>2573.6832423362025</v>
      </c>
      <c r="AQ315" s="50">
        <f t="shared" si="649"/>
        <v>2573.6832423362025</v>
      </c>
      <c r="AR315" s="50">
        <f t="shared" si="649"/>
        <v>2573.6832423362025</v>
      </c>
      <c r="AS315" s="50">
        <f t="shared" si="649"/>
        <v>2573.6832423362025</v>
      </c>
      <c r="AT315" s="50">
        <f t="shared" si="649"/>
        <v>2573.6832423362025</v>
      </c>
      <c r="AU315" s="50">
        <f t="shared" si="649"/>
        <v>2573.6832423362025</v>
      </c>
      <c r="AV315" s="50">
        <f t="shared" si="649"/>
        <v>2573.6832423362025</v>
      </c>
      <c r="AW315" s="50">
        <f t="shared" si="649"/>
        <v>2573.6832423362025</v>
      </c>
      <c r="AX315" s="50">
        <f t="shared" si="649"/>
        <v>2573.6832423362025</v>
      </c>
      <c r="AY315" s="50">
        <f t="shared" si="649"/>
        <v>2573.6832423362025</v>
      </c>
      <c r="AZ315" s="50">
        <f t="shared" si="649"/>
        <v>2573.6832423362025</v>
      </c>
      <c r="BA315" s="50">
        <f t="shared" si="649"/>
        <v>2573.6832423362025</v>
      </c>
      <c r="BB315" s="50">
        <f t="shared" si="649"/>
        <v>2573.6832423362025</v>
      </c>
      <c r="BC315" s="50"/>
    </row>
    <row r="316" spans="2:56" x14ac:dyDescent="0.25">
      <c r="B316" s="19" t="s">
        <v>384</v>
      </c>
      <c r="C316" s="50">
        <f>BC453/(SUM(BC393:BC400)-SUM(BC429:BC436))</f>
        <v>16.051252426735722</v>
      </c>
      <c r="D316" s="50">
        <f>C316</f>
        <v>16.051252426735722</v>
      </c>
      <c r="E316" s="50">
        <f t="shared" ref="E316:BB316" si="650">D316</f>
        <v>16.051252426735722</v>
      </c>
      <c r="F316" s="50">
        <f t="shared" si="650"/>
        <v>16.051252426735722</v>
      </c>
      <c r="G316" s="50">
        <f t="shared" si="650"/>
        <v>16.051252426735722</v>
      </c>
      <c r="H316" s="50">
        <f t="shared" si="650"/>
        <v>16.051252426735722</v>
      </c>
      <c r="I316" s="50">
        <f t="shared" si="650"/>
        <v>16.051252426735722</v>
      </c>
      <c r="J316" s="50">
        <f t="shared" si="650"/>
        <v>16.051252426735722</v>
      </c>
      <c r="K316" s="50">
        <f t="shared" si="650"/>
        <v>16.051252426735722</v>
      </c>
      <c r="L316" s="50">
        <f t="shared" si="650"/>
        <v>16.051252426735722</v>
      </c>
      <c r="M316" s="50">
        <f t="shared" si="650"/>
        <v>16.051252426735722</v>
      </c>
      <c r="N316" s="50">
        <f t="shared" si="650"/>
        <v>16.051252426735722</v>
      </c>
      <c r="O316" s="50">
        <f t="shared" si="650"/>
        <v>16.051252426735722</v>
      </c>
      <c r="P316" s="50">
        <f t="shared" si="650"/>
        <v>16.051252426735722</v>
      </c>
      <c r="Q316" s="50">
        <f t="shared" si="650"/>
        <v>16.051252426735722</v>
      </c>
      <c r="R316" s="50">
        <f t="shared" si="650"/>
        <v>16.051252426735722</v>
      </c>
      <c r="S316" s="50">
        <f t="shared" si="650"/>
        <v>16.051252426735722</v>
      </c>
      <c r="T316" s="50">
        <f t="shared" si="650"/>
        <v>16.051252426735722</v>
      </c>
      <c r="U316" s="50">
        <f t="shared" si="650"/>
        <v>16.051252426735722</v>
      </c>
      <c r="V316" s="50">
        <f t="shared" si="650"/>
        <v>16.051252426735722</v>
      </c>
      <c r="W316" s="50">
        <f t="shared" si="650"/>
        <v>16.051252426735722</v>
      </c>
      <c r="X316" s="50">
        <f t="shared" si="650"/>
        <v>16.051252426735722</v>
      </c>
      <c r="Y316" s="50">
        <f t="shared" si="650"/>
        <v>16.051252426735722</v>
      </c>
      <c r="Z316" s="50">
        <f t="shared" si="650"/>
        <v>16.051252426735722</v>
      </c>
      <c r="AA316" s="50">
        <f t="shared" si="650"/>
        <v>16.051252426735722</v>
      </c>
      <c r="AB316" s="50">
        <f t="shared" si="650"/>
        <v>16.051252426735722</v>
      </c>
      <c r="AC316" s="50">
        <f t="shared" si="650"/>
        <v>16.051252426735722</v>
      </c>
      <c r="AD316" s="50">
        <f t="shared" si="650"/>
        <v>16.051252426735722</v>
      </c>
      <c r="AE316" s="50">
        <f t="shared" si="650"/>
        <v>16.051252426735722</v>
      </c>
      <c r="AF316" s="50">
        <f t="shared" si="650"/>
        <v>16.051252426735722</v>
      </c>
      <c r="AG316" s="50">
        <f t="shared" si="650"/>
        <v>16.051252426735722</v>
      </c>
      <c r="AH316" s="50">
        <f t="shared" si="650"/>
        <v>16.051252426735722</v>
      </c>
      <c r="AI316" s="50">
        <f t="shared" si="650"/>
        <v>16.051252426735722</v>
      </c>
      <c r="AJ316" s="50">
        <f t="shared" si="650"/>
        <v>16.051252426735722</v>
      </c>
      <c r="AK316" s="50">
        <f t="shared" si="650"/>
        <v>16.051252426735722</v>
      </c>
      <c r="AL316" s="50">
        <f t="shared" si="650"/>
        <v>16.051252426735722</v>
      </c>
      <c r="AM316" s="50">
        <f t="shared" si="650"/>
        <v>16.051252426735722</v>
      </c>
      <c r="AN316" s="50">
        <f t="shared" si="650"/>
        <v>16.051252426735722</v>
      </c>
      <c r="AO316" s="50">
        <f t="shared" si="650"/>
        <v>16.051252426735722</v>
      </c>
      <c r="AP316" s="50">
        <f t="shared" si="650"/>
        <v>16.051252426735722</v>
      </c>
      <c r="AQ316" s="50">
        <f t="shared" si="650"/>
        <v>16.051252426735722</v>
      </c>
      <c r="AR316" s="50">
        <f t="shared" si="650"/>
        <v>16.051252426735722</v>
      </c>
      <c r="AS316" s="50">
        <f t="shared" si="650"/>
        <v>16.051252426735722</v>
      </c>
      <c r="AT316" s="50">
        <f t="shared" si="650"/>
        <v>16.051252426735722</v>
      </c>
      <c r="AU316" s="50">
        <f t="shared" si="650"/>
        <v>16.051252426735722</v>
      </c>
      <c r="AV316" s="50">
        <f t="shared" si="650"/>
        <v>16.051252426735722</v>
      </c>
      <c r="AW316" s="50">
        <f t="shared" si="650"/>
        <v>16.051252426735722</v>
      </c>
      <c r="AX316" s="50">
        <f t="shared" si="650"/>
        <v>16.051252426735722</v>
      </c>
      <c r="AY316" s="50">
        <f t="shared" si="650"/>
        <v>16.051252426735722</v>
      </c>
      <c r="AZ316" s="50">
        <f t="shared" si="650"/>
        <v>16.051252426735722</v>
      </c>
      <c r="BA316" s="50">
        <f t="shared" si="650"/>
        <v>16.051252426735722</v>
      </c>
      <c r="BB316" s="50">
        <f t="shared" si="650"/>
        <v>16.051252426735722</v>
      </c>
      <c r="BC316" s="50"/>
    </row>
    <row r="317" spans="2:56" x14ac:dyDescent="0.25">
      <c r="B317" s="19" t="s">
        <v>385</v>
      </c>
      <c r="C317" s="50">
        <f>BC722/(SUM(BC537:BC544)-SUM(BC698:BC705))</f>
        <v>14.745327583187438</v>
      </c>
      <c r="D317" s="50">
        <f>C317</f>
        <v>14.745327583187438</v>
      </c>
      <c r="E317" s="50">
        <f t="shared" ref="E317:BB317" si="651">D317</f>
        <v>14.745327583187438</v>
      </c>
      <c r="F317" s="50">
        <f t="shared" si="651"/>
        <v>14.745327583187438</v>
      </c>
      <c r="G317" s="50">
        <f t="shared" si="651"/>
        <v>14.745327583187438</v>
      </c>
      <c r="H317" s="50">
        <f t="shared" si="651"/>
        <v>14.745327583187438</v>
      </c>
      <c r="I317" s="50">
        <f t="shared" si="651"/>
        <v>14.745327583187438</v>
      </c>
      <c r="J317" s="50">
        <f t="shared" si="651"/>
        <v>14.745327583187438</v>
      </c>
      <c r="K317" s="50">
        <f t="shared" si="651"/>
        <v>14.745327583187438</v>
      </c>
      <c r="L317" s="50">
        <f t="shared" si="651"/>
        <v>14.745327583187438</v>
      </c>
      <c r="M317" s="50">
        <f t="shared" si="651"/>
        <v>14.745327583187438</v>
      </c>
      <c r="N317" s="50">
        <f t="shared" si="651"/>
        <v>14.745327583187438</v>
      </c>
      <c r="O317" s="50">
        <f t="shared" si="651"/>
        <v>14.745327583187438</v>
      </c>
      <c r="P317" s="50">
        <f t="shared" si="651"/>
        <v>14.745327583187438</v>
      </c>
      <c r="Q317" s="50">
        <f t="shared" si="651"/>
        <v>14.745327583187438</v>
      </c>
      <c r="R317" s="50">
        <f t="shared" si="651"/>
        <v>14.745327583187438</v>
      </c>
      <c r="S317" s="50">
        <f t="shared" si="651"/>
        <v>14.745327583187438</v>
      </c>
      <c r="T317" s="50">
        <f t="shared" si="651"/>
        <v>14.745327583187438</v>
      </c>
      <c r="U317" s="50">
        <f t="shared" si="651"/>
        <v>14.745327583187438</v>
      </c>
      <c r="V317" s="50">
        <f t="shared" si="651"/>
        <v>14.745327583187438</v>
      </c>
      <c r="W317" s="50">
        <f t="shared" si="651"/>
        <v>14.745327583187438</v>
      </c>
      <c r="X317" s="50">
        <f t="shared" si="651"/>
        <v>14.745327583187438</v>
      </c>
      <c r="Y317" s="50">
        <f t="shared" si="651"/>
        <v>14.745327583187438</v>
      </c>
      <c r="Z317" s="50">
        <f t="shared" si="651"/>
        <v>14.745327583187438</v>
      </c>
      <c r="AA317" s="50">
        <f t="shared" si="651"/>
        <v>14.745327583187438</v>
      </c>
      <c r="AB317" s="50">
        <f t="shared" si="651"/>
        <v>14.745327583187438</v>
      </c>
      <c r="AC317" s="50">
        <f t="shared" si="651"/>
        <v>14.745327583187438</v>
      </c>
      <c r="AD317" s="50">
        <f t="shared" si="651"/>
        <v>14.745327583187438</v>
      </c>
      <c r="AE317" s="50">
        <f t="shared" si="651"/>
        <v>14.745327583187438</v>
      </c>
      <c r="AF317" s="50">
        <f t="shared" si="651"/>
        <v>14.745327583187438</v>
      </c>
      <c r="AG317" s="50">
        <f t="shared" si="651"/>
        <v>14.745327583187438</v>
      </c>
      <c r="AH317" s="50">
        <f t="shared" si="651"/>
        <v>14.745327583187438</v>
      </c>
      <c r="AI317" s="50">
        <f t="shared" si="651"/>
        <v>14.745327583187438</v>
      </c>
      <c r="AJ317" s="50">
        <f t="shared" si="651"/>
        <v>14.745327583187438</v>
      </c>
      <c r="AK317" s="50">
        <f t="shared" si="651"/>
        <v>14.745327583187438</v>
      </c>
      <c r="AL317" s="50">
        <f t="shared" si="651"/>
        <v>14.745327583187438</v>
      </c>
      <c r="AM317" s="50">
        <f t="shared" si="651"/>
        <v>14.745327583187438</v>
      </c>
      <c r="AN317" s="50">
        <f t="shared" si="651"/>
        <v>14.745327583187438</v>
      </c>
      <c r="AO317" s="50">
        <f t="shared" si="651"/>
        <v>14.745327583187438</v>
      </c>
      <c r="AP317" s="50">
        <f t="shared" si="651"/>
        <v>14.745327583187438</v>
      </c>
      <c r="AQ317" s="50">
        <f t="shared" si="651"/>
        <v>14.745327583187438</v>
      </c>
      <c r="AR317" s="50">
        <f t="shared" si="651"/>
        <v>14.745327583187438</v>
      </c>
      <c r="AS317" s="50">
        <f t="shared" si="651"/>
        <v>14.745327583187438</v>
      </c>
      <c r="AT317" s="50">
        <f t="shared" si="651"/>
        <v>14.745327583187438</v>
      </c>
      <c r="AU317" s="50">
        <f t="shared" si="651"/>
        <v>14.745327583187438</v>
      </c>
      <c r="AV317" s="50">
        <f t="shared" si="651"/>
        <v>14.745327583187438</v>
      </c>
      <c r="AW317" s="50">
        <f t="shared" si="651"/>
        <v>14.745327583187438</v>
      </c>
      <c r="AX317" s="50">
        <f t="shared" si="651"/>
        <v>14.745327583187438</v>
      </c>
      <c r="AY317" s="50">
        <f t="shared" si="651"/>
        <v>14.745327583187438</v>
      </c>
      <c r="AZ317" s="50">
        <f t="shared" si="651"/>
        <v>14.745327583187438</v>
      </c>
      <c r="BA317" s="50">
        <f t="shared" si="651"/>
        <v>14.745327583187438</v>
      </c>
      <c r="BB317" s="50">
        <f t="shared" si="651"/>
        <v>14.745327583187438</v>
      </c>
      <c r="BC317" s="50"/>
    </row>
    <row r="318" spans="2:56" x14ac:dyDescent="0.25">
      <c r="B318" s="19" t="s">
        <v>297</v>
      </c>
      <c r="C318" s="50">
        <f>C312</f>
        <v>2703.7241379310344</v>
      </c>
      <c r="D318" s="50">
        <f>C318</f>
        <v>2703.7241379310344</v>
      </c>
      <c r="E318" s="50">
        <f t="shared" ref="E318:BB318" si="652">D318</f>
        <v>2703.7241379310344</v>
      </c>
      <c r="F318" s="50">
        <f t="shared" si="652"/>
        <v>2703.7241379310344</v>
      </c>
      <c r="G318" s="50">
        <f t="shared" si="652"/>
        <v>2703.7241379310344</v>
      </c>
      <c r="H318" s="50">
        <f t="shared" si="652"/>
        <v>2703.7241379310344</v>
      </c>
      <c r="I318" s="50">
        <f t="shared" si="652"/>
        <v>2703.7241379310344</v>
      </c>
      <c r="J318" s="50">
        <f t="shared" si="652"/>
        <v>2703.7241379310344</v>
      </c>
      <c r="K318" s="50">
        <f t="shared" si="652"/>
        <v>2703.7241379310344</v>
      </c>
      <c r="L318" s="50">
        <f t="shared" si="652"/>
        <v>2703.7241379310344</v>
      </c>
      <c r="M318" s="50">
        <f t="shared" si="652"/>
        <v>2703.7241379310344</v>
      </c>
      <c r="N318" s="50">
        <f t="shared" si="652"/>
        <v>2703.7241379310344</v>
      </c>
      <c r="O318" s="50">
        <f t="shared" si="652"/>
        <v>2703.7241379310344</v>
      </c>
      <c r="P318" s="50">
        <f t="shared" si="652"/>
        <v>2703.7241379310344</v>
      </c>
      <c r="Q318" s="50">
        <f t="shared" si="652"/>
        <v>2703.7241379310344</v>
      </c>
      <c r="R318" s="50">
        <f t="shared" si="652"/>
        <v>2703.7241379310344</v>
      </c>
      <c r="S318" s="50">
        <f t="shared" si="652"/>
        <v>2703.7241379310344</v>
      </c>
      <c r="T318" s="50">
        <f t="shared" si="652"/>
        <v>2703.7241379310344</v>
      </c>
      <c r="U318" s="50">
        <f t="shared" si="652"/>
        <v>2703.7241379310344</v>
      </c>
      <c r="V318" s="50">
        <f t="shared" si="652"/>
        <v>2703.7241379310344</v>
      </c>
      <c r="W318" s="50">
        <f t="shared" si="652"/>
        <v>2703.7241379310344</v>
      </c>
      <c r="X318" s="50">
        <f t="shared" si="652"/>
        <v>2703.7241379310344</v>
      </c>
      <c r="Y318" s="50">
        <f t="shared" si="652"/>
        <v>2703.7241379310344</v>
      </c>
      <c r="Z318" s="50">
        <f t="shared" si="652"/>
        <v>2703.7241379310344</v>
      </c>
      <c r="AA318" s="50">
        <f t="shared" si="652"/>
        <v>2703.7241379310344</v>
      </c>
      <c r="AB318" s="50">
        <f t="shared" si="652"/>
        <v>2703.7241379310344</v>
      </c>
      <c r="AC318" s="50">
        <f t="shared" si="652"/>
        <v>2703.7241379310344</v>
      </c>
      <c r="AD318" s="50">
        <f t="shared" si="652"/>
        <v>2703.7241379310344</v>
      </c>
      <c r="AE318" s="50">
        <f t="shared" si="652"/>
        <v>2703.7241379310344</v>
      </c>
      <c r="AF318" s="50">
        <f t="shared" si="652"/>
        <v>2703.7241379310344</v>
      </c>
      <c r="AG318" s="50">
        <f t="shared" si="652"/>
        <v>2703.7241379310344</v>
      </c>
      <c r="AH318" s="50">
        <f t="shared" si="652"/>
        <v>2703.7241379310344</v>
      </c>
      <c r="AI318" s="50">
        <f t="shared" si="652"/>
        <v>2703.7241379310344</v>
      </c>
      <c r="AJ318" s="50">
        <f t="shared" si="652"/>
        <v>2703.7241379310344</v>
      </c>
      <c r="AK318" s="50">
        <f t="shared" si="652"/>
        <v>2703.7241379310344</v>
      </c>
      <c r="AL318" s="50">
        <f t="shared" si="652"/>
        <v>2703.7241379310344</v>
      </c>
      <c r="AM318" s="50">
        <f t="shared" si="652"/>
        <v>2703.7241379310344</v>
      </c>
      <c r="AN318" s="50">
        <f t="shared" si="652"/>
        <v>2703.7241379310344</v>
      </c>
      <c r="AO318" s="50">
        <f t="shared" si="652"/>
        <v>2703.7241379310344</v>
      </c>
      <c r="AP318" s="50">
        <f t="shared" si="652"/>
        <v>2703.7241379310344</v>
      </c>
      <c r="AQ318" s="50">
        <f t="shared" si="652"/>
        <v>2703.7241379310344</v>
      </c>
      <c r="AR318" s="50">
        <f t="shared" si="652"/>
        <v>2703.7241379310344</v>
      </c>
      <c r="AS318" s="50">
        <f t="shared" si="652"/>
        <v>2703.7241379310344</v>
      </c>
      <c r="AT318" s="50">
        <f t="shared" si="652"/>
        <v>2703.7241379310344</v>
      </c>
      <c r="AU318" s="50">
        <f t="shared" si="652"/>
        <v>2703.7241379310344</v>
      </c>
      <c r="AV318" s="50">
        <f t="shared" si="652"/>
        <v>2703.7241379310344</v>
      </c>
      <c r="AW318" s="50">
        <f t="shared" si="652"/>
        <v>2703.7241379310344</v>
      </c>
      <c r="AX318" s="50">
        <f t="shared" si="652"/>
        <v>2703.7241379310344</v>
      </c>
      <c r="AY318" s="50">
        <f t="shared" si="652"/>
        <v>2703.7241379310344</v>
      </c>
      <c r="AZ318" s="50">
        <f t="shared" si="652"/>
        <v>2703.7241379310344</v>
      </c>
      <c r="BA318" s="50">
        <f t="shared" si="652"/>
        <v>2703.7241379310344</v>
      </c>
      <c r="BB318" s="50">
        <f t="shared" si="652"/>
        <v>2703.7241379310344</v>
      </c>
      <c r="BC318" s="50"/>
    </row>
    <row r="320" spans="2:56" x14ac:dyDescent="0.25">
      <c r="B320" s="1" t="s">
        <v>271</v>
      </c>
    </row>
    <row r="321" spans="1:55" x14ac:dyDescent="0.25">
      <c r="A321" s="64">
        <f>'Client Data'!A109</f>
        <v>8</v>
      </c>
      <c r="B321" s="19" t="str">
        <f>'Client Data'!B109</f>
        <v>Yield Defect Loss Type A</v>
      </c>
      <c r="C321" s="50">
        <f t="shared" ref="C321:AH321" si="653">IF(C190&gt;0,SUM(C322:C329),0)</f>
        <v>5</v>
      </c>
      <c r="D321" s="50">
        <f t="shared" si="653"/>
        <v>0</v>
      </c>
      <c r="E321" s="50">
        <f t="shared" si="653"/>
        <v>2</v>
      </c>
      <c r="F321" s="50">
        <f t="shared" si="653"/>
        <v>0</v>
      </c>
      <c r="G321" s="50">
        <f t="shared" si="653"/>
        <v>4</v>
      </c>
      <c r="H321" s="50">
        <f t="shared" si="653"/>
        <v>0</v>
      </c>
      <c r="I321" s="50">
        <f t="shared" si="653"/>
        <v>0</v>
      </c>
      <c r="J321" s="50">
        <f t="shared" si="653"/>
        <v>0</v>
      </c>
      <c r="K321" s="50">
        <f t="shared" si="653"/>
        <v>4</v>
      </c>
      <c r="L321" s="50">
        <f t="shared" si="653"/>
        <v>0</v>
      </c>
      <c r="M321" s="50">
        <f t="shared" si="653"/>
        <v>0</v>
      </c>
      <c r="N321" s="50">
        <f t="shared" si="653"/>
        <v>0</v>
      </c>
      <c r="O321" s="50">
        <f t="shared" si="653"/>
        <v>4</v>
      </c>
      <c r="P321" s="50">
        <f t="shared" si="653"/>
        <v>1</v>
      </c>
      <c r="Q321" s="50">
        <f t="shared" si="653"/>
        <v>0</v>
      </c>
      <c r="R321" s="50">
        <f t="shared" si="653"/>
        <v>0</v>
      </c>
      <c r="S321" s="50">
        <f t="shared" si="653"/>
        <v>4</v>
      </c>
      <c r="T321" s="50">
        <f t="shared" si="653"/>
        <v>0</v>
      </c>
      <c r="U321" s="50">
        <f t="shared" si="653"/>
        <v>0</v>
      </c>
      <c r="V321" s="50">
        <f t="shared" si="653"/>
        <v>1</v>
      </c>
      <c r="W321" s="50">
        <f t="shared" si="653"/>
        <v>4</v>
      </c>
      <c r="X321" s="50">
        <f t="shared" si="653"/>
        <v>0</v>
      </c>
      <c r="Y321" s="50">
        <f t="shared" si="653"/>
        <v>0</v>
      </c>
      <c r="Z321" s="50">
        <f t="shared" si="653"/>
        <v>0</v>
      </c>
      <c r="AA321" s="50">
        <f t="shared" si="653"/>
        <v>4</v>
      </c>
      <c r="AB321" s="50">
        <f t="shared" si="653"/>
        <v>0</v>
      </c>
      <c r="AC321" s="50">
        <f t="shared" si="653"/>
        <v>3</v>
      </c>
      <c r="AD321" s="50">
        <f t="shared" si="653"/>
        <v>0</v>
      </c>
      <c r="AE321" s="50">
        <f t="shared" si="653"/>
        <v>4</v>
      </c>
      <c r="AF321" s="50">
        <f t="shared" si="653"/>
        <v>0</v>
      </c>
      <c r="AG321" s="50">
        <f t="shared" si="653"/>
        <v>0</v>
      </c>
      <c r="AH321" s="50">
        <f t="shared" si="653"/>
        <v>1</v>
      </c>
      <c r="AI321" s="50">
        <f t="shared" ref="AI321:BB321" si="654">IF(AI190&gt;0,SUM(AI322:AI329),0)</f>
        <v>4</v>
      </c>
      <c r="AJ321" s="50">
        <f t="shared" si="654"/>
        <v>0</v>
      </c>
      <c r="AK321" s="50">
        <f t="shared" si="654"/>
        <v>0</v>
      </c>
      <c r="AL321" s="50">
        <f t="shared" si="654"/>
        <v>0</v>
      </c>
      <c r="AM321" s="50">
        <f t="shared" si="654"/>
        <v>4</v>
      </c>
      <c r="AN321" s="50">
        <f t="shared" si="654"/>
        <v>1</v>
      </c>
      <c r="AO321" s="50">
        <f t="shared" si="654"/>
        <v>0</v>
      </c>
      <c r="AP321" s="50">
        <f t="shared" si="654"/>
        <v>0</v>
      </c>
      <c r="AQ321" s="50">
        <f t="shared" si="654"/>
        <v>4</v>
      </c>
      <c r="AR321" s="50">
        <f t="shared" si="654"/>
        <v>0</v>
      </c>
      <c r="AS321" s="50">
        <f t="shared" si="654"/>
        <v>2</v>
      </c>
      <c r="AT321" s="50">
        <f t="shared" si="654"/>
        <v>0</v>
      </c>
      <c r="AU321" s="50">
        <f t="shared" si="654"/>
        <v>4</v>
      </c>
      <c r="AV321" s="50">
        <f t="shared" si="654"/>
        <v>2</v>
      </c>
      <c r="AW321" s="50">
        <f t="shared" si="654"/>
        <v>0</v>
      </c>
      <c r="AX321" s="50">
        <f t="shared" si="654"/>
        <v>0</v>
      </c>
      <c r="AY321" s="50">
        <f t="shared" si="654"/>
        <v>4</v>
      </c>
      <c r="AZ321" s="50">
        <f t="shared" si="654"/>
        <v>0</v>
      </c>
      <c r="BA321" s="50">
        <f t="shared" si="654"/>
        <v>0</v>
      </c>
      <c r="BB321" s="50">
        <f t="shared" si="654"/>
        <v>0</v>
      </c>
      <c r="BC321" s="19">
        <f>SUM(C321:BB321)</f>
        <v>66</v>
      </c>
    </row>
    <row r="322" spans="1:55" x14ac:dyDescent="0.25">
      <c r="B322" s="19" t="str">
        <f>'Client Data'!C110</f>
        <v>Product A</v>
      </c>
      <c r="C322" s="35">
        <f>'Client Data'!D110</f>
        <v>5</v>
      </c>
      <c r="D322" s="35">
        <f>'Client Data'!E110</f>
        <v>0</v>
      </c>
      <c r="E322" s="35">
        <f>'Client Data'!F110</f>
        <v>2</v>
      </c>
      <c r="F322" s="35">
        <f>'Client Data'!G110</f>
        <v>0</v>
      </c>
      <c r="G322" s="35">
        <f>'Client Data'!H110</f>
        <v>4</v>
      </c>
      <c r="H322" s="35">
        <f>'Client Data'!I110</f>
        <v>0</v>
      </c>
      <c r="I322" s="35">
        <f>'Client Data'!J110</f>
        <v>0</v>
      </c>
      <c r="J322" s="35">
        <f>'Client Data'!K110</f>
        <v>0</v>
      </c>
      <c r="K322" s="35">
        <f>'Client Data'!L110</f>
        <v>4</v>
      </c>
      <c r="L322" s="35">
        <f>'Client Data'!M110</f>
        <v>0</v>
      </c>
      <c r="M322" s="35">
        <f>'Client Data'!N110</f>
        <v>0</v>
      </c>
      <c r="N322" s="35">
        <f>'Client Data'!O110</f>
        <v>0</v>
      </c>
      <c r="O322" s="35">
        <f>'Client Data'!P110</f>
        <v>4</v>
      </c>
      <c r="P322" s="35">
        <f>'Client Data'!Q110</f>
        <v>1</v>
      </c>
      <c r="Q322" s="35">
        <f>'Client Data'!R110</f>
        <v>0</v>
      </c>
      <c r="R322" s="35">
        <f>'Client Data'!S110</f>
        <v>0</v>
      </c>
      <c r="S322" s="35">
        <f>'Client Data'!T110</f>
        <v>4</v>
      </c>
      <c r="T322" s="35">
        <f>'Client Data'!U110</f>
        <v>0</v>
      </c>
      <c r="U322" s="35">
        <f>'Client Data'!V110</f>
        <v>0</v>
      </c>
      <c r="V322" s="35">
        <f>'Client Data'!W110</f>
        <v>1</v>
      </c>
      <c r="W322" s="35">
        <f>'Client Data'!X110</f>
        <v>4</v>
      </c>
      <c r="X322" s="35">
        <f>'Client Data'!Y110</f>
        <v>0</v>
      </c>
      <c r="Y322" s="35">
        <f>'Client Data'!Z110</f>
        <v>0</v>
      </c>
      <c r="Z322" s="35">
        <f>'Client Data'!AA110</f>
        <v>0</v>
      </c>
      <c r="AA322" s="35">
        <f>'Client Data'!AB110</f>
        <v>4</v>
      </c>
      <c r="AB322" s="35">
        <f>'Client Data'!AC110</f>
        <v>0</v>
      </c>
      <c r="AC322" s="35">
        <f>'Client Data'!AD110</f>
        <v>3</v>
      </c>
      <c r="AD322" s="35">
        <f>'Client Data'!AE110</f>
        <v>0</v>
      </c>
      <c r="AE322" s="35">
        <f>'Client Data'!AF110</f>
        <v>4</v>
      </c>
      <c r="AF322" s="35">
        <f>'Client Data'!AG110</f>
        <v>0</v>
      </c>
      <c r="AG322" s="35">
        <f>'Client Data'!AH110</f>
        <v>0</v>
      </c>
      <c r="AH322" s="35">
        <f>'Client Data'!AI110</f>
        <v>1</v>
      </c>
      <c r="AI322" s="35">
        <f>'Client Data'!AJ110</f>
        <v>4</v>
      </c>
      <c r="AJ322" s="35">
        <f>'Client Data'!AK110</f>
        <v>0</v>
      </c>
      <c r="AK322" s="35">
        <f>'Client Data'!AL110</f>
        <v>0</v>
      </c>
      <c r="AL322" s="35">
        <f>'Client Data'!AM110</f>
        <v>0</v>
      </c>
      <c r="AM322" s="35">
        <f>'Client Data'!AN110</f>
        <v>4</v>
      </c>
      <c r="AN322" s="35">
        <f>'Client Data'!AO110</f>
        <v>1</v>
      </c>
      <c r="AO322" s="35">
        <f>'Client Data'!AP110</f>
        <v>0</v>
      </c>
      <c r="AP322" s="35">
        <f>'Client Data'!AQ110</f>
        <v>0</v>
      </c>
      <c r="AQ322" s="35">
        <f>'Client Data'!AR110</f>
        <v>4</v>
      </c>
      <c r="AR322" s="35">
        <f>'Client Data'!AS110</f>
        <v>0</v>
      </c>
      <c r="AS322" s="35">
        <f>'Client Data'!AT110</f>
        <v>2</v>
      </c>
      <c r="AT322" s="35">
        <f>'Client Data'!AU110</f>
        <v>0</v>
      </c>
      <c r="AU322" s="35">
        <f>'Client Data'!AV110</f>
        <v>4</v>
      </c>
      <c r="AV322" s="35">
        <f>'Client Data'!AW110</f>
        <v>2</v>
      </c>
      <c r="AW322" s="35">
        <f>'Client Data'!AX110</f>
        <v>0</v>
      </c>
      <c r="AX322" s="35">
        <f>'Client Data'!AY110</f>
        <v>0</v>
      </c>
      <c r="AY322" s="35">
        <f>'Client Data'!AZ110</f>
        <v>4</v>
      </c>
      <c r="AZ322" s="35">
        <f>'Client Data'!BA110</f>
        <v>0</v>
      </c>
      <c r="BA322" s="35">
        <f>'Client Data'!BB110</f>
        <v>0</v>
      </c>
      <c r="BB322" s="35">
        <f>'Client Data'!BC110</f>
        <v>0</v>
      </c>
      <c r="BC322" s="19">
        <f t="shared" ref="BC322:BC329" si="655">SUM(C322:BB322)</f>
        <v>66</v>
      </c>
    </row>
    <row r="323" spans="1:55" x14ac:dyDescent="0.25">
      <c r="B323" s="19" t="str">
        <f>'Client Data'!C111</f>
        <v>Product B</v>
      </c>
      <c r="C323" s="35">
        <f>'Client Data'!D111</f>
        <v>0</v>
      </c>
      <c r="D323" s="35">
        <f>'Client Data'!E111</f>
        <v>0</v>
      </c>
      <c r="E323" s="35">
        <f>'Client Data'!F111</f>
        <v>0</v>
      </c>
      <c r="F323" s="35">
        <f>'Client Data'!G111</f>
        <v>0</v>
      </c>
      <c r="G323" s="35">
        <f>'Client Data'!H111</f>
        <v>0</v>
      </c>
      <c r="H323" s="35">
        <f>'Client Data'!I111</f>
        <v>0</v>
      </c>
      <c r="I323" s="35">
        <f>'Client Data'!J111</f>
        <v>0</v>
      </c>
      <c r="J323" s="35">
        <f>'Client Data'!K111</f>
        <v>0</v>
      </c>
      <c r="K323" s="35">
        <f>'Client Data'!L111</f>
        <v>0</v>
      </c>
      <c r="L323" s="35">
        <f>'Client Data'!M111</f>
        <v>0</v>
      </c>
      <c r="M323" s="35">
        <f>'Client Data'!N111</f>
        <v>0</v>
      </c>
      <c r="N323" s="35">
        <f>'Client Data'!O111</f>
        <v>0</v>
      </c>
      <c r="O323" s="35">
        <f>'Client Data'!P111</f>
        <v>0</v>
      </c>
      <c r="P323" s="35">
        <f>'Client Data'!Q111</f>
        <v>0</v>
      </c>
      <c r="Q323" s="35">
        <f>'Client Data'!R111</f>
        <v>0</v>
      </c>
      <c r="R323" s="35">
        <f>'Client Data'!S111</f>
        <v>0</v>
      </c>
      <c r="S323" s="35">
        <f>'Client Data'!T111</f>
        <v>0</v>
      </c>
      <c r="T323" s="35">
        <f>'Client Data'!U111</f>
        <v>0</v>
      </c>
      <c r="U323" s="35">
        <f>'Client Data'!V111</f>
        <v>0</v>
      </c>
      <c r="V323" s="35">
        <f>'Client Data'!W111</f>
        <v>0</v>
      </c>
      <c r="W323" s="35">
        <f>'Client Data'!X111</f>
        <v>0</v>
      </c>
      <c r="X323" s="35">
        <f>'Client Data'!Y111</f>
        <v>0</v>
      </c>
      <c r="Y323" s="35">
        <f>'Client Data'!Z111</f>
        <v>0</v>
      </c>
      <c r="Z323" s="35">
        <f>'Client Data'!AA111</f>
        <v>0</v>
      </c>
      <c r="AA323" s="35">
        <f>'Client Data'!AB111</f>
        <v>0</v>
      </c>
      <c r="AB323" s="35">
        <f>'Client Data'!AC111</f>
        <v>0</v>
      </c>
      <c r="AC323" s="35">
        <f>'Client Data'!AD111</f>
        <v>0</v>
      </c>
      <c r="AD323" s="35">
        <f>'Client Data'!AE111</f>
        <v>0</v>
      </c>
      <c r="AE323" s="35">
        <f>'Client Data'!AF111</f>
        <v>0</v>
      </c>
      <c r="AF323" s="35">
        <f>'Client Data'!AG111</f>
        <v>0</v>
      </c>
      <c r="AG323" s="35">
        <f>'Client Data'!AH111</f>
        <v>0</v>
      </c>
      <c r="AH323" s="35">
        <f>'Client Data'!AI111</f>
        <v>0</v>
      </c>
      <c r="AI323" s="35">
        <f>'Client Data'!AJ111</f>
        <v>0</v>
      </c>
      <c r="AJ323" s="35">
        <f>'Client Data'!AK111</f>
        <v>0</v>
      </c>
      <c r="AK323" s="35">
        <f>'Client Data'!AL111</f>
        <v>0</v>
      </c>
      <c r="AL323" s="35">
        <f>'Client Data'!AM111</f>
        <v>0</v>
      </c>
      <c r="AM323" s="35">
        <f>'Client Data'!AN111</f>
        <v>0</v>
      </c>
      <c r="AN323" s="35">
        <f>'Client Data'!AO111</f>
        <v>0</v>
      </c>
      <c r="AO323" s="35">
        <f>'Client Data'!AP111</f>
        <v>0</v>
      </c>
      <c r="AP323" s="35">
        <f>'Client Data'!AQ111</f>
        <v>0</v>
      </c>
      <c r="AQ323" s="35">
        <f>'Client Data'!AR111</f>
        <v>0</v>
      </c>
      <c r="AR323" s="35">
        <f>'Client Data'!AS111</f>
        <v>0</v>
      </c>
      <c r="AS323" s="35">
        <f>'Client Data'!AT111</f>
        <v>0</v>
      </c>
      <c r="AT323" s="35">
        <f>'Client Data'!AU111</f>
        <v>0</v>
      </c>
      <c r="AU323" s="35">
        <f>'Client Data'!AV111</f>
        <v>0</v>
      </c>
      <c r="AV323" s="35">
        <f>'Client Data'!AW111</f>
        <v>0</v>
      </c>
      <c r="AW323" s="35">
        <f>'Client Data'!AX111</f>
        <v>0</v>
      </c>
      <c r="AX323" s="35">
        <f>'Client Data'!AY111</f>
        <v>0</v>
      </c>
      <c r="AY323" s="35">
        <f>'Client Data'!AZ111</f>
        <v>0</v>
      </c>
      <c r="AZ323" s="35">
        <f>'Client Data'!BA111</f>
        <v>0</v>
      </c>
      <c r="BA323" s="35">
        <f>'Client Data'!BB111</f>
        <v>0</v>
      </c>
      <c r="BB323" s="35">
        <f>'Client Data'!BC111</f>
        <v>0</v>
      </c>
      <c r="BC323" s="19">
        <f t="shared" si="655"/>
        <v>0</v>
      </c>
    </row>
    <row r="324" spans="1:55" x14ac:dyDescent="0.25">
      <c r="B324" s="19" t="str">
        <f>'Client Data'!C112</f>
        <v>Product C</v>
      </c>
      <c r="C324" s="35">
        <f>'Client Data'!D112</f>
        <v>0</v>
      </c>
      <c r="D324" s="35">
        <f>'Client Data'!E112</f>
        <v>0</v>
      </c>
      <c r="E324" s="35">
        <f>'Client Data'!F112</f>
        <v>0</v>
      </c>
      <c r="F324" s="35">
        <f>'Client Data'!G112</f>
        <v>0</v>
      </c>
      <c r="G324" s="35">
        <f>'Client Data'!H112</f>
        <v>0</v>
      </c>
      <c r="H324" s="35">
        <f>'Client Data'!I112</f>
        <v>0</v>
      </c>
      <c r="I324" s="35">
        <f>'Client Data'!J112</f>
        <v>0</v>
      </c>
      <c r="J324" s="35">
        <f>'Client Data'!K112</f>
        <v>0</v>
      </c>
      <c r="K324" s="35">
        <f>'Client Data'!L112</f>
        <v>0</v>
      </c>
      <c r="L324" s="35">
        <f>'Client Data'!M112</f>
        <v>0</v>
      </c>
      <c r="M324" s="35">
        <f>'Client Data'!N112</f>
        <v>0</v>
      </c>
      <c r="N324" s="35">
        <f>'Client Data'!O112</f>
        <v>0</v>
      </c>
      <c r="O324" s="35">
        <f>'Client Data'!P112</f>
        <v>0</v>
      </c>
      <c r="P324" s="35">
        <f>'Client Data'!Q112</f>
        <v>0</v>
      </c>
      <c r="Q324" s="35">
        <f>'Client Data'!R112</f>
        <v>0</v>
      </c>
      <c r="R324" s="35">
        <f>'Client Data'!S112</f>
        <v>0</v>
      </c>
      <c r="S324" s="35">
        <f>'Client Data'!T112</f>
        <v>0</v>
      </c>
      <c r="T324" s="35">
        <f>'Client Data'!U112</f>
        <v>0</v>
      </c>
      <c r="U324" s="35">
        <f>'Client Data'!V112</f>
        <v>0</v>
      </c>
      <c r="V324" s="35">
        <f>'Client Data'!W112</f>
        <v>0</v>
      </c>
      <c r="W324" s="35">
        <f>'Client Data'!X112</f>
        <v>0</v>
      </c>
      <c r="X324" s="35">
        <f>'Client Data'!Y112</f>
        <v>0</v>
      </c>
      <c r="Y324" s="35">
        <f>'Client Data'!Z112</f>
        <v>0</v>
      </c>
      <c r="Z324" s="35">
        <f>'Client Data'!AA112</f>
        <v>0</v>
      </c>
      <c r="AA324" s="35">
        <f>'Client Data'!AB112</f>
        <v>0</v>
      </c>
      <c r="AB324" s="35">
        <f>'Client Data'!AC112</f>
        <v>0</v>
      </c>
      <c r="AC324" s="35">
        <f>'Client Data'!AD112</f>
        <v>0</v>
      </c>
      <c r="AD324" s="35">
        <f>'Client Data'!AE112</f>
        <v>0</v>
      </c>
      <c r="AE324" s="35">
        <f>'Client Data'!AF112</f>
        <v>0</v>
      </c>
      <c r="AF324" s="35">
        <f>'Client Data'!AG112</f>
        <v>0</v>
      </c>
      <c r="AG324" s="35">
        <f>'Client Data'!AH112</f>
        <v>0</v>
      </c>
      <c r="AH324" s="35">
        <f>'Client Data'!AI112</f>
        <v>0</v>
      </c>
      <c r="AI324" s="35">
        <f>'Client Data'!AJ112</f>
        <v>0</v>
      </c>
      <c r="AJ324" s="35">
        <f>'Client Data'!AK112</f>
        <v>0</v>
      </c>
      <c r="AK324" s="35">
        <f>'Client Data'!AL112</f>
        <v>0</v>
      </c>
      <c r="AL324" s="35">
        <f>'Client Data'!AM112</f>
        <v>0</v>
      </c>
      <c r="AM324" s="35">
        <f>'Client Data'!AN112</f>
        <v>0</v>
      </c>
      <c r="AN324" s="35">
        <f>'Client Data'!AO112</f>
        <v>0</v>
      </c>
      <c r="AO324" s="35">
        <f>'Client Data'!AP112</f>
        <v>0</v>
      </c>
      <c r="AP324" s="35">
        <f>'Client Data'!AQ112</f>
        <v>0</v>
      </c>
      <c r="AQ324" s="35">
        <f>'Client Data'!AR112</f>
        <v>0</v>
      </c>
      <c r="AR324" s="35">
        <f>'Client Data'!AS112</f>
        <v>0</v>
      </c>
      <c r="AS324" s="35">
        <f>'Client Data'!AT112</f>
        <v>0</v>
      </c>
      <c r="AT324" s="35">
        <f>'Client Data'!AU112</f>
        <v>0</v>
      </c>
      <c r="AU324" s="35">
        <f>'Client Data'!AV112</f>
        <v>0</v>
      </c>
      <c r="AV324" s="35">
        <f>'Client Data'!AW112</f>
        <v>0</v>
      </c>
      <c r="AW324" s="35">
        <f>'Client Data'!AX112</f>
        <v>0</v>
      </c>
      <c r="AX324" s="35">
        <f>'Client Data'!AY112</f>
        <v>0</v>
      </c>
      <c r="AY324" s="35">
        <f>'Client Data'!AZ112</f>
        <v>0</v>
      </c>
      <c r="AZ324" s="35">
        <f>'Client Data'!BA112</f>
        <v>0</v>
      </c>
      <c r="BA324" s="35">
        <f>'Client Data'!BB112</f>
        <v>0</v>
      </c>
      <c r="BB324" s="35">
        <f>'Client Data'!BC112</f>
        <v>0</v>
      </c>
      <c r="BC324" s="19">
        <f t="shared" si="655"/>
        <v>0</v>
      </c>
    </row>
    <row r="325" spans="1:55" x14ac:dyDescent="0.25">
      <c r="B325" s="19" t="str">
        <f>'Client Data'!C113</f>
        <v>Product D</v>
      </c>
      <c r="C325" s="35">
        <f>'Client Data'!D113</f>
        <v>0</v>
      </c>
      <c r="D325" s="35">
        <f>'Client Data'!E113</f>
        <v>0</v>
      </c>
      <c r="E325" s="35">
        <f>'Client Data'!F113</f>
        <v>0</v>
      </c>
      <c r="F325" s="35">
        <f>'Client Data'!G113</f>
        <v>0</v>
      </c>
      <c r="G325" s="35">
        <f>'Client Data'!H113</f>
        <v>0</v>
      </c>
      <c r="H325" s="35">
        <f>'Client Data'!I113</f>
        <v>0</v>
      </c>
      <c r="I325" s="35">
        <f>'Client Data'!J113</f>
        <v>0</v>
      </c>
      <c r="J325" s="35">
        <f>'Client Data'!K113</f>
        <v>0</v>
      </c>
      <c r="K325" s="35">
        <f>'Client Data'!L113</f>
        <v>0</v>
      </c>
      <c r="L325" s="35">
        <f>'Client Data'!M113</f>
        <v>0</v>
      </c>
      <c r="M325" s="35">
        <f>'Client Data'!N113</f>
        <v>0</v>
      </c>
      <c r="N325" s="35">
        <f>'Client Data'!O113</f>
        <v>0</v>
      </c>
      <c r="O325" s="35">
        <f>'Client Data'!P113</f>
        <v>0</v>
      </c>
      <c r="P325" s="35">
        <f>'Client Data'!Q113</f>
        <v>0</v>
      </c>
      <c r="Q325" s="35">
        <f>'Client Data'!R113</f>
        <v>0</v>
      </c>
      <c r="R325" s="35">
        <f>'Client Data'!S113</f>
        <v>0</v>
      </c>
      <c r="S325" s="35">
        <f>'Client Data'!T113</f>
        <v>0</v>
      </c>
      <c r="T325" s="35">
        <f>'Client Data'!U113</f>
        <v>0</v>
      </c>
      <c r="U325" s="35">
        <f>'Client Data'!V113</f>
        <v>0</v>
      </c>
      <c r="V325" s="35">
        <f>'Client Data'!W113</f>
        <v>0</v>
      </c>
      <c r="W325" s="35">
        <f>'Client Data'!X113</f>
        <v>0</v>
      </c>
      <c r="X325" s="35">
        <f>'Client Data'!Y113</f>
        <v>0</v>
      </c>
      <c r="Y325" s="35">
        <f>'Client Data'!Z113</f>
        <v>0</v>
      </c>
      <c r="Z325" s="35">
        <f>'Client Data'!AA113</f>
        <v>0</v>
      </c>
      <c r="AA325" s="35">
        <f>'Client Data'!AB113</f>
        <v>0</v>
      </c>
      <c r="AB325" s="35">
        <f>'Client Data'!AC113</f>
        <v>0</v>
      </c>
      <c r="AC325" s="35">
        <f>'Client Data'!AD113</f>
        <v>0</v>
      </c>
      <c r="AD325" s="35">
        <f>'Client Data'!AE113</f>
        <v>0</v>
      </c>
      <c r="AE325" s="35">
        <f>'Client Data'!AF113</f>
        <v>0</v>
      </c>
      <c r="AF325" s="35">
        <f>'Client Data'!AG113</f>
        <v>0</v>
      </c>
      <c r="AG325" s="35">
        <f>'Client Data'!AH113</f>
        <v>0</v>
      </c>
      <c r="AH325" s="35">
        <f>'Client Data'!AI113</f>
        <v>0</v>
      </c>
      <c r="AI325" s="35">
        <f>'Client Data'!AJ113</f>
        <v>0</v>
      </c>
      <c r="AJ325" s="35">
        <f>'Client Data'!AK113</f>
        <v>0</v>
      </c>
      <c r="AK325" s="35">
        <f>'Client Data'!AL113</f>
        <v>0</v>
      </c>
      <c r="AL325" s="35">
        <f>'Client Data'!AM113</f>
        <v>0</v>
      </c>
      <c r="AM325" s="35">
        <f>'Client Data'!AN113</f>
        <v>0</v>
      </c>
      <c r="AN325" s="35">
        <f>'Client Data'!AO113</f>
        <v>0</v>
      </c>
      <c r="AO325" s="35">
        <f>'Client Data'!AP113</f>
        <v>0</v>
      </c>
      <c r="AP325" s="35">
        <f>'Client Data'!AQ113</f>
        <v>0</v>
      </c>
      <c r="AQ325" s="35">
        <f>'Client Data'!AR113</f>
        <v>0</v>
      </c>
      <c r="AR325" s="35">
        <f>'Client Data'!AS113</f>
        <v>0</v>
      </c>
      <c r="AS325" s="35">
        <f>'Client Data'!AT113</f>
        <v>0</v>
      </c>
      <c r="AT325" s="35">
        <f>'Client Data'!AU113</f>
        <v>0</v>
      </c>
      <c r="AU325" s="35">
        <f>'Client Data'!AV113</f>
        <v>0</v>
      </c>
      <c r="AV325" s="35">
        <f>'Client Data'!AW113</f>
        <v>0</v>
      </c>
      <c r="AW325" s="35">
        <f>'Client Data'!AX113</f>
        <v>0</v>
      </c>
      <c r="AX325" s="35">
        <f>'Client Data'!AY113</f>
        <v>0</v>
      </c>
      <c r="AY325" s="35">
        <f>'Client Data'!AZ113</f>
        <v>0</v>
      </c>
      <c r="AZ325" s="35">
        <f>'Client Data'!BA113</f>
        <v>0</v>
      </c>
      <c r="BA325" s="35">
        <f>'Client Data'!BB113</f>
        <v>0</v>
      </c>
      <c r="BB325" s="35">
        <f>'Client Data'!BC113</f>
        <v>0</v>
      </c>
      <c r="BC325" s="19">
        <f t="shared" si="655"/>
        <v>0</v>
      </c>
    </row>
    <row r="326" spans="1:55" x14ac:dyDescent="0.25">
      <c r="B326" s="19" t="str">
        <f>'Client Data'!C114</f>
        <v>Product E</v>
      </c>
      <c r="C326" s="35">
        <f>'Client Data'!D114</f>
        <v>0</v>
      </c>
      <c r="D326" s="35">
        <f>'Client Data'!E114</f>
        <v>0</v>
      </c>
      <c r="E326" s="35">
        <f>'Client Data'!F114</f>
        <v>0</v>
      </c>
      <c r="F326" s="35">
        <f>'Client Data'!G114</f>
        <v>0</v>
      </c>
      <c r="G326" s="35">
        <f>'Client Data'!H114</f>
        <v>0</v>
      </c>
      <c r="H326" s="35">
        <f>'Client Data'!I114</f>
        <v>0</v>
      </c>
      <c r="I326" s="35">
        <f>'Client Data'!J114</f>
        <v>0</v>
      </c>
      <c r="J326" s="35">
        <f>'Client Data'!K114</f>
        <v>0</v>
      </c>
      <c r="K326" s="35">
        <f>'Client Data'!L114</f>
        <v>0</v>
      </c>
      <c r="L326" s="35">
        <f>'Client Data'!M114</f>
        <v>0</v>
      </c>
      <c r="M326" s="35">
        <f>'Client Data'!N114</f>
        <v>0</v>
      </c>
      <c r="N326" s="35">
        <f>'Client Data'!O114</f>
        <v>0</v>
      </c>
      <c r="O326" s="35">
        <f>'Client Data'!P114</f>
        <v>0</v>
      </c>
      <c r="P326" s="35">
        <f>'Client Data'!Q114</f>
        <v>0</v>
      </c>
      <c r="Q326" s="35">
        <f>'Client Data'!R114</f>
        <v>0</v>
      </c>
      <c r="R326" s="35">
        <f>'Client Data'!S114</f>
        <v>0</v>
      </c>
      <c r="S326" s="35">
        <f>'Client Data'!T114</f>
        <v>0</v>
      </c>
      <c r="T326" s="35">
        <f>'Client Data'!U114</f>
        <v>0</v>
      </c>
      <c r="U326" s="35">
        <f>'Client Data'!V114</f>
        <v>0</v>
      </c>
      <c r="V326" s="35">
        <f>'Client Data'!W114</f>
        <v>0</v>
      </c>
      <c r="W326" s="35">
        <f>'Client Data'!X114</f>
        <v>0</v>
      </c>
      <c r="X326" s="35">
        <f>'Client Data'!Y114</f>
        <v>0</v>
      </c>
      <c r="Y326" s="35">
        <f>'Client Data'!Z114</f>
        <v>0</v>
      </c>
      <c r="Z326" s="35">
        <f>'Client Data'!AA114</f>
        <v>0</v>
      </c>
      <c r="AA326" s="35">
        <f>'Client Data'!AB114</f>
        <v>0</v>
      </c>
      <c r="AB326" s="35">
        <f>'Client Data'!AC114</f>
        <v>0</v>
      </c>
      <c r="AC326" s="35">
        <f>'Client Data'!AD114</f>
        <v>0</v>
      </c>
      <c r="AD326" s="35">
        <f>'Client Data'!AE114</f>
        <v>0</v>
      </c>
      <c r="AE326" s="35">
        <f>'Client Data'!AF114</f>
        <v>0</v>
      </c>
      <c r="AF326" s="35">
        <f>'Client Data'!AG114</f>
        <v>0</v>
      </c>
      <c r="AG326" s="35">
        <f>'Client Data'!AH114</f>
        <v>0</v>
      </c>
      <c r="AH326" s="35">
        <f>'Client Data'!AI114</f>
        <v>0</v>
      </c>
      <c r="AI326" s="35">
        <f>'Client Data'!AJ114</f>
        <v>0</v>
      </c>
      <c r="AJ326" s="35">
        <f>'Client Data'!AK114</f>
        <v>0</v>
      </c>
      <c r="AK326" s="35">
        <f>'Client Data'!AL114</f>
        <v>0</v>
      </c>
      <c r="AL326" s="35">
        <f>'Client Data'!AM114</f>
        <v>0</v>
      </c>
      <c r="AM326" s="35">
        <f>'Client Data'!AN114</f>
        <v>0</v>
      </c>
      <c r="AN326" s="35">
        <f>'Client Data'!AO114</f>
        <v>0</v>
      </c>
      <c r="AO326" s="35">
        <f>'Client Data'!AP114</f>
        <v>0</v>
      </c>
      <c r="AP326" s="35">
        <f>'Client Data'!AQ114</f>
        <v>0</v>
      </c>
      <c r="AQ326" s="35">
        <f>'Client Data'!AR114</f>
        <v>0</v>
      </c>
      <c r="AR326" s="35">
        <f>'Client Data'!AS114</f>
        <v>0</v>
      </c>
      <c r="AS326" s="35">
        <f>'Client Data'!AT114</f>
        <v>0</v>
      </c>
      <c r="AT326" s="35">
        <f>'Client Data'!AU114</f>
        <v>0</v>
      </c>
      <c r="AU326" s="35">
        <f>'Client Data'!AV114</f>
        <v>0</v>
      </c>
      <c r="AV326" s="35">
        <f>'Client Data'!AW114</f>
        <v>0</v>
      </c>
      <c r="AW326" s="35">
        <f>'Client Data'!AX114</f>
        <v>0</v>
      </c>
      <c r="AX326" s="35">
        <f>'Client Data'!AY114</f>
        <v>0</v>
      </c>
      <c r="AY326" s="35">
        <f>'Client Data'!AZ114</f>
        <v>0</v>
      </c>
      <c r="AZ326" s="35">
        <f>'Client Data'!BA114</f>
        <v>0</v>
      </c>
      <c r="BA326" s="35">
        <f>'Client Data'!BB114</f>
        <v>0</v>
      </c>
      <c r="BB326" s="35">
        <f>'Client Data'!BC114</f>
        <v>0</v>
      </c>
      <c r="BC326" s="19">
        <f t="shared" si="655"/>
        <v>0</v>
      </c>
    </row>
    <row r="327" spans="1:55" x14ac:dyDescent="0.25">
      <c r="B327" s="19" t="str">
        <f>'Client Data'!C115</f>
        <v>Product F</v>
      </c>
      <c r="C327" s="35">
        <f>'Client Data'!D115</f>
        <v>0</v>
      </c>
      <c r="D327" s="35">
        <f>'Client Data'!E115</f>
        <v>0</v>
      </c>
      <c r="E327" s="35">
        <f>'Client Data'!F115</f>
        <v>0</v>
      </c>
      <c r="F327" s="35">
        <f>'Client Data'!G115</f>
        <v>0</v>
      </c>
      <c r="G327" s="35">
        <f>'Client Data'!H115</f>
        <v>0</v>
      </c>
      <c r="H327" s="35">
        <f>'Client Data'!I115</f>
        <v>0</v>
      </c>
      <c r="I327" s="35">
        <f>'Client Data'!J115</f>
        <v>0</v>
      </c>
      <c r="J327" s="35">
        <f>'Client Data'!K115</f>
        <v>0</v>
      </c>
      <c r="K327" s="35">
        <f>'Client Data'!L115</f>
        <v>0</v>
      </c>
      <c r="L327" s="35">
        <f>'Client Data'!M115</f>
        <v>0</v>
      </c>
      <c r="M327" s="35">
        <f>'Client Data'!N115</f>
        <v>0</v>
      </c>
      <c r="N327" s="35">
        <f>'Client Data'!O115</f>
        <v>0</v>
      </c>
      <c r="O327" s="35">
        <f>'Client Data'!P115</f>
        <v>0</v>
      </c>
      <c r="P327" s="35">
        <f>'Client Data'!Q115</f>
        <v>0</v>
      </c>
      <c r="Q327" s="35">
        <f>'Client Data'!R115</f>
        <v>0</v>
      </c>
      <c r="R327" s="35">
        <f>'Client Data'!S115</f>
        <v>0</v>
      </c>
      <c r="S327" s="35">
        <f>'Client Data'!T115</f>
        <v>0</v>
      </c>
      <c r="T327" s="35">
        <f>'Client Data'!U115</f>
        <v>0</v>
      </c>
      <c r="U327" s="35">
        <f>'Client Data'!V115</f>
        <v>0</v>
      </c>
      <c r="V327" s="35">
        <f>'Client Data'!W115</f>
        <v>0</v>
      </c>
      <c r="W327" s="35">
        <f>'Client Data'!X115</f>
        <v>0</v>
      </c>
      <c r="X327" s="35">
        <f>'Client Data'!Y115</f>
        <v>0</v>
      </c>
      <c r="Y327" s="35">
        <f>'Client Data'!Z115</f>
        <v>0</v>
      </c>
      <c r="Z327" s="35">
        <f>'Client Data'!AA115</f>
        <v>0</v>
      </c>
      <c r="AA327" s="35">
        <f>'Client Data'!AB115</f>
        <v>0</v>
      </c>
      <c r="AB327" s="35">
        <f>'Client Data'!AC115</f>
        <v>0</v>
      </c>
      <c r="AC327" s="35">
        <f>'Client Data'!AD115</f>
        <v>0</v>
      </c>
      <c r="AD327" s="35">
        <f>'Client Data'!AE115</f>
        <v>0</v>
      </c>
      <c r="AE327" s="35">
        <f>'Client Data'!AF115</f>
        <v>0</v>
      </c>
      <c r="AF327" s="35">
        <f>'Client Data'!AG115</f>
        <v>0</v>
      </c>
      <c r="AG327" s="35">
        <f>'Client Data'!AH115</f>
        <v>0</v>
      </c>
      <c r="AH327" s="35">
        <f>'Client Data'!AI115</f>
        <v>0</v>
      </c>
      <c r="AI327" s="35">
        <f>'Client Data'!AJ115</f>
        <v>0</v>
      </c>
      <c r="AJ327" s="35">
        <f>'Client Data'!AK115</f>
        <v>0</v>
      </c>
      <c r="AK327" s="35">
        <f>'Client Data'!AL115</f>
        <v>0</v>
      </c>
      <c r="AL327" s="35">
        <f>'Client Data'!AM115</f>
        <v>0</v>
      </c>
      <c r="AM327" s="35">
        <f>'Client Data'!AN115</f>
        <v>0</v>
      </c>
      <c r="AN327" s="35">
        <f>'Client Data'!AO115</f>
        <v>0</v>
      </c>
      <c r="AO327" s="35">
        <f>'Client Data'!AP115</f>
        <v>0</v>
      </c>
      <c r="AP327" s="35">
        <f>'Client Data'!AQ115</f>
        <v>0</v>
      </c>
      <c r="AQ327" s="35">
        <f>'Client Data'!AR115</f>
        <v>0</v>
      </c>
      <c r="AR327" s="35">
        <f>'Client Data'!AS115</f>
        <v>0</v>
      </c>
      <c r="AS327" s="35">
        <f>'Client Data'!AT115</f>
        <v>0</v>
      </c>
      <c r="AT327" s="35">
        <f>'Client Data'!AU115</f>
        <v>0</v>
      </c>
      <c r="AU327" s="35">
        <f>'Client Data'!AV115</f>
        <v>0</v>
      </c>
      <c r="AV327" s="35">
        <f>'Client Data'!AW115</f>
        <v>0</v>
      </c>
      <c r="AW327" s="35">
        <f>'Client Data'!AX115</f>
        <v>0</v>
      </c>
      <c r="AX327" s="35">
        <f>'Client Data'!AY115</f>
        <v>0</v>
      </c>
      <c r="AY327" s="35">
        <f>'Client Data'!AZ115</f>
        <v>0</v>
      </c>
      <c r="AZ327" s="35">
        <f>'Client Data'!BA115</f>
        <v>0</v>
      </c>
      <c r="BA327" s="35">
        <f>'Client Data'!BB115</f>
        <v>0</v>
      </c>
      <c r="BB327" s="35">
        <f>'Client Data'!BC115</f>
        <v>0</v>
      </c>
      <c r="BC327" s="19">
        <f t="shared" si="655"/>
        <v>0</v>
      </c>
    </row>
    <row r="328" spans="1:55" x14ac:dyDescent="0.25">
      <c r="B328" s="19" t="str">
        <f>'Client Data'!C116</f>
        <v>Product G</v>
      </c>
      <c r="C328" s="35">
        <f>'Client Data'!D116</f>
        <v>0</v>
      </c>
      <c r="D328" s="35">
        <f>'Client Data'!E116</f>
        <v>0</v>
      </c>
      <c r="E328" s="35">
        <f>'Client Data'!F116</f>
        <v>0</v>
      </c>
      <c r="F328" s="35">
        <f>'Client Data'!G116</f>
        <v>0</v>
      </c>
      <c r="G328" s="35">
        <f>'Client Data'!H116</f>
        <v>0</v>
      </c>
      <c r="H328" s="35">
        <f>'Client Data'!I116</f>
        <v>0</v>
      </c>
      <c r="I328" s="35">
        <f>'Client Data'!J116</f>
        <v>0</v>
      </c>
      <c r="J328" s="35">
        <f>'Client Data'!K116</f>
        <v>0</v>
      </c>
      <c r="K328" s="35">
        <f>'Client Data'!L116</f>
        <v>0</v>
      </c>
      <c r="L328" s="35">
        <f>'Client Data'!M116</f>
        <v>0</v>
      </c>
      <c r="M328" s="35">
        <f>'Client Data'!N116</f>
        <v>0</v>
      </c>
      <c r="N328" s="35">
        <f>'Client Data'!O116</f>
        <v>0</v>
      </c>
      <c r="O328" s="35">
        <f>'Client Data'!P116</f>
        <v>0</v>
      </c>
      <c r="P328" s="35">
        <f>'Client Data'!Q116</f>
        <v>0</v>
      </c>
      <c r="Q328" s="35">
        <f>'Client Data'!R116</f>
        <v>0</v>
      </c>
      <c r="R328" s="35">
        <f>'Client Data'!S116</f>
        <v>0</v>
      </c>
      <c r="S328" s="35">
        <f>'Client Data'!T116</f>
        <v>0</v>
      </c>
      <c r="T328" s="35">
        <f>'Client Data'!U116</f>
        <v>0</v>
      </c>
      <c r="U328" s="35">
        <f>'Client Data'!V116</f>
        <v>0</v>
      </c>
      <c r="V328" s="35">
        <f>'Client Data'!W116</f>
        <v>0</v>
      </c>
      <c r="W328" s="35">
        <f>'Client Data'!X116</f>
        <v>0</v>
      </c>
      <c r="X328" s="35">
        <f>'Client Data'!Y116</f>
        <v>0</v>
      </c>
      <c r="Y328" s="35">
        <f>'Client Data'!Z116</f>
        <v>0</v>
      </c>
      <c r="Z328" s="35">
        <f>'Client Data'!AA116</f>
        <v>0</v>
      </c>
      <c r="AA328" s="35">
        <f>'Client Data'!AB116</f>
        <v>0</v>
      </c>
      <c r="AB328" s="35">
        <f>'Client Data'!AC116</f>
        <v>0</v>
      </c>
      <c r="AC328" s="35">
        <f>'Client Data'!AD116</f>
        <v>0</v>
      </c>
      <c r="AD328" s="35">
        <f>'Client Data'!AE116</f>
        <v>0</v>
      </c>
      <c r="AE328" s="35">
        <f>'Client Data'!AF116</f>
        <v>0</v>
      </c>
      <c r="AF328" s="35">
        <f>'Client Data'!AG116</f>
        <v>0</v>
      </c>
      <c r="AG328" s="35">
        <f>'Client Data'!AH116</f>
        <v>0</v>
      </c>
      <c r="AH328" s="35">
        <f>'Client Data'!AI116</f>
        <v>0</v>
      </c>
      <c r="AI328" s="35">
        <f>'Client Data'!AJ116</f>
        <v>0</v>
      </c>
      <c r="AJ328" s="35">
        <f>'Client Data'!AK116</f>
        <v>0</v>
      </c>
      <c r="AK328" s="35">
        <f>'Client Data'!AL116</f>
        <v>0</v>
      </c>
      <c r="AL328" s="35">
        <f>'Client Data'!AM116</f>
        <v>0</v>
      </c>
      <c r="AM328" s="35">
        <f>'Client Data'!AN116</f>
        <v>0</v>
      </c>
      <c r="AN328" s="35">
        <f>'Client Data'!AO116</f>
        <v>0</v>
      </c>
      <c r="AO328" s="35">
        <f>'Client Data'!AP116</f>
        <v>0</v>
      </c>
      <c r="AP328" s="35">
        <f>'Client Data'!AQ116</f>
        <v>0</v>
      </c>
      <c r="AQ328" s="35">
        <f>'Client Data'!AR116</f>
        <v>0</v>
      </c>
      <c r="AR328" s="35">
        <f>'Client Data'!AS116</f>
        <v>0</v>
      </c>
      <c r="AS328" s="35">
        <f>'Client Data'!AT116</f>
        <v>0</v>
      </c>
      <c r="AT328" s="35">
        <f>'Client Data'!AU116</f>
        <v>0</v>
      </c>
      <c r="AU328" s="35">
        <f>'Client Data'!AV116</f>
        <v>0</v>
      </c>
      <c r="AV328" s="35">
        <f>'Client Data'!AW116</f>
        <v>0</v>
      </c>
      <c r="AW328" s="35">
        <f>'Client Data'!AX116</f>
        <v>0</v>
      </c>
      <c r="AX328" s="35">
        <f>'Client Data'!AY116</f>
        <v>0</v>
      </c>
      <c r="AY328" s="35">
        <f>'Client Data'!AZ116</f>
        <v>0</v>
      </c>
      <c r="AZ328" s="35">
        <f>'Client Data'!BA116</f>
        <v>0</v>
      </c>
      <c r="BA328" s="35">
        <f>'Client Data'!BB116</f>
        <v>0</v>
      </c>
      <c r="BB328" s="35">
        <f>'Client Data'!BC116</f>
        <v>0</v>
      </c>
      <c r="BC328" s="19">
        <f t="shared" si="655"/>
        <v>0</v>
      </c>
    </row>
    <row r="329" spans="1:55" x14ac:dyDescent="0.25">
      <c r="B329" s="19" t="str">
        <f>'Client Data'!C117</f>
        <v>Product H</v>
      </c>
      <c r="C329" s="35">
        <f>'Client Data'!D117</f>
        <v>0</v>
      </c>
      <c r="D329" s="35">
        <f>'Client Data'!E117</f>
        <v>0</v>
      </c>
      <c r="E329" s="35">
        <f>'Client Data'!F117</f>
        <v>0</v>
      </c>
      <c r="F329" s="35">
        <f>'Client Data'!G117</f>
        <v>0</v>
      </c>
      <c r="G329" s="35">
        <f>'Client Data'!H117</f>
        <v>0</v>
      </c>
      <c r="H329" s="35">
        <f>'Client Data'!I117</f>
        <v>0</v>
      </c>
      <c r="I329" s="35">
        <f>'Client Data'!J117</f>
        <v>0</v>
      </c>
      <c r="J329" s="35">
        <f>'Client Data'!K117</f>
        <v>0</v>
      </c>
      <c r="K329" s="35">
        <f>'Client Data'!L117</f>
        <v>0</v>
      </c>
      <c r="L329" s="35">
        <f>'Client Data'!M117</f>
        <v>0</v>
      </c>
      <c r="M329" s="35">
        <f>'Client Data'!N117</f>
        <v>0</v>
      </c>
      <c r="N329" s="35">
        <f>'Client Data'!O117</f>
        <v>0</v>
      </c>
      <c r="O329" s="35">
        <f>'Client Data'!P117</f>
        <v>0</v>
      </c>
      <c r="P329" s="35">
        <f>'Client Data'!Q117</f>
        <v>0</v>
      </c>
      <c r="Q329" s="35">
        <f>'Client Data'!R117</f>
        <v>0</v>
      </c>
      <c r="R329" s="35">
        <f>'Client Data'!S117</f>
        <v>0</v>
      </c>
      <c r="S329" s="35">
        <f>'Client Data'!T117</f>
        <v>0</v>
      </c>
      <c r="T329" s="35">
        <f>'Client Data'!U117</f>
        <v>0</v>
      </c>
      <c r="U329" s="35">
        <f>'Client Data'!V117</f>
        <v>0</v>
      </c>
      <c r="V329" s="35">
        <f>'Client Data'!W117</f>
        <v>0</v>
      </c>
      <c r="W329" s="35">
        <f>'Client Data'!X117</f>
        <v>0</v>
      </c>
      <c r="X329" s="35">
        <f>'Client Data'!Y117</f>
        <v>0</v>
      </c>
      <c r="Y329" s="35">
        <f>'Client Data'!Z117</f>
        <v>0</v>
      </c>
      <c r="Z329" s="35">
        <f>'Client Data'!AA117</f>
        <v>0</v>
      </c>
      <c r="AA329" s="35">
        <f>'Client Data'!AB117</f>
        <v>0</v>
      </c>
      <c r="AB329" s="35">
        <f>'Client Data'!AC117</f>
        <v>0</v>
      </c>
      <c r="AC329" s="35">
        <f>'Client Data'!AD117</f>
        <v>0</v>
      </c>
      <c r="AD329" s="35">
        <f>'Client Data'!AE117</f>
        <v>0</v>
      </c>
      <c r="AE329" s="35">
        <f>'Client Data'!AF117</f>
        <v>0</v>
      </c>
      <c r="AF329" s="35">
        <f>'Client Data'!AG117</f>
        <v>0</v>
      </c>
      <c r="AG329" s="35">
        <f>'Client Data'!AH117</f>
        <v>0</v>
      </c>
      <c r="AH329" s="35">
        <f>'Client Data'!AI117</f>
        <v>0</v>
      </c>
      <c r="AI329" s="35">
        <f>'Client Data'!AJ117</f>
        <v>0</v>
      </c>
      <c r="AJ329" s="35">
        <f>'Client Data'!AK117</f>
        <v>0</v>
      </c>
      <c r="AK329" s="35">
        <f>'Client Data'!AL117</f>
        <v>0</v>
      </c>
      <c r="AL329" s="35">
        <f>'Client Data'!AM117</f>
        <v>0</v>
      </c>
      <c r="AM329" s="35">
        <f>'Client Data'!AN117</f>
        <v>0</v>
      </c>
      <c r="AN329" s="35">
        <f>'Client Data'!AO117</f>
        <v>0</v>
      </c>
      <c r="AO329" s="35">
        <f>'Client Data'!AP117</f>
        <v>0</v>
      </c>
      <c r="AP329" s="35">
        <f>'Client Data'!AQ117</f>
        <v>0</v>
      </c>
      <c r="AQ329" s="35">
        <f>'Client Data'!AR117</f>
        <v>0</v>
      </c>
      <c r="AR329" s="35">
        <f>'Client Data'!AS117</f>
        <v>0</v>
      </c>
      <c r="AS329" s="35">
        <f>'Client Data'!AT117</f>
        <v>0</v>
      </c>
      <c r="AT329" s="35">
        <f>'Client Data'!AU117</f>
        <v>0</v>
      </c>
      <c r="AU329" s="35">
        <f>'Client Data'!AV117</f>
        <v>0</v>
      </c>
      <c r="AV329" s="35">
        <f>'Client Data'!AW117</f>
        <v>0</v>
      </c>
      <c r="AW329" s="35">
        <f>'Client Data'!AX117</f>
        <v>0</v>
      </c>
      <c r="AX329" s="35">
        <f>'Client Data'!AY117</f>
        <v>0</v>
      </c>
      <c r="AY329" s="35">
        <f>'Client Data'!AZ117</f>
        <v>0</v>
      </c>
      <c r="AZ329" s="35">
        <f>'Client Data'!BA117</f>
        <v>0</v>
      </c>
      <c r="BA329" s="35">
        <f>'Client Data'!BB117</f>
        <v>0</v>
      </c>
      <c r="BB329" s="35">
        <f>'Client Data'!BC117</f>
        <v>0</v>
      </c>
      <c r="BC329" s="19">
        <f t="shared" si="655"/>
        <v>0</v>
      </c>
    </row>
    <row r="330" spans="1:55" x14ac:dyDescent="0.25">
      <c r="B330" s="19" t="str">
        <f>'Client Data'!B118</f>
        <v>Yield Defect Loss Type B</v>
      </c>
      <c r="C330" s="50">
        <f t="shared" ref="C330:AH330" si="656">IF(C190&gt;0,SUM(C331:C338),0)</f>
        <v>4</v>
      </c>
      <c r="D330" s="50">
        <f t="shared" si="656"/>
        <v>4</v>
      </c>
      <c r="E330" s="50">
        <f t="shared" si="656"/>
        <v>0</v>
      </c>
      <c r="F330" s="50">
        <f t="shared" si="656"/>
        <v>3</v>
      </c>
      <c r="G330" s="50">
        <f t="shared" si="656"/>
        <v>4</v>
      </c>
      <c r="H330" s="50">
        <f t="shared" si="656"/>
        <v>4</v>
      </c>
      <c r="I330" s="50">
        <f t="shared" si="656"/>
        <v>0</v>
      </c>
      <c r="J330" s="50">
        <f t="shared" si="656"/>
        <v>1</v>
      </c>
      <c r="K330" s="50">
        <f t="shared" si="656"/>
        <v>4</v>
      </c>
      <c r="L330" s="50">
        <f t="shared" si="656"/>
        <v>4</v>
      </c>
      <c r="M330" s="50">
        <f t="shared" si="656"/>
        <v>0</v>
      </c>
      <c r="N330" s="50">
        <f t="shared" si="656"/>
        <v>0</v>
      </c>
      <c r="O330" s="50">
        <f t="shared" si="656"/>
        <v>4</v>
      </c>
      <c r="P330" s="50">
        <f t="shared" si="656"/>
        <v>4</v>
      </c>
      <c r="Q330" s="50">
        <f t="shared" si="656"/>
        <v>0</v>
      </c>
      <c r="R330" s="50">
        <f t="shared" si="656"/>
        <v>0</v>
      </c>
      <c r="S330" s="50">
        <f t="shared" si="656"/>
        <v>4</v>
      </c>
      <c r="T330" s="50">
        <f t="shared" si="656"/>
        <v>4</v>
      </c>
      <c r="U330" s="50">
        <f t="shared" si="656"/>
        <v>0</v>
      </c>
      <c r="V330" s="50">
        <f t="shared" si="656"/>
        <v>0</v>
      </c>
      <c r="W330" s="50">
        <f t="shared" si="656"/>
        <v>4</v>
      </c>
      <c r="X330" s="50">
        <f t="shared" si="656"/>
        <v>4</v>
      </c>
      <c r="Y330" s="50">
        <f t="shared" si="656"/>
        <v>0</v>
      </c>
      <c r="Z330" s="50">
        <f t="shared" si="656"/>
        <v>0</v>
      </c>
      <c r="AA330" s="50">
        <f t="shared" si="656"/>
        <v>4</v>
      </c>
      <c r="AB330" s="50">
        <f t="shared" si="656"/>
        <v>4</v>
      </c>
      <c r="AC330" s="50">
        <f t="shared" si="656"/>
        <v>0</v>
      </c>
      <c r="AD330" s="50">
        <f t="shared" si="656"/>
        <v>0</v>
      </c>
      <c r="AE330" s="50">
        <f t="shared" si="656"/>
        <v>4</v>
      </c>
      <c r="AF330" s="50">
        <f t="shared" si="656"/>
        <v>4</v>
      </c>
      <c r="AG330" s="50">
        <f t="shared" si="656"/>
        <v>0</v>
      </c>
      <c r="AH330" s="50">
        <f t="shared" si="656"/>
        <v>0</v>
      </c>
      <c r="AI330" s="50">
        <f t="shared" ref="AI330:BB330" si="657">IF(AI190&gt;0,SUM(AI331:AI338),0)</f>
        <v>4</v>
      </c>
      <c r="AJ330" s="50">
        <f t="shared" si="657"/>
        <v>4</v>
      </c>
      <c r="AK330" s="50">
        <f t="shared" si="657"/>
        <v>0</v>
      </c>
      <c r="AL330" s="50">
        <f t="shared" si="657"/>
        <v>0</v>
      </c>
      <c r="AM330" s="50">
        <f t="shared" si="657"/>
        <v>4</v>
      </c>
      <c r="AN330" s="50">
        <f t="shared" si="657"/>
        <v>4</v>
      </c>
      <c r="AO330" s="50">
        <f t="shared" si="657"/>
        <v>0</v>
      </c>
      <c r="AP330" s="50">
        <f t="shared" si="657"/>
        <v>0</v>
      </c>
      <c r="AQ330" s="50">
        <f t="shared" si="657"/>
        <v>4</v>
      </c>
      <c r="AR330" s="50">
        <f t="shared" si="657"/>
        <v>4</v>
      </c>
      <c r="AS330" s="50">
        <f t="shared" si="657"/>
        <v>0</v>
      </c>
      <c r="AT330" s="50">
        <f t="shared" si="657"/>
        <v>2</v>
      </c>
      <c r="AU330" s="50">
        <f t="shared" si="657"/>
        <v>4</v>
      </c>
      <c r="AV330" s="50">
        <f t="shared" si="657"/>
        <v>4</v>
      </c>
      <c r="AW330" s="50">
        <f t="shared" si="657"/>
        <v>0</v>
      </c>
      <c r="AX330" s="50">
        <f t="shared" si="657"/>
        <v>1</v>
      </c>
      <c r="AY330" s="50">
        <f t="shared" si="657"/>
        <v>4</v>
      </c>
      <c r="AZ330" s="50">
        <f t="shared" si="657"/>
        <v>1</v>
      </c>
      <c r="BA330" s="50">
        <f t="shared" si="657"/>
        <v>0</v>
      </c>
      <c r="BB330" s="50">
        <f t="shared" si="657"/>
        <v>0</v>
      </c>
      <c r="BC330" s="19">
        <f t="shared" ref="BC330:BC393" si="658">SUM(C330:BB330)</f>
        <v>108</v>
      </c>
    </row>
    <row r="331" spans="1:55" x14ac:dyDescent="0.25">
      <c r="B331" s="19" t="str">
        <f>'Client Data'!C119</f>
        <v>Product A</v>
      </c>
      <c r="C331" s="35">
        <f>'Client Data'!D119</f>
        <v>0</v>
      </c>
      <c r="D331" s="35">
        <f>'Client Data'!E119</f>
        <v>0</v>
      </c>
      <c r="E331" s="35">
        <f>'Client Data'!F119</f>
        <v>0</v>
      </c>
      <c r="F331" s="35">
        <f>'Client Data'!G119</f>
        <v>0</v>
      </c>
      <c r="G331" s="35">
        <f>'Client Data'!H119</f>
        <v>0</v>
      </c>
      <c r="H331" s="35">
        <f>'Client Data'!I119</f>
        <v>0</v>
      </c>
      <c r="I331" s="35">
        <f>'Client Data'!J119</f>
        <v>0</v>
      </c>
      <c r="J331" s="35">
        <f>'Client Data'!K119</f>
        <v>0</v>
      </c>
      <c r="K331" s="35">
        <f>'Client Data'!L119</f>
        <v>0</v>
      </c>
      <c r="L331" s="35">
        <f>'Client Data'!M119</f>
        <v>0</v>
      </c>
      <c r="M331" s="35">
        <f>'Client Data'!N119</f>
        <v>0</v>
      </c>
      <c r="N331" s="35">
        <f>'Client Data'!O119</f>
        <v>0</v>
      </c>
      <c r="O331" s="35">
        <f>'Client Data'!P119</f>
        <v>0</v>
      </c>
      <c r="P331" s="35">
        <f>'Client Data'!Q119</f>
        <v>0</v>
      </c>
      <c r="Q331" s="35">
        <f>'Client Data'!R119</f>
        <v>0</v>
      </c>
      <c r="R331" s="35">
        <f>'Client Data'!S119</f>
        <v>0</v>
      </c>
      <c r="S331" s="35">
        <f>'Client Data'!T119</f>
        <v>0</v>
      </c>
      <c r="T331" s="35">
        <f>'Client Data'!U119</f>
        <v>0</v>
      </c>
      <c r="U331" s="35">
        <f>'Client Data'!V119</f>
        <v>0</v>
      </c>
      <c r="V331" s="35">
        <f>'Client Data'!W119</f>
        <v>0</v>
      </c>
      <c r="W331" s="35">
        <f>'Client Data'!X119</f>
        <v>0</v>
      </c>
      <c r="X331" s="35">
        <f>'Client Data'!Y119</f>
        <v>0</v>
      </c>
      <c r="Y331" s="35">
        <f>'Client Data'!Z119</f>
        <v>0</v>
      </c>
      <c r="Z331" s="35">
        <f>'Client Data'!AA119</f>
        <v>0</v>
      </c>
      <c r="AA331" s="35">
        <f>'Client Data'!AB119</f>
        <v>0</v>
      </c>
      <c r="AB331" s="35">
        <f>'Client Data'!AC119</f>
        <v>0</v>
      </c>
      <c r="AC331" s="35">
        <f>'Client Data'!AD119</f>
        <v>0</v>
      </c>
      <c r="AD331" s="35">
        <f>'Client Data'!AE119</f>
        <v>0</v>
      </c>
      <c r="AE331" s="35">
        <f>'Client Data'!AF119</f>
        <v>0</v>
      </c>
      <c r="AF331" s="35">
        <f>'Client Data'!AG119</f>
        <v>0</v>
      </c>
      <c r="AG331" s="35">
        <f>'Client Data'!AH119</f>
        <v>0</v>
      </c>
      <c r="AH331" s="35">
        <f>'Client Data'!AI119</f>
        <v>0</v>
      </c>
      <c r="AI331" s="35">
        <f>'Client Data'!AJ119</f>
        <v>0</v>
      </c>
      <c r="AJ331" s="35">
        <f>'Client Data'!AK119</f>
        <v>0</v>
      </c>
      <c r="AK331" s="35">
        <f>'Client Data'!AL119</f>
        <v>0</v>
      </c>
      <c r="AL331" s="35">
        <f>'Client Data'!AM119</f>
        <v>0</v>
      </c>
      <c r="AM331" s="35">
        <f>'Client Data'!AN119</f>
        <v>0</v>
      </c>
      <c r="AN331" s="35">
        <f>'Client Data'!AO119</f>
        <v>0</v>
      </c>
      <c r="AO331" s="35">
        <f>'Client Data'!AP119</f>
        <v>0</v>
      </c>
      <c r="AP331" s="35">
        <f>'Client Data'!AQ119</f>
        <v>0</v>
      </c>
      <c r="AQ331" s="35">
        <f>'Client Data'!AR119</f>
        <v>0</v>
      </c>
      <c r="AR331" s="35">
        <f>'Client Data'!AS119</f>
        <v>0</v>
      </c>
      <c r="AS331" s="35">
        <f>'Client Data'!AT119</f>
        <v>0</v>
      </c>
      <c r="AT331" s="35">
        <f>'Client Data'!AU119</f>
        <v>0</v>
      </c>
      <c r="AU331" s="35">
        <f>'Client Data'!AV119</f>
        <v>0</v>
      </c>
      <c r="AV331" s="35">
        <f>'Client Data'!AW119</f>
        <v>0</v>
      </c>
      <c r="AW331" s="35">
        <f>'Client Data'!AX119</f>
        <v>0</v>
      </c>
      <c r="AX331" s="35">
        <f>'Client Data'!AY119</f>
        <v>0</v>
      </c>
      <c r="AY331" s="35">
        <f>'Client Data'!AZ119</f>
        <v>0</v>
      </c>
      <c r="AZ331" s="35">
        <f>'Client Data'!BA119</f>
        <v>0</v>
      </c>
      <c r="BA331" s="35">
        <f>'Client Data'!BB119</f>
        <v>0</v>
      </c>
      <c r="BB331" s="35">
        <f>'Client Data'!BC119</f>
        <v>0</v>
      </c>
      <c r="BC331" s="19">
        <f t="shared" si="658"/>
        <v>0</v>
      </c>
    </row>
    <row r="332" spans="1:55" x14ac:dyDescent="0.25">
      <c r="B332" s="19" t="str">
        <f>'Client Data'!C120</f>
        <v>Product B</v>
      </c>
      <c r="C332" s="35">
        <f>'Client Data'!D120</f>
        <v>4</v>
      </c>
      <c r="D332" s="35">
        <f>'Client Data'!E120</f>
        <v>4</v>
      </c>
      <c r="E332" s="35">
        <f>'Client Data'!F120</f>
        <v>0</v>
      </c>
      <c r="F332" s="35">
        <f>'Client Data'!G120</f>
        <v>3</v>
      </c>
      <c r="G332" s="35">
        <f>'Client Data'!H120</f>
        <v>4</v>
      </c>
      <c r="H332" s="35">
        <f>'Client Data'!I120</f>
        <v>4</v>
      </c>
      <c r="I332" s="35">
        <f>'Client Data'!J120</f>
        <v>0</v>
      </c>
      <c r="J332" s="35">
        <f>'Client Data'!K120</f>
        <v>1</v>
      </c>
      <c r="K332" s="35">
        <f>'Client Data'!L120</f>
        <v>4</v>
      </c>
      <c r="L332" s="35">
        <f>'Client Data'!M120</f>
        <v>4</v>
      </c>
      <c r="M332" s="35">
        <f>'Client Data'!N120</f>
        <v>0</v>
      </c>
      <c r="N332" s="35">
        <f>'Client Data'!O120</f>
        <v>0</v>
      </c>
      <c r="O332" s="35">
        <f>'Client Data'!P120</f>
        <v>4</v>
      </c>
      <c r="P332" s="35">
        <f>'Client Data'!Q120</f>
        <v>4</v>
      </c>
      <c r="Q332" s="35">
        <f>'Client Data'!R120</f>
        <v>0</v>
      </c>
      <c r="R332" s="35">
        <f>'Client Data'!S120</f>
        <v>0</v>
      </c>
      <c r="S332" s="35">
        <f>'Client Data'!T120</f>
        <v>4</v>
      </c>
      <c r="T332" s="35">
        <f>'Client Data'!U120</f>
        <v>4</v>
      </c>
      <c r="U332" s="35">
        <f>'Client Data'!V120</f>
        <v>0</v>
      </c>
      <c r="V332" s="35">
        <f>'Client Data'!W120</f>
        <v>0</v>
      </c>
      <c r="W332" s="35">
        <f>'Client Data'!X120</f>
        <v>4</v>
      </c>
      <c r="X332" s="35">
        <f>'Client Data'!Y120</f>
        <v>4</v>
      </c>
      <c r="Y332" s="35">
        <f>'Client Data'!Z120</f>
        <v>0</v>
      </c>
      <c r="Z332" s="35">
        <f>'Client Data'!AA120</f>
        <v>0</v>
      </c>
      <c r="AA332" s="35">
        <f>'Client Data'!AB120</f>
        <v>4</v>
      </c>
      <c r="AB332" s="35">
        <f>'Client Data'!AC120</f>
        <v>4</v>
      </c>
      <c r="AC332" s="35">
        <f>'Client Data'!AD120</f>
        <v>0</v>
      </c>
      <c r="AD332" s="35">
        <f>'Client Data'!AE120</f>
        <v>0</v>
      </c>
      <c r="AE332" s="35">
        <f>'Client Data'!AF120</f>
        <v>4</v>
      </c>
      <c r="AF332" s="35">
        <f>'Client Data'!AG120</f>
        <v>4</v>
      </c>
      <c r="AG332" s="35">
        <f>'Client Data'!AH120</f>
        <v>0</v>
      </c>
      <c r="AH332" s="35">
        <f>'Client Data'!AI120</f>
        <v>0</v>
      </c>
      <c r="AI332" s="35">
        <f>'Client Data'!AJ120</f>
        <v>4</v>
      </c>
      <c r="AJ332" s="35">
        <f>'Client Data'!AK120</f>
        <v>4</v>
      </c>
      <c r="AK332" s="35">
        <f>'Client Data'!AL120</f>
        <v>0</v>
      </c>
      <c r="AL332" s="35">
        <f>'Client Data'!AM120</f>
        <v>0</v>
      </c>
      <c r="AM332" s="35">
        <f>'Client Data'!AN120</f>
        <v>4</v>
      </c>
      <c r="AN332" s="35">
        <f>'Client Data'!AO120</f>
        <v>4</v>
      </c>
      <c r="AO332" s="35">
        <f>'Client Data'!AP120</f>
        <v>0</v>
      </c>
      <c r="AP332" s="35">
        <f>'Client Data'!AQ120</f>
        <v>0</v>
      </c>
      <c r="AQ332" s="35">
        <f>'Client Data'!AR120</f>
        <v>4</v>
      </c>
      <c r="AR332" s="35">
        <f>'Client Data'!AS120</f>
        <v>4</v>
      </c>
      <c r="AS332" s="35">
        <f>'Client Data'!AT120</f>
        <v>0</v>
      </c>
      <c r="AT332" s="35">
        <f>'Client Data'!AU120</f>
        <v>2</v>
      </c>
      <c r="AU332" s="35">
        <f>'Client Data'!AV120</f>
        <v>4</v>
      </c>
      <c r="AV332" s="35">
        <f>'Client Data'!AW120</f>
        <v>4</v>
      </c>
      <c r="AW332" s="35">
        <f>'Client Data'!AX120</f>
        <v>0</v>
      </c>
      <c r="AX332" s="35">
        <f>'Client Data'!AY120</f>
        <v>1</v>
      </c>
      <c r="AY332" s="35">
        <f>'Client Data'!AZ120</f>
        <v>4</v>
      </c>
      <c r="AZ332" s="35">
        <f>'Client Data'!BA120</f>
        <v>1</v>
      </c>
      <c r="BA332" s="35">
        <f>'Client Data'!BB120</f>
        <v>0</v>
      </c>
      <c r="BB332" s="35">
        <f>'Client Data'!BC120</f>
        <v>0</v>
      </c>
      <c r="BC332" s="19">
        <f t="shared" si="658"/>
        <v>108</v>
      </c>
    </row>
    <row r="333" spans="1:55" x14ac:dyDescent="0.25">
      <c r="B333" s="19" t="str">
        <f>'Client Data'!C121</f>
        <v>Product C</v>
      </c>
      <c r="C333" s="35">
        <f>'Client Data'!D121</f>
        <v>0</v>
      </c>
      <c r="D333" s="35">
        <f>'Client Data'!E121</f>
        <v>0</v>
      </c>
      <c r="E333" s="35">
        <f>'Client Data'!F121</f>
        <v>0</v>
      </c>
      <c r="F333" s="35">
        <f>'Client Data'!G121</f>
        <v>0</v>
      </c>
      <c r="G333" s="35">
        <f>'Client Data'!H121</f>
        <v>0</v>
      </c>
      <c r="H333" s="35">
        <f>'Client Data'!I121</f>
        <v>0</v>
      </c>
      <c r="I333" s="35">
        <f>'Client Data'!J121</f>
        <v>0</v>
      </c>
      <c r="J333" s="35">
        <f>'Client Data'!K121</f>
        <v>0</v>
      </c>
      <c r="K333" s="35">
        <f>'Client Data'!L121</f>
        <v>0</v>
      </c>
      <c r="L333" s="35">
        <f>'Client Data'!M121</f>
        <v>0</v>
      </c>
      <c r="M333" s="35">
        <f>'Client Data'!N121</f>
        <v>0</v>
      </c>
      <c r="N333" s="35">
        <f>'Client Data'!O121</f>
        <v>0</v>
      </c>
      <c r="O333" s="35">
        <f>'Client Data'!P121</f>
        <v>0</v>
      </c>
      <c r="P333" s="35">
        <f>'Client Data'!Q121</f>
        <v>0</v>
      </c>
      <c r="Q333" s="35">
        <f>'Client Data'!R121</f>
        <v>0</v>
      </c>
      <c r="R333" s="35">
        <f>'Client Data'!S121</f>
        <v>0</v>
      </c>
      <c r="S333" s="35">
        <f>'Client Data'!T121</f>
        <v>0</v>
      </c>
      <c r="T333" s="35">
        <f>'Client Data'!U121</f>
        <v>0</v>
      </c>
      <c r="U333" s="35">
        <f>'Client Data'!V121</f>
        <v>0</v>
      </c>
      <c r="V333" s="35">
        <f>'Client Data'!W121</f>
        <v>0</v>
      </c>
      <c r="W333" s="35">
        <f>'Client Data'!X121</f>
        <v>0</v>
      </c>
      <c r="X333" s="35">
        <f>'Client Data'!Y121</f>
        <v>0</v>
      </c>
      <c r="Y333" s="35">
        <f>'Client Data'!Z121</f>
        <v>0</v>
      </c>
      <c r="Z333" s="35">
        <f>'Client Data'!AA121</f>
        <v>0</v>
      </c>
      <c r="AA333" s="35">
        <f>'Client Data'!AB121</f>
        <v>0</v>
      </c>
      <c r="AB333" s="35">
        <f>'Client Data'!AC121</f>
        <v>0</v>
      </c>
      <c r="AC333" s="35">
        <f>'Client Data'!AD121</f>
        <v>0</v>
      </c>
      <c r="AD333" s="35">
        <f>'Client Data'!AE121</f>
        <v>0</v>
      </c>
      <c r="AE333" s="35">
        <f>'Client Data'!AF121</f>
        <v>0</v>
      </c>
      <c r="AF333" s="35">
        <f>'Client Data'!AG121</f>
        <v>0</v>
      </c>
      <c r="AG333" s="35">
        <f>'Client Data'!AH121</f>
        <v>0</v>
      </c>
      <c r="AH333" s="35">
        <f>'Client Data'!AI121</f>
        <v>0</v>
      </c>
      <c r="AI333" s="35">
        <f>'Client Data'!AJ121</f>
        <v>0</v>
      </c>
      <c r="AJ333" s="35">
        <f>'Client Data'!AK121</f>
        <v>0</v>
      </c>
      <c r="AK333" s="35">
        <f>'Client Data'!AL121</f>
        <v>0</v>
      </c>
      <c r="AL333" s="35">
        <f>'Client Data'!AM121</f>
        <v>0</v>
      </c>
      <c r="AM333" s="35">
        <f>'Client Data'!AN121</f>
        <v>0</v>
      </c>
      <c r="AN333" s="35">
        <f>'Client Data'!AO121</f>
        <v>0</v>
      </c>
      <c r="AO333" s="35">
        <f>'Client Data'!AP121</f>
        <v>0</v>
      </c>
      <c r="AP333" s="35">
        <f>'Client Data'!AQ121</f>
        <v>0</v>
      </c>
      <c r="AQ333" s="35">
        <f>'Client Data'!AR121</f>
        <v>0</v>
      </c>
      <c r="AR333" s="35">
        <f>'Client Data'!AS121</f>
        <v>0</v>
      </c>
      <c r="AS333" s="35">
        <f>'Client Data'!AT121</f>
        <v>0</v>
      </c>
      <c r="AT333" s="35">
        <f>'Client Data'!AU121</f>
        <v>0</v>
      </c>
      <c r="AU333" s="35">
        <f>'Client Data'!AV121</f>
        <v>0</v>
      </c>
      <c r="AV333" s="35">
        <f>'Client Data'!AW121</f>
        <v>0</v>
      </c>
      <c r="AW333" s="35">
        <f>'Client Data'!AX121</f>
        <v>0</v>
      </c>
      <c r="AX333" s="35">
        <f>'Client Data'!AY121</f>
        <v>0</v>
      </c>
      <c r="AY333" s="35">
        <f>'Client Data'!AZ121</f>
        <v>0</v>
      </c>
      <c r="AZ333" s="35">
        <f>'Client Data'!BA121</f>
        <v>0</v>
      </c>
      <c r="BA333" s="35">
        <f>'Client Data'!BB121</f>
        <v>0</v>
      </c>
      <c r="BB333" s="35">
        <f>'Client Data'!BC121</f>
        <v>0</v>
      </c>
      <c r="BC333" s="19">
        <f t="shared" si="658"/>
        <v>0</v>
      </c>
    </row>
    <row r="334" spans="1:55" x14ac:dyDescent="0.25">
      <c r="B334" s="19" t="str">
        <f>'Client Data'!C122</f>
        <v>Product D</v>
      </c>
      <c r="C334" s="35">
        <f>'Client Data'!D122</f>
        <v>0</v>
      </c>
      <c r="D334" s="35">
        <f>'Client Data'!E122</f>
        <v>0</v>
      </c>
      <c r="E334" s="35">
        <f>'Client Data'!F122</f>
        <v>0</v>
      </c>
      <c r="F334" s="35">
        <f>'Client Data'!G122</f>
        <v>0</v>
      </c>
      <c r="G334" s="35">
        <f>'Client Data'!H122</f>
        <v>0</v>
      </c>
      <c r="H334" s="35">
        <f>'Client Data'!I122</f>
        <v>0</v>
      </c>
      <c r="I334" s="35">
        <f>'Client Data'!J122</f>
        <v>0</v>
      </c>
      <c r="J334" s="35">
        <f>'Client Data'!K122</f>
        <v>0</v>
      </c>
      <c r="K334" s="35">
        <f>'Client Data'!L122</f>
        <v>0</v>
      </c>
      <c r="L334" s="35">
        <f>'Client Data'!M122</f>
        <v>0</v>
      </c>
      <c r="M334" s="35">
        <f>'Client Data'!N122</f>
        <v>0</v>
      </c>
      <c r="N334" s="35">
        <f>'Client Data'!O122</f>
        <v>0</v>
      </c>
      <c r="O334" s="35">
        <f>'Client Data'!P122</f>
        <v>0</v>
      </c>
      <c r="P334" s="35">
        <f>'Client Data'!Q122</f>
        <v>0</v>
      </c>
      <c r="Q334" s="35">
        <f>'Client Data'!R122</f>
        <v>0</v>
      </c>
      <c r="R334" s="35">
        <f>'Client Data'!S122</f>
        <v>0</v>
      </c>
      <c r="S334" s="35">
        <f>'Client Data'!T122</f>
        <v>0</v>
      </c>
      <c r="T334" s="35">
        <f>'Client Data'!U122</f>
        <v>0</v>
      </c>
      <c r="U334" s="35">
        <f>'Client Data'!V122</f>
        <v>0</v>
      </c>
      <c r="V334" s="35">
        <f>'Client Data'!W122</f>
        <v>0</v>
      </c>
      <c r="W334" s="35">
        <f>'Client Data'!X122</f>
        <v>0</v>
      </c>
      <c r="X334" s="35">
        <f>'Client Data'!Y122</f>
        <v>0</v>
      </c>
      <c r="Y334" s="35">
        <f>'Client Data'!Z122</f>
        <v>0</v>
      </c>
      <c r="Z334" s="35">
        <f>'Client Data'!AA122</f>
        <v>0</v>
      </c>
      <c r="AA334" s="35">
        <f>'Client Data'!AB122</f>
        <v>0</v>
      </c>
      <c r="AB334" s="35">
        <f>'Client Data'!AC122</f>
        <v>0</v>
      </c>
      <c r="AC334" s="35">
        <f>'Client Data'!AD122</f>
        <v>0</v>
      </c>
      <c r="AD334" s="35">
        <f>'Client Data'!AE122</f>
        <v>0</v>
      </c>
      <c r="AE334" s="35">
        <f>'Client Data'!AF122</f>
        <v>0</v>
      </c>
      <c r="AF334" s="35">
        <f>'Client Data'!AG122</f>
        <v>0</v>
      </c>
      <c r="AG334" s="35">
        <f>'Client Data'!AH122</f>
        <v>0</v>
      </c>
      <c r="AH334" s="35">
        <f>'Client Data'!AI122</f>
        <v>0</v>
      </c>
      <c r="AI334" s="35">
        <f>'Client Data'!AJ122</f>
        <v>0</v>
      </c>
      <c r="AJ334" s="35">
        <f>'Client Data'!AK122</f>
        <v>0</v>
      </c>
      <c r="AK334" s="35">
        <f>'Client Data'!AL122</f>
        <v>0</v>
      </c>
      <c r="AL334" s="35">
        <f>'Client Data'!AM122</f>
        <v>0</v>
      </c>
      <c r="AM334" s="35">
        <f>'Client Data'!AN122</f>
        <v>0</v>
      </c>
      <c r="AN334" s="35">
        <f>'Client Data'!AO122</f>
        <v>0</v>
      </c>
      <c r="AO334" s="35">
        <f>'Client Data'!AP122</f>
        <v>0</v>
      </c>
      <c r="AP334" s="35">
        <f>'Client Data'!AQ122</f>
        <v>0</v>
      </c>
      <c r="AQ334" s="35">
        <f>'Client Data'!AR122</f>
        <v>0</v>
      </c>
      <c r="AR334" s="35">
        <f>'Client Data'!AS122</f>
        <v>0</v>
      </c>
      <c r="AS334" s="35">
        <f>'Client Data'!AT122</f>
        <v>0</v>
      </c>
      <c r="AT334" s="35">
        <f>'Client Data'!AU122</f>
        <v>0</v>
      </c>
      <c r="AU334" s="35">
        <f>'Client Data'!AV122</f>
        <v>0</v>
      </c>
      <c r="AV334" s="35">
        <f>'Client Data'!AW122</f>
        <v>0</v>
      </c>
      <c r="AW334" s="35">
        <f>'Client Data'!AX122</f>
        <v>0</v>
      </c>
      <c r="AX334" s="35">
        <f>'Client Data'!AY122</f>
        <v>0</v>
      </c>
      <c r="AY334" s="35">
        <f>'Client Data'!AZ122</f>
        <v>0</v>
      </c>
      <c r="AZ334" s="35">
        <f>'Client Data'!BA122</f>
        <v>0</v>
      </c>
      <c r="BA334" s="35">
        <f>'Client Data'!BB122</f>
        <v>0</v>
      </c>
      <c r="BB334" s="35">
        <f>'Client Data'!BC122</f>
        <v>0</v>
      </c>
      <c r="BC334" s="19">
        <f t="shared" si="658"/>
        <v>0</v>
      </c>
    </row>
    <row r="335" spans="1:55" x14ac:dyDescent="0.25">
      <c r="B335" s="19" t="str">
        <f>'Client Data'!C123</f>
        <v>Product E</v>
      </c>
      <c r="C335" s="35">
        <f>'Client Data'!D123</f>
        <v>0</v>
      </c>
      <c r="D335" s="35">
        <f>'Client Data'!E123</f>
        <v>0</v>
      </c>
      <c r="E335" s="35">
        <f>'Client Data'!F123</f>
        <v>0</v>
      </c>
      <c r="F335" s="35">
        <f>'Client Data'!G123</f>
        <v>0</v>
      </c>
      <c r="G335" s="35">
        <f>'Client Data'!H123</f>
        <v>0</v>
      </c>
      <c r="H335" s="35">
        <f>'Client Data'!I123</f>
        <v>0</v>
      </c>
      <c r="I335" s="35">
        <f>'Client Data'!J123</f>
        <v>0</v>
      </c>
      <c r="J335" s="35">
        <f>'Client Data'!K123</f>
        <v>0</v>
      </c>
      <c r="K335" s="35">
        <f>'Client Data'!L123</f>
        <v>0</v>
      </c>
      <c r="L335" s="35">
        <f>'Client Data'!M123</f>
        <v>0</v>
      </c>
      <c r="M335" s="35">
        <f>'Client Data'!N123</f>
        <v>0</v>
      </c>
      <c r="N335" s="35">
        <f>'Client Data'!O123</f>
        <v>0</v>
      </c>
      <c r="O335" s="35">
        <f>'Client Data'!P123</f>
        <v>0</v>
      </c>
      <c r="P335" s="35">
        <f>'Client Data'!Q123</f>
        <v>0</v>
      </c>
      <c r="Q335" s="35">
        <f>'Client Data'!R123</f>
        <v>0</v>
      </c>
      <c r="R335" s="35">
        <f>'Client Data'!S123</f>
        <v>0</v>
      </c>
      <c r="S335" s="35">
        <f>'Client Data'!T123</f>
        <v>0</v>
      </c>
      <c r="T335" s="35">
        <f>'Client Data'!U123</f>
        <v>0</v>
      </c>
      <c r="U335" s="35">
        <f>'Client Data'!V123</f>
        <v>0</v>
      </c>
      <c r="V335" s="35">
        <f>'Client Data'!W123</f>
        <v>0</v>
      </c>
      <c r="W335" s="35">
        <f>'Client Data'!X123</f>
        <v>0</v>
      </c>
      <c r="X335" s="35">
        <f>'Client Data'!Y123</f>
        <v>0</v>
      </c>
      <c r="Y335" s="35">
        <f>'Client Data'!Z123</f>
        <v>0</v>
      </c>
      <c r="Z335" s="35">
        <f>'Client Data'!AA123</f>
        <v>0</v>
      </c>
      <c r="AA335" s="35">
        <f>'Client Data'!AB123</f>
        <v>0</v>
      </c>
      <c r="AB335" s="35">
        <f>'Client Data'!AC123</f>
        <v>0</v>
      </c>
      <c r="AC335" s="35">
        <f>'Client Data'!AD123</f>
        <v>0</v>
      </c>
      <c r="AD335" s="35">
        <f>'Client Data'!AE123</f>
        <v>0</v>
      </c>
      <c r="AE335" s="35">
        <f>'Client Data'!AF123</f>
        <v>0</v>
      </c>
      <c r="AF335" s="35">
        <f>'Client Data'!AG123</f>
        <v>0</v>
      </c>
      <c r="AG335" s="35">
        <f>'Client Data'!AH123</f>
        <v>0</v>
      </c>
      <c r="AH335" s="35">
        <f>'Client Data'!AI123</f>
        <v>0</v>
      </c>
      <c r="AI335" s="35">
        <f>'Client Data'!AJ123</f>
        <v>0</v>
      </c>
      <c r="AJ335" s="35">
        <f>'Client Data'!AK123</f>
        <v>0</v>
      </c>
      <c r="AK335" s="35">
        <f>'Client Data'!AL123</f>
        <v>0</v>
      </c>
      <c r="AL335" s="35">
        <f>'Client Data'!AM123</f>
        <v>0</v>
      </c>
      <c r="AM335" s="35">
        <f>'Client Data'!AN123</f>
        <v>0</v>
      </c>
      <c r="AN335" s="35">
        <f>'Client Data'!AO123</f>
        <v>0</v>
      </c>
      <c r="AO335" s="35">
        <f>'Client Data'!AP123</f>
        <v>0</v>
      </c>
      <c r="AP335" s="35">
        <f>'Client Data'!AQ123</f>
        <v>0</v>
      </c>
      <c r="AQ335" s="35">
        <f>'Client Data'!AR123</f>
        <v>0</v>
      </c>
      <c r="AR335" s="35">
        <f>'Client Data'!AS123</f>
        <v>0</v>
      </c>
      <c r="AS335" s="35">
        <f>'Client Data'!AT123</f>
        <v>0</v>
      </c>
      <c r="AT335" s="35">
        <f>'Client Data'!AU123</f>
        <v>0</v>
      </c>
      <c r="AU335" s="35">
        <f>'Client Data'!AV123</f>
        <v>0</v>
      </c>
      <c r="AV335" s="35">
        <f>'Client Data'!AW123</f>
        <v>0</v>
      </c>
      <c r="AW335" s="35">
        <f>'Client Data'!AX123</f>
        <v>0</v>
      </c>
      <c r="AX335" s="35">
        <f>'Client Data'!AY123</f>
        <v>0</v>
      </c>
      <c r="AY335" s="35">
        <f>'Client Data'!AZ123</f>
        <v>0</v>
      </c>
      <c r="AZ335" s="35">
        <f>'Client Data'!BA123</f>
        <v>0</v>
      </c>
      <c r="BA335" s="35">
        <f>'Client Data'!BB123</f>
        <v>0</v>
      </c>
      <c r="BB335" s="35">
        <f>'Client Data'!BC123</f>
        <v>0</v>
      </c>
      <c r="BC335" s="19">
        <f t="shared" si="658"/>
        <v>0</v>
      </c>
    </row>
    <row r="336" spans="1:55" x14ac:dyDescent="0.25">
      <c r="B336" s="19" t="str">
        <f>'Client Data'!C124</f>
        <v>Product F</v>
      </c>
      <c r="C336" s="35">
        <f>'Client Data'!D124</f>
        <v>0</v>
      </c>
      <c r="D336" s="35">
        <f>'Client Data'!E124</f>
        <v>0</v>
      </c>
      <c r="E336" s="35">
        <f>'Client Data'!F124</f>
        <v>0</v>
      </c>
      <c r="F336" s="35">
        <f>'Client Data'!G124</f>
        <v>0</v>
      </c>
      <c r="G336" s="35">
        <f>'Client Data'!H124</f>
        <v>0</v>
      </c>
      <c r="H336" s="35">
        <f>'Client Data'!I124</f>
        <v>0</v>
      </c>
      <c r="I336" s="35">
        <f>'Client Data'!J124</f>
        <v>0</v>
      </c>
      <c r="J336" s="35">
        <f>'Client Data'!K124</f>
        <v>0</v>
      </c>
      <c r="K336" s="35">
        <f>'Client Data'!L124</f>
        <v>0</v>
      </c>
      <c r="L336" s="35">
        <f>'Client Data'!M124</f>
        <v>0</v>
      </c>
      <c r="M336" s="35">
        <f>'Client Data'!N124</f>
        <v>0</v>
      </c>
      <c r="N336" s="35">
        <f>'Client Data'!O124</f>
        <v>0</v>
      </c>
      <c r="O336" s="35">
        <f>'Client Data'!P124</f>
        <v>0</v>
      </c>
      <c r="P336" s="35">
        <f>'Client Data'!Q124</f>
        <v>0</v>
      </c>
      <c r="Q336" s="35">
        <f>'Client Data'!R124</f>
        <v>0</v>
      </c>
      <c r="R336" s="35">
        <f>'Client Data'!S124</f>
        <v>0</v>
      </c>
      <c r="S336" s="35">
        <f>'Client Data'!T124</f>
        <v>0</v>
      </c>
      <c r="T336" s="35">
        <f>'Client Data'!U124</f>
        <v>0</v>
      </c>
      <c r="U336" s="35">
        <f>'Client Data'!V124</f>
        <v>0</v>
      </c>
      <c r="V336" s="35">
        <f>'Client Data'!W124</f>
        <v>0</v>
      </c>
      <c r="W336" s="35">
        <f>'Client Data'!X124</f>
        <v>0</v>
      </c>
      <c r="X336" s="35">
        <f>'Client Data'!Y124</f>
        <v>0</v>
      </c>
      <c r="Y336" s="35">
        <f>'Client Data'!Z124</f>
        <v>0</v>
      </c>
      <c r="Z336" s="35">
        <f>'Client Data'!AA124</f>
        <v>0</v>
      </c>
      <c r="AA336" s="35">
        <f>'Client Data'!AB124</f>
        <v>0</v>
      </c>
      <c r="AB336" s="35">
        <f>'Client Data'!AC124</f>
        <v>0</v>
      </c>
      <c r="AC336" s="35">
        <f>'Client Data'!AD124</f>
        <v>0</v>
      </c>
      <c r="AD336" s="35">
        <f>'Client Data'!AE124</f>
        <v>0</v>
      </c>
      <c r="AE336" s="35">
        <f>'Client Data'!AF124</f>
        <v>0</v>
      </c>
      <c r="AF336" s="35">
        <f>'Client Data'!AG124</f>
        <v>0</v>
      </c>
      <c r="AG336" s="35">
        <f>'Client Data'!AH124</f>
        <v>0</v>
      </c>
      <c r="AH336" s="35">
        <f>'Client Data'!AI124</f>
        <v>0</v>
      </c>
      <c r="AI336" s="35">
        <f>'Client Data'!AJ124</f>
        <v>0</v>
      </c>
      <c r="AJ336" s="35">
        <f>'Client Data'!AK124</f>
        <v>0</v>
      </c>
      <c r="AK336" s="35">
        <f>'Client Data'!AL124</f>
        <v>0</v>
      </c>
      <c r="AL336" s="35">
        <f>'Client Data'!AM124</f>
        <v>0</v>
      </c>
      <c r="AM336" s="35">
        <f>'Client Data'!AN124</f>
        <v>0</v>
      </c>
      <c r="AN336" s="35">
        <f>'Client Data'!AO124</f>
        <v>0</v>
      </c>
      <c r="AO336" s="35">
        <f>'Client Data'!AP124</f>
        <v>0</v>
      </c>
      <c r="AP336" s="35">
        <f>'Client Data'!AQ124</f>
        <v>0</v>
      </c>
      <c r="AQ336" s="35">
        <f>'Client Data'!AR124</f>
        <v>0</v>
      </c>
      <c r="AR336" s="35">
        <f>'Client Data'!AS124</f>
        <v>0</v>
      </c>
      <c r="AS336" s="35">
        <f>'Client Data'!AT124</f>
        <v>0</v>
      </c>
      <c r="AT336" s="35">
        <f>'Client Data'!AU124</f>
        <v>0</v>
      </c>
      <c r="AU336" s="35">
        <f>'Client Data'!AV124</f>
        <v>0</v>
      </c>
      <c r="AV336" s="35">
        <f>'Client Data'!AW124</f>
        <v>0</v>
      </c>
      <c r="AW336" s="35">
        <f>'Client Data'!AX124</f>
        <v>0</v>
      </c>
      <c r="AX336" s="35">
        <f>'Client Data'!AY124</f>
        <v>0</v>
      </c>
      <c r="AY336" s="35">
        <f>'Client Data'!AZ124</f>
        <v>0</v>
      </c>
      <c r="AZ336" s="35">
        <f>'Client Data'!BA124</f>
        <v>0</v>
      </c>
      <c r="BA336" s="35">
        <f>'Client Data'!BB124</f>
        <v>0</v>
      </c>
      <c r="BB336" s="35">
        <f>'Client Data'!BC124</f>
        <v>0</v>
      </c>
      <c r="BC336" s="19">
        <f t="shared" si="658"/>
        <v>0</v>
      </c>
    </row>
    <row r="337" spans="2:55" x14ac:dyDescent="0.25">
      <c r="B337" s="19" t="str">
        <f>'Client Data'!C125</f>
        <v>Product G</v>
      </c>
      <c r="C337" s="35">
        <f>'Client Data'!D125</f>
        <v>0</v>
      </c>
      <c r="D337" s="35">
        <f>'Client Data'!E125</f>
        <v>0</v>
      </c>
      <c r="E337" s="35">
        <f>'Client Data'!F125</f>
        <v>0</v>
      </c>
      <c r="F337" s="35">
        <f>'Client Data'!G125</f>
        <v>0</v>
      </c>
      <c r="G337" s="35">
        <f>'Client Data'!H125</f>
        <v>0</v>
      </c>
      <c r="H337" s="35">
        <f>'Client Data'!I125</f>
        <v>0</v>
      </c>
      <c r="I337" s="35">
        <f>'Client Data'!J125</f>
        <v>0</v>
      </c>
      <c r="J337" s="35">
        <f>'Client Data'!K125</f>
        <v>0</v>
      </c>
      <c r="K337" s="35">
        <f>'Client Data'!L125</f>
        <v>0</v>
      </c>
      <c r="L337" s="35">
        <f>'Client Data'!M125</f>
        <v>0</v>
      </c>
      <c r="M337" s="35">
        <f>'Client Data'!N125</f>
        <v>0</v>
      </c>
      <c r="N337" s="35">
        <f>'Client Data'!O125</f>
        <v>0</v>
      </c>
      <c r="O337" s="35">
        <f>'Client Data'!P125</f>
        <v>0</v>
      </c>
      <c r="P337" s="35">
        <f>'Client Data'!Q125</f>
        <v>0</v>
      </c>
      <c r="Q337" s="35">
        <f>'Client Data'!R125</f>
        <v>0</v>
      </c>
      <c r="R337" s="35">
        <f>'Client Data'!S125</f>
        <v>0</v>
      </c>
      <c r="S337" s="35">
        <f>'Client Data'!T125</f>
        <v>0</v>
      </c>
      <c r="T337" s="35">
        <f>'Client Data'!U125</f>
        <v>0</v>
      </c>
      <c r="U337" s="35">
        <f>'Client Data'!V125</f>
        <v>0</v>
      </c>
      <c r="V337" s="35">
        <f>'Client Data'!W125</f>
        <v>0</v>
      </c>
      <c r="W337" s="35">
        <f>'Client Data'!X125</f>
        <v>0</v>
      </c>
      <c r="X337" s="35">
        <f>'Client Data'!Y125</f>
        <v>0</v>
      </c>
      <c r="Y337" s="35">
        <f>'Client Data'!Z125</f>
        <v>0</v>
      </c>
      <c r="Z337" s="35">
        <f>'Client Data'!AA125</f>
        <v>0</v>
      </c>
      <c r="AA337" s="35">
        <f>'Client Data'!AB125</f>
        <v>0</v>
      </c>
      <c r="AB337" s="35">
        <f>'Client Data'!AC125</f>
        <v>0</v>
      </c>
      <c r="AC337" s="35">
        <f>'Client Data'!AD125</f>
        <v>0</v>
      </c>
      <c r="AD337" s="35">
        <f>'Client Data'!AE125</f>
        <v>0</v>
      </c>
      <c r="AE337" s="35">
        <f>'Client Data'!AF125</f>
        <v>0</v>
      </c>
      <c r="AF337" s="35">
        <f>'Client Data'!AG125</f>
        <v>0</v>
      </c>
      <c r="AG337" s="35">
        <f>'Client Data'!AH125</f>
        <v>0</v>
      </c>
      <c r="AH337" s="35">
        <f>'Client Data'!AI125</f>
        <v>0</v>
      </c>
      <c r="AI337" s="35">
        <f>'Client Data'!AJ125</f>
        <v>0</v>
      </c>
      <c r="AJ337" s="35">
        <f>'Client Data'!AK125</f>
        <v>0</v>
      </c>
      <c r="AK337" s="35">
        <f>'Client Data'!AL125</f>
        <v>0</v>
      </c>
      <c r="AL337" s="35">
        <f>'Client Data'!AM125</f>
        <v>0</v>
      </c>
      <c r="AM337" s="35">
        <f>'Client Data'!AN125</f>
        <v>0</v>
      </c>
      <c r="AN337" s="35">
        <f>'Client Data'!AO125</f>
        <v>0</v>
      </c>
      <c r="AO337" s="35">
        <f>'Client Data'!AP125</f>
        <v>0</v>
      </c>
      <c r="AP337" s="35">
        <f>'Client Data'!AQ125</f>
        <v>0</v>
      </c>
      <c r="AQ337" s="35">
        <f>'Client Data'!AR125</f>
        <v>0</v>
      </c>
      <c r="AR337" s="35">
        <f>'Client Data'!AS125</f>
        <v>0</v>
      </c>
      <c r="AS337" s="35">
        <f>'Client Data'!AT125</f>
        <v>0</v>
      </c>
      <c r="AT337" s="35">
        <f>'Client Data'!AU125</f>
        <v>0</v>
      </c>
      <c r="AU337" s="35">
        <f>'Client Data'!AV125</f>
        <v>0</v>
      </c>
      <c r="AV337" s="35">
        <f>'Client Data'!AW125</f>
        <v>0</v>
      </c>
      <c r="AW337" s="35">
        <f>'Client Data'!AX125</f>
        <v>0</v>
      </c>
      <c r="AX337" s="35">
        <f>'Client Data'!AY125</f>
        <v>0</v>
      </c>
      <c r="AY337" s="35">
        <f>'Client Data'!AZ125</f>
        <v>0</v>
      </c>
      <c r="AZ337" s="35">
        <f>'Client Data'!BA125</f>
        <v>0</v>
      </c>
      <c r="BA337" s="35">
        <f>'Client Data'!BB125</f>
        <v>0</v>
      </c>
      <c r="BB337" s="35">
        <f>'Client Data'!BC125</f>
        <v>0</v>
      </c>
      <c r="BC337" s="19">
        <f t="shared" si="658"/>
        <v>0</v>
      </c>
    </row>
    <row r="338" spans="2:55" x14ac:dyDescent="0.25">
      <c r="B338" s="19" t="str">
        <f>'Client Data'!C126</f>
        <v>Product H</v>
      </c>
      <c r="C338" s="35">
        <f>'Client Data'!D126</f>
        <v>0</v>
      </c>
      <c r="D338" s="35">
        <f>'Client Data'!E126</f>
        <v>0</v>
      </c>
      <c r="E338" s="35">
        <f>'Client Data'!F126</f>
        <v>0</v>
      </c>
      <c r="F338" s="35">
        <f>'Client Data'!G126</f>
        <v>0</v>
      </c>
      <c r="G338" s="35">
        <f>'Client Data'!H126</f>
        <v>0</v>
      </c>
      <c r="H338" s="35">
        <f>'Client Data'!I126</f>
        <v>0</v>
      </c>
      <c r="I338" s="35">
        <f>'Client Data'!J126</f>
        <v>0</v>
      </c>
      <c r="J338" s="35">
        <f>'Client Data'!K126</f>
        <v>0</v>
      </c>
      <c r="K338" s="35">
        <f>'Client Data'!L126</f>
        <v>0</v>
      </c>
      <c r="L338" s="35">
        <f>'Client Data'!M126</f>
        <v>0</v>
      </c>
      <c r="M338" s="35">
        <f>'Client Data'!N126</f>
        <v>0</v>
      </c>
      <c r="N338" s="35">
        <f>'Client Data'!O126</f>
        <v>0</v>
      </c>
      <c r="O338" s="35">
        <f>'Client Data'!P126</f>
        <v>0</v>
      </c>
      <c r="P338" s="35">
        <f>'Client Data'!Q126</f>
        <v>0</v>
      </c>
      <c r="Q338" s="35">
        <f>'Client Data'!R126</f>
        <v>0</v>
      </c>
      <c r="R338" s="35">
        <f>'Client Data'!S126</f>
        <v>0</v>
      </c>
      <c r="S338" s="35">
        <f>'Client Data'!T126</f>
        <v>0</v>
      </c>
      <c r="T338" s="35">
        <f>'Client Data'!U126</f>
        <v>0</v>
      </c>
      <c r="U338" s="35">
        <f>'Client Data'!V126</f>
        <v>0</v>
      </c>
      <c r="V338" s="35">
        <f>'Client Data'!W126</f>
        <v>0</v>
      </c>
      <c r="W338" s="35">
        <f>'Client Data'!X126</f>
        <v>0</v>
      </c>
      <c r="X338" s="35">
        <f>'Client Data'!Y126</f>
        <v>0</v>
      </c>
      <c r="Y338" s="35">
        <f>'Client Data'!Z126</f>
        <v>0</v>
      </c>
      <c r="Z338" s="35">
        <f>'Client Data'!AA126</f>
        <v>0</v>
      </c>
      <c r="AA338" s="35">
        <f>'Client Data'!AB126</f>
        <v>0</v>
      </c>
      <c r="AB338" s="35">
        <f>'Client Data'!AC126</f>
        <v>0</v>
      </c>
      <c r="AC338" s="35">
        <f>'Client Data'!AD126</f>
        <v>0</v>
      </c>
      <c r="AD338" s="35">
        <f>'Client Data'!AE126</f>
        <v>0</v>
      </c>
      <c r="AE338" s="35">
        <f>'Client Data'!AF126</f>
        <v>0</v>
      </c>
      <c r="AF338" s="35">
        <f>'Client Data'!AG126</f>
        <v>0</v>
      </c>
      <c r="AG338" s="35">
        <f>'Client Data'!AH126</f>
        <v>0</v>
      </c>
      <c r="AH338" s="35">
        <f>'Client Data'!AI126</f>
        <v>0</v>
      </c>
      <c r="AI338" s="35">
        <f>'Client Data'!AJ126</f>
        <v>0</v>
      </c>
      <c r="AJ338" s="35">
        <f>'Client Data'!AK126</f>
        <v>0</v>
      </c>
      <c r="AK338" s="35">
        <f>'Client Data'!AL126</f>
        <v>0</v>
      </c>
      <c r="AL338" s="35">
        <f>'Client Data'!AM126</f>
        <v>0</v>
      </c>
      <c r="AM338" s="35">
        <f>'Client Data'!AN126</f>
        <v>0</v>
      </c>
      <c r="AN338" s="35">
        <f>'Client Data'!AO126</f>
        <v>0</v>
      </c>
      <c r="AO338" s="35">
        <f>'Client Data'!AP126</f>
        <v>0</v>
      </c>
      <c r="AP338" s="35">
        <f>'Client Data'!AQ126</f>
        <v>0</v>
      </c>
      <c r="AQ338" s="35">
        <f>'Client Data'!AR126</f>
        <v>0</v>
      </c>
      <c r="AR338" s="35">
        <f>'Client Data'!AS126</f>
        <v>0</v>
      </c>
      <c r="AS338" s="35">
        <f>'Client Data'!AT126</f>
        <v>0</v>
      </c>
      <c r="AT338" s="35">
        <f>'Client Data'!AU126</f>
        <v>0</v>
      </c>
      <c r="AU338" s="35">
        <f>'Client Data'!AV126</f>
        <v>0</v>
      </c>
      <c r="AV338" s="35">
        <f>'Client Data'!AW126</f>
        <v>0</v>
      </c>
      <c r="AW338" s="35">
        <f>'Client Data'!AX126</f>
        <v>0</v>
      </c>
      <c r="AX338" s="35">
        <f>'Client Data'!AY126</f>
        <v>0</v>
      </c>
      <c r="AY338" s="35">
        <f>'Client Data'!AZ126</f>
        <v>0</v>
      </c>
      <c r="AZ338" s="35">
        <f>'Client Data'!BA126</f>
        <v>0</v>
      </c>
      <c r="BA338" s="35">
        <f>'Client Data'!BB126</f>
        <v>0</v>
      </c>
      <c r="BB338" s="35">
        <f>'Client Data'!BC126</f>
        <v>0</v>
      </c>
      <c r="BC338" s="19">
        <f t="shared" si="658"/>
        <v>0</v>
      </c>
    </row>
    <row r="339" spans="2:55" x14ac:dyDescent="0.25">
      <c r="B339" s="19" t="str">
        <f>'Client Data'!B127</f>
        <v>Yield Defect Loss Type C</v>
      </c>
      <c r="C339" s="50">
        <f t="shared" ref="C339:AH339" si="659">IF(C190&gt;0,SUM(C340:C347),0)</f>
        <v>5</v>
      </c>
      <c r="D339" s="50">
        <f t="shared" si="659"/>
        <v>4</v>
      </c>
      <c r="E339" s="50">
        <f t="shared" si="659"/>
        <v>4</v>
      </c>
      <c r="F339" s="50">
        <f t="shared" si="659"/>
        <v>0</v>
      </c>
      <c r="G339" s="50">
        <f t="shared" si="659"/>
        <v>5</v>
      </c>
      <c r="H339" s="50">
        <f t="shared" si="659"/>
        <v>4</v>
      </c>
      <c r="I339" s="50">
        <f t="shared" si="659"/>
        <v>4</v>
      </c>
      <c r="J339" s="50">
        <f t="shared" si="659"/>
        <v>0</v>
      </c>
      <c r="K339" s="50">
        <f t="shared" si="659"/>
        <v>3</v>
      </c>
      <c r="L339" s="50">
        <f t="shared" si="659"/>
        <v>4</v>
      </c>
      <c r="M339" s="50">
        <f t="shared" si="659"/>
        <v>4</v>
      </c>
      <c r="N339" s="50">
        <f t="shared" si="659"/>
        <v>0</v>
      </c>
      <c r="O339" s="50">
        <f t="shared" si="659"/>
        <v>3</v>
      </c>
      <c r="P339" s="50">
        <f t="shared" si="659"/>
        <v>4</v>
      </c>
      <c r="Q339" s="50">
        <f t="shared" si="659"/>
        <v>4</v>
      </c>
      <c r="R339" s="50">
        <f t="shared" si="659"/>
        <v>0</v>
      </c>
      <c r="S339" s="50">
        <f t="shared" si="659"/>
        <v>5</v>
      </c>
      <c r="T339" s="50">
        <f t="shared" si="659"/>
        <v>4</v>
      </c>
      <c r="U339" s="50">
        <f t="shared" si="659"/>
        <v>4</v>
      </c>
      <c r="V339" s="50">
        <f t="shared" si="659"/>
        <v>0</v>
      </c>
      <c r="W339" s="50">
        <f t="shared" si="659"/>
        <v>5</v>
      </c>
      <c r="X339" s="50">
        <f t="shared" si="659"/>
        <v>4</v>
      </c>
      <c r="Y339" s="50">
        <f t="shared" si="659"/>
        <v>4</v>
      </c>
      <c r="Z339" s="50">
        <f t="shared" si="659"/>
        <v>0</v>
      </c>
      <c r="AA339" s="50">
        <f t="shared" si="659"/>
        <v>5</v>
      </c>
      <c r="AB339" s="50">
        <f t="shared" si="659"/>
        <v>4</v>
      </c>
      <c r="AC339" s="50">
        <f t="shared" si="659"/>
        <v>4</v>
      </c>
      <c r="AD339" s="50">
        <f t="shared" si="659"/>
        <v>0</v>
      </c>
      <c r="AE339" s="50">
        <f t="shared" si="659"/>
        <v>5</v>
      </c>
      <c r="AF339" s="50">
        <f t="shared" si="659"/>
        <v>4</v>
      </c>
      <c r="AG339" s="50">
        <f t="shared" si="659"/>
        <v>4</v>
      </c>
      <c r="AH339" s="50">
        <f t="shared" si="659"/>
        <v>0</v>
      </c>
      <c r="AI339" s="50">
        <f t="shared" ref="AI339:BB339" si="660">IF(AI190&gt;0,SUM(AI340:AI347),0)</f>
        <v>5</v>
      </c>
      <c r="AJ339" s="50">
        <f t="shared" si="660"/>
        <v>4</v>
      </c>
      <c r="AK339" s="50">
        <f t="shared" si="660"/>
        <v>4</v>
      </c>
      <c r="AL339" s="50">
        <f t="shared" si="660"/>
        <v>0</v>
      </c>
      <c r="AM339" s="50">
        <f t="shared" si="660"/>
        <v>5</v>
      </c>
      <c r="AN339" s="50">
        <f t="shared" si="660"/>
        <v>4</v>
      </c>
      <c r="AO339" s="50">
        <f t="shared" si="660"/>
        <v>4</v>
      </c>
      <c r="AP339" s="50">
        <f t="shared" si="660"/>
        <v>0</v>
      </c>
      <c r="AQ339" s="50">
        <f t="shared" si="660"/>
        <v>5</v>
      </c>
      <c r="AR339" s="50">
        <f t="shared" si="660"/>
        <v>4</v>
      </c>
      <c r="AS339" s="50">
        <f t="shared" si="660"/>
        <v>4</v>
      </c>
      <c r="AT339" s="50">
        <f t="shared" si="660"/>
        <v>0</v>
      </c>
      <c r="AU339" s="50">
        <f t="shared" si="660"/>
        <v>5</v>
      </c>
      <c r="AV339" s="50">
        <f t="shared" si="660"/>
        <v>4</v>
      </c>
      <c r="AW339" s="50">
        <f t="shared" si="660"/>
        <v>4</v>
      </c>
      <c r="AX339" s="50">
        <f t="shared" si="660"/>
        <v>0</v>
      </c>
      <c r="AY339" s="50">
        <f t="shared" si="660"/>
        <v>5</v>
      </c>
      <c r="AZ339" s="50">
        <f t="shared" si="660"/>
        <v>4</v>
      </c>
      <c r="BA339" s="50">
        <f t="shared" si="660"/>
        <v>4</v>
      </c>
      <c r="BB339" s="50">
        <f t="shared" si="660"/>
        <v>0</v>
      </c>
      <c r="BC339" s="19">
        <f t="shared" si="658"/>
        <v>165</v>
      </c>
    </row>
    <row r="340" spans="2:55" x14ac:dyDescent="0.25">
      <c r="B340" s="19" t="str">
        <f>'Client Data'!C128</f>
        <v>Product A</v>
      </c>
      <c r="C340" s="35">
        <f>'Client Data'!D128</f>
        <v>0</v>
      </c>
      <c r="D340" s="35">
        <f>'Client Data'!E128</f>
        <v>0</v>
      </c>
      <c r="E340" s="35">
        <f>'Client Data'!F128</f>
        <v>0</v>
      </c>
      <c r="F340" s="35">
        <f>'Client Data'!G128</f>
        <v>0</v>
      </c>
      <c r="G340" s="35">
        <f>'Client Data'!H128</f>
        <v>0</v>
      </c>
      <c r="H340" s="35">
        <f>'Client Data'!I128</f>
        <v>0</v>
      </c>
      <c r="I340" s="35">
        <f>'Client Data'!J128</f>
        <v>0</v>
      </c>
      <c r="J340" s="35">
        <f>'Client Data'!K128</f>
        <v>0</v>
      </c>
      <c r="K340" s="35">
        <f>'Client Data'!L128</f>
        <v>0</v>
      </c>
      <c r="L340" s="35">
        <f>'Client Data'!M128</f>
        <v>0</v>
      </c>
      <c r="M340" s="35">
        <f>'Client Data'!N128</f>
        <v>0</v>
      </c>
      <c r="N340" s="35">
        <f>'Client Data'!O128</f>
        <v>0</v>
      </c>
      <c r="O340" s="35">
        <f>'Client Data'!P128</f>
        <v>0</v>
      </c>
      <c r="P340" s="35">
        <f>'Client Data'!Q128</f>
        <v>0</v>
      </c>
      <c r="Q340" s="35">
        <f>'Client Data'!R128</f>
        <v>0</v>
      </c>
      <c r="R340" s="35">
        <f>'Client Data'!S128</f>
        <v>0</v>
      </c>
      <c r="S340" s="35">
        <f>'Client Data'!T128</f>
        <v>0</v>
      </c>
      <c r="T340" s="35">
        <f>'Client Data'!U128</f>
        <v>0</v>
      </c>
      <c r="U340" s="35">
        <f>'Client Data'!V128</f>
        <v>0</v>
      </c>
      <c r="V340" s="35">
        <f>'Client Data'!W128</f>
        <v>0</v>
      </c>
      <c r="W340" s="35">
        <f>'Client Data'!X128</f>
        <v>0</v>
      </c>
      <c r="X340" s="35">
        <f>'Client Data'!Y128</f>
        <v>0</v>
      </c>
      <c r="Y340" s="35">
        <f>'Client Data'!Z128</f>
        <v>0</v>
      </c>
      <c r="Z340" s="35">
        <f>'Client Data'!AA128</f>
        <v>0</v>
      </c>
      <c r="AA340" s="35">
        <f>'Client Data'!AB128</f>
        <v>0</v>
      </c>
      <c r="AB340" s="35">
        <f>'Client Data'!AC128</f>
        <v>0</v>
      </c>
      <c r="AC340" s="35">
        <f>'Client Data'!AD128</f>
        <v>0</v>
      </c>
      <c r="AD340" s="35">
        <f>'Client Data'!AE128</f>
        <v>0</v>
      </c>
      <c r="AE340" s="35">
        <f>'Client Data'!AF128</f>
        <v>0</v>
      </c>
      <c r="AF340" s="35">
        <f>'Client Data'!AG128</f>
        <v>0</v>
      </c>
      <c r="AG340" s="35">
        <f>'Client Data'!AH128</f>
        <v>0</v>
      </c>
      <c r="AH340" s="35">
        <f>'Client Data'!AI128</f>
        <v>0</v>
      </c>
      <c r="AI340" s="35">
        <f>'Client Data'!AJ128</f>
        <v>0</v>
      </c>
      <c r="AJ340" s="35">
        <f>'Client Data'!AK128</f>
        <v>0</v>
      </c>
      <c r="AK340" s="35">
        <f>'Client Data'!AL128</f>
        <v>0</v>
      </c>
      <c r="AL340" s="35">
        <f>'Client Data'!AM128</f>
        <v>0</v>
      </c>
      <c r="AM340" s="35">
        <f>'Client Data'!AN128</f>
        <v>0</v>
      </c>
      <c r="AN340" s="35">
        <f>'Client Data'!AO128</f>
        <v>0</v>
      </c>
      <c r="AO340" s="35">
        <f>'Client Data'!AP128</f>
        <v>0</v>
      </c>
      <c r="AP340" s="35">
        <f>'Client Data'!AQ128</f>
        <v>0</v>
      </c>
      <c r="AQ340" s="35">
        <f>'Client Data'!AR128</f>
        <v>0</v>
      </c>
      <c r="AR340" s="35">
        <f>'Client Data'!AS128</f>
        <v>0</v>
      </c>
      <c r="AS340" s="35">
        <f>'Client Data'!AT128</f>
        <v>0</v>
      </c>
      <c r="AT340" s="35">
        <f>'Client Data'!AU128</f>
        <v>0</v>
      </c>
      <c r="AU340" s="35">
        <f>'Client Data'!AV128</f>
        <v>0</v>
      </c>
      <c r="AV340" s="35">
        <f>'Client Data'!AW128</f>
        <v>0</v>
      </c>
      <c r="AW340" s="35">
        <f>'Client Data'!AX128</f>
        <v>0</v>
      </c>
      <c r="AX340" s="35">
        <f>'Client Data'!AY128</f>
        <v>0</v>
      </c>
      <c r="AY340" s="35">
        <f>'Client Data'!AZ128</f>
        <v>0</v>
      </c>
      <c r="AZ340" s="35">
        <f>'Client Data'!BA128</f>
        <v>0</v>
      </c>
      <c r="BA340" s="35">
        <f>'Client Data'!BB128</f>
        <v>0</v>
      </c>
      <c r="BB340" s="35">
        <f>'Client Data'!BC128</f>
        <v>0</v>
      </c>
      <c r="BC340" s="19">
        <f t="shared" si="658"/>
        <v>0</v>
      </c>
    </row>
    <row r="341" spans="2:55" x14ac:dyDescent="0.25">
      <c r="B341" s="19" t="str">
        <f>'Client Data'!C129</f>
        <v>Product B</v>
      </c>
      <c r="C341" s="35">
        <f>'Client Data'!D129</f>
        <v>0</v>
      </c>
      <c r="D341" s="35">
        <f>'Client Data'!E129</f>
        <v>0</v>
      </c>
      <c r="E341" s="35">
        <f>'Client Data'!F129</f>
        <v>0</v>
      </c>
      <c r="F341" s="35">
        <f>'Client Data'!G129</f>
        <v>0</v>
      </c>
      <c r="G341" s="35">
        <f>'Client Data'!H129</f>
        <v>0</v>
      </c>
      <c r="H341" s="35">
        <f>'Client Data'!I129</f>
        <v>0</v>
      </c>
      <c r="I341" s="35">
        <f>'Client Data'!J129</f>
        <v>0</v>
      </c>
      <c r="J341" s="35">
        <f>'Client Data'!K129</f>
        <v>0</v>
      </c>
      <c r="K341" s="35">
        <f>'Client Data'!L129</f>
        <v>0</v>
      </c>
      <c r="L341" s="35">
        <f>'Client Data'!M129</f>
        <v>0</v>
      </c>
      <c r="M341" s="35">
        <f>'Client Data'!N129</f>
        <v>0</v>
      </c>
      <c r="N341" s="35">
        <f>'Client Data'!O129</f>
        <v>0</v>
      </c>
      <c r="O341" s="35">
        <f>'Client Data'!P129</f>
        <v>0</v>
      </c>
      <c r="P341" s="35">
        <f>'Client Data'!Q129</f>
        <v>0</v>
      </c>
      <c r="Q341" s="35">
        <f>'Client Data'!R129</f>
        <v>0</v>
      </c>
      <c r="R341" s="35">
        <f>'Client Data'!S129</f>
        <v>0</v>
      </c>
      <c r="S341" s="35">
        <f>'Client Data'!T129</f>
        <v>0</v>
      </c>
      <c r="T341" s="35">
        <f>'Client Data'!U129</f>
        <v>0</v>
      </c>
      <c r="U341" s="35">
        <f>'Client Data'!V129</f>
        <v>0</v>
      </c>
      <c r="V341" s="35">
        <f>'Client Data'!W129</f>
        <v>0</v>
      </c>
      <c r="W341" s="35">
        <f>'Client Data'!X129</f>
        <v>0</v>
      </c>
      <c r="X341" s="35">
        <f>'Client Data'!Y129</f>
        <v>0</v>
      </c>
      <c r="Y341" s="35">
        <f>'Client Data'!Z129</f>
        <v>0</v>
      </c>
      <c r="Z341" s="35">
        <f>'Client Data'!AA129</f>
        <v>0</v>
      </c>
      <c r="AA341" s="35">
        <f>'Client Data'!AB129</f>
        <v>0</v>
      </c>
      <c r="AB341" s="35">
        <f>'Client Data'!AC129</f>
        <v>0</v>
      </c>
      <c r="AC341" s="35">
        <f>'Client Data'!AD129</f>
        <v>0</v>
      </c>
      <c r="AD341" s="35">
        <f>'Client Data'!AE129</f>
        <v>0</v>
      </c>
      <c r="AE341" s="35">
        <f>'Client Data'!AF129</f>
        <v>0</v>
      </c>
      <c r="AF341" s="35">
        <f>'Client Data'!AG129</f>
        <v>0</v>
      </c>
      <c r="AG341" s="35">
        <f>'Client Data'!AH129</f>
        <v>0</v>
      </c>
      <c r="AH341" s="35">
        <f>'Client Data'!AI129</f>
        <v>0</v>
      </c>
      <c r="AI341" s="35">
        <f>'Client Data'!AJ129</f>
        <v>0</v>
      </c>
      <c r="AJ341" s="35">
        <f>'Client Data'!AK129</f>
        <v>0</v>
      </c>
      <c r="AK341" s="35">
        <f>'Client Data'!AL129</f>
        <v>0</v>
      </c>
      <c r="AL341" s="35">
        <f>'Client Data'!AM129</f>
        <v>0</v>
      </c>
      <c r="AM341" s="35">
        <f>'Client Data'!AN129</f>
        <v>0</v>
      </c>
      <c r="AN341" s="35">
        <f>'Client Data'!AO129</f>
        <v>0</v>
      </c>
      <c r="AO341" s="35">
        <f>'Client Data'!AP129</f>
        <v>0</v>
      </c>
      <c r="AP341" s="35">
        <f>'Client Data'!AQ129</f>
        <v>0</v>
      </c>
      <c r="AQ341" s="35">
        <f>'Client Data'!AR129</f>
        <v>0</v>
      </c>
      <c r="AR341" s="35">
        <f>'Client Data'!AS129</f>
        <v>0</v>
      </c>
      <c r="AS341" s="35">
        <f>'Client Data'!AT129</f>
        <v>0</v>
      </c>
      <c r="AT341" s="35">
        <f>'Client Data'!AU129</f>
        <v>0</v>
      </c>
      <c r="AU341" s="35">
        <f>'Client Data'!AV129</f>
        <v>0</v>
      </c>
      <c r="AV341" s="35">
        <f>'Client Data'!AW129</f>
        <v>0</v>
      </c>
      <c r="AW341" s="35">
        <f>'Client Data'!AX129</f>
        <v>0</v>
      </c>
      <c r="AX341" s="35">
        <f>'Client Data'!AY129</f>
        <v>0</v>
      </c>
      <c r="AY341" s="35">
        <f>'Client Data'!AZ129</f>
        <v>0</v>
      </c>
      <c r="AZ341" s="35">
        <f>'Client Data'!BA129</f>
        <v>0</v>
      </c>
      <c r="BA341" s="35">
        <f>'Client Data'!BB129</f>
        <v>0</v>
      </c>
      <c r="BB341" s="35">
        <f>'Client Data'!BC129</f>
        <v>0</v>
      </c>
      <c r="BC341" s="19">
        <f t="shared" si="658"/>
        <v>0</v>
      </c>
    </row>
    <row r="342" spans="2:55" x14ac:dyDescent="0.25">
      <c r="B342" s="19" t="str">
        <f>'Client Data'!C130</f>
        <v>Product C</v>
      </c>
      <c r="C342" s="35">
        <f>'Client Data'!D130</f>
        <v>5</v>
      </c>
      <c r="D342" s="35">
        <f>'Client Data'!E130</f>
        <v>4</v>
      </c>
      <c r="E342" s="35">
        <f>'Client Data'!F130</f>
        <v>4</v>
      </c>
      <c r="F342" s="35">
        <f>'Client Data'!G130</f>
        <v>0</v>
      </c>
      <c r="G342" s="35">
        <f>'Client Data'!H130</f>
        <v>5</v>
      </c>
      <c r="H342" s="35">
        <f>'Client Data'!I130</f>
        <v>4</v>
      </c>
      <c r="I342" s="35">
        <f>'Client Data'!J130</f>
        <v>4</v>
      </c>
      <c r="J342" s="35">
        <f>'Client Data'!K130</f>
        <v>0</v>
      </c>
      <c r="K342" s="35">
        <f>'Client Data'!L130</f>
        <v>3</v>
      </c>
      <c r="L342" s="35">
        <f>'Client Data'!M130</f>
        <v>4</v>
      </c>
      <c r="M342" s="35">
        <f>'Client Data'!N130</f>
        <v>4</v>
      </c>
      <c r="N342" s="35">
        <f>'Client Data'!O130</f>
        <v>0</v>
      </c>
      <c r="O342" s="35">
        <f>'Client Data'!P130</f>
        <v>3</v>
      </c>
      <c r="P342" s="35">
        <f>'Client Data'!Q130</f>
        <v>4</v>
      </c>
      <c r="Q342" s="35">
        <f>'Client Data'!R130</f>
        <v>4</v>
      </c>
      <c r="R342" s="35">
        <f>'Client Data'!S130</f>
        <v>0</v>
      </c>
      <c r="S342" s="35">
        <f>'Client Data'!T130</f>
        <v>5</v>
      </c>
      <c r="T342" s="35">
        <f>'Client Data'!U130</f>
        <v>4</v>
      </c>
      <c r="U342" s="35">
        <f>'Client Data'!V130</f>
        <v>4</v>
      </c>
      <c r="V342" s="35">
        <f>'Client Data'!W130</f>
        <v>0</v>
      </c>
      <c r="W342" s="35">
        <f>'Client Data'!X130</f>
        <v>5</v>
      </c>
      <c r="X342" s="35">
        <f>'Client Data'!Y130</f>
        <v>4</v>
      </c>
      <c r="Y342" s="35">
        <f>'Client Data'!Z130</f>
        <v>4</v>
      </c>
      <c r="Z342" s="35">
        <f>'Client Data'!AA130</f>
        <v>0</v>
      </c>
      <c r="AA342" s="35">
        <f>'Client Data'!AB130</f>
        <v>5</v>
      </c>
      <c r="AB342" s="35">
        <f>'Client Data'!AC130</f>
        <v>4</v>
      </c>
      <c r="AC342" s="35">
        <f>'Client Data'!AD130</f>
        <v>4</v>
      </c>
      <c r="AD342" s="35">
        <f>'Client Data'!AE130</f>
        <v>0</v>
      </c>
      <c r="AE342" s="35">
        <f>'Client Data'!AF130</f>
        <v>5</v>
      </c>
      <c r="AF342" s="35">
        <f>'Client Data'!AG130</f>
        <v>4</v>
      </c>
      <c r="AG342" s="35">
        <f>'Client Data'!AH130</f>
        <v>4</v>
      </c>
      <c r="AH342" s="35">
        <f>'Client Data'!AI130</f>
        <v>0</v>
      </c>
      <c r="AI342" s="35">
        <f>'Client Data'!AJ130</f>
        <v>5</v>
      </c>
      <c r="AJ342" s="35">
        <f>'Client Data'!AK130</f>
        <v>4</v>
      </c>
      <c r="AK342" s="35">
        <f>'Client Data'!AL130</f>
        <v>4</v>
      </c>
      <c r="AL342" s="35">
        <f>'Client Data'!AM130</f>
        <v>0</v>
      </c>
      <c r="AM342" s="35">
        <f>'Client Data'!AN130</f>
        <v>5</v>
      </c>
      <c r="AN342" s="35">
        <f>'Client Data'!AO130</f>
        <v>4</v>
      </c>
      <c r="AO342" s="35">
        <f>'Client Data'!AP130</f>
        <v>4</v>
      </c>
      <c r="AP342" s="35">
        <f>'Client Data'!AQ130</f>
        <v>0</v>
      </c>
      <c r="AQ342" s="35">
        <f>'Client Data'!AR130</f>
        <v>5</v>
      </c>
      <c r="AR342" s="35">
        <f>'Client Data'!AS130</f>
        <v>4</v>
      </c>
      <c r="AS342" s="35">
        <f>'Client Data'!AT130</f>
        <v>4</v>
      </c>
      <c r="AT342" s="35">
        <f>'Client Data'!AU130</f>
        <v>0</v>
      </c>
      <c r="AU342" s="35">
        <f>'Client Data'!AV130</f>
        <v>5</v>
      </c>
      <c r="AV342" s="35">
        <f>'Client Data'!AW130</f>
        <v>4</v>
      </c>
      <c r="AW342" s="35">
        <f>'Client Data'!AX130</f>
        <v>4</v>
      </c>
      <c r="AX342" s="35">
        <f>'Client Data'!AY130</f>
        <v>0</v>
      </c>
      <c r="AY342" s="35">
        <f>'Client Data'!AZ130</f>
        <v>5</v>
      </c>
      <c r="AZ342" s="35">
        <f>'Client Data'!BA130</f>
        <v>4</v>
      </c>
      <c r="BA342" s="35">
        <f>'Client Data'!BB130</f>
        <v>4</v>
      </c>
      <c r="BB342" s="35">
        <f>'Client Data'!BC130</f>
        <v>0</v>
      </c>
      <c r="BC342" s="19">
        <f t="shared" si="658"/>
        <v>165</v>
      </c>
    </row>
    <row r="343" spans="2:55" x14ac:dyDescent="0.25">
      <c r="B343" s="19" t="str">
        <f>'Client Data'!C131</f>
        <v>Product D</v>
      </c>
      <c r="C343" s="35">
        <f>'Client Data'!D131</f>
        <v>0</v>
      </c>
      <c r="D343" s="35">
        <f>'Client Data'!E131</f>
        <v>0</v>
      </c>
      <c r="E343" s="35">
        <f>'Client Data'!F131</f>
        <v>0</v>
      </c>
      <c r="F343" s="35">
        <f>'Client Data'!G131</f>
        <v>0</v>
      </c>
      <c r="G343" s="35">
        <f>'Client Data'!H131</f>
        <v>0</v>
      </c>
      <c r="H343" s="35">
        <f>'Client Data'!I131</f>
        <v>0</v>
      </c>
      <c r="I343" s="35">
        <f>'Client Data'!J131</f>
        <v>0</v>
      </c>
      <c r="J343" s="35">
        <f>'Client Data'!K131</f>
        <v>0</v>
      </c>
      <c r="K343" s="35">
        <f>'Client Data'!L131</f>
        <v>0</v>
      </c>
      <c r="L343" s="35">
        <f>'Client Data'!M131</f>
        <v>0</v>
      </c>
      <c r="M343" s="35">
        <f>'Client Data'!N131</f>
        <v>0</v>
      </c>
      <c r="N343" s="35">
        <f>'Client Data'!O131</f>
        <v>0</v>
      </c>
      <c r="O343" s="35">
        <f>'Client Data'!P131</f>
        <v>0</v>
      </c>
      <c r="P343" s="35">
        <f>'Client Data'!Q131</f>
        <v>0</v>
      </c>
      <c r="Q343" s="35">
        <f>'Client Data'!R131</f>
        <v>0</v>
      </c>
      <c r="R343" s="35">
        <f>'Client Data'!S131</f>
        <v>0</v>
      </c>
      <c r="S343" s="35">
        <f>'Client Data'!T131</f>
        <v>0</v>
      </c>
      <c r="T343" s="35">
        <f>'Client Data'!U131</f>
        <v>0</v>
      </c>
      <c r="U343" s="35">
        <f>'Client Data'!V131</f>
        <v>0</v>
      </c>
      <c r="V343" s="35">
        <f>'Client Data'!W131</f>
        <v>0</v>
      </c>
      <c r="W343" s="35">
        <f>'Client Data'!X131</f>
        <v>0</v>
      </c>
      <c r="X343" s="35">
        <f>'Client Data'!Y131</f>
        <v>0</v>
      </c>
      <c r="Y343" s="35">
        <f>'Client Data'!Z131</f>
        <v>0</v>
      </c>
      <c r="Z343" s="35">
        <f>'Client Data'!AA131</f>
        <v>0</v>
      </c>
      <c r="AA343" s="35">
        <f>'Client Data'!AB131</f>
        <v>0</v>
      </c>
      <c r="AB343" s="35">
        <f>'Client Data'!AC131</f>
        <v>0</v>
      </c>
      <c r="AC343" s="35">
        <f>'Client Data'!AD131</f>
        <v>0</v>
      </c>
      <c r="AD343" s="35">
        <f>'Client Data'!AE131</f>
        <v>0</v>
      </c>
      <c r="AE343" s="35">
        <f>'Client Data'!AF131</f>
        <v>0</v>
      </c>
      <c r="AF343" s="35">
        <f>'Client Data'!AG131</f>
        <v>0</v>
      </c>
      <c r="AG343" s="35">
        <f>'Client Data'!AH131</f>
        <v>0</v>
      </c>
      <c r="AH343" s="35">
        <f>'Client Data'!AI131</f>
        <v>0</v>
      </c>
      <c r="AI343" s="35">
        <f>'Client Data'!AJ131</f>
        <v>0</v>
      </c>
      <c r="AJ343" s="35">
        <f>'Client Data'!AK131</f>
        <v>0</v>
      </c>
      <c r="AK343" s="35">
        <f>'Client Data'!AL131</f>
        <v>0</v>
      </c>
      <c r="AL343" s="35">
        <f>'Client Data'!AM131</f>
        <v>0</v>
      </c>
      <c r="AM343" s="35">
        <f>'Client Data'!AN131</f>
        <v>0</v>
      </c>
      <c r="AN343" s="35">
        <f>'Client Data'!AO131</f>
        <v>0</v>
      </c>
      <c r="AO343" s="35">
        <f>'Client Data'!AP131</f>
        <v>0</v>
      </c>
      <c r="AP343" s="35">
        <f>'Client Data'!AQ131</f>
        <v>0</v>
      </c>
      <c r="AQ343" s="35">
        <f>'Client Data'!AR131</f>
        <v>0</v>
      </c>
      <c r="AR343" s="35">
        <f>'Client Data'!AS131</f>
        <v>0</v>
      </c>
      <c r="AS343" s="35">
        <f>'Client Data'!AT131</f>
        <v>0</v>
      </c>
      <c r="AT343" s="35">
        <f>'Client Data'!AU131</f>
        <v>0</v>
      </c>
      <c r="AU343" s="35">
        <f>'Client Data'!AV131</f>
        <v>0</v>
      </c>
      <c r="AV343" s="35">
        <f>'Client Data'!AW131</f>
        <v>0</v>
      </c>
      <c r="AW343" s="35">
        <f>'Client Data'!AX131</f>
        <v>0</v>
      </c>
      <c r="AX343" s="35">
        <f>'Client Data'!AY131</f>
        <v>0</v>
      </c>
      <c r="AY343" s="35">
        <f>'Client Data'!AZ131</f>
        <v>0</v>
      </c>
      <c r="AZ343" s="35">
        <f>'Client Data'!BA131</f>
        <v>0</v>
      </c>
      <c r="BA343" s="35">
        <f>'Client Data'!BB131</f>
        <v>0</v>
      </c>
      <c r="BB343" s="35">
        <f>'Client Data'!BC131</f>
        <v>0</v>
      </c>
      <c r="BC343" s="19">
        <f t="shared" si="658"/>
        <v>0</v>
      </c>
    </row>
    <row r="344" spans="2:55" x14ac:dyDescent="0.25">
      <c r="B344" s="19" t="str">
        <f>'Client Data'!C132</f>
        <v>Product E</v>
      </c>
      <c r="C344" s="35">
        <f>'Client Data'!D132</f>
        <v>0</v>
      </c>
      <c r="D344" s="35">
        <f>'Client Data'!E132</f>
        <v>0</v>
      </c>
      <c r="E344" s="35">
        <f>'Client Data'!F132</f>
        <v>0</v>
      </c>
      <c r="F344" s="35">
        <f>'Client Data'!G132</f>
        <v>0</v>
      </c>
      <c r="G344" s="35">
        <f>'Client Data'!H132</f>
        <v>0</v>
      </c>
      <c r="H344" s="35">
        <f>'Client Data'!I132</f>
        <v>0</v>
      </c>
      <c r="I344" s="35">
        <f>'Client Data'!J132</f>
        <v>0</v>
      </c>
      <c r="J344" s="35">
        <f>'Client Data'!K132</f>
        <v>0</v>
      </c>
      <c r="K344" s="35">
        <f>'Client Data'!L132</f>
        <v>0</v>
      </c>
      <c r="L344" s="35">
        <f>'Client Data'!M132</f>
        <v>0</v>
      </c>
      <c r="M344" s="35">
        <f>'Client Data'!N132</f>
        <v>0</v>
      </c>
      <c r="N344" s="35">
        <f>'Client Data'!O132</f>
        <v>0</v>
      </c>
      <c r="O344" s="35">
        <f>'Client Data'!P132</f>
        <v>0</v>
      </c>
      <c r="P344" s="35">
        <f>'Client Data'!Q132</f>
        <v>0</v>
      </c>
      <c r="Q344" s="35">
        <f>'Client Data'!R132</f>
        <v>0</v>
      </c>
      <c r="R344" s="35">
        <f>'Client Data'!S132</f>
        <v>0</v>
      </c>
      <c r="S344" s="35">
        <f>'Client Data'!T132</f>
        <v>0</v>
      </c>
      <c r="T344" s="35">
        <f>'Client Data'!U132</f>
        <v>0</v>
      </c>
      <c r="U344" s="35">
        <f>'Client Data'!V132</f>
        <v>0</v>
      </c>
      <c r="V344" s="35">
        <f>'Client Data'!W132</f>
        <v>0</v>
      </c>
      <c r="W344" s="35">
        <f>'Client Data'!X132</f>
        <v>0</v>
      </c>
      <c r="X344" s="35">
        <f>'Client Data'!Y132</f>
        <v>0</v>
      </c>
      <c r="Y344" s="35">
        <f>'Client Data'!Z132</f>
        <v>0</v>
      </c>
      <c r="Z344" s="35">
        <f>'Client Data'!AA132</f>
        <v>0</v>
      </c>
      <c r="AA344" s="35">
        <f>'Client Data'!AB132</f>
        <v>0</v>
      </c>
      <c r="AB344" s="35">
        <f>'Client Data'!AC132</f>
        <v>0</v>
      </c>
      <c r="AC344" s="35">
        <f>'Client Data'!AD132</f>
        <v>0</v>
      </c>
      <c r="AD344" s="35">
        <f>'Client Data'!AE132</f>
        <v>0</v>
      </c>
      <c r="AE344" s="35">
        <f>'Client Data'!AF132</f>
        <v>0</v>
      </c>
      <c r="AF344" s="35">
        <f>'Client Data'!AG132</f>
        <v>0</v>
      </c>
      <c r="AG344" s="35">
        <f>'Client Data'!AH132</f>
        <v>0</v>
      </c>
      <c r="AH344" s="35">
        <f>'Client Data'!AI132</f>
        <v>0</v>
      </c>
      <c r="AI344" s="35">
        <f>'Client Data'!AJ132</f>
        <v>0</v>
      </c>
      <c r="AJ344" s="35">
        <f>'Client Data'!AK132</f>
        <v>0</v>
      </c>
      <c r="AK344" s="35">
        <f>'Client Data'!AL132</f>
        <v>0</v>
      </c>
      <c r="AL344" s="35">
        <f>'Client Data'!AM132</f>
        <v>0</v>
      </c>
      <c r="AM344" s="35">
        <f>'Client Data'!AN132</f>
        <v>0</v>
      </c>
      <c r="AN344" s="35">
        <f>'Client Data'!AO132</f>
        <v>0</v>
      </c>
      <c r="AO344" s="35">
        <f>'Client Data'!AP132</f>
        <v>0</v>
      </c>
      <c r="AP344" s="35">
        <f>'Client Data'!AQ132</f>
        <v>0</v>
      </c>
      <c r="AQ344" s="35">
        <f>'Client Data'!AR132</f>
        <v>0</v>
      </c>
      <c r="AR344" s="35">
        <f>'Client Data'!AS132</f>
        <v>0</v>
      </c>
      <c r="AS344" s="35">
        <f>'Client Data'!AT132</f>
        <v>0</v>
      </c>
      <c r="AT344" s="35">
        <f>'Client Data'!AU132</f>
        <v>0</v>
      </c>
      <c r="AU344" s="35">
        <f>'Client Data'!AV132</f>
        <v>0</v>
      </c>
      <c r="AV344" s="35">
        <f>'Client Data'!AW132</f>
        <v>0</v>
      </c>
      <c r="AW344" s="35">
        <f>'Client Data'!AX132</f>
        <v>0</v>
      </c>
      <c r="AX344" s="35">
        <f>'Client Data'!AY132</f>
        <v>0</v>
      </c>
      <c r="AY344" s="35">
        <f>'Client Data'!AZ132</f>
        <v>0</v>
      </c>
      <c r="AZ344" s="35">
        <f>'Client Data'!BA132</f>
        <v>0</v>
      </c>
      <c r="BA344" s="35">
        <f>'Client Data'!BB132</f>
        <v>0</v>
      </c>
      <c r="BB344" s="35">
        <f>'Client Data'!BC132</f>
        <v>0</v>
      </c>
      <c r="BC344" s="19">
        <f t="shared" si="658"/>
        <v>0</v>
      </c>
    </row>
    <row r="345" spans="2:55" x14ac:dyDescent="0.25">
      <c r="B345" s="19" t="str">
        <f>'Client Data'!C133</f>
        <v>Product F</v>
      </c>
      <c r="C345" s="35">
        <f>'Client Data'!D133</f>
        <v>0</v>
      </c>
      <c r="D345" s="35">
        <f>'Client Data'!E133</f>
        <v>0</v>
      </c>
      <c r="E345" s="35">
        <f>'Client Data'!F133</f>
        <v>0</v>
      </c>
      <c r="F345" s="35">
        <f>'Client Data'!G133</f>
        <v>0</v>
      </c>
      <c r="G345" s="35">
        <f>'Client Data'!H133</f>
        <v>0</v>
      </c>
      <c r="H345" s="35">
        <f>'Client Data'!I133</f>
        <v>0</v>
      </c>
      <c r="I345" s="35">
        <f>'Client Data'!J133</f>
        <v>0</v>
      </c>
      <c r="J345" s="35">
        <f>'Client Data'!K133</f>
        <v>0</v>
      </c>
      <c r="K345" s="35">
        <f>'Client Data'!L133</f>
        <v>0</v>
      </c>
      <c r="L345" s="35">
        <f>'Client Data'!M133</f>
        <v>0</v>
      </c>
      <c r="M345" s="35">
        <f>'Client Data'!N133</f>
        <v>0</v>
      </c>
      <c r="N345" s="35">
        <f>'Client Data'!O133</f>
        <v>0</v>
      </c>
      <c r="O345" s="35">
        <f>'Client Data'!P133</f>
        <v>0</v>
      </c>
      <c r="P345" s="35">
        <f>'Client Data'!Q133</f>
        <v>0</v>
      </c>
      <c r="Q345" s="35">
        <f>'Client Data'!R133</f>
        <v>0</v>
      </c>
      <c r="R345" s="35">
        <f>'Client Data'!S133</f>
        <v>0</v>
      </c>
      <c r="S345" s="35">
        <f>'Client Data'!T133</f>
        <v>0</v>
      </c>
      <c r="T345" s="35">
        <f>'Client Data'!U133</f>
        <v>0</v>
      </c>
      <c r="U345" s="35">
        <f>'Client Data'!V133</f>
        <v>0</v>
      </c>
      <c r="V345" s="35">
        <f>'Client Data'!W133</f>
        <v>0</v>
      </c>
      <c r="W345" s="35">
        <f>'Client Data'!X133</f>
        <v>0</v>
      </c>
      <c r="X345" s="35">
        <f>'Client Data'!Y133</f>
        <v>0</v>
      </c>
      <c r="Y345" s="35">
        <f>'Client Data'!Z133</f>
        <v>0</v>
      </c>
      <c r="Z345" s="35">
        <f>'Client Data'!AA133</f>
        <v>0</v>
      </c>
      <c r="AA345" s="35">
        <f>'Client Data'!AB133</f>
        <v>0</v>
      </c>
      <c r="AB345" s="35">
        <f>'Client Data'!AC133</f>
        <v>0</v>
      </c>
      <c r="AC345" s="35">
        <f>'Client Data'!AD133</f>
        <v>0</v>
      </c>
      <c r="AD345" s="35">
        <f>'Client Data'!AE133</f>
        <v>0</v>
      </c>
      <c r="AE345" s="35">
        <f>'Client Data'!AF133</f>
        <v>0</v>
      </c>
      <c r="AF345" s="35">
        <f>'Client Data'!AG133</f>
        <v>0</v>
      </c>
      <c r="AG345" s="35">
        <f>'Client Data'!AH133</f>
        <v>0</v>
      </c>
      <c r="AH345" s="35">
        <f>'Client Data'!AI133</f>
        <v>0</v>
      </c>
      <c r="AI345" s="35">
        <f>'Client Data'!AJ133</f>
        <v>0</v>
      </c>
      <c r="AJ345" s="35">
        <f>'Client Data'!AK133</f>
        <v>0</v>
      </c>
      <c r="AK345" s="35">
        <f>'Client Data'!AL133</f>
        <v>0</v>
      </c>
      <c r="AL345" s="35">
        <f>'Client Data'!AM133</f>
        <v>0</v>
      </c>
      <c r="AM345" s="35">
        <f>'Client Data'!AN133</f>
        <v>0</v>
      </c>
      <c r="AN345" s="35">
        <f>'Client Data'!AO133</f>
        <v>0</v>
      </c>
      <c r="AO345" s="35">
        <f>'Client Data'!AP133</f>
        <v>0</v>
      </c>
      <c r="AP345" s="35">
        <f>'Client Data'!AQ133</f>
        <v>0</v>
      </c>
      <c r="AQ345" s="35">
        <f>'Client Data'!AR133</f>
        <v>0</v>
      </c>
      <c r="AR345" s="35">
        <f>'Client Data'!AS133</f>
        <v>0</v>
      </c>
      <c r="AS345" s="35">
        <f>'Client Data'!AT133</f>
        <v>0</v>
      </c>
      <c r="AT345" s="35">
        <f>'Client Data'!AU133</f>
        <v>0</v>
      </c>
      <c r="AU345" s="35">
        <f>'Client Data'!AV133</f>
        <v>0</v>
      </c>
      <c r="AV345" s="35">
        <f>'Client Data'!AW133</f>
        <v>0</v>
      </c>
      <c r="AW345" s="35">
        <f>'Client Data'!AX133</f>
        <v>0</v>
      </c>
      <c r="AX345" s="35">
        <f>'Client Data'!AY133</f>
        <v>0</v>
      </c>
      <c r="AY345" s="35">
        <f>'Client Data'!AZ133</f>
        <v>0</v>
      </c>
      <c r="AZ345" s="35">
        <f>'Client Data'!BA133</f>
        <v>0</v>
      </c>
      <c r="BA345" s="35">
        <f>'Client Data'!BB133</f>
        <v>0</v>
      </c>
      <c r="BB345" s="35">
        <f>'Client Data'!BC133</f>
        <v>0</v>
      </c>
      <c r="BC345" s="19">
        <f t="shared" si="658"/>
        <v>0</v>
      </c>
    </row>
    <row r="346" spans="2:55" x14ac:dyDescent="0.25">
      <c r="B346" s="19" t="str">
        <f>'Client Data'!C134</f>
        <v>Product G</v>
      </c>
      <c r="C346" s="35">
        <f>'Client Data'!D134</f>
        <v>0</v>
      </c>
      <c r="D346" s="35">
        <f>'Client Data'!E134</f>
        <v>0</v>
      </c>
      <c r="E346" s="35">
        <f>'Client Data'!F134</f>
        <v>0</v>
      </c>
      <c r="F346" s="35">
        <f>'Client Data'!G134</f>
        <v>0</v>
      </c>
      <c r="G346" s="35">
        <f>'Client Data'!H134</f>
        <v>0</v>
      </c>
      <c r="H346" s="35">
        <f>'Client Data'!I134</f>
        <v>0</v>
      </c>
      <c r="I346" s="35">
        <f>'Client Data'!J134</f>
        <v>0</v>
      </c>
      <c r="J346" s="35">
        <f>'Client Data'!K134</f>
        <v>0</v>
      </c>
      <c r="K346" s="35">
        <f>'Client Data'!L134</f>
        <v>0</v>
      </c>
      <c r="L346" s="35">
        <f>'Client Data'!M134</f>
        <v>0</v>
      </c>
      <c r="M346" s="35">
        <f>'Client Data'!N134</f>
        <v>0</v>
      </c>
      <c r="N346" s="35">
        <f>'Client Data'!O134</f>
        <v>0</v>
      </c>
      <c r="O346" s="35">
        <f>'Client Data'!P134</f>
        <v>0</v>
      </c>
      <c r="P346" s="35">
        <f>'Client Data'!Q134</f>
        <v>0</v>
      </c>
      <c r="Q346" s="35">
        <f>'Client Data'!R134</f>
        <v>0</v>
      </c>
      <c r="R346" s="35">
        <f>'Client Data'!S134</f>
        <v>0</v>
      </c>
      <c r="S346" s="35">
        <f>'Client Data'!T134</f>
        <v>0</v>
      </c>
      <c r="T346" s="35">
        <f>'Client Data'!U134</f>
        <v>0</v>
      </c>
      <c r="U346" s="35">
        <f>'Client Data'!V134</f>
        <v>0</v>
      </c>
      <c r="V346" s="35">
        <f>'Client Data'!W134</f>
        <v>0</v>
      </c>
      <c r="W346" s="35">
        <f>'Client Data'!X134</f>
        <v>0</v>
      </c>
      <c r="X346" s="35">
        <f>'Client Data'!Y134</f>
        <v>0</v>
      </c>
      <c r="Y346" s="35">
        <f>'Client Data'!Z134</f>
        <v>0</v>
      </c>
      <c r="Z346" s="35">
        <f>'Client Data'!AA134</f>
        <v>0</v>
      </c>
      <c r="AA346" s="35">
        <f>'Client Data'!AB134</f>
        <v>0</v>
      </c>
      <c r="AB346" s="35">
        <f>'Client Data'!AC134</f>
        <v>0</v>
      </c>
      <c r="AC346" s="35">
        <f>'Client Data'!AD134</f>
        <v>0</v>
      </c>
      <c r="AD346" s="35">
        <f>'Client Data'!AE134</f>
        <v>0</v>
      </c>
      <c r="AE346" s="35">
        <f>'Client Data'!AF134</f>
        <v>0</v>
      </c>
      <c r="AF346" s="35">
        <f>'Client Data'!AG134</f>
        <v>0</v>
      </c>
      <c r="AG346" s="35">
        <f>'Client Data'!AH134</f>
        <v>0</v>
      </c>
      <c r="AH346" s="35">
        <f>'Client Data'!AI134</f>
        <v>0</v>
      </c>
      <c r="AI346" s="35">
        <f>'Client Data'!AJ134</f>
        <v>0</v>
      </c>
      <c r="AJ346" s="35">
        <f>'Client Data'!AK134</f>
        <v>0</v>
      </c>
      <c r="AK346" s="35">
        <f>'Client Data'!AL134</f>
        <v>0</v>
      </c>
      <c r="AL346" s="35">
        <f>'Client Data'!AM134</f>
        <v>0</v>
      </c>
      <c r="AM346" s="35">
        <f>'Client Data'!AN134</f>
        <v>0</v>
      </c>
      <c r="AN346" s="35">
        <f>'Client Data'!AO134</f>
        <v>0</v>
      </c>
      <c r="AO346" s="35">
        <f>'Client Data'!AP134</f>
        <v>0</v>
      </c>
      <c r="AP346" s="35">
        <f>'Client Data'!AQ134</f>
        <v>0</v>
      </c>
      <c r="AQ346" s="35">
        <f>'Client Data'!AR134</f>
        <v>0</v>
      </c>
      <c r="AR346" s="35">
        <f>'Client Data'!AS134</f>
        <v>0</v>
      </c>
      <c r="AS346" s="35">
        <f>'Client Data'!AT134</f>
        <v>0</v>
      </c>
      <c r="AT346" s="35">
        <f>'Client Data'!AU134</f>
        <v>0</v>
      </c>
      <c r="AU346" s="35">
        <f>'Client Data'!AV134</f>
        <v>0</v>
      </c>
      <c r="AV346" s="35">
        <f>'Client Data'!AW134</f>
        <v>0</v>
      </c>
      <c r="AW346" s="35">
        <f>'Client Data'!AX134</f>
        <v>0</v>
      </c>
      <c r="AX346" s="35">
        <f>'Client Data'!AY134</f>
        <v>0</v>
      </c>
      <c r="AY346" s="35">
        <f>'Client Data'!AZ134</f>
        <v>0</v>
      </c>
      <c r="AZ346" s="35">
        <f>'Client Data'!BA134</f>
        <v>0</v>
      </c>
      <c r="BA346" s="35">
        <f>'Client Data'!BB134</f>
        <v>0</v>
      </c>
      <c r="BB346" s="35">
        <f>'Client Data'!BC134</f>
        <v>0</v>
      </c>
      <c r="BC346" s="19">
        <f t="shared" si="658"/>
        <v>0</v>
      </c>
    </row>
    <row r="347" spans="2:55" x14ac:dyDescent="0.25">
      <c r="B347" s="19" t="str">
        <f>'Client Data'!C135</f>
        <v>Product H</v>
      </c>
      <c r="C347" s="35">
        <f>'Client Data'!D135</f>
        <v>0</v>
      </c>
      <c r="D347" s="35">
        <f>'Client Data'!E135</f>
        <v>0</v>
      </c>
      <c r="E347" s="35">
        <f>'Client Data'!F135</f>
        <v>0</v>
      </c>
      <c r="F347" s="35">
        <f>'Client Data'!G135</f>
        <v>0</v>
      </c>
      <c r="G347" s="35">
        <f>'Client Data'!H135</f>
        <v>0</v>
      </c>
      <c r="H347" s="35">
        <f>'Client Data'!I135</f>
        <v>0</v>
      </c>
      <c r="I347" s="35">
        <f>'Client Data'!J135</f>
        <v>0</v>
      </c>
      <c r="J347" s="35">
        <f>'Client Data'!K135</f>
        <v>0</v>
      </c>
      <c r="K347" s="35">
        <f>'Client Data'!L135</f>
        <v>0</v>
      </c>
      <c r="L347" s="35">
        <f>'Client Data'!M135</f>
        <v>0</v>
      </c>
      <c r="M347" s="35">
        <f>'Client Data'!N135</f>
        <v>0</v>
      </c>
      <c r="N347" s="35">
        <f>'Client Data'!O135</f>
        <v>0</v>
      </c>
      <c r="O347" s="35">
        <f>'Client Data'!P135</f>
        <v>0</v>
      </c>
      <c r="P347" s="35">
        <f>'Client Data'!Q135</f>
        <v>0</v>
      </c>
      <c r="Q347" s="35">
        <f>'Client Data'!R135</f>
        <v>0</v>
      </c>
      <c r="R347" s="35">
        <f>'Client Data'!S135</f>
        <v>0</v>
      </c>
      <c r="S347" s="35">
        <f>'Client Data'!T135</f>
        <v>0</v>
      </c>
      <c r="T347" s="35">
        <f>'Client Data'!U135</f>
        <v>0</v>
      </c>
      <c r="U347" s="35">
        <f>'Client Data'!V135</f>
        <v>0</v>
      </c>
      <c r="V347" s="35">
        <f>'Client Data'!W135</f>
        <v>0</v>
      </c>
      <c r="W347" s="35">
        <f>'Client Data'!X135</f>
        <v>0</v>
      </c>
      <c r="X347" s="35">
        <f>'Client Data'!Y135</f>
        <v>0</v>
      </c>
      <c r="Y347" s="35">
        <f>'Client Data'!Z135</f>
        <v>0</v>
      </c>
      <c r="Z347" s="35">
        <f>'Client Data'!AA135</f>
        <v>0</v>
      </c>
      <c r="AA347" s="35">
        <f>'Client Data'!AB135</f>
        <v>0</v>
      </c>
      <c r="AB347" s="35">
        <f>'Client Data'!AC135</f>
        <v>0</v>
      </c>
      <c r="AC347" s="35">
        <f>'Client Data'!AD135</f>
        <v>0</v>
      </c>
      <c r="AD347" s="35">
        <f>'Client Data'!AE135</f>
        <v>0</v>
      </c>
      <c r="AE347" s="35">
        <f>'Client Data'!AF135</f>
        <v>0</v>
      </c>
      <c r="AF347" s="35">
        <f>'Client Data'!AG135</f>
        <v>0</v>
      </c>
      <c r="AG347" s="35">
        <f>'Client Data'!AH135</f>
        <v>0</v>
      </c>
      <c r="AH347" s="35">
        <f>'Client Data'!AI135</f>
        <v>0</v>
      </c>
      <c r="AI347" s="35">
        <f>'Client Data'!AJ135</f>
        <v>0</v>
      </c>
      <c r="AJ347" s="35">
        <f>'Client Data'!AK135</f>
        <v>0</v>
      </c>
      <c r="AK347" s="35">
        <f>'Client Data'!AL135</f>
        <v>0</v>
      </c>
      <c r="AL347" s="35">
        <f>'Client Data'!AM135</f>
        <v>0</v>
      </c>
      <c r="AM347" s="35">
        <f>'Client Data'!AN135</f>
        <v>0</v>
      </c>
      <c r="AN347" s="35">
        <f>'Client Data'!AO135</f>
        <v>0</v>
      </c>
      <c r="AO347" s="35">
        <f>'Client Data'!AP135</f>
        <v>0</v>
      </c>
      <c r="AP347" s="35">
        <f>'Client Data'!AQ135</f>
        <v>0</v>
      </c>
      <c r="AQ347" s="35">
        <f>'Client Data'!AR135</f>
        <v>0</v>
      </c>
      <c r="AR347" s="35">
        <f>'Client Data'!AS135</f>
        <v>0</v>
      </c>
      <c r="AS347" s="35">
        <f>'Client Data'!AT135</f>
        <v>0</v>
      </c>
      <c r="AT347" s="35">
        <f>'Client Data'!AU135</f>
        <v>0</v>
      </c>
      <c r="AU347" s="35">
        <f>'Client Data'!AV135</f>
        <v>0</v>
      </c>
      <c r="AV347" s="35">
        <f>'Client Data'!AW135</f>
        <v>0</v>
      </c>
      <c r="AW347" s="35">
        <f>'Client Data'!AX135</f>
        <v>0</v>
      </c>
      <c r="AX347" s="35">
        <f>'Client Data'!AY135</f>
        <v>0</v>
      </c>
      <c r="AY347" s="35">
        <f>'Client Data'!AZ135</f>
        <v>0</v>
      </c>
      <c r="AZ347" s="35">
        <f>'Client Data'!BA135</f>
        <v>0</v>
      </c>
      <c r="BA347" s="35">
        <f>'Client Data'!BB135</f>
        <v>0</v>
      </c>
      <c r="BB347" s="35">
        <f>'Client Data'!BC135</f>
        <v>0</v>
      </c>
      <c r="BC347" s="19">
        <f t="shared" si="658"/>
        <v>0</v>
      </c>
    </row>
    <row r="348" spans="2:55" x14ac:dyDescent="0.25">
      <c r="B348" s="19" t="str">
        <f>'Client Data'!B136</f>
        <v>Yield Defect Loss Type D</v>
      </c>
      <c r="C348" s="50">
        <f t="shared" ref="C348:AH348" si="661">IF(C190&gt;0,SUM(C349:C356),0)</f>
        <v>5</v>
      </c>
      <c r="D348" s="50">
        <f t="shared" si="661"/>
        <v>5</v>
      </c>
      <c r="E348" s="50">
        <f t="shared" si="661"/>
        <v>4</v>
      </c>
      <c r="F348" s="50">
        <f t="shared" si="661"/>
        <v>4</v>
      </c>
      <c r="G348" s="50">
        <f t="shared" si="661"/>
        <v>4</v>
      </c>
      <c r="H348" s="50">
        <f t="shared" si="661"/>
        <v>5</v>
      </c>
      <c r="I348" s="50">
        <f t="shared" si="661"/>
        <v>4</v>
      </c>
      <c r="J348" s="50">
        <f t="shared" si="661"/>
        <v>4</v>
      </c>
      <c r="K348" s="50">
        <f t="shared" si="661"/>
        <v>5</v>
      </c>
      <c r="L348" s="50">
        <f t="shared" si="661"/>
        <v>5</v>
      </c>
      <c r="M348" s="50">
        <f t="shared" si="661"/>
        <v>4</v>
      </c>
      <c r="N348" s="50">
        <f t="shared" si="661"/>
        <v>4</v>
      </c>
      <c r="O348" s="50">
        <f t="shared" si="661"/>
        <v>6</v>
      </c>
      <c r="P348" s="50">
        <f t="shared" si="661"/>
        <v>5</v>
      </c>
      <c r="Q348" s="50">
        <f t="shared" si="661"/>
        <v>4</v>
      </c>
      <c r="R348" s="50">
        <f t="shared" si="661"/>
        <v>4</v>
      </c>
      <c r="S348" s="50">
        <f t="shared" si="661"/>
        <v>4</v>
      </c>
      <c r="T348" s="50">
        <f t="shared" si="661"/>
        <v>4</v>
      </c>
      <c r="U348" s="50">
        <f t="shared" si="661"/>
        <v>4</v>
      </c>
      <c r="V348" s="50">
        <f t="shared" si="661"/>
        <v>4</v>
      </c>
      <c r="W348" s="50">
        <f t="shared" si="661"/>
        <v>6</v>
      </c>
      <c r="X348" s="50">
        <f t="shared" si="661"/>
        <v>5</v>
      </c>
      <c r="Y348" s="50">
        <f t="shared" si="661"/>
        <v>4</v>
      </c>
      <c r="Z348" s="50">
        <f t="shared" si="661"/>
        <v>3</v>
      </c>
      <c r="AA348" s="50">
        <f t="shared" si="661"/>
        <v>6</v>
      </c>
      <c r="AB348" s="50">
        <f t="shared" si="661"/>
        <v>5</v>
      </c>
      <c r="AC348" s="50">
        <f t="shared" si="661"/>
        <v>4</v>
      </c>
      <c r="AD348" s="50">
        <f t="shared" si="661"/>
        <v>3</v>
      </c>
      <c r="AE348" s="50">
        <f t="shared" si="661"/>
        <v>4</v>
      </c>
      <c r="AF348" s="50">
        <f t="shared" si="661"/>
        <v>5</v>
      </c>
      <c r="AG348" s="50">
        <f t="shared" si="661"/>
        <v>4</v>
      </c>
      <c r="AH348" s="50">
        <f t="shared" si="661"/>
        <v>4</v>
      </c>
      <c r="AI348" s="50">
        <f t="shared" ref="AI348:BB348" si="662">IF(AI190&gt;0,SUM(AI349:AI356),0)</f>
        <v>4</v>
      </c>
      <c r="AJ348" s="50">
        <f t="shared" si="662"/>
        <v>5</v>
      </c>
      <c r="AK348" s="50">
        <f t="shared" si="662"/>
        <v>4</v>
      </c>
      <c r="AL348" s="50">
        <f t="shared" si="662"/>
        <v>3</v>
      </c>
      <c r="AM348" s="50">
        <f t="shared" si="662"/>
        <v>5</v>
      </c>
      <c r="AN348" s="50">
        <f t="shared" si="662"/>
        <v>5</v>
      </c>
      <c r="AO348" s="50">
        <f t="shared" si="662"/>
        <v>4</v>
      </c>
      <c r="AP348" s="50">
        <f t="shared" si="662"/>
        <v>4</v>
      </c>
      <c r="AQ348" s="50">
        <f t="shared" si="662"/>
        <v>4</v>
      </c>
      <c r="AR348" s="50">
        <f t="shared" si="662"/>
        <v>5</v>
      </c>
      <c r="AS348" s="50">
        <f t="shared" si="662"/>
        <v>4</v>
      </c>
      <c r="AT348" s="50">
        <f t="shared" si="662"/>
        <v>4</v>
      </c>
      <c r="AU348" s="50">
        <f t="shared" si="662"/>
        <v>6</v>
      </c>
      <c r="AV348" s="50">
        <f t="shared" si="662"/>
        <v>4</v>
      </c>
      <c r="AW348" s="50">
        <f t="shared" si="662"/>
        <v>4</v>
      </c>
      <c r="AX348" s="50">
        <f t="shared" si="662"/>
        <v>4</v>
      </c>
      <c r="AY348" s="50">
        <f t="shared" si="662"/>
        <v>6</v>
      </c>
      <c r="AZ348" s="50">
        <f t="shared" si="662"/>
        <v>5</v>
      </c>
      <c r="BA348" s="50">
        <f t="shared" si="662"/>
        <v>4</v>
      </c>
      <c r="BB348" s="50">
        <f t="shared" si="662"/>
        <v>3</v>
      </c>
      <c r="BC348" s="19">
        <f t="shared" si="658"/>
        <v>228</v>
      </c>
    </row>
    <row r="349" spans="2:55" x14ac:dyDescent="0.25">
      <c r="B349" s="19" t="str">
        <f>'Client Data'!C137</f>
        <v>Product A</v>
      </c>
      <c r="C349" s="35">
        <f>'Client Data'!D137</f>
        <v>0</v>
      </c>
      <c r="D349" s="35">
        <f>'Client Data'!E137</f>
        <v>0</v>
      </c>
      <c r="E349" s="35">
        <f>'Client Data'!F137</f>
        <v>0</v>
      </c>
      <c r="F349" s="35">
        <f>'Client Data'!G137</f>
        <v>0</v>
      </c>
      <c r="G349" s="35">
        <f>'Client Data'!H137</f>
        <v>0</v>
      </c>
      <c r="H349" s="35">
        <f>'Client Data'!I137</f>
        <v>0</v>
      </c>
      <c r="I349" s="35">
        <f>'Client Data'!J137</f>
        <v>0</v>
      </c>
      <c r="J349" s="35">
        <f>'Client Data'!K137</f>
        <v>0</v>
      </c>
      <c r="K349" s="35">
        <f>'Client Data'!L137</f>
        <v>0</v>
      </c>
      <c r="L349" s="35">
        <f>'Client Data'!M137</f>
        <v>0</v>
      </c>
      <c r="M349" s="35">
        <f>'Client Data'!N137</f>
        <v>0</v>
      </c>
      <c r="N349" s="35">
        <f>'Client Data'!O137</f>
        <v>0</v>
      </c>
      <c r="O349" s="35">
        <f>'Client Data'!P137</f>
        <v>0</v>
      </c>
      <c r="P349" s="35">
        <f>'Client Data'!Q137</f>
        <v>0</v>
      </c>
      <c r="Q349" s="35">
        <f>'Client Data'!R137</f>
        <v>0</v>
      </c>
      <c r="R349" s="35">
        <f>'Client Data'!S137</f>
        <v>0</v>
      </c>
      <c r="S349" s="35">
        <f>'Client Data'!T137</f>
        <v>0</v>
      </c>
      <c r="T349" s="35">
        <f>'Client Data'!U137</f>
        <v>0</v>
      </c>
      <c r="U349" s="35">
        <f>'Client Data'!V137</f>
        <v>0</v>
      </c>
      <c r="V349" s="35">
        <f>'Client Data'!W137</f>
        <v>0</v>
      </c>
      <c r="W349" s="35">
        <f>'Client Data'!X137</f>
        <v>0</v>
      </c>
      <c r="X349" s="35">
        <f>'Client Data'!Y137</f>
        <v>0</v>
      </c>
      <c r="Y349" s="35">
        <f>'Client Data'!Z137</f>
        <v>0</v>
      </c>
      <c r="Z349" s="35">
        <f>'Client Data'!AA137</f>
        <v>0</v>
      </c>
      <c r="AA349" s="35">
        <f>'Client Data'!AB137</f>
        <v>0</v>
      </c>
      <c r="AB349" s="35">
        <f>'Client Data'!AC137</f>
        <v>0</v>
      </c>
      <c r="AC349" s="35">
        <f>'Client Data'!AD137</f>
        <v>0</v>
      </c>
      <c r="AD349" s="35">
        <f>'Client Data'!AE137</f>
        <v>0</v>
      </c>
      <c r="AE349" s="35">
        <f>'Client Data'!AF137</f>
        <v>0</v>
      </c>
      <c r="AF349" s="35">
        <f>'Client Data'!AG137</f>
        <v>0</v>
      </c>
      <c r="AG349" s="35">
        <f>'Client Data'!AH137</f>
        <v>0</v>
      </c>
      <c r="AH349" s="35">
        <f>'Client Data'!AI137</f>
        <v>0</v>
      </c>
      <c r="AI349" s="35">
        <f>'Client Data'!AJ137</f>
        <v>0</v>
      </c>
      <c r="AJ349" s="35">
        <f>'Client Data'!AK137</f>
        <v>0</v>
      </c>
      <c r="AK349" s="35">
        <f>'Client Data'!AL137</f>
        <v>0</v>
      </c>
      <c r="AL349" s="35">
        <f>'Client Data'!AM137</f>
        <v>0</v>
      </c>
      <c r="AM349" s="35">
        <f>'Client Data'!AN137</f>
        <v>0</v>
      </c>
      <c r="AN349" s="35">
        <f>'Client Data'!AO137</f>
        <v>0</v>
      </c>
      <c r="AO349" s="35">
        <f>'Client Data'!AP137</f>
        <v>0</v>
      </c>
      <c r="AP349" s="35">
        <f>'Client Data'!AQ137</f>
        <v>0</v>
      </c>
      <c r="AQ349" s="35">
        <f>'Client Data'!AR137</f>
        <v>0</v>
      </c>
      <c r="AR349" s="35">
        <f>'Client Data'!AS137</f>
        <v>0</v>
      </c>
      <c r="AS349" s="35">
        <f>'Client Data'!AT137</f>
        <v>0</v>
      </c>
      <c r="AT349" s="35">
        <f>'Client Data'!AU137</f>
        <v>0</v>
      </c>
      <c r="AU349" s="35">
        <f>'Client Data'!AV137</f>
        <v>0</v>
      </c>
      <c r="AV349" s="35">
        <f>'Client Data'!AW137</f>
        <v>0</v>
      </c>
      <c r="AW349" s="35">
        <f>'Client Data'!AX137</f>
        <v>0</v>
      </c>
      <c r="AX349" s="35">
        <f>'Client Data'!AY137</f>
        <v>0</v>
      </c>
      <c r="AY349" s="35">
        <f>'Client Data'!AZ137</f>
        <v>0</v>
      </c>
      <c r="AZ349" s="35">
        <f>'Client Data'!BA137</f>
        <v>0</v>
      </c>
      <c r="BA349" s="35">
        <f>'Client Data'!BB137</f>
        <v>0</v>
      </c>
      <c r="BB349" s="35">
        <f>'Client Data'!BC137</f>
        <v>0</v>
      </c>
      <c r="BC349" s="19">
        <f t="shared" si="658"/>
        <v>0</v>
      </c>
    </row>
    <row r="350" spans="2:55" x14ac:dyDescent="0.25">
      <c r="B350" s="19" t="str">
        <f>'Client Data'!C138</f>
        <v>Product B</v>
      </c>
      <c r="C350" s="35">
        <f>'Client Data'!D138</f>
        <v>0</v>
      </c>
      <c r="D350" s="35">
        <f>'Client Data'!E138</f>
        <v>0</v>
      </c>
      <c r="E350" s="35">
        <f>'Client Data'!F138</f>
        <v>0</v>
      </c>
      <c r="F350" s="35">
        <f>'Client Data'!G138</f>
        <v>0</v>
      </c>
      <c r="G350" s="35">
        <f>'Client Data'!H138</f>
        <v>0</v>
      </c>
      <c r="H350" s="35">
        <f>'Client Data'!I138</f>
        <v>0</v>
      </c>
      <c r="I350" s="35">
        <f>'Client Data'!J138</f>
        <v>0</v>
      </c>
      <c r="J350" s="35">
        <f>'Client Data'!K138</f>
        <v>0</v>
      </c>
      <c r="K350" s="35">
        <f>'Client Data'!L138</f>
        <v>0</v>
      </c>
      <c r="L350" s="35">
        <f>'Client Data'!M138</f>
        <v>0</v>
      </c>
      <c r="M350" s="35">
        <f>'Client Data'!N138</f>
        <v>0</v>
      </c>
      <c r="N350" s="35">
        <f>'Client Data'!O138</f>
        <v>0</v>
      </c>
      <c r="O350" s="35">
        <f>'Client Data'!P138</f>
        <v>0</v>
      </c>
      <c r="P350" s="35">
        <f>'Client Data'!Q138</f>
        <v>0</v>
      </c>
      <c r="Q350" s="35">
        <f>'Client Data'!R138</f>
        <v>0</v>
      </c>
      <c r="R350" s="35">
        <f>'Client Data'!S138</f>
        <v>0</v>
      </c>
      <c r="S350" s="35">
        <f>'Client Data'!T138</f>
        <v>0</v>
      </c>
      <c r="T350" s="35">
        <f>'Client Data'!U138</f>
        <v>0</v>
      </c>
      <c r="U350" s="35">
        <f>'Client Data'!V138</f>
        <v>0</v>
      </c>
      <c r="V350" s="35">
        <f>'Client Data'!W138</f>
        <v>0</v>
      </c>
      <c r="W350" s="35">
        <f>'Client Data'!X138</f>
        <v>0</v>
      </c>
      <c r="X350" s="35">
        <f>'Client Data'!Y138</f>
        <v>0</v>
      </c>
      <c r="Y350" s="35">
        <f>'Client Data'!Z138</f>
        <v>0</v>
      </c>
      <c r="Z350" s="35">
        <f>'Client Data'!AA138</f>
        <v>0</v>
      </c>
      <c r="AA350" s="35">
        <f>'Client Data'!AB138</f>
        <v>0</v>
      </c>
      <c r="AB350" s="35">
        <f>'Client Data'!AC138</f>
        <v>0</v>
      </c>
      <c r="AC350" s="35">
        <f>'Client Data'!AD138</f>
        <v>0</v>
      </c>
      <c r="AD350" s="35">
        <f>'Client Data'!AE138</f>
        <v>0</v>
      </c>
      <c r="AE350" s="35">
        <f>'Client Data'!AF138</f>
        <v>0</v>
      </c>
      <c r="AF350" s="35">
        <f>'Client Data'!AG138</f>
        <v>0</v>
      </c>
      <c r="AG350" s="35">
        <f>'Client Data'!AH138</f>
        <v>0</v>
      </c>
      <c r="AH350" s="35">
        <f>'Client Data'!AI138</f>
        <v>0</v>
      </c>
      <c r="AI350" s="35">
        <f>'Client Data'!AJ138</f>
        <v>0</v>
      </c>
      <c r="AJ350" s="35">
        <f>'Client Data'!AK138</f>
        <v>0</v>
      </c>
      <c r="AK350" s="35">
        <f>'Client Data'!AL138</f>
        <v>0</v>
      </c>
      <c r="AL350" s="35">
        <f>'Client Data'!AM138</f>
        <v>0</v>
      </c>
      <c r="AM350" s="35">
        <f>'Client Data'!AN138</f>
        <v>0</v>
      </c>
      <c r="AN350" s="35">
        <f>'Client Data'!AO138</f>
        <v>0</v>
      </c>
      <c r="AO350" s="35">
        <f>'Client Data'!AP138</f>
        <v>0</v>
      </c>
      <c r="AP350" s="35">
        <f>'Client Data'!AQ138</f>
        <v>0</v>
      </c>
      <c r="AQ350" s="35">
        <f>'Client Data'!AR138</f>
        <v>0</v>
      </c>
      <c r="AR350" s="35">
        <f>'Client Data'!AS138</f>
        <v>0</v>
      </c>
      <c r="AS350" s="35">
        <f>'Client Data'!AT138</f>
        <v>0</v>
      </c>
      <c r="AT350" s="35">
        <f>'Client Data'!AU138</f>
        <v>0</v>
      </c>
      <c r="AU350" s="35">
        <f>'Client Data'!AV138</f>
        <v>0</v>
      </c>
      <c r="AV350" s="35">
        <f>'Client Data'!AW138</f>
        <v>0</v>
      </c>
      <c r="AW350" s="35">
        <f>'Client Data'!AX138</f>
        <v>0</v>
      </c>
      <c r="AX350" s="35">
        <f>'Client Data'!AY138</f>
        <v>0</v>
      </c>
      <c r="AY350" s="35">
        <f>'Client Data'!AZ138</f>
        <v>0</v>
      </c>
      <c r="AZ350" s="35">
        <f>'Client Data'!BA138</f>
        <v>0</v>
      </c>
      <c r="BA350" s="35">
        <f>'Client Data'!BB138</f>
        <v>0</v>
      </c>
      <c r="BB350" s="35">
        <f>'Client Data'!BC138</f>
        <v>0</v>
      </c>
      <c r="BC350" s="19">
        <f t="shared" si="658"/>
        <v>0</v>
      </c>
    </row>
    <row r="351" spans="2:55" x14ac:dyDescent="0.25">
      <c r="B351" s="19" t="str">
        <f>'Client Data'!C139</f>
        <v>Product C</v>
      </c>
      <c r="C351" s="35">
        <f>'Client Data'!D139</f>
        <v>0</v>
      </c>
      <c r="D351" s="35">
        <f>'Client Data'!E139</f>
        <v>0</v>
      </c>
      <c r="E351" s="35">
        <f>'Client Data'!F139</f>
        <v>0</v>
      </c>
      <c r="F351" s="35">
        <f>'Client Data'!G139</f>
        <v>0</v>
      </c>
      <c r="G351" s="35">
        <f>'Client Data'!H139</f>
        <v>0</v>
      </c>
      <c r="H351" s="35">
        <f>'Client Data'!I139</f>
        <v>0</v>
      </c>
      <c r="I351" s="35">
        <f>'Client Data'!J139</f>
        <v>0</v>
      </c>
      <c r="J351" s="35">
        <f>'Client Data'!K139</f>
        <v>0</v>
      </c>
      <c r="K351" s="35">
        <f>'Client Data'!L139</f>
        <v>0</v>
      </c>
      <c r="L351" s="35">
        <f>'Client Data'!M139</f>
        <v>0</v>
      </c>
      <c r="M351" s="35">
        <f>'Client Data'!N139</f>
        <v>0</v>
      </c>
      <c r="N351" s="35">
        <f>'Client Data'!O139</f>
        <v>0</v>
      </c>
      <c r="O351" s="35">
        <f>'Client Data'!P139</f>
        <v>0</v>
      </c>
      <c r="P351" s="35">
        <f>'Client Data'!Q139</f>
        <v>0</v>
      </c>
      <c r="Q351" s="35">
        <f>'Client Data'!R139</f>
        <v>0</v>
      </c>
      <c r="R351" s="35">
        <f>'Client Data'!S139</f>
        <v>0</v>
      </c>
      <c r="S351" s="35">
        <f>'Client Data'!T139</f>
        <v>0</v>
      </c>
      <c r="T351" s="35">
        <f>'Client Data'!U139</f>
        <v>0</v>
      </c>
      <c r="U351" s="35">
        <f>'Client Data'!V139</f>
        <v>0</v>
      </c>
      <c r="V351" s="35">
        <f>'Client Data'!W139</f>
        <v>0</v>
      </c>
      <c r="W351" s="35">
        <f>'Client Data'!X139</f>
        <v>0</v>
      </c>
      <c r="X351" s="35">
        <f>'Client Data'!Y139</f>
        <v>0</v>
      </c>
      <c r="Y351" s="35">
        <f>'Client Data'!Z139</f>
        <v>0</v>
      </c>
      <c r="Z351" s="35">
        <f>'Client Data'!AA139</f>
        <v>0</v>
      </c>
      <c r="AA351" s="35">
        <f>'Client Data'!AB139</f>
        <v>0</v>
      </c>
      <c r="AB351" s="35">
        <f>'Client Data'!AC139</f>
        <v>0</v>
      </c>
      <c r="AC351" s="35">
        <f>'Client Data'!AD139</f>
        <v>0</v>
      </c>
      <c r="AD351" s="35">
        <f>'Client Data'!AE139</f>
        <v>0</v>
      </c>
      <c r="AE351" s="35">
        <f>'Client Data'!AF139</f>
        <v>0</v>
      </c>
      <c r="AF351" s="35">
        <f>'Client Data'!AG139</f>
        <v>0</v>
      </c>
      <c r="AG351" s="35">
        <f>'Client Data'!AH139</f>
        <v>0</v>
      </c>
      <c r="AH351" s="35">
        <f>'Client Data'!AI139</f>
        <v>0</v>
      </c>
      <c r="AI351" s="35">
        <f>'Client Data'!AJ139</f>
        <v>0</v>
      </c>
      <c r="AJ351" s="35">
        <f>'Client Data'!AK139</f>
        <v>0</v>
      </c>
      <c r="AK351" s="35">
        <f>'Client Data'!AL139</f>
        <v>0</v>
      </c>
      <c r="AL351" s="35">
        <f>'Client Data'!AM139</f>
        <v>0</v>
      </c>
      <c r="AM351" s="35">
        <f>'Client Data'!AN139</f>
        <v>0</v>
      </c>
      <c r="AN351" s="35">
        <f>'Client Data'!AO139</f>
        <v>0</v>
      </c>
      <c r="AO351" s="35">
        <f>'Client Data'!AP139</f>
        <v>0</v>
      </c>
      <c r="AP351" s="35">
        <f>'Client Data'!AQ139</f>
        <v>0</v>
      </c>
      <c r="AQ351" s="35">
        <f>'Client Data'!AR139</f>
        <v>0</v>
      </c>
      <c r="AR351" s="35">
        <f>'Client Data'!AS139</f>
        <v>0</v>
      </c>
      <c r="AS351" s="35">
        <f>'Client Data'!AT139</f>
        <v>0</v>
      </c>
      <c r="AT351" s="35">
        <f>'Client Data'!AU139</f>
        <v>0</v>
      </c>
      <c r="AU351" s="35">
        <f>'Client Data'!AV139</f>
        <v>0</v>
      </c>
      <c r="AV351" s="35">
        <f>'Client Data'!AW139</f>
        <v>0</v>
      </c>
      <c r="AW351" s="35">
        <f>'Client Data'!AX139</f>
        <v>0</v>
      </c>
      <c r="AX351" s="35">
        <f>'Client Data'!AY139</f>
        <v>0</v>
      </c>
      <c r="AY351" s="35">
        <f>'Client Data'!AZ139</f>
        <v>0</v>
      </c>
      <c r="AZ351" s="35">
        <f>'Client Data'!BA139</f>
        <v>0</v>
      </c>
      <c r="BA351" s="35">
        <f>'Client Data'!BB139</f>
        <v>0</v>
      </c>
      <c r="BB351" s="35">
        <f>'Client Data'!BC139</f>
        <v>0</v>
      </c>
      <c r="BC351" s="19">
        <f t="shared" si="658"/>
        <v>0</v>
      </c>
    </row>
    <row r="352" spans="2:55" x14ac:dyDescent="0.25">
      <c r="B352" s="19" t="str">
        <f>'Client Data'!C140</f>
        <v>Product D</v>
      </c>
      <c r="C352" s="35">
        <f>'Client Data'!D140</f>
        <v>5</v>
      </c>
      <c r="D352" s="35">
        <f>'Client Data'!E140</f>
        <v>5</v>
      </c>
      <c r="E352" s="35">
        <f>'Client Data'!F140</f>
        <v>4</v>
      </c>
      <c r="F352" s="35">
        <f>'Client Data'!G140</f>
        <v>4</v>
      </c>
      <c r="G352" s="35">
        <f>'Client Data'!H140</f>
        <v>4</v>
      </c>
      <c r="H352" s="35">
        <f>'Client Data'!I140</f>
        <v>5</v>
      </c>
      <c r="I352" s="35">
        <f>'Client Data'!J140</f>
        <v>4</v>
      </c>
      <c r="J352" s="35">
        <f>'Client Data'!K140</f>
        <v>4</v>
      </c>
      <c r="K352" s="35">
        <f>'Client Data'!L140</f>
        <v>5</v>
      </c>
      <c r="L352" s="35">
        <f>'Client Data'!M140</f>
        <v>5</v>
      </c>
      <c r="M352" s="35">
        <f>'Client Data'!N140</f>
        <v>4</v>
      </c>
      <c r="N352" s="35">
        <f>'Client Data'!O140</f>
        <v>4</v>
      </c>
      <c r="O352" s="35">
        <f>'Client Data'!P140</f>
        <v>6</v>
      </c>
      <c r="P352" s="35">
        <f>'Client Data'!Q140</f>
        <v>5</v>
      </c>
      <c r="Q352" s="35">
        <f>'Client Data'!R140</f>
        <v>4</v>
      </c>
      <c r="R352" s="35">
        <f>'Client Data'!S140</f>
        <v>4</v>
      </c>
      <c r="S352" s="35">
        <f>'Client Data'!T140</f>
        <v>4</v>
      </c>
      <c r="T352" s="35">
        <f>'Client Data'!U140</f>
        <v>4</v>
      </c>
      <c r="U352" s="35">
        <f>'Client Data'!V140</f>
        <v>4</v>
      </c>
      <c r="V352" s="35">
        <f>'Client Data'!W140</f>
        <v>4</v>
      </c>
      <c r="W352" s="35">
        <f>'Client Data'!X140</f>
        <v>6</v>
      </c>
      <c r="X352" s="35">
        <f>'Client Data'!Y140</f>
        <v>5</v>
      </c>
      <c r="Y352" s="35">
        <f>'Client Data'!Z140</f>
        <v>4</v>
      </c>
      <c r="Z352" s="35">
        <f>'Client Data'!AA140</f>
        <v>3</v>
      </c>
      <c r="AA352" s="35">
        <f>'Client Data'!AB140</f>
        <v>6</v>
      </c>
      <c r="AB352" s="35">
        <f>'Client Data'!AC140</f>
        <v>5</v>
      </c>
      <c r="AC352" s="35">
        <f>'Client Data'!AD140</f>
        <v>4</v>
      </c>
      <c r="AD352" s="35">
        <f>'Client Data'!AE140</f>
        <v>3</v>
      </c>
      <c r="AE352" s="35">
        <f>'Client Data'!AF140</f>
        <v>4</v>
      </c>
      <c r="AF352" s="35">
        <f>'Client Data'!AG140</f>
        <v>5</v>
      </c>
      <c r="AG352" s="35">
        <f>'Client Data'!AH140</f>
        <v>4</v>
      </c>
      <c r="AH352" s="35">
        <f>'Client Data'!AI140</f>
        <v>4</v>
      </c>
      <c r="AI352" s="35">
        <f>'Client Data'!AJ140</f>
        <v>4</v>
      </c>
      <c r="AJ352" s="35">
        <f>'Client Data'!AK140</f>
        <v>5</v>
      </c>
      <c r="AK352" s="35">
        <f>'Client Data'!AL140</f>
        <v>4</v>
      </c>
      <c r="AL352" s="35">
        <f>'Client Data'!AM140</f>
        <v>3</v>
      </c>
      <c r="AM352" s="35">
        <f>'Client Data'!AN140</f>
        <v>5</v>
      </c>
      <c r="AN352" s="35">
        <f>'Client Data'!AO140</f>
        <v>5</v>
      </c>
      <c r="AO352" s="35">
        <f>'Client Data'!AP140</f>
        <v>4</v>
      </c>
      <c r="AP352" s="35">
        <f>'Client Data'!AQ140</f>
        <v>4</v>
      </c>
      <c r="AQ352" s="35">
        <f>'Client Data'!AR140</f>
        <v>4</v>
      </c>
      <c r="AR352" s="35">
        <f>'Client Data'!AS140</f>
        <v>5</v>
      </c>
      <c r="AS352" s="35">
        <f>'Client Data'!AT140</f>
        <v>4</v>
      </c>
      <c r="AT352" s="35">
        <f>'Client Data'!AU140</f>
        <v>4</v>
      </c>
      <c r="AU352" s="35">
        <f>'Client Data'!AV140</f>
        <v>6</v>
      </c>
      <c r="AV352" s="35">
        <f>'Client Data'!AW140</f>
        <v>4</v>
      </c>
      <c r="AW352" s="35">
        <f>'Client Data'!AX140</f>
        <v>4</v>
      </c>
      <c r="AX352" s="35">
        <f>'Client Data'!AY140</f>
        <v>4</v>
      </c>
      <c r="AY352" s="35">
        <f>'Client Data'!AZ140</f>
        <v>6</v>
      </c>
      <c r="AZ352" s="35">
        <f>'Client Data'!BA140</f>
        <v>5</v>
      </c>
      <c r="BA352" s="35">
        <f>'Client Data'!BB140</f>
        <v>4</v>
      </c>
      <c r="BB352" s="35">
        <f>'Client Data'!BC140</f>
        <v>3</v>
      </c>
      <c r="BC352" s="19">
        <f t="shared" si="658"/>
        <v>228</v>
      </c>
    </row>
    <row r="353" spans="2:55" x14ac:dyDescent="0.25">
      <c r="B353" s="19" t="str">
        <f>'Client Data'!C141</f>
        <v>Product E</v>
      </c>
      <c r="C353" s="35">
        <f>'Client Data'!D141</f>
        <v>0</v>
      </c>
      <c r="D353" s="35">
        <f>'Client Data'!E141</f>
        <v>0</v>
      </c>
      <c r="E353" s="35">
        <f>'Client Data'!F141</f>
        <v>0</v>
      </c>
      <c r="F353" s="35">
        <f>'Client Data'!G141</f>
        <v>0</v>
      </c>
      <c r="G353" s="35">
        <f>'Client Data'!H141</f>
        <v>0</v>
      </c>
      <c r="H353" s="35">
        <f>'Client Data'!I141</f>
        <v>0</v>
      </c>
      <c r="I353" s="35">
        <f>'Client Data'!J141</f>
        <v>0</v>
      </c>
      <c r="J353" s="35">
        <f>'Client Data'!K141</f>
        <v>0</v>
      </c>
      <c r="K353" s="35">
        <f>'Client Data'!L141</f>
        <v>0</v>
      </c>
      <c r="L353" s="35">
        <f>'Client Data'!M141</f>
        <v>0</v>
      </c>
      <c r="M353" s="35">
        <f>'Client Data'!N141</f>
        <v>0</v>
      </c>
      <c r="N353" s="35">
        <f>'Client Data'!O141</f>
        <v>0</v>
      </c>
      <c r="O353" s="35">
        <f>'Client Data'!P141</f>
        <v>0</v>
      </c>
      <c r="P353" s="35">
        <f>'Client Data'!Q141</f>
        <v>0</v>
      </c>
      <c r="Q353" s="35">
        <f>'Client Data'!R141</f>
        <v>0</v>
      </c>
      <c r="R353" s="35">
        <f>'Client Data'!S141</f>
        <v>0</v>
      </c>
      <c r="S353" s="35">
        <f>'Client Data'!T141</f>
        <v>0</v>
      </c>
      <c r="T353" s="35">
        <f>'Client Data'!U141</f>
        <v>0</v>
      </c>
      <c r="U353" s="35">
        <f>'Client Data'!V141</f>
        <v>0</v>
      </c>
      <c r="V353" s="35">
        <f>'Client Data'!W141</f>
        <v>0</v>
      </c>
      <c r="W353" s="35">
        <f>'Client Data'!X141</f>
        <v>0</v>
      </c>
      <c r="X353" s="35">
        <f>'Client Data'!Y141</f>
        <v>0</v>
      </c>
      <c r="Y353" s="35">
        <f>'Client Data'!Z141</f>
        <v>0</v>
      </c>
      <c r="Z353" s="35">
        <f>'Client Data'!AA141</f>
        <v>0</v>
      </c>
      <c r="AA353" s="35">
        <f>'Client Data'!AB141</f>
        <v>0</v>
      </c>
      <c r="AB353" s="35">
        <f>'Client Data'!AC141</f>
        <v>0</v>
      </c>
      <c r="AC353" s="35">
        <f>'Client Data'!AD141</f>
        <v>0</v>
      </c>
      <c r="AD353" s="35">
        <f>'Client Data'!AE141</f>
        <v>0</v>
      </c>
      <c r="AE353" s="35">
        <f>'Client Data'!AF141</f>
        <v>0</v>
      </c>
      <c r="AF353" s="35">
        <f>'Client Data'!AG141</f>
        <v>0</v>
      </c>
      <c r="AG353" s="35">
        <f>'Client Data'!AH141</f>
        <v>0</v>
      </c>
      <c r="AH353" s="35">
        <f>'Client Data'!AI141</f>
        <v>0</v>
      </c>
      <c r="AI353" s="35">
        <f>'Client Data'!AJ141</f>
        <v>0</v>
      </c>
      <c r="AJ353" s="35">
        <f>'Client Data'!AK141</f>
        <v>0</v>
      </c>
      <c r="AK353" s="35">
        <f>'Client Data'!AL141</f>
        <v>0</v>
      </c>
      <c r="AL353" s="35">
        <f>'Client Data'!AM141</f>
        <v>0</v>
      </c>
      <c r="AM353" s="35">
        <f>'Client Data'!AN141</f>
        <v>0</v>
      </c>
      <c r="AN353" s="35">
        <f>'Client Data'!AO141</f>
        <v>0</v>
      </c>
      <c r="AO353" s="35">
        <f>'Client Data'!AP141</f>
        <v>0</v>
      </c>
      <c r="AP353" s="35">
        <f>'Client Data'!AQ141</f>
        <v>0</v>
      </c>
      <c r="AQ353" s="35">
        <f>'Client Data'!AR141</f>
        <v>0</v>
      </c>
      <c r="AR353" s="35">
        <f>'Client Data'!AS141</f>
        <v>0</v>
      </c>
      <c r="AS353" s="35">
        <f>'Client Data'!AT141</f>
        <v>0</v>
      </c>
      <c r="AT353" s="35">
        <f>'Client Data'!AU141</f>
        <v>0</v>
      </c>
      <c r="AU353" s="35">
        <f>'Client Data'!AV141</f>
        <v>0</v>
      </c>
      <c r="AV353" s="35">
        <f>'Client Data'!AW141</f>
        <v>0</v>
      </c>
      <c r="AW353" s="35">
        <f>'Client Data'!AX141</f>
        <v>0</v>
      </c>
      <c r="AX353" s="35">
        <f>'Client Data'!AY141</f>
        <v>0</v>
      </c>
      <c r="AY353" s="35">
        <f>'Client Data'!AZ141</f>
        <v>0</v>
      </c>
      <c r="AZ353" s="35">
        <f>'Client Data'!BA141</f>
        <v>0</v>
      </c>
      <c r="BA353" s="35">
        <f>'Client Data'!BB141</f>
        <v>0</v>
      </c>
      <c r="BB353" s="35">
        <f>'Client Data'!BC141</f>
        <v>0</v>
      </c>
      <c r="BC353" s="19">
        <f t="shared" si="658"/>
        <v>0</v>
      </c>
    </row>
    <row r="354" spans="2:55" x14ac:dyDescent="0.25">
      <c r="B354" s="19" t="str">
        <f>'Client Data'!C142</f>
        <v>Product F</v>
      </c>
      <c r="C354" s="35">
        <f>'Client Data'!D142</f>
        <v>0</v>
      </c>
      <c r="D354" s="35">
        <f>'Client Data'!E142</f>
        <v>0</v>
      </c>
      <c r="E354" s="35">
        <f>'Client Data'!F142</f>
        <v>0</v>
      </c>
      <c r="F354" s="35">
        <f>'Client Data'!G142</f>
        <v>0</v>
      </c>
      <c r="G354" s="35">
        <f>'Client Data'!H142</f>
        <v>0</v>
      </c>
      <c r="H354" s="35">
        <f>'Client Data'!I142</f>
        <v>0</v>
      </c>
      <c r="I354" s="35">
        <f>'Client Data'!J142</f>
        <v>0</v>
      </c>
      <c r="J354" s="35">
        <f>'Client Data'!K142</f>
        <v>0</v>
      </c>
      <c r="K354" s="35">
        <f>'Client Data'!L142</f>
        <v>0</v>
      </c>
      <c r="L354" s="35">
        <f>'Client Data'!M142</f>
        <v>0</v>
      </c>
      <c r="M354" s="35">
        <f>'Client Data'!N142</f>
        <v>0</v>
      </c>
      <c r="N354" s="35">
        <f>'Client Data'!O142</f>
        <v>0</v>
      </c>
      <c r="O354" s="35">
        <f>'Client Data'!P142</f>
        <v>0</v>
      </c>
      <c r="P354" s="35">
        <f>'Client Data'!Q142</f>
        <v>0</v>
      </c>
      <c r="Q354" s="35">
        <f>'Client Data'!R142</f>
        <v>0</v>
      </c>
      <c r="R354" s="35">
        <f>'Client Data'!S142</f>
        <v>0</v>
      </c>
      <c r="S354" s="35">
        <f>'Client Data'!T142</f>
        <v>0</v>
      </c>
      <c r="T354" s="35">
        <f>'Client Data'!U142</f>
        <v>0</v>
      </c>
      <c r="U354" s="35">
        <f>'Client Data'!V142</f>
        <v>0</v>
      </c>
      <c r="V354" s="35">
        <f>'Client Data'!W142</f>
        <v>0</v>
      </c>
      <c r="W354" s="35">
        <f>'Client Data'!X142</f>
        <v>0</v>
      </c>
      <c r="X354" s="35">
        <f>'Client Data'!Y142</f>
        <v>0</v>
      </c>
      <c r="Y354" s="35">
        <f>'Client Data'!Z142</f>
        <v>0</v>
      </c>
      <c r="Z354" s="35">
        <f>'Client Data'!AA142</f>
        <v>0</v>
      </c>
      <c r="AA354" s="35">
        <f>'Client Data'!AB142</f>
        <v>0</v>
      </c>
      <c r="AB354" s="35">
        <f>'Client Data'!AC142</f>
        <v>0</v>
      </c>
      <c r="AC354" s="35">
        <f>'Client Data'!AD142</f>
        <v>0</v>
      </c>
      <c r="AD354" s="35">
        <f>'Client Data'!AE142</f>
        <v>0</v>
      </c>
      <c r="AE354" s="35">
        <f>'Client Data'!AF142</f>
        <v>0</v>
      </c>
      <c r="AF354" s="35">
        <f>'Client Data'!AG142</f>
        <v>0</v>
      </c>
      <c r="AG354" s="35">
        <f>'Client Data'!AH142</f>
        <v>0</v>
      </c>
      <c r="AH354" s="35">
        <f>'Client Data'!AI142</f>
        <v>0</v>
      </c>
      <c r="AI354" s="35">
        <f>'Client Data'!AJ142</f>
        <v>0</v>
      </c>
      <c r="AJ354" s="35">
        <f>'Client Data'!AK142</f>
        <v>0</v>
      </c>
      <c r="AK354" s="35">
        <f>'Client Data'!AL142</f>
        <v>0</v>
      </c>
      <c r="AL354" s="35">
        <f>'Client Data'!AM142</f>
        <v>0</v>
      </c>
      <c r="AM354" s="35">
        <f>'Client Data'!AN142</f>
        <v>0</v>
      </c>
      <c r="AN354" s="35">
        <f>'Client Data'!AO142</f>
        <v>0</v>
      </c>
      <c r="AO354" s="35">
        <f>'Client Data'!AP142</f>
        <v>0</v>
      </c>
      <c r="AP354" s="35">
        <f>'Client Data'!AQ142</f>
        <v>0</v>
      </c>
      <c r="AQ354" s="35">
        <f>'Client Data'!AR142</f>
        <v>0</v>
      </c>
      <c r="AR354" s="35">
        <f>'Client Data'!AS142</f>
        <v>0</v>
      </c>
      <c r="AS354" s="35">
        <f>'Client Data'!AT142</f>
        <v>0</v>
      </c>
      <c r="AT354" s="35">
        <f>'Client Data'!AU142</f>
        <v>0</v>
      </c>
      <c r="AU354" s="35">
        <f>'Client Data'!AV142</f>
        <v>0</v>
      </c>
      <c r="AV354" s="35">
        <f>'Client Data'!AW142</f>
        <v>0</v>
      </c>
      <c r="AW354" s="35">
        <f>'Client Data'!AX142</f>
        <v>0</v>
      </c>
      <c r="AX354" s="35">
        <f>'Client Data'!AY142</f>
        <v>0</v>
      </c>
      <c r="AY354" s="35">
        <f>'Client Data'!AZ142</f>
        <v>0</v>
      </c>
      <c r="AZ354" s="35">
        <f>'Client Data'!BA142</f>
        <v>0</v>
      </c>
      <c r="BA354" s="35">
        <f>'Client Data'!BB142</f>
        <v>0</v>
      </c>
      <c r="BB354" s="35">
        <f>'Client Data'!BC142</f>
        <v>0</v>
      </c>
      <c r="BC354" s="19">
        <f t="shared" si="658"/>
        <v>0</v>
      </c>
    </row>
    <row r="355" spans="2:55" x14ac:dyDescent="0.25">
      <c r="B355" s="19" t="str">
        <f>'Client Data'!C143</f>
        <v>Product G</v>
      </c>
      <c r="C355" s="35">
        <f>'Client Data'!D143</f>
        <v>0</v>
      </c>
      <c r="D355" s="35">
        <f>'Client Data'!E143</f>
        <v>0</v>
      </c>
      <c r="E355" s="35">
        <f>'Client Data'!F143</f>
        <v>0</v>
      </c>
      <c r="F355" s="35">
        <f>'Client Data'!G143</f>
        <v>0</v>
      </c>
      <c r="G355" s="35">
        <f>'Client Data'!H143</f>
        <v>0</v>
      </c>
      <c r="H355" s="35">
        <f>'Client Data'!I143</f>
        <v>0</v>
      </c>
      <c r="I355" s="35">
        <f>'Client Data'!J143</f>
        <v>0</v>
      </c>
      <c r="J355" s="35">
        <f>'Client Data'!K143</f>
        <v>0</v>
      </c>
      <c r="K355" s="35">
        <f>'Client Data'!L143</f>
        <v>0</v>
      </c>
      <c r="L355" s="35">
        <f>'Client Data'!M143</f>
        <v>0</v>
      </c>
      <c r="M355" s="35">
        <f>'Client Data'!N143</f>
        <v>0</v>
      </c>
      <c r="N355" s="35">
        <f>'Client Data'!O143</f>
        <v>0</v>
      </c>
      <c r="O355" s="35">
        <f>'Client Data'!P143</f>
        <v>0</v>
      </c>
      <c r="P355" s="35">
        <f>'Client Data'!Q143</f>
        <v>0</v>
      </c>
      <c r="Q355" s="35">
        <f>'Client Data'!R143</f>
        <v>0</v>
      </c>
      <c r="R355" s="35">
        <f>'Client Data'!S143</f>
        <v>0</v>
      </c>
      <c r="S355" s="35">
        <f>'Client Data'!T143</f>
        <v>0</v>
      </c>
      <c r="T355" s="35">
        <f>'Client Data'!U143</f>
        <v>0</v>
      </c>
      <c r="U355" s="35">
        <f>'Client Data'!V143</f>
        <v>0</v>
      </c>
      <c r="V355" s="35">
        <f>'Client Data'!W143</f>
        <v>0</v>
      </c>
      <c r="W355" s="35">
        <f>'Client Data'!X143</f>
        <v>0</v>
      </c>
      <c r="X355" s="35">
        <f>'Client Data'!Y143</f>
        <v>0</v>
      </c>
      <c r="Y355" s="35">
        <f>'Client Data'!Z143</f>
        <v>0</v>
      </c>
      <c r="Z355" s="35">
        <f>'Client Data'!AA143</f>
        <v>0</v>
      </c>
      <c r="AA355" s="35">
        <f>'Client Data'!AB143</f>
        <v>0</v>
      </c>
      <c r="AB355" s="35">
        <f>'Client Data'!AC143</f>
        <v>0</v>
      </c>
      <c r="AC355" s="35">
        <f>'Client Data'!AD143</f>
        <v>0</v>
      </c>
      <c r="AD355" s="35">
        <f>'Client Data'!AE143</f>
        <v>0</v>
      </c>
      <c r="AE355" s="35">
        <f>'Client Data'!AF143</f>
        <v>0</v>
      </c>
      <c r="AF355" s="35">
        <f>'Client Data'!AG143</f>
        <v>0</v>
      </c>
      <c r="AG355" s="35">
        <f>'Client Data'!AH143</f>
        <v>0</v>
      </c>
      <c r="AH355" s="35">
        <f>'Client Data'!AI143</f>
        <v>0</v>
      </c>
      <c r="AI355" s="35">
        <f>'Client Data'!AJ143</f>
        <v>0</v>
      </c>
      <c r="AJ355" s="35">
        <f>'Client Data'!AK143</f>
        <v>0</v>
      </c>
      <c r="AK355" s="35">
        <f>'Client Data'!AL143</f>
        <v>0</v>
      </c>
      <c r="AL355" s="35">
        <f>'Client Data'!AM143</f>
        <v>0</v>
      </c>
      <c r="AM355" s="35">
        <f>'Client Data'!AN143</f>
        <v>0</v>
      </c>
      <c r="AN355" s="35">
        <f>'Client Data'!AO143</f>
        <v>0</v>
      </c>
      <c r="AO355" s="35">
        <f>'Client Data'!AP143</f>
        <v>0</v>
      </c>
      <c r="AP355" s="35">
        <f>'Client Data'!AQ143</f>
        <v>0</v>
      </c>
      <c r="AQ355" s="35">
        <f>'Client Data'!AR143</f>
        <v>0</v>
      </c>
      <c r="AR355" s="35">
        <f>'Client Data'!AS143</f>
        <v>0</v>
      </c>
      <c r="AS355" s="35">
        <f>'Client Data'!AT143</f>
        <v>0</v>
      </c>
      <c r="AT355" s="35">
        <f>'Client Data'!AU143</f>
        <v>0</v>
      </c>
      <c r="AU355" s="35">
        <f>'Client Data'!AV143</f>
        <v>0</v>
      </c>
      <c r="AV355" s="35">
        <f>'Client Data'!AW143</f>
        <v>0</v>
      </c>
      <c r="AW355" s="35">
        <f>'Client Data'!AX143</f>
        <v>0</v>
      </c>
      <c r="AX355" s="35">
        <f>'Client Data'!AY143</f>
        <v>0</v>
      </c>
      <c r="AY355" s="35">
        <f>'Client Data'!AZ143</f>
        <v>0</v>
      </c>
      <c r="AZ355" s="35">
        <f>'Client Data'!BA143</f>
        <v>0</v>
      </c>
      <c r="BA355" s="35">
        <f>'Client Data'!BB143</f>
        <v>0</v>
      </c>
      <c r="BB355" s="35">
        <f>'Client Data'!BC143</f>
        <v>0</v>
      </c>
      <c r="BC355" s="19">
        <f t="shared" si="658"/>
        <v>0</v>
      </c>
    </row>
    <row r="356" spans="2:55" x14ac:dyDescent="0.25">
      <c r="B356" s="19" t="str">
        <f>'Client Data'!C144</f>
        <v>Product H</v>
      </c>
      <c r="C356" s="35">
        <f>'Client Data'!D144</f>
        <v>0</v>
      </c>
      <c r="D356" s="35">
        <f>'Client Data'!E144</f>
        <v>0</v>
      </c>
      <c r="E356" s="35">
        <f>'Client Data'!F144</f>
        <v>0</v>
      </c>
      <c r="F356" s="35">
        <f>'Client Data'!G144</f>
        <v>0</v>
      </c>
      <c r="G356" s="35">
        <f>'Client Data'!H144</f>
        <v>0</v>
      </c>
      <c r="H356" s="35">
        <f>'Client Data'!I144</f>
        <v>0</v>
      </c>
      <c r="I356" s="35">
        <f>'Client Data'!J144</f>
        <v>0</v>
      </c>
      <c r="J356" s="35">
        <f>'Client Data'!K144</f>
        <v>0</v>
      </c>
      <c r="K356" s="35">
        <f>'Client Data'!L144</f>
        <v>0</v>
      </c>
      <c r="L356" s="35">
        <f>'Client Data'!M144</f>
        <v>0</v>
      </c>
      <c r="M356" s="35">
        <f>'Client Data'!N144</f>
        <v>0</v>
      </c>
      <c r="N356" s="35">
        <f>'Client Data'!O144</f>
        <v>0</v>
      </c>
      <c r="O356" s="35">
        <f>'Client Data'!P144</f>
        <v>0</v>
      </c>
      <c r="P356" s="35">
        <f>'Client Data'!Q144</f>
        <v>0</v>
      </c>
      <c r="Q356" s="35">
        <f>'Client Data'!R144</f>
        <v>0</v>
      </c>
      <c r="R356" s="35">
        <f>'Client Data'!S144</f>
        <v>0</v>
      </c>
      <c r="S356" s="35">
        <f>'Client Data'!T144</f>
        <v>0</v>
      </c>
      <c r="T356" s="35">
        <f>'Client Data'!U144</f>
        <v>0</v>
      </c>
      <c r="U356" s="35">
        <f>'Client Data'!V144</f>
        <v>0</v>
      </c>
      <c r="V356" s="35">
        <f>'Client Data'!W144</f>
        <v>0</v>
      </c>
      <c r="W356" s="35">
        <f>'Client Data'!X144</f>
        <v>0</v>
      </c>
      <c r="X356" s="35">
        <f>'Client Data'!Y144</f>
        <v>0</v>
      </c>
      <c r="Y356" s="35">
        <f>'Client Data'!Z144</f>
        <v>0</v>
      </c>
      <c r="Z356" s="35">
        <f>'Client Data'!AA144</f>
        <v>0</v>
      </c>
      <c r="AA356" s="35">
        <f>'Client Data'!AB144</f>
        <v>0</v>
      </c>
      <c r="AB356" s="35">
        <f>'Client Data'!AC144</f>
        <v>0</v>
      </c>
      <c r="AC356" s="35">
        <f>'Client Data'!AD144</f>
        <v>0</v>
      </c>
      <c r="AD356" s="35">
        <f>'Client Data'!AE144</f>
        <v>0</v>
      </c>
      <c r="AE356" s="35">
        <f>'Client Data'!AF144</f>
        <v>0</v>
      </c>
      <c r="AF356" s="35">
        <f>'Client Data'!AG144</f>
        <v>0</v>
      </c>
      <c r="AG356" s="35">
        <f>'Client Data'!AH144</f>
        <v>0</v>
      </c>
      <c r="AH356" s="35">
        <f>'Client Data'!AI144</f>
        <v>0</v>
      </c>
      <c r="AI356" s="35">
        <f>'Client Data'!AJ144</f>
        <v>0</v>
      </c>
      <c r="AJ356" s="35">
        <f>'Client Data'!AK144</f>
        <v>0</v>
      </c>
      <c r="AK356" s="35">
        <f>'Client Data'!AL144</f>
        <v>0</v>
      </c>
      <c r="AL356" s="35">
        <f>'Client Data'!AM144</f>
        <v>0</v>
      </c>
      <c r="AM356" s="35">
        <f>'Client Data'!AN144</f>
        <v>0</v>
      </c>
      <c r="AN356" s="35">
        <f>'Client Data'!AO144</f>
        <v>0</v>
      </c>
      <c r="AO356" s="35">
        <f>'Client Data'!AP144</f>
        <v>0</v>
      </c>
      <c r="AP356" s="35">
        <f>'Client Data'!AQ144</f>
        <v>0</v>
      </c>
      <c r="AQ356" s="35">
        <f>'Client Data'!AR144</f>
        <v>0</v>
      </c>
      <c r="AR356" s="35">
        <f>'Client Data'!AS144</f>
        <v>0</v>
      </c>
      <c r="AS356" s="35">
        <f>'Client Data'!AT144</f>
        <v>0</v>
      </c>
      <c r="AT356" s="35">
        <f>'Client Data'!AU144</f>
        <v>0</v>
      </c>
      <c r="AU356" s="35">
        <f>'Client Data'!AV144</f>
        <v>0</v>
      </c>
      <c r="AV356" s="35">
        <f>'Client Data'!AW144</f>
        <v>0</v>
      </c>
      <c r="AW356" s="35">
        <f>'Client Data'!AX144</f>
        <v>0</v>
      </c>
      <c r="AX356" s="35">
        <f>'Client Data'!AY144</f>
        <v>0</v>
      </c>
      <c r="AY356" s="35">
        <f>'Client Data'!AZ144</f>
        <v>0</v>
      </c>
      <c r="AZ356" s="35">
        <f>'Client Data'!BA144</f>
        <v>0</v>
      </c>
      <c r="BA356" s="35">
        <f>'Client Data'!BB144</f>
        <v>0</v>
      </c>
      <c r="BB356" s="35">
        <f>'Client Data'!BC144</f>
        <v>0</v>
      </c>
      <c r="BC356" s="19">
        <f t="shared" si="658"/>
        <v>0</v>
      </c>
    </row>
    <row r="357" spans="2:55" x14ac:dyDescent="0.25">
      <c r="B357" s="19" t="str">
        <f>'Client Data'!B145</f>
        <v>Yield Defect Loss Type E</v>
      </c>
      <c r="C357" s="50">
        <f t="shared" ref="C357:AH357" si="663">IF(C190&gt;0,SUM(C358:C365),0)</f>
        <v>2</v>
      </c>
      <c r="D357" s="50">
        <f t="shared" si="663"/>
        <v>4</v>
      </c>
      <c r="E357" s="50">
        <f t="shared" si="663"/>
        <v>5</v>
      </c>
      <c r="F357" s="50">
        <f t="shared" si="663"/>
        <v>4</v>
      </c>
      <c r="G357" s="50">
        <f t="shared" si="663"/>
        <v>2</v>
      </c>
      <c r="H357" s="50">
        <f t="shared" si="663"/>
        <v>5</v>
      </c>
      <c r="I357" s="50">
        <f t="shared" si="663"/>
        <v>5</v>
      </c>
      <c r="J357" s="50">
        <f t="shared" si="663"/>
        <v>4</v>
      </c>
      <c r="K357" s="50">
        <f t="shared" si="663"/>
        <v>2</v>
      </c>
      <c r="L357" s="50">
        <f t="shared" si="663"/>
        <v>3</v>
      </c>
      <c r="M357" s="50">
        <f t="shared" si="663"/>
        <v>3</v>
      </c>
      <c r="N357" s="50">
        <f t="shared" si="663"/>
        <v>4</v>
      </c>
      <c r="O357" s="50">
        <f t="shared" si="663"/>
        <v>2</v>
      </c>
      <c r="P357" s="50">
        <f t="shared" si="663"/>
        <v>6</v>
      </c>
      <c r="Q357" s="50">
        <f t="shared" si="663"/>
        <v>5</v>
      </c>
      <c r="R357" s="50">
        <f t="shared" si="663"/>
        <v>4</v>
      </c>
      <c r="S357" s="50">
        <f t="shared" si="663"/>
        <v>2</v>
      </c>
      <c r="T357" s="50">
        <f t="shared" si="663"/>
        <v>4</v>
      </c>
      <c r="U357" s="50">
        <f t="shared" si="663"/>
        <v>5</v>
      </c>
      <c r="V357" s="50">
        <f t="shared" si="663"/>
        <v>4</v>
      </c>
      <c r="W357" s="50">
        <f t="shared" si="663"/>
        <v>2</v>
      </c>
      <c r="X357" s="50">
        <f t="shared" si="663"/>
        <v>3</v>
      </c>
      <c r="Y357" s="50">
        <f t="shared" si="663"/>
        <v>2</v>
      </c>
      <c r="Z357" s="50">
        <f t="shared" si="663"/>
        <v>4</v>
      </c>
      <c r="AA357" s="50">
        <f t="shared" si="663"/>
        <v>2</v>
      </c>
      <c r="AB357" s="50">
        <f t="shared" si="663"/>
        <v>4</v>
      </c>
      <c r="AC357" s="50">
        <f t="shared" si="663"/>
        <v>4</v>
      </c>
      <c r="AD357" s="50">
        <f t="shared" si="663"/>
        <v>4</v>
      </c>
      <c r="AE357" s="50">
        <f t="shared" si="663"/>
        <v>2</v>
      </c>
      <c r="AF357" s="50">
        <f t="shared" si="663"/>
        <v>5</v>
      </c>
      <c r="AG357" s="50">
        <f t="shared" si="663"/>
        <v>5</v>
      </c>
      <c r="AH357" s="50">
        <f t="shared" si="663"/>
        <v>4</v>
      </c>
      <c r="AI357" s="50">
        <f t="shared" ref="AI357:BB357" si="664">IF(AI190&gt;0,SUM(AI358:AI365),0)</f>
        <v>2</v>
      </c>
      <c r="AJ357" s="50">
        <f t="shared" si="664"/>
        <v>3</v>
      </c>
      <c r="AK357" s="50">
        <f t="shared" si="664"/>
        <v>5</v>
      </c>
      <c r="AL357" s="50">
        <f t="shared" si="664"/>
        <v>4</v>
      </c>
      <c r="AM357" s="50">
        <f t="shared" si="664"/>
        <v>2</v>
      </c>
      <c r="AN357" s="50">
        <f t="shared" si="664"/>
        <v>6</v>
      </c>
      <c r="AO357" s="50">
        <f t="shared" si="664"/>
        <v>5</v>
      </c>
      <c r="AP357" s="50">
        <f t="shared" si="664"/>
        <v>4</v>
      </c>
      <c r="AQ357" s="50">
        <f t="shared" si="664"/>
        <v>2</v>
      </c>
      <c r="AR357" s="50">
        <f t="shared" si="664"/>
        <v>5</v>
      </c>
      <c r="AS357" s="50">
        <f t="shared" si="664"/>
        <v>5</v>
      </c>
      <c r="AT357" s="50">
        <f t="shared" si="664"/>
        <v>4</v>
      </c>
      <c r="AU357" s="50">
        <f t="shared" si="664"/>
        <v>2</v>
      </c>
      <c r="AV357" s="50">
        <f t="shared" si="664"/>
        <v>5</v>
      </c>
      <c r="AW357" s="50">
        <f t="shared" si="664"/>
        <v>3</v>
      </c>
      <c r="AX357" s="50">
        <f t="shared" si="664"/>
        <v>4</v>
      </c>
      <c r="AY357" s="50">
        <f t="shared" si="664"/>
        <v>2</v>
      </c>
      <c r="AZ357" s="50">
        <f t="shared" si="664"/>
        <v>6</v>
      </c>
      <c r="BA357" s="50">
        <f t="shared" si="664"/>
        <v>5</v>
      </c>
      <c r="BB357" s="50">
        <f t="shared" si="664"/>
        <v>4</v>
      </c>
      <c r="BC357" s="19">
        <f t="shared" si="658"/>
        <v>194</v>
      </c>
    </row>
    <row r="358" spans="2:55" x14ac:dyDescent="0.25">
      <c r="B358" s="19" t="s">
        <v>179</v>
      </c>
      <c r="C358" s="35">
        <f>'Client Data'!D146</f>
        <v>0</v>
      </c>
      <c r="D358" s="35">
        <f>'Client Data'!E146</f>
        <v>0</v>
      </c>
      <c r="E358" s="35">
        <f>'Client Data'!F146</f>
        <v>0</v>
      </c>
      <c r="F358" s="35">
        <f>'Client Data'!G146</f>
        <v>0</v>
      </c>
      <c r="G358" s="35">
        <f>'Client Data'!H146</f>
        <v>0</v>
      </c>
      <c r="H358" s="35">
        <f>'Client Data'!I146</f>
        <v>0</v>
      </c>
      <c r="I358" s="35">
        <f>'Client Data'!J146</f>
        <v>0</v>
      </c>
      <c r="J358" s="35">
        <f>'Client Data'!K146</f>
        <v>0</v>
      </c>
      <c r="K358" s="35">
        <f>'Client Data'!L146</f>
        <v>0</v>
      </c>
      <c r="L358" s="35">
        <f>'Client Data'!M146</f>
        <v>0</v>
      </c>
      <c r="M358" s="35">
        <f>'Client Data'!N146</f>
        <v>0</v>
      </c>
      <c r="N358" s="35">
        <f>'Client Data'!O146</f>
        <v>0</v>
      </c>
      <c r="O358" s="35">
        <f>'Client Data'!P146</f>
        <v>0</v>
      </c>
      <c r="P358" s="35">
        <f>'Client Data'!Q146</f>
        <v>0</v>
      </c>
      <c r="Q358" s="35">
        <f>'Client Data'!R146</f>
        <v>0</v>
      </c>
      <c r="R358" s="35">
        <f>'Client Data'!S146</f>
        <v>0</v>
      </c>
      <c r="S358" s="35">
        <f>'Client Data'!T146</f>
        <v>0</v>
      </c>
      <c r="T358" s="35">
        <f>'Client Data'!U146</f>
        <v>0</v>
      </c>
      <c r="U358" s="35">
        <f>'Client Data'!V146</f>
        <v>0</v>
      </c>
      <c r="V358" s="35">
        <f>'Client Data'!W146</f>
        <v>0</v>
      </c>
      <c r="W358" s="35">
        <f>'Client Data'!X146</f>
        <v>0</v>
      </c>
      <c r="X358" s="35">
        <f>'Client Data'!Y146</f>
        <v>0</v>
      </c>
      <c r="Y358" s="35">
        <f>'Client Data'!Z146</f>
        <v>0</v>
      </c>
      <c r="Z358" s="35">
        <f>'Client Data'!AA146</f>
        <v>0</v>
      </c>
      <c r="AA358" s="35">
        <f>'Client Data'!AB146</f>
        <v>0</v>
      </c>
      <c r="AB358" s="35">
        <f>'Client Data'!AC146</f>
        <v>0</v>
      </c>
      <c r="AC358" s="35">
        <f>'Client Data'!AD146</f>
        <v>0</v>
      </c>
      <c r="AD358" s="35">
        <f>'Client Data'!AE146</f>
        <v>0</v>
      </c>
      <c r="AE358" s="35">
        <f>'Client Data'!AF146</f>
        <v>0</v>
      </c>
      <c r="AF358" s="35">
        <f>'Client Data'!AG146</f>
        <v>0</v>
      </c>
      <c r="AG358" s="35">
        <f>'Client Data'!AH146</f>
        <v>0</v>
      </c>
      <c r="AH358" s="35">
        <f>'Client Data'!AI146</f>
        <v>0</v>
      </c>
      <c r="AI358" s="35">
        <f>'Client Data'!AJ146</f>
        <v>0</v>
      </c>
      <c r="AJ358" s="35">
        <f>'Client Data'!AK146</f>
        <v>0</v>
      </c>
      <c r="AK358" s="35">
        <f>'Client Data'!AL146</f>
        <v>0</v>
      </c>
      <c r="AL358" s="35">
        <f>'Client Data'!AM146</f>
        <v>0</v>
      </c>
      <c r="AM358" s="35">
        <f>'Client Data'!AN146</f>
        <v>0</v>
      </c>
      <c r="AN358" s="35">
        <f>'Client Data'!AO146</f>
        <v>0</v>
      </c>
      <c r="AO358" s="35">
        <f>'Client Data'!AP146</f>
        <v>0</v>
      </c>
      <c r="AP358" s="35">
        <f>'Client Data'!AQ146</f>
        <v>0</v>
      </c>
      <c r="AQ358" s="35">
        <f>'Client Data'!AR146</f>
        <v>0</v>
      </c>
      <c r="AR358" s="35">
        <f>'Client Data'!AS146</f>
        <v>0</v>
      </c>
      <c r="AS358" s="35">
        <f>'Client Data'!AT146</f>
        <v>0</v>
      </c>
      <c r="AT358" s="35">
        <f>'Client Data'!AU146</f>
        <v>0</v>
      </c>
      <c r="AU358" s="35">
        <f>'Client Data'!AV146</f>
        <v>0</v>
      </c>
      <c r="AV358" s="35">
        <f>'Client Data'!AW146</f>
        <v>0</v>
      </c>
      <c r="AW358" s="35">
        <f>'Client Data'!AX146</f>
        <v>0</v>
      </c>
      <c r="AX358" s="35">
        <f>'Client Data'!AY146</f>
        <v>0</v>
      </c>
      <c r="AY358" s="35">
        <f>'Client Data'!AZ146</f>
        <v>0</v>
      </c>
      <c r="AZ358" s="35">
        <f>'Client Data'!BA146</f>
        <v>0</v>
      </c>
      <c r="BA358" s="35">
        <f>'Client Data'!BB146</f>
        <v>0</v>
      </c>
      <c r="BB358" s="35">
        <f>'Client Data'!BC146</f>
        <v>0</v>
      </c>
      <c r="BC358" s="19">
        <f t="shared" si="658"/>
        <v>0</v>
      </c>
    </row>
    <row r="359" spans="2:55" x14ac:dyDescent="0.25">
      <c r="B359" s="19" t="str">
        <f>'Client Data'!C147</f>
        <v>Product B</v>
      </c>
      <c r="C359" s="35">
        <f>'Client Data'!D147</f>
        <v>0</v>
      </c>
      <c r="D359" s="35">
        <f>'Client Data'!E147</f>
        <v>0</v>
      </c>
      <c r="E359" s="35">
        <f>'Client Data'!F147</f>
        <v>0</v>
      </c>
      <c r="F359" s="35">
        <f>'Client Data'!G147</f>
        <v>0</v>
      </c>
      <c r="G359" s="35">
        <f>'Client Data'!H147</f>
        <v>0</v>
      </c>
      <c r="H359" s="35">
        <f>'Client Data'!I147</f>
        <v>0</v>
      </c>
      <c r="I359" s="35">
        <f>'Client Data'!J147</f>
        <v>0</v>
      </c>
      <c r="J359" s="35">
        <f>'Client Data'!K147</f>
        <v>0</v>
      </c>
      <c r="K359" s="35">
        <f>'Client Data'!L147</f>
        <v>0</v>
      </c>
      <c r="L359" s="35">
        <f>'Client Data'!M147</f>
        <v>0</v>
      </c>
      <c r="M359" s="35">
        <f>'Client Data'!N147</f>
        <v>0</v>
      </c>
      <c r="N359" s="35">
        <f>'Client Data'!O147</f>
        <v>0</v>
      </c>
      <c r="O359" s="35">
        <f>'Client Data'!P147</f>
        <v>0</v>
      </c>
      <c r="P359" s="35">
        <f>'Client Data'!Q147</f>
        <v>0</v>
      </c>
      <c r="Q359" s="35">
        <f>'Client Data'!R147</f>
        <v>0</v>
      </c>
      <c r="R359" s="35">
        <f>'Client Data'!S147</f>
        <v>0</v>
      </c>
      <c r="S359" s="35">
        <f>'Client Data'!T147</f>
        <v>0</v>
      </c>
      <c r="T359" s="35">
        <f>'Client Data'!U147</f>
        <v>0</v>
      </c>
      <c r="U359" s="35">
        <f>'Client Data'!V147</f>
        <v>0</v>
      </c>
      <c r="V359" s="35">
        <f>'Client Data'!W147</f>
        <v>0</v>
      </c>
      <c r="W359" s="35">
        <f>'Client Data'!X147</f>
        <v>0</v>
      </c>
      <c r="X359" s="35">
        <f>'Client Data'!Y147</f>
        <v>0</v>
      </c>
      <c r="Y359" s="35">
        <f>'Client Data'!Z147</f>
        <v>0</v>
      </c>
      <c r="Z359" s="35">
        <f>'Client Data'!AA147</f>
        <v>0</v>
      </c>
      <c r="AA359" s="35">
        <f>'Client Data'!AB147</f>
        <v>0</v>
      </c>
      <c r="AB359" s="35">
        <f>'Client Data'!AC147</f>
        <v>0</v>
      </c>
      <c r="AC359" s="35">
        <f>'Client Data'!AD147</f>
        <v>0</v>
      </c>
      <c r="AD359" s="35">
        <f>'Client Data'!AE147</f>
        <v>0</v>
      </c>
      <c r="AE359" s="35">
        <f>'Client Data'!AF147</f>
        <v>0</v>
      </c>
      <c r="AF359" s="35">
        <f>'Client Data'!AG147</f>
        <v>0</v>
      </c>
      <c r="AG359" s="35">
        <f>'Client Data'!AH147</f>
        <v>0</v>
      </c>
      <c r="AH359" s="35">
        <f>'Client Data'!AI147</f>
        <v>0</v>
      </c>
      <c r="AI359" s="35">
        <f>'Client Data'!AJ147</f>
        <v>0</v>
      </c>
      <c r="AJ359" s="35">
        <f>'Client Data'!AK147</f>
        <v>0</v>
      </c>
      <c r="AK359" s="35">
        <f>'Client Data'!AL147</f>
        <v>0</v>
      </c>
      <c r="AL359" s="35">
        <f>'Client Data'!AM147</f>
        <v>0</v>
      </c>
      <c r="AM359" s="35">
        <f>'Client Data'!AN147</f>
        <v>0</v>
      </c>
      <c r="AN359" s="35">
        <f>'Client Data'!AO147</f>
        <v>0</v>
      </c>
      <c r="AO359" s="35">
        <f>'Client Data'!AP147</f>
        <v>0</v>
      </c>
      <c r="AP359" s="35">
        <f>'Client Data'!AQ147</f>
        <v>0</v>
      </c>
      <c r="AQ359" s="35">
        <f>'Client Data'!AR147</f>
        <v>0</v>
      </c>
      <c r="AR359" s="35">
        <f>'Client Data'!AS147</f>
        <v>0</v>
      </c>
      <c r="AS359" s="35">
        <f>'Client Data'!AT147</f>
        <v>0</v>
      </c>
      <c r="AT359" s="35">
        <f>'Client Data'!AU147</f>
        <v>0</v>
      </c>
      <c r="AU359" s="35">
        <f>'Client Data'!AV147</f>
        <v>0</v>
      </c>
      <c r="AV359" s="35">
        <f>'Client Data'!AW147</f>
        <v>0</v>
      </c>
      <c r="AW359" s="35">
        <f>'Client Data'!AX147</f>
        <v>0</v>
      </c>
      <c r="AX359" s="35">
        <f>'Client Data'!AY147</f>
        <v>0</v>
      </c>
      <c r="AY359" s="35">
        <f>'Client Data'!AZ147</f>
        <v>0</v>
      </c>
      <c r="AZ359" s="35">
        <f>'Client Data'!BA147</f>
        <v>0</v>
      </c>
      <c r="BA359" s="35">
        <f>'Client Data'!BB147</f>
        <v>0</v>
      </c>
      <c r="BB359" s="35">
        <f>'Client Data'!BC147</f>
        <v>0</v>
      </c>
      <c r="BC359" s="19">
        <f t="shared" si="658"/>
        <v>0</v>
      </c>
    </row>
    <row r="360" spans="2:55" x14ac:dyDescent="0.25">
      <c r="B360" s="19" t="str">
        <f>'Client Data'!C148</f>
        <v>Product C</v>
      </c>
      <c r="C360" s="35">
        <f>'Client Data'!D148</f>
        <v>0</v>
      </c>
      <c r="D360" s="35">
        <f>'Client Data'!E148</f>
        <v>0</v>
      </c>
      <c r="E360" s="35">
        <f>'Client Data'!F148</f>
        <v>0</v>
      </c>
      <c r="F360" s="35">
        <f>'Client Data'!G148</f>
        <v>0</v>
      </c>
      <c r="G360" s="35">
        <f>'Client Data'!H148</f>
        <v>0</v>
      </c>
      <c r="H360" s="35">
        <f>'Client Data'!I148</f>
        <v>0</v>
      </c>
      <c r="I360" s="35">
        <f>'Client Data'!J148</f>
        <v>0</v>
      </c>
      <c r="J360" s="35">
        <f>'Client Data'!K148</f>
        <v>0</v>
      </c>
      <c r="K360" s="35">
        <f>'Client Data'!L148</f>
        <v>0</v>
      </c>
      <c r="L360" s="35">
        <f>'Client Data'!M148</f>
        <v>0</v>
      </c>
      <c r="M360" s="35">
        <f>'Client Data'!N148</f>
        <v>0</v>
      </c>
      <c r="N360" s="35">
        <f>'Client Data'!O148</f>
        <v>0</v>
      </c>
      <c r="O360" s="35">
        <f>'Client Data'!P148</f>
        <v>0</v>
      </c>
      <c r="P360" s="35">
        <f>'Client Data'!Q148</f>
        <v>0</v>
      </c>
      <c r="Q360" s="35">
        <f>'Client Data'!R148</f>
        <v>0</v>
      </c>
      <c r="R360" s="35">
        <f>'Client Data'!S148</f>
        <v>0</v>
      </c>
      <c r="S360" s="35">
        <f>'Client Data'!T148</f>
        <v>0</v>
      </c>
      <c r="T360" s="35">
        <f>'Client Data'!U148</f>
        <v>0</v>
      </c>
      <c r="U360" s="35">
        <f>'Client Data'!V148</f>
        <v>0</v>
      </c>
      <c r="V360" s="35">
        <f>'Client Data'!W148</f>
        <v>0</v>
      </c>
      <c r="W360" s="35">
        <f>'Client Data'!X148</f>
        <v>0</v>
      </c>
      <c r="X360" s="35">
        <f>'Client Data'!Y148</f>
        <v>0</v>
      </c>
      <c r="Y360" s="35">
        <f>'Client Data'!Z148</f>
        <v>0</v>
      </c>
      <c r="Z360" s="35">
        <f>'Client Data'!AA148</f>
        <v>0</v>
      </c>
      <c r="AA360" s="35">
        <f>'Client Data'!AB148</f>
        <v>0</v>
      </c>
      <c r="AB360" s="35">
        <f>'Client Data'!AC148</f>
        <v>0</v>
      </c>
      <c r="AC360" s="35">
        <f>'Client Data'!AD148</f>
        <v>0</v>
      </c>
      <c r="AD360" s="35">
        <f>'Client Data'!AE148</f>
        <v>0</v>
      </c>
      <c r="AE360" s="35">
        <f>'Client Data'!AF148</f>
        <v>0</v>
      </c>
      <c r="AF360" s="35">
        <f>'Client Data'!AG148</f>
        <v>0</v>
      </c>
      <c r="AG360" s="35">
        <f>'Client Data'!AH148</f>
        <v>0</v>
      </c>
      <c r="AH360" s="35">
        <f>'Client Data'!AI148</f>
        <v>0</v>
      </c>
      <c r="AI360" s="35">
        <f>'Client Data'!AJ148</f>
        <v>0</v>
      </c>
      <c r="AJ360" s="35">
        <f>'Client Data'!AK148</f>
        <v>0</v>
      </c>
      <c r="AK360" s="35">
        <f>'Client Data'!AL148</f>
        <v>0</v>
      </c>
      <c r="AL360" s="35">
        <f>'Client Data'!AM148</f>
        <v>0</v>
      </c>
      <c r="AM360" s="35">
        <f>'Client Data'!AN148</f>
        <v>0</v>
      </c>
      <c r="AN360" s="35">
        <f>'Client Data'!AO148</f>
        <v>0</v>
      </c>
      <c r="AO360" s="35">
        <f>'Client Data'!AP148</f>
        <v>0</v>
      </c>
      <c r="AP360" s="35">
        <f>'Client Data'!AQ148</f>
        <v>0</v>
      </c>
      <c r="AQ360" s="35">
        <f>'Client Data'!AR148</f>
        <v>0</v>
      </c>
      <c r="AR360" s="35">
        <f>'Client Data'!AS148</f>
        <v>0</v>
      </c>
      <c r="AS360" s="35">
        <f>'Client Data'!AT148</f>
        <v>0</v>
      </c>
      <c r="AT360" s="35">
        <f>'Client Data'!AU148</f>
        <v>0</v>
      </c>
      <c r="AU360" s="35">
        <f>'Client Data'!AV148</f>
        <v>0</v>
      </c>
      <c r="AV360" s="35">
        <f>'Client Data'!AW148</f>
        <v>0</v>
      </c>
      <c r="AW360" s="35">
        <f>'Client Data'!AX148</f>
        <v>0</v>
      </c>
      <c r="AX360" s="35">
        <f>'Client Data'!AY148</f>
        <v>0</v>
      </c>
      <c r="AY360" s="35">
        <f>'Client Data'!AZ148</f>
        <v>0</v>
      </c>
      <c r="AZ360" s="35">
        <f>'Client Data'!BA148</f>
        <v>0</v>
      </c>
      <c r="BA360" s="35">
        <f>'Client Data'!BB148</f>
        <v>0</v>
      </c>
      <c r="BB360" s="35">
        <f>'Client Data'!BC148</f>
        <v>0</v>
      </c>
      <c r="BC360" s="19">
        <f t="shared" si="658"/>
        <v>0</v>
      </c>
    </row>
    <row r="361" spans="2:55" x14ac:dyDescent="0.25">
      <c r="B361" s="19" t="str">
        <f>'Client Data'!C149</f>
        <v>Product D</v>
      </c>
      <c r="C361" s="35">
        <f>'Client Data'!D149</f>
        <v>0</v>
      </c>
      <c r="D361" s="35">
        <f>'Client Data'!E149</f>
        <v>0</v>
      </c>
      <c r="E361" s="35">
        <f>'Client Data'!F149</f>
        <v>0</v>
      </c>
      <c r="F361" s="35">
        <f>'Client Data'!G149</f>
        <v>0</v>
      </c>
      <c r="G361" s="35">
        <f>'Client Data'!H149</f>
        <v>0</v>
      </c>
      <c r="H361" s="35">
        <f>'Client Data'!I149</f>
        <v>0</v>
      </c>
      <c r="I361" s="35">
        <f>'Client Data'!J149</f>
        <v>0</v>
      </c>
      <c r="J361" s="35">
        <f>'Client Data'!K149</f>
        <v>0</v>
      </c>
      <c r="K361" s="35">
        <f>'Client Data'!L149</f>
        <v>0</v>
      </c>
      <c r="L361" s="35">
        <f>'Client Data'!M149</f>
        <v>0</v>
      </c>
      <c r="M361" s="35">
        <f>'Client Data'!N149</f>
        <v>0</v>
      </c>
      <c r="N361" s="35">
        <f>'Client Data'!O149</f>
        <v>0</v>
      </c>
      <c r="O361" s="35">
        <f>'Client Data'!P149</f>
        <v>0</v>
      </c>
      <c r="P361" s="35">
        <f>'Client Data'!Q149</f>
        <v>0</v>
      </c>
      <c r="Q361" s="35">
        <f>'Client Data'!R149</f>
        <v>0</v>
      </c>
      <c r="R361" s="35">
        <f>'Client Data'!S149</f>
        <v>0</v>
      </c>
      <c r="S361" s="35">
        <f>'Client Data'!T149</f>
        <v>0</v>
      </c>
      <c r="T361" s="35">
        <f>'Client Data'!U149</f>
        <v>0</v>
      </c>
      <c r="U361" s="35">
        <f>'Client Data'!V149</f>
        <v>0</v>
      </c>
      <c r="V361" s="35">
        <f>'Client Data'!W149</f>
        <v>0</v>
      </c>
      <c r="W361" s="35">
        <f>'Client Data'!X149</f>
        <v>0</v>
      </c>
      <c r="X361" s="35">
        <f>'Client Data'!Y149</f>
        <v>0</v>
      </c>
      <c r="Y361" s="35">
        <f>'Client Data'!Z149</f>
        <v>0</v>
      </c>
      <c r="Z361" s="35">
        <f>'Client Data'!AA149</f>
        <v>0</v>
      </c>
      <c r="AA361" s="35">
        <f>'Client Data'!AB149</f>
        <v>0</v>
      </c>
      <c r="AB361" s="35">
        <f>'Client Data'!AC149</f>
        <v>0</v>
      </c>
      <c r="AC361" s="35">
        <f>'Client Data'!AD149</f>
        <v>0</v>
      </c>
      <c r="AD361" s="35">
        <f>'Client Data'!AE149</f>
        <v>0</v>
      </c>
      <c r="AE361" s="35">
        <f>'Client Data'!AF149</f>
        <v>0</v>
      </c>
      <c r="AF361" s="35">
        <f>'Client Data'!AG149</f>
        <v>0</v>
      </c>
      <c r="AG361" s="35">
        <f>'Client Data'!AH149</f>
        <v>0</v>
      </c>
      <c r="AH361" s="35">
        <f>'Client Data'!AI149</f>
        <v>0</v>
      </c>
      <c r="AI361" s="35">
        <f>'Client Data'!AJ149</f>
        <v>0</v>
      </c>
      <c r="AJ361" s="35">
        <f>'Client Data'!AK149</f>
        <v>0</v>
      </c>
      <c r="AK361" s="35">
        <f>'Client Data'!AL149</f>
        <v>0</v>
      </c>
      <c r="AL361" s="35">
        <f>'Client Data'!AM149</f>
        <v>0</v>
      </c>
      <c r="AM361" s="35">
        <f>'Client Data'!AN149</f>
        <v>0</v>
      </c>
      <c r="AN361" s="35">
        <f>'Client Data'!AO149</f>
        <v>0</v>
      </c>
      <c r="AO361" s="35">
        <f>'Client Data'!AP149</f>
        <v>0</v>
      </c>
      <c r="AP361" s="35">
        <f>'Client Data'!AQ149</f>
        <v>0</v>
      </c>
      <c r="AQ361" s="35">
        <f>'Client Data'!AR149</f>
        <v>0</v>
      </c>
      <c r="AR361" s="35">
        <f>'Client Data'!AS149</f>
        <v>0</v>
      </c>
      <c r="AS361" s="35">
        <f>'Client Data'!AT149</f>
        <v>0</v>
      </c>
      <c r="AT361" s="35">
        <f>'Client Data'!AU149</f>
        <v>0</v>
      </c>
      <c r="AU361" s="35">
        <f>'Client Data'!AV149</f>
        <v>0</v>
      </c>
      <c r="AV361" s="35">
        <f>'Client Data'!AW149</f>
        <v>0</v>
      </c>
      <c r="AW361" s="35">
        <f>'Client Data'!AX149</f>
        <v>0</v>
      </c>
      <c r="AX361" s="35">
        <f>'Client Data'!AY149</f>
        <v>0</v>
      </c>
      <c r="AY361" s="35">
        <f>'Client Data'!AZ149</f>
        <v>0</v>
      </c>
      <c r="AZ361" s="35">
        <f>'Client Data'!BA149</f>
        <v>0</v>
      </c>
      <c r="BA361" s="35">
        <f>'Client Data'!BB149</f>
        <v>0</v>
      </c>
      <c r="BB361" s="35">
        <f>'Client Data'!BC149</f>
        <v>0</v>
      </c>
      <c r="BC361" s="19">
        <f t="shared" si="658"/>
        <v>0</v>
      </c>
    </row>
    <row r="362" spans="2:55" x14ac:dyDescent="0.25">
      <c r="B362" s="19" t="str">
        <f>'Client Data'!C150</f>
        <v>Product E</v>
      </c>
      <c r="C362" s="35">
        <f>'Client Data'!D150</f>
        <v>2</v>
      </c>
      <c r="D362" s="35">
        <f>'Client Data'!E150</f>
        <v>4</v>
      </c>
      <c r="E362" s="35">
        <f>'Client Data'!F150</f>
        <v>5</v>
      </c>
      <c r="F362" s="35">
        <f>'Client Data'!G150</f>
        <v>4</v>
      </c>
      <c r="G362" s="35">
        <f>'Client Data'!H150</f>
        <v>2</v>
      </c>
      <c r="H362" s="35">
        <f>'Client Data'!I150</f>
        <v>5</v>
      </c>
      <c r="I362" s="35">
        <f>'Client Data'!J150</f>
        <v>5</v>
      </c>
      <c r="J362" s="35">
        <f>'Client Data'!K150</f>
        <v>4</v>
      </c>
      <c r="K362" s="35">
        <f>'Client Data'!L150</f>
        <v>2</v>
      </c>
      <c r="L362" s="35">
        <f>'Client Data'!M150</f>
        <v>3</v>
      </c>
      <c r="M362" s="35">
        <f>'Client Data'!N150</f>
        <v>3</v>
      </c>
      <c r="N362" s="35">
        <f>'Client Data'!O150</f>
        <v>4</v>
      </c>
      <c r="O362" s="35">
        <f>'Client Data'!P150</f>
        <v>2</v>
      </c>
      <c r="P362" s="35">
        <f>'Client Data'!Q150</f>
        <v>6</v>
      </c>
      <c r="Q362" s="35">
        <f>'Client Data'!R150</f>
        <v>5</v>
      </c>
      <c r="R362" s="35">
        <f>'Client Data'!S150</f>
        <v>4</v>
      </c>
      <c r="S362" s="35">
        <f>'Client Data'!T150</f>
        <v>2</v>
      </c>
      <c r="T362" s="35">
        <f>'Client Data'!U150</f>
        <v>4</v>
      </c>
      <c r="U362" s="35">
        <f>'Client Data'!V150</f>
        <v>5</v>
      </c>
      <c r="V362" s="35">
        <f>'Client Data'!W150</f>
        <v>4</v>
      </c>
      <c r="W362" s="35">
        <f>'Client Data'!X150</f>
        <v>2</v>
      </c>
      <c r="X362" s="35">
        <f>'Client Data'!Y150</f>
        <v>3</v>
      </c>
      <c r="Y362" s="35">
        <f>'Client Data'!Z150</f>
        <v>2</v>
      </c>
      <c r="Z362" s="35">
        <f>'Client Data'!AA150</f>
        <v>4</v>
      </c>
      <c r="AA362" s="35">
        <f>'Client Data'!AB150</f>
        <v>2</v>
      </c>
      <c r="AB362" s="35">
        <f>'Client Data'!AC150</f>
        <v>4</v>
      </c>
      <c r="AC362" s="35">
        <f>'Client Data'!AD150</f>
        <v>4</v>
      </c>
      <c r="AD362" s="35">
        <f>'Client Data'!AE150</f>
        <v>4</v>
      </c>
      <c r="AE362" s="35">
        <f>'Client Data'!AF150</f>
        <v>2</v>
      </c>
      <c r="AF362" s="35">
        <f>'Client Data'!AG150</f>
        <v>5</v>
      </c>
      <c r="AG362" s="35">
        <f>'Client Data'!AH150</f>
        <v>5</v>
      </c>
      <c r="AH362" s="35">
        <f>'Client Data'!AI150</f>
        <v>4</v>
      </c>
      <c r="AI362" s="35">
        <f>'Client Data'!AJ150</f>
        <v>2</v>
      </c>
      <c r="AJ362" s="35">
        <f>'Client Data'!AK150</f>
        <v>3</v>
      </c>
      <c r="AK362" s="35">
        <f>'Client Data'!AL150</f>
        <v>5</v>
      </c>
      <c r="AL362" s="35">
        <f>'Client Data'!AM150</f>
        <v>4</v>
      </c>
      <c r="AM362" s="35">
        <f>'Client Data'!AN150</f>
        <v>2</v>
      </c>
      <c r="AN362" s="35">
        <f>'Client Data'!AO150</f>
        <v>6</v>
      </c>
      <c r="AO362" s="35">
        <f>'Client Data'!AP150</f>
        <v>5</v>
      </c>
      <c r="AP362" s="35">
        <f>'Client Data'!AQ150</f>
        <v>4</v>
      </c>
      <c r="AQ362" s="35">
        <f>'Client Data'!AR150</f>
        <v>2</v>
      </c>
      <c r="AR362" s="35">
        <f>'Client Data'!AS150</f>
        <v>5</v>
      </c>
      <c r="AS362" s="35">
        <f>'Client Data'!AT150</f>
        <v>5</v>
      </c>
      <c r="AT362" s="35">
        <f>'Client Data'!AU150</f>
        <v>4</v>
      </c>
      <c r="AU362" s="35">
        <f>'Client Data'!AV150</f>
        <v>2</v>
      </c>
      <c r="AV362" s="35">
        <f>'Client Data'!AW150</f>
        <v>5</v>
      </c>
      <c r="AW362" s="35">
        <f>'Client Data'!AX150</f>
        <v>3</v>
      </c>
      <c r="AX362" s="35">
        <f>'Client Data'!AY150</f>
        <v>4</v>
      </c>
      <c r="AY362" s="35">
        <f>'Client Data'!AZ150</f>
        <v>2</v>
      </c>
      <c r="AZ362" s="35">
        <f>'Client Data'!BA150</f>
        <v>6</v>
      </c>
      <c r="BA362" s="35">
        <f>'Client Data'!BB150</f>
        <v>5</v>
      </c>
      <c r="BB362" s="35">
        <f>'Client Data'!BC150</f>
        <v>4</v>
      </c>
      <c r="BC362" s="19">
        <f t="shared" si="658"/>
        <v>194</v>
      </c>
    </row>
    <row r="363" spans="2:55" x14ac:dyDescent="0.25">
      <c r="B363" s="19" t="str">
        <f>'Client Data'!C151</f>
        <v>Product F</v>
      </c>
      <c r="C363" s="35">
        <f>'Client Data'!D151</f>
        <v>0</v>
      </c>
      <c r="D363" s="35">
        <f>'Client Data'!E151</f>
        <v>0</v>
      </c>
      <c r="E363" s="35">
        <f>'Client Data'!F151</f>
        <v>0</v>
      </c>
      <c r="F363" s="35">
        <f>'Client Data'!G151</f>
        <v>0</v>
      </c>
      <c r="G363" s="35">
        <f>'Client Data'!H151</f>
        <v>0</v>
      </c>
      <c r="H363" s="35">
        <f>'Client Data'!I151</f>
        <v>0</v>
      </c>
      <c r="I363" s="35">
        <f>'Client Data'!J151</f>
        <v>0</v>
      </c>
      <c r="J363" s="35">
        <f>'Client Data'!K151</f>
        <v>0</v>
      </c>
      <c r="K363" s="35">
        <f>'Client Data'!L151</f>
        <v>0</v>
      </c>
      <c r="L363" s="35">
        <f>'Client Data'!M151</f>
        <v>0</v>
      </c>
      <c r="M363" s="35">
        <f>'Client Data'!N151</f>
        <v>0</v>
      </c>
      <c r="N363" s="35">
        <f>'Client Data'!O151</f>
        <v>0</v>
      </c>
      <c r="O363" s="35">
        <f>'Client Data'!P151</f>
        <v>0</v>
      </c>
      <c r="P363" s="35">
        <f>'Client Data'!Q151</f>
        <v>0</v>
      </c>
      <c r="Q363" s="35">
        <f>'Client Data'!R151</f>
        <v>0</v>
      </c>
      <c r="R363" s="35">
        <f>'Client Data'!S151</f>
        <v>0</v>
      </c>
      <c r="S363" s="35">
        <f>'Client Data'!T151</f>
        <v>0</v>
      </c>
      <c r="T363" s="35">
        <f>'Client Data'!U151</f>
        <v>0</v>
      </c>
      <c r="U363" s="35">
        <f>'Client Data'!V151</f>
        <v>0</v>
      </c>
      <c r="V363" s="35">
        <f>'Client Data'!W151</f>
        <v>0</v>
      </c>
      <c r="W363" s="35">
        <f>'Client Data'!X151</f>
        <v>0</v>
      </c>
      <c r="X363" s="35">
        <f>'Client Data'!Y151</f>
        <v>0</v>
      </c>
      <c r="Y363" s="35">
        <f>'Client Data'!Z151</f>
        <v>0</v>
      </c>
      <c r="Z363" s="35">
        <f>'Client Data'!AA151</f>
        <v>0</v>
      </c>
      <c r="AA363" s="35">
        <f>'Client Data'!AB151</f>
        <v>0</v>
      </c>
      <c r="AB363" s="35">
        <f>'Client Data'!AC151</f>
        <v>0</v>
      </c>
      <c r="AC363" s="35">
        <f>'Client Data'!AD151</f>
        <v>0</v>
      </c>
      <c r="AD363" s="35">
        <f>'Client Data'!AE151</f>
        <v>0</v>
      </c>
      <c r="AE363" s="35">
        <f>'Client Data'!AF151</f>
        <v>0</v>
      </c>
      <c r="AF363" s="35">
        <f>'Client Data'!AG151</f>
        <v>0</v>
      </c>
      <c r="AG363" s="35">
        <f>'Client Data'!AH151</f>
        <v>0</v>
      </c>
      <c r="AH363" s="35">
        <f>'Client Data'!AI151</f>
        <v>0</v>
      </c>
      <c r="AI363" s="35">
        <f>'Client Data'!AJ151</f>
        <v>0</v>
      </c>
      <c r="AJ363" s="35">
        <f>'Client Data'!AK151</f>
        <v>0</v>
      </c>
      <c r="AK363" s="35">
        <f>'Client Data'!AL151</f>
        <v>0</v>
      </c>
      <c r="AL363" s="35">
        <f>'Client Data'!AM151</f>
        <v>0</v>
      </c>
      <c r="AM363" s="35">
        <f>'Client Data'!AN151</f>
        <v>0</v>
      </c>
      <c r="AN363" s="35">
        <f>'Client Data'!AO151</f>
        <v>0</v>
      </c>
      <c r="AO363" s="35">
        <f>'Client Data'!AP151</f>
        <v>0</v>
      </c>
      <c r="AP363" s="35">
        <f>'Client Data'!AQ151</f>
        <v>0</v>
      </c>
      <c r="AQ363" s="35">
        <f>'Client Data'!AR151</f>
        <v>0</v>
      </c>
      <c r="AR363" s="35">
        <f>'Client Data'!AS151</f>
        <v>0</v>
      </c>
      <c r="AS363" s="35">
        <f>'Client Data'!AT151</f>
        <v>0</v>
      </c>
      <c r="AT363" s="35">
        <f>'Client Data'!AU151</f>
        <v>0</v>
      </c>
      <c r="AU363" s="35">
        <f>'Client Data'!AV151</f>
        <v>0</v>
      </c>
      <c r="AV363" s="35">
        <f>'Client Data'!AW151</f>
        <v>0</v>
      </c>
      <c r="AW363" s="35">
        <f>'Client Data'!AX151</f>
        <v>0</v>
      </c>
      <c r="AX363" s="35">
        <f>'Client Data'!AY151</f>
        <v>0</v>
      </c>
      <c r="AY363" s="35">
        <f>'Client Data'!AZ151</f>
        <v>0</v>
      </c>
      <c r="AZ363" s="35">
        <f>'Client Data'!BA151</f>
        <v>0</v>
      </c>
      <c r="BA363" s="35">
        <f>'Client Data'!BB151</f>
        <v>0</v>
      </c>
      <c r="BB363" s="35">
        <f>'Client Data'!BC151</f>
        <v>0</v>
      </c>
      <c r="BC363" s="19">
        <f t="shared" si="658"/>
        <v>0</v>
      </c>
    </row>
    <row r="364" spans="2:55" x14ac:dyDescent="0.25">
      <c r="B364" s="19" t="str">
        <f>'Client Data'!C152</f>
        <v>Product G</v>
      </c>
      <c r="C364" s="35">
        <f>'Client Data'!D152</f>
        <v>0</v>
      </c>
      <c r="D364" s="35">
        <f>'Client Data'!E152</f>
        <v>0</v>
      </c>
      <c r="E364" s="35">
        <f>'Client Data'!F152</f>
        <v>0</v>
      </c>
      <c r="F364" s="35">
        <f>'Client Data'!G152</f>
        <v>0</v>
      </c>
      <c r="G364" s="35">
        <f>'Client Data'!H152</f>
        <v>0</v>
      </c>
      <c r="H364" s="35">
        <f>'Client Data'!I152</f>
        <v>0</v>
      </c>
      <c r="I364" s="35">
        <f>'Client Data'!J152</f>
        <v>0</v>
      </c>
      <c r="J364" s="35">
        <f>'Client Data'!K152</f>
        <v>0</v>
      </c>
      <c r="K364" s="35">
        <f>'Client Data'!L152</f>
        <v>0</v>
      </c>
      <c r="L364" s="35">
        <f>'Client Data'!M152</f>
        <v>0</v>
      </c>
      <c r="M364" s="35">
        <f>'Client Data'!N152</f>
        <v>0</v>
      </c>
      <c r="N364" s="35">
        <f>'Client Data'!O152</f>
        <v>0</v>
      </c>
      <c r="O364" s="35">
        <f>'Client Data'!P152</f>
        <v>0</v>
      </c>
      <c r="P364" s="35">
        <f>'Client Data'!Q152</f>
        <v>0</v>
      </c>
      <c r="Q364" s="35">
        <f>'Client Data'!R152</f>
        <v>0</v>
      </c>
      <c r="R364" s="35">
        <f>'Client Data'!S152</f>
        <v>0</v>
      </c>
      <c r="S364" s="35">
        <f>'Client Data'!T152</f>
        <v>0</v>
      </c>
      <c r="T364" s="35">
        <f>'Client Data'!U152</f>
        <v>0</v>
      </c>
      <c r="U364" s="35">
        <f>'Client Data'!V152</f>
        <v>0</v>
      </c>
      <c r="V364" s="35">
        <f>'Client Data'!W152</f>
        <v>0</v>
      </c>
      <c r="W364" s="35">
        <f>'Client Data'!X152</f>
        <v>0</v>
      </c>
      <c r="X364" s="35">
        <f>'Client Data'!Y152</f>
        <v>0</v>
      </c>
      <c r="Y364" s="35">
        <f>'Client Data'!Z152</f>
        <v>0</v>
      </c>
      <c r="Z364" s="35">
        <f>'Client Data'!AA152</f>
        <v>0</v>
      </c>
      <c r="AA364" s="35">
        <f>'Client Data'!AB152</f>
        <v>0</v>
      </c>
      <c r="AB364" s="35">
        <f>'Client Data'!AC152</f>
        <v>0</v>
      </c>
      <c r="AC364" s="35">
        <f>'Client Data'!AD152</f>
        <v>0</v>
      </c>
      <c r="AD364" s="35">
        <f>'Client Data'!AE152</f>
        <v>0</v>
      </c>
      <c r="AE364" s="35">
        <f>'Client Data'!AF152</f>
        <v>0</v>
      </c>
      <c r="AF364" s="35">
        <f>'Client Data'!AG152</f>
        <v>0</v>
      </c>
      <c r="AG364" s="35">
        <f>'Client Data'!AH152</f>
        <v>0</v>
      </c>
      <c r="AH364" s="35">
        <f>'Client Data'!AI152</f>
        <v>0</v>
      </c>
      <c r="AI364" s="35">
        <f>'Client Data'!AJ152</f>
        <v>0</v>
      </c>
      <c r="AJ364" s="35">
        <f>'Client Data'!AK152</f>
        <v>0</v>
      </c>
      <c r="AK364" s="35">
        <f>'Client Data'!AL152</f>
        <v>0</v>
      </c>
      <c r="AL364" s="35">
        <f>'Client Data'!AM152</f>
        <v>0</v>
      </c>
      <c r="AM364" s="35">
        <f>'Client Data'!AN152</f>
        <v>0</v>
      </c>
      <c r="AN364" s="35">
        <f>'Client Data'!AO152</f>
        <v>0</v>
      </c>
      <c r="AO364" s="35">
        <f>'Client Data'!AP152</f>
        <v>0</v>
      </c>
      <c r="AP364" s="35">
        <f>'Client Data'!AQ152</f>
        <v>0</v>
      </c>
      <c r="AQ364" s="35">
        <f>'Client Data'!AR152</f>
        <v>0</v>
      </c>
      <c r="AR364" s="35">
        <f>'Client Data'!AS152</f>
        <v>0</v>
      </c>
      <c r="AS364" s="35">
        <f>'Client Data'!AT152</f>
        <v>0</v>
      </c>
      <c r="AT364" s="35">
        <f>'Client Data'!AU152</f>
        <v>0</v>
      </c>
      <c r="AU364" s="35">
        <f>'Client Data'!AV152</f>
        <v>0</v>
      </c>
      <c r="AV364" s="35">
        <f>'Client Data'!AW152</f>
        <v>0</v>
      </c>
      <c r="AW364" s="35">
        <f>'Client Data'!AX152</f>
        <v>0</v>
      </c>
      <c r="AX364" s="35">
        <f>'Client Data'!AY152</f>
        <v>0</v>
      </c>
      <c r="AY364" s="35">
        <f>'Client Data'!AZ152</f>
        <v>0</v>
      </c>
      <c r="AZ364" s="35">
        <f>'Client Data'!BA152</f>
        <v>0</v>
      </c>
      <c r="BA364" s="35">
        <f>'Client Data'!BB152</f>
        <v>0</v>
      </c>
      <c r="BB364" s="35">
        <f>'Client Data'!BC152</f>
        <v>0</v>
      </c>
      <c r="BC364" s="19">
        <f t="shared" si="658"/>
        <v>0</v>
      </c>
    </row>
    <row r="365" spans="2:55" x14ac:dyDescent="0.25">
      <c r="B365" s="19" t="str">
        <f>'Client Data'!C153</f>
        <v>Product H</v>
      </c>
      <c r="C365" s="35">
        <f>'Client Data'!D153</f>
        <v>0</v>
      </c>
      <c r="D365" s="35">
        <f>'Client Data'!E153</f>
        <v>0</v>
      </c>
      <c r="E365" s="35">
        <f>'Client Data'!F153</f>
        <v>0</v>
      </c>
      <c r="F365" s="35">
        <f>'Client Data'!G153</f>
        <v>0</v>
      </c>
      <c r="G365" s="35">
        <f>'Client Data'!H153</f>
        <v>0</v>
      </c>
      <c r="H365" s="35">
        <f>'Client Data'!I153</f>
        <v>0</v>
      </c>
      <c r="I365" s="35">
        <f>'Client Data'!J153</f>
        <v>0</v>
      </c>
      <c r="J365" s="35">
        <f>'Client Data'!K153</f>
        <v>0</v>
      </c>
      <c r="K365" s="35">
        <f>'Client Data'!L153</f>
        <v>0</v>
      </c>
      <c r="L365" s="35">
        <f>'Client Data'!M153</f>
        <v>0</v>
      </c>
      <c r="M365" s="35">
        <f>'Client Data'!N153</f>
        <v>0</v>
      </c>
      <c r="N365" s="35">
        <f>'Client Data'!O153</f>
        <v>0</v>
      </c>
      <c r="O365" s="35">
        <f>'Client Data'!P153</f>
        <v>0</v>
      </c>
      <c r="P365" s="35">
        <f>'Client Data'!Q153</f>
        <v>0</v>
      </c>
      <c r="Q365" s="35">
        <f>'Client Data'!R153</f>
        <v>0</v>
      </c>
      <c r="R365" s="35">
        <f>'Client Data'!S153</f>
        <v>0</v>
      </c>
      <c r="S365" s="35">
        <f>'Client Data'!T153</f>
        <v>0</v>
      </c>
      <c r="T365" s="35">
        <f>'Client Data'!U153</f>
        <v>0</v>
      </c>
      <c r="U365" s="35">
        <f>'Client Data'!V153</f>
        <v>0</v>
      </c>
      <c r="V365" s="35">
        <f>'Client Data'!W153</f>
        <v>0</v>
      </c>
      <c r="W365" s="35">
        <f>'Client Data'!X153</f>
        <v>0</v>
      </c>
      <c r="X365" s="35">
        <f>'Client Data'!Y153</f>
        <v>0</v>
      </c>
      <c r="Y365" s="35">
        <f>'Client Data'!Z153</f>
        <v>0</v>
      </c>
      <c r="Z365" s="35">
        <f>'Client Data'!AA153</f>
        <v>0</v>
      </c>
      <c r="AA365" s="35">
        <f>'Client Data'!AB153</f>
        <v>0</v>
      </c>
      <c r="AB365" s="35">
        <f>'Client Data'!AC153</f>
        <v>0</v>
      </c>
      <c r="AC365" s="35">
        <f>'Client Data'!AD153</f>
        <v>0</v>
      </c>
      <c r="AD365" s="35">
        <f>'Client Data'!AE153</f>
        <v>0</v>
      </c>
      <c r="AE365" s="35">
        <f>'Client Data'!AF153</f>
        <v>0</v>
      </c>
      <c r="AF365" s="35">
        <f>'Client Data'!AG153</f>
        <v>0</v>
      </c>
      <c r="AG365" s="35">
        <f>'Client Data'!AH153</f>
        <v>0</v>
      </c>
      <c r="AH365" s="35">
        <f>'Client Data'!AI153</f>
        <v>0</v>
      </c>
      <c r="AI365" s="35">
        <f>'Client Data'!AJ153</f>
        <v>0</v>
      </c>
      <c r="AJ365" s="35">
        <f>'Client Data'!AK153</f>
        <v>0</v>
      </c>
      <c r="AK365" s="35">
        <f>'Client Data'!AL153</f>
        <v>0</v>
      </c>
      <c r="AL365" s="35">
        <f>'Client Data'!AM153</f>
        <v>0</v>
      </c>
      <c r="AM365" s="35">
        <f>'Client Data'!AN153</f>
        <v>0</v>
      </c>
      <c r="AN365" s="35">
        <f>'Client Data'!AO153</f>
        <v>0</v>
      </c>
      <c r="AO365" s="35">
        <f>'Client Data'!AP153</f>
        <v>0</v>
      </c>
      <c r="AP365" s="35">
        <f>'Client Data'!AQ153</f>
        <v>0</v>
      </c>
      <c r="AQ365" s="35">
        <f>'Client Data'!AR153</f>
        <v>0</v>
      </c>
      <c r="AR365" s="35">
        <f>'Client Data'!AS153</f>
        <v>0</v>
      </c>
      <c r="AS365" s="35">
        <f>'Client Data'!AT153</f>
        <v>0</v>
      </c>
      <c r="AT365" s="35">
        <f>'Client Data'!AU153</f>
        <v>0</v>
      </c>
      <c r="AU365" s="35">
        <f>'Client Data'!AV153</f>
        <v>0</v>
      </c>
      <c r="AV365" s="35">
        <f>'Client Data'!AW153</f>
        <v>0</v>
      </c>
      <c r="AW365" s="35">
        <f>'Client Data'!AX153</f>
        <v>0</v>
      </c>
      <c r="AX365" s="35">
        <f>'Client Data'!AY153</f>
        <v>0</v>
      </c>
      <c r="AY365" s="35">
        <f>'Client Data'!AZ153</f>
        <v>0</v>
      </c>
      <c r="AZ365" s="35">
        <f>'Client Data'!BA153</f>
        <v>0</v>
      </c>
      <c r="BA365" s="35">
        <f>'Client Data'!BB153</f>
        <v>0</v>
      </c>
      <c r="BB365" s="35">
        <f>'Client Data'!BC153</f>
        <v>0</v>
      </c>
      <c r="BC365" s="19">
        <f t="shared" si="658"/>
        <v>0</v>
      </c>
    </row>
    <row r="366" spans="2:55" x14ac:dyDescent="0.25">
      <c r="B366" s="19" t="str">
        <f>'Client Data'!B154</f>
        <v>Yield Defect Loss Type F</v>
      </c>
      <c r="C366" s="50">
        <f t="shared" ref="C366:AH366" si="665">IF(C190&gt;0,SUM(C367:C374),0)</f>
        <v>0</v>
      </c>
      <c r="D366" s="50">
        <f t="shared" si="665"/>
        <v>2</v>
      </c>
      <c r="E366" s="50">
        <f t="shared" si="665"/>
        <v>6</v>
      </c>
      <c r="F366" s="50">
        <f t="shared" si="665"/>
        <v>0</v>
      </c>
      <c r="G366" s="50">
        <f t="shared" si="665"/>
        <v>0</v>
      </c>
      <c r="H366" s="50">
        <f t="shared" si="665"/>
        <v>2</v>
      </c>
      <c r="I366" s="50">
        <f t="shared" si="665"/>
        <v>4</v>
      </c>
      <c r="J366" s="50">
        <f t="shared" si="665"/>
        <v>5</v>
      </c>
      <c r="K366" s="50">
        <f t="shared" si="665"/>
        <v>3</v>
      </c>
      <c r="L366" s="50">
        <f t="shared" si="665"/>
        <v>2</v>
      </c>
      <c r="M366" s="50">
        <f t="shared" si="665"/>
        <v>6</v>
      </c>
      <c r="N366" s="50">
        <f t="shared" si="665"/>
        <v>5</v>
      </c>
      <c r="O366" s="50">
        <f t="shared" si="665"/>
        <v>0</v>
      </c>
      <c r="P366" s="50">
        <f t="shared" si="665"/>
        <v>2</v>
      </c>
      <c r="Q366" s="50">
        <f t="shared" si="665"/>
        <v>6</v>
      </c>
      <c r="R366" s="50">
        <f t="shared" si="665"/>
        <v>5</v>
      </c>
      <c r="S366" s="50">
        <f t="shared" si="665"/>
        <v>0</v>
      </c>
      <c r="T366" s="50">
        <f t="shared" si="665"/>
        <v>2</v>
      </c>
      <c r="U366" s="50">
        <f t="shared" si="665"/>
        <v>3</v>
      </c>
      <c r="V366" s="50">
        <f t="shared" si="665"/>
        <v>5</v>
      </c>
      <c r="W366" s="50">
        <f t="shared" si="665"/>
        <v>0</v>
      </c>
      <c r="X366" s="50">
        <f t="shared" si="665"/>
        <v>2</v>
      </c>
      <c r="Y366" s="50">
        <f t="shared" si="665"/>
        <v>4</v>
      </c>
      <c r="Z366" s="50">
        <f t="shared" si="665"/>
        <v>5</v>
      </c>
      <c r="AA366" s="50">
        <f t="shared" si="665"/>
        <v>0</v>
      </c>
      <c r="AB366" s="50">
        <f t="shared" si="665"/>
        <v>2</v>
      </c>
      <c r="AC366" s="50">
        <f t="shared" si="665"/>
        <v>5</v>
      </c>
      <c r="AD366" s="50">
        <f t="shared" si="665"/>
        <v>2</v>
      </c>
      <c r="AE366" s="50">
        <f t="shared" si="665"/>
        <v>0</v>
      </c>
      <c r="AF366" s="50">
        <f t="shared" si="665"/>
        <v>2</v>
      </c>
      <c r="AG366" s="50">
        <f t="shared" si="665"/>
        <v>6</v>
      </c>
      <c r="AH366" s="50">
        <f t="shared" si="665"/>
        <v>5</v>
      </c>
      <c r="AI366" s="50">
        <f t="shared" ref="AI366:BB366" si="666">IF(AI190&gt;0,SUM(AI367:AI374),0)</f>
        <v>0</v>
      </c>
      <c r="AJ366" s="50">
        <f t="shared" si="666"/>
        <v>2</v>
      </c>
      <c r="AK366" s="50">
        <f t="shared" si="666"/>
        <v>4</v>
      </c>
      <c r="AL366" s="50">
        <f t="shared" si="666"/>
        <v>5</v>
      </c>
      <c r="AM366" s="50">
        <f t="shared" si="666"/>
        <v>0</v>
      </c>
      <c r="AN366" s="50">
        <f t="shared" si="666"/>
        <v>2</v>
      </c>
      <c r="AO366" s="50">
        <f t="shared" si="666"/>
        <v>6</v>
      </c>
      <c r="AP366" s="50">
        <f t="shared" si="666"/>
        <v>2</v>
      </c>
      <c r="AQ366" s="50">
        <f t="shared" si="666"/>
        <v>0</v>
      </c>
      <c r="AR366" s="50">
        <f t="shared" si="666"/>
        <v>2</v>
      </c>
      <c r="AS366" s="50">
        <f t="shared" si="666"/>
        <v>6</v>
      </c>
      <c r="AT366" s="50">
        <f t="shared" si="666"/>
        <v>5</v>
      </c>
      <c r="AU366" s="50">
        <f t="shared" si="666"/>
        <v>2</v>
      </c>
      <c r="AV366" s="50">
        <f t="shared" si="666"/>
        <v>2</v>
      </c>
      <c r="AW366" s="50">
        <f t="shared" si="666"/>
        <v>5</v>
      </c>
      <c r="AX366" s="50">
        <f t="shared" si="666"/>
        <v>5</v>
      </c>
      <c r="AY366" s="50">
        <f t="shared" si="666"/>
        <v>3</v>
      </c>
      <c r="AZ366" s="50">
        <f t="shared" si="666"/>
        <v>2</v>
      </c>
      <c r="BA366" s="50">
        <f t="shared" si="666"/>
        <v>4</v>
      </c>
      <c r="BB366" s="50">
        <f t="shared" si="666"/>
        <v>5</v>
      </c>
      <c r="BC366" s="19">
        <f t="shared" si="658"/>
        <v>153</v>
      </c>
    </row>
    <row r="367" spans="2:55" x14ac:dyDescent="0.25">
      <c r="B367" s="19" t="str">
        <f>'Client Data'!C155</f>
        <v>Product A</v>
      </c>
      <c r="C367" s="35">
        <f>'Client Data'!D155</f>
        <v>0</v>
      </c>
      <c r="D367" s="35">
        <f>'Client Data'!E155</f>
        <v>0</v>
      </c>
      <c r="E367" s="35">
        <f>'Client Data'!F155</f>
        <v>0</v>
      </c>
      <c r="F367" s="35">
        <f>'Client Data'!G155</f>
        <v>0</v>
      </c>
      <c r="G367" s="35">
        <f>'Client Data'!H155</f>
        <v>0</v>
      </c>
      <c r="H367" s="35">
        <f>'Client Data'!I155</f>
        <v>0</v>
      </c>
      <c r="I367" s="35">
        <f>'Client Data'!J155</f>
        <v>0</v>
      </c>
      <c r="J367" s="35">
        <f>'Client Data'!K155</f>
        <v>0</v>
      </c>
      <c r="K367" s="35">
        <f>'Client Data'!L155</f>
        <v>0</v>
      </c>
      <c r="L367" s="35">
        <f>'Client Data'!M155</f>
        <v>0</v>
      </c>
      <c r="M367" s="35">
        <f>'Client Data'!N155</f>
        <v>0</v>
      </c>
      <c r="N367" s="35">
        <f>'Client Data'!O155</f>
        <v>0</v>
      </c>
      <c r="O367" s="35">
        <f>'Client Data'!P155</f>
        <v>0</v>
      </c>
      <c r="P367" s="35">
        <f>'Client Data'!Q155</f>
        <v>0</v>
      </c>
      <c r="Q367" s="35">
        <f>'Client Data'!R155</f>
        <v>0</v>
      </c>
      <c r="R367" s="35">
        <f>'Client Data'!S155</f>
        <v>0</v>
      </c>
      <c r="S367" s="35">
        <f>'Client Data'!T155</f>
        <v>0</v>
      </c>
      <c r="T367" s="35">
        <f>'Client Data'!U155</f>
        <v>0</v>
      </c>
      <c r="U367" s="35">
        <f>'Client Data'!V155</f>
        <v>0</v>
      </c>
      <c r="V367" s="35">
        <f>'Client Data'!W155</f>
        <v>0</v>
      </c>
      <c r="W367" s="35">
        <f>'Client Data'!X155</f>
        <v>0</v>
      </c>
      <c r="X367" s="35">
        <f>'Client Data'!Y155</f>
        <v>0</v>
      </c>
      <c r="Y367" s="35">
        <f>'Client Data'!Z155</f>
        <v>0</v>
      </c>
      <c r="Z367" s="35">
        <f>'Client Data'!AA155</f>
        <v>0</v>
      </c>
      <c r="AA367" s="35">
        <f>'Client Data'!AB155</f>
        <v>0</v>
      </c>
      <c r="AB367" s="35">
        <f>'Client Data'!AC155</f>
        <v>0</v>
      </c>
      <c r="AC367" s="35">
        <f>'Client Data'!AD155</f>
        <v>0</v>
      </c>
      <c r="AD367" s="35">
        <f>'Client Data'!AE155</f>
        <v>0</v>
      </c>
      <c r="AE367" s="35">
        <f>'Client Data'!AF155</f>
        <v>0</v>
      </c>
      <c r="AF367" s="35">
        <f>'Client Data'!AG155</f>
        <v>0</v>
      </c>
      <c r="AG367" s="35">
        <f>'Client Data'!AH155</f>
        <v>0</v>
      </c>
      <c r="AH367" s="35">
        <f>'Client Data'!AI155</f>
        <v>0</v>
      </c>
      <c r="AI367" s="35">
        <f>'Client Data'!AJ155</f>
        <v>0</v>
      </c>
      <c r="AJ367" s="35">
        <f>'Client Data'!AK155</f>
        <v>0</v>
      </c>
      <c r="AK367" s="35">
        <f>'Client Data'!AL155</f>
        <v>0</v>
      </c>
      <c r="AL367" s="35">
        <f>'Client Data'!AM155</f>
        <v>0</v>
      </c>
      <c r="AM367" s="35">
        <f>'Client Data'!AN155</f>
        <v>0</v>
      </c>
      <c r="AN367" s="35">
        <f>'Client Data'!AO155</f>
        <v>0</v>
      </c>
      <c r="AO367" s="35">
        <f>'Client Data'!AP155</f>
        <v>0</v>
      </c>
      <c r="AP367" s="35">
        <f>'Client Data'!AQ155</f>
        <v>0</v>
      </c>
      <c r="AQ367" s="35">
        <f>'Client Data'!AR155</f>
        <v>0</v>
      </c>
      <c r="AR367" s="35">
        <f>'Client Data'!AS155</f>
        <v>0</v>
      </c>
      <c r="AS367" s="35">
        <f>'Client Data'!AT155</f>
        <v>0</v>
      </c>
      <c r="AT367" s="35">
        <f>'Client Data'!AU155</f>
        <v>0</v>
      </c>
      <c r="AU367" s="35">
        <f>'Client Data'!AV155</f>
        <v>0</v>
      </c>
      <c r="AV367" s="35">
        <f>'Client Data'!AW155</f>
        <v>0</v>
      </c>
      <c r="AW367" s="35">
        <f>'Client Data'!AX155</f>
        <v>0</v>
      </c>
      <c r="AX367" s="35">
        <f>'Client Data'!AY155</f>
        <v>0</v>
      </c>
      <c r="AY367" s="35">
        <f>'Client Data'!AZ155</f>
        <v>0</v>
      </c>
      <c r="AZ367" s="35">
        <f>'Client Data'!BA155</f>
        <v>0</v>
      </c>
      <c r="BA367" s="35">
        <f>'Client Data'!BB155</f>
        <v>0</v>
      </c>
      <c r="BB367" s="35">
        <f>'Client Data'!BC155</f>
        <v>0</v>
      </c>
      <c r="BC367" s="19">
        <f t="shared" si="658"/>
        <v>0</v>
      </c>
    </row>
    <row r="368" spans="2:55" x14ac:dyDescent="0.25">
      <c r="B368" s="19" t="str">
        <f>'Client Data'!C156</f>
        <v>Product B</v>
      </c>
      <c r="C368" s="35">
        <f>'Client Data'!D156</f>
        <v>0</v>
      </c>
      <c r="D368" s="35">
        <f>'Client Data'!E156</f>
        <v>0</v>
      </c>
      <c r="E368" s="35">
        <f>'Client Data'!F156</f>
        <v>0</v>
      </c>
      <c r="F368" s="35">
        <f>'Client Data'!G156</f>
        <v>0</v>
      </c>
      <c r="G368" s="35">
        <f>'Client Data'!H156</f>
        <v>0</v>
      </c>
      <c r="H368" s="35">
        <f>'Client Data'!I156</f>
        <v>0</v>
      </c>
      <c r="I368" s="35">
        <f>'Client Data'!J156</f>
        <v>0</v>
      </c>
      <c r="J368" s="35">
        <f>'Client Data'!K156</f>
        <v>0</v>
      </c>
      <c r="K368" s="35">
        <f>'Client Data'!L156</f>
        <v>0</v>
      </c>
      <c r="L368" s="35">
        <f>'Client Data'!M156</f>
        <v>0</v>
      </c>
      <c r="M368" s="35">
        <f>'Client Data'!N156</f>
        <v>0</v>
      </c>
      <c r="N368" s="35">
        <f>'Client Data'!O156</f>
        <v>0</v>
      </c>
      <c r="O368" s="35">
        <f>'Client Data'!P156</f>
        <v>0</v>
      </c>
      <c r="P368" s="35">
        <f>'Client Data'!Q156</f>
        <v>0</v>
      </c>
      <c r="Q368" s="35">
        <f>'Client Data'!R156</f>
        <v>0</v>
      </c>
      <c r="R368" s="35">
        <f>'Client Data'!S156</f>
        <v>0</v>
      </c>
      <c r="S368" s="35">
        <f>'Client Data'!T156</f>
        <v>0</v>
      </c>
      <c r="T368" s="35">
        <f>'Client Data'!U156</f>
        <v>0</v>
      </c>
      <c r="U368" s="35">
        <f>'Client Data'!V156</f>
        <v>0</v>
      </c>
      <c r="V368" s="35">
        <f>'Client Data'!W156</f>
        <v>0</v>
      </c>
      <c r="W368" s="35">
        <f>'Client Data'!X156</f>
        <v>0</v>
      </c>
      <c r="X368" s="35">
        <f>'Client Data'!Y156</f>
        <v>0</v>
      </c>
      <c r="Y368" s="35">
        <f>'Client Data'!Z156</f>
        <v>0</v>
      </c>
      <c r="Z368" s="35">
        <f>'Client Data'!AA156</f>
        <v>0</v>
      </c>
      <c r="AA368" s="35">
        <f>'Client Data'!AB156</f>
        <v>0</v>
      </c>
      <c r="AB368" s="35">
        <f>'Client Data'!AC156</f>
        <v>0</v>
      </c>
      <c r="AC368" s="35">
        <f>'Client Data'!AD156</f>
        <v>0</v>
      </c>
      <c r="AD368" s="35">
        <f>'Client Data'!AE156</f>
        <v>0</v>
      </c>
      <c r="AE368" s="35">
        <f>'Client Data'!AF156</f>
        <v>0</v>
      </c>
      <c r="AF368" s="35">
        <f>'Client Data'!AG156</f>
        <v>0</v>
      </c>
      <c r="AG368" s="35">
        <f>'Client Data'!AH156</f>
        <v>0</v>
      </c>
      <c r="AH368" s="35">
        <f>'Client Data'!AI156</f>
        <v>0</v>
      </c>
      <c r="AI368" s="35">
        <f>'Client Data'!AJ156</f>
        <v>0</v>
      </c>
      <c r="AJ368" s="35">
        <f>'Client Data'!AK156</f>
        <v>0</v>
      </c>
      <c r="AK368" s="35">
        <f>'Client Data'!AL156</f>
        <v>0</v>
      </c>
      <c r="AL368" s="35">
        <f>'Client Data'!AM156</f>
        <v>0</v>
      </c>
      <c r="AM368" s="35">
        <f>'Client Data'!AN156</f>
        <v>0</v>
      </c>
      <c r="AN368" s="35">
        <f>'Client Data'!AO156</f>
        <v>0</v>
      </c>
      <c r="AO368" s="35">
        <f>'Client Data'!AP156</f>
        <v>0</v>
      </c>
      <c r="AP368" s="35">
        <f>'Client Data'!AQ156</f>
        <v>0</v>
      </c>
      <c r="AQ368" s="35">
        <f>'Client Data'!AR156</f>
        <v>0</v>
      </c>
      <c r="AR368" s="35">
        <f>'Client Data'!AS156</f>
        <v>0</v>
      </c>
      <c r="AS368" s="35">
        <f>'Client Data'!AT156</f>
        <v>0</v>
      </c>
      <c r="AT368" s="35">
        <f>'Client Data'!AU156</f>
        <v>0</v>
      </c>
      <c r="AU368" s="35">
        <f>'Client Data'!AV156</f>
        <v>0</v>
      </c>
      <c r="AV368" s="35">
        <f>'Client Data'!AW156</f>
        <v>0</v>
      </c>
      <c r="AW368" s="35">
        <f>'Client Data'!AX156</f>
        <v>0</v>
      </c>
      <c r="AX368" s="35">
        <f>'Client Data'!AY156</f>
        <v>0</v>
      </c>
      <c r="AY368" s="35">
        <f>'Client Data'!AZ156</f>
        <v>0</v>
      </c>
      <c r="AZ368" s="35">
        <f>'Client Data'!BA156</f>
        <v>0</v>
      </c>
      <c r="BA368" s="35">
        <f>'Client Data'!BB156</f>
        <v>0</v>
      </c>
      <c r="BB368" s="35">
        <f>'Client Data'!BC156</f>
        <v>0</v>
      </c>
      <c r="BC368" s="19">
        <f t="shared" si="658"/>
        <v>0</v>
      </c>
    </row>
    <row r="369" spans="2:55" x14ac:dyDescent="0.25">
      <c r="B369" s="19" t="str">
        <f>'Client Data'!C157</f>
        <v>Product C</v>
      </c>
      <c r="C369" s="35">
        <f>'Client Data'!D157</f>
        <v>0</v>
      </c>
      <c r="D369" s="35">
        <f>'Client Data'!E157</f>
        <v>0</v>
      </c>
      <c r="E369" s="35">
        <f>'Client Data'!F157</f>
        <v>0</v>
      </c>
      <c r="F369" s="35">
        <f>'Client Data'!G157</f>
        <v>0</v>
      </c>
      <c r="G369" s="35">
        <f>'Client Data'!H157</f>
        <v>0</v>
      </c>
      <c r="H369" s="35">
        <f>'Client Data'!I157</f>
        <v>0</v>
      </c>
      <c r="I369" s="35">
        <f>'Client Data'!J157</f>
        <v>0</v>
      </c>
      <c r="J369" s="35">
        <f>'Client Data'!K157</f>
        <v>0</v>
      </c>
      <c r="K369" s="35">
        <f>'Client Data'!L157</f>
        <v>0</v>
      </c>
      <c r="L369" s="35">
        <f>'Client Data'!M157</f>
        <v>0</v>
      </c>
      <c r="M369" s="35">
        <f>'Client Data'!N157</f>
        <v>0</v>
      </c>
      <c r="N369" s="35">
        <f>'Client Data'!O157</f>
        <v>0</v>
      </c>
      <c r="O369" s="35">
        <f>'Client Data'!P157</f>
        <v>0</v>
      </c>
      <c r="P369" s="35">
        <f>'Client Data'!Q157</f>
        <v>0</v>
      </c>
      <c r="Q369" s="35">
        <f>'Client Data'!R157</f>
        <v>0</v>
      </c>
      <c r="R369" s="35">
        <f>'Client Data'!S157</f>
        <v>0</v>
      </c>
      <c r="S369" s="35">
        <f>'Client Data'!T157</f>
        <v>0</v>
      </c>
      <c r="T369" s="35">
        <f>'Client Data'!U157</f>
        <v>0</v>
      </c>
      <c r="U369" s="35">
        <f>'Client Data'!V157</f>
        <v>0</v>
      </c>
      <c r="V369" s="35">
        <f>'Client Data'!W157</f>
        <v>0</v>
      </c>
      <c r="W369" s="35">
        <f>'Client Data'!X157</f>
        <v>0</v>
      </c>
      <c r="X369" s="35">
        <f>'Client Data'!Y157</f>
        <v>0</v>
      </c>
      <c r="Y369" s="35">
        <f>'Client Data'!Z157</f>
        <v>0</v>
      </c>
      <c r="Z369" s="35">
        <f>'Client Data'!AA157</f>
        <v>0</v>
      </c>
      <c r="AA369" s="35">
        <f>'Client Data'!AB157</f>
        <v>0</v>
      </c>
      <c r="AB369" s="35">
        <f>'Client Data'!AC157</f>
        <v>0</v>
      </c>
      <c r="AC369" s="35">
        <f>'Client Data'!AD157</f>
        <v>0</v>
      </c>
      <c r="AD369" s="35">
        <f>'Client Data'!AE157</f>
        <v>0</v>
      </c>
      <c r="AE369" s="35">
        <f>'Client Data'!AF157</f>
        <v>0</v>
      </c>
      <c r="AF369" s="35">
        <f>'Client Data'!AG157</f>
        <v>0</v>
      </c>
      <c r="AG369" s="35">
        <f>'Client Data'!AH157</f>
        <v>0</v>
      </c>
      <c r="AH369" s="35">
        <f>'Client Data'!AI157</f>
        <v>0</v>
      </c>
      <c r="AI369" s="35">
        <f>'Client Data'!AJ157</f>
        <v>0</v>
      </c>
      <c r="AJ369" s="35">
        <f>'Client Data'!AK157</f>
        <v>0</v>
      </c>
      <c r="AK369" s="35">
        <f>'Client Data'!AL157</f>
        <v>0</v>
      </c>
      <c r="AL369" s="35">
        <f>'Client Data'!AM157</f>
        <v>0</v>
      </c>
      <c r="AM369" s="35">
        <f>'Client Data'!AN157</f>
        <v>0</v>
      </c>
      <c r="AN369" s="35">
        <f>'Client Data'!AO157</f>
        <v>0</v>
      </c>
      <c r="AO369" s="35">
        <f>'Client Data'!AP157</f>
        <v>0</v>
      </c>
      <c r="AP369" s="35">
        <f>'Client Data'!AQ157</f>
        <v>0</v>
      </c>
      <c r="AQ369" s="35">
        <f>'Client Data'!AR157</f>
        <v>0</v>
      </c>
      <c r="AR369" s="35">
        <f>'Client Data'!AS157</f>
        <v>0</v>
      </c>
      <c r="AS369" s="35">
        <f>'Client Data'!AT157</f>
        <v>0</v>
      </c>
      <c r="AT369" s="35">
        <f>'Client Data'!AU157</f>
        <v>0</v>
      </c>
      <c r="AU369" s="35">
        <f>'Client Data'!AV157</f>
        <v>0</v>
      </c>
      <c r="AV369" s="35">
        <f>'Client Data'!AW157</f>
        <v>0</v>
      </c>
      <c r="AW369" s="35">
        <f>'Client Data'!AX157</f>
        <v>0</v>
      </c>
      <c r="AX369" s="35">
        <f>'Client Data'!AY157</f>
        <v>0</v>
      </c>
      <c r="AY369" s="35">
        <f>'Client Data'!AZ157</f>
        <v>0</v>
      </c>
      <c r="AZ369" s="35">
        <f>'Client Data'!BA157</f>
        <v>0</v>
      </c>
      <c r="BA369" s="35">
        <f>'Client Data'!BB157</f>
        <v>0</v>
      </c>
      <c r="BB369" s="35">
        <f>'Client Data'!BC157</f>
        <v>0</v>
      </c>
      <c r="BC369" s="19">
        <f t="shared" si="658"/>
        <v>0</v>
      </c>
    </row>
    <row r="370" spans="2:55" x14ac:dyDescent="0.25">
      <c r="B370" s="19" t="str">
        <f>'Client Data'!C158</f>
        <v>Product D</v>
      </c>
      <c r="C370" s="35">
        <f>'Client Data'!D158</f>
        <v>0</v>
      </c>
      <c r="D370" s="35">
        <f>'Client Data'!E158</f>
        <v>0</v>
      </c>
      <c r="E370" s="35">
        <f>'Client Data'!F158</f>
        <v>0</v>
      </c>
      <c r="F370" s="35">
        <f>'Client Data'!G158</f>
        <v>0</v>
      </c>
      <c r="G370" s="35">
        <f>'Client Data'!H158</f>
        <v>0</v>
      </c>
      <c r="H370" s="35">
        <f>'Client Data'!I158</f>
        <v>0</v>
      </c>
      <c r="I370" s="35">
        <f>'Client Data'!J158</f>
        <v>0</v>
      </c>
      <c r="J370" s="35">
        <f>'Client Data'!K158</f>
        <v>0</v>
      </c>
      <c r="K370" s="35">
        <f>'Client Data'!L158</f>
        <v>0</v>
      </c>
      <c r="L370" s="35">
        <f>'Client Data'!M158</f>
        <v>0</v>
      </c>
      <c r="M370" s="35">
        <f>'Client Data'!N158</f>
        <v>0</v>
      </c>
      <c r="N370" s="35">
        <f>'Client Data'!O158</f>
        <v>0</v>
      </c>
      <c r="O370" s="35">
        <f>'Client Data'!P158</f>
        <v>0</v>
      </c>
      <c r="P370" s="35">
        <f>'Client Data'!Q158</f>
        <v>0</v>
      </c>
      <c r="Q370" s="35">
        <f>'Client Data'!R158</f>
        <v>0</v>
      </c>
      <c r="R370" s="35">
        <f>'Client Data'!S158</f>
        <v>0</v>
      </c>
      <c r="S370" s="35">
        <f>'Client Data'!T158</f>
        <v>0</v>
      </c>
      <c r="T370" s="35">
        <f>'Client Data'!U158</f>
        <v>0</v>
      </c>
      <c r="U370" s="35">
        <f>'Client Data'!V158</f>
        <v>0</v>
      </c>
      <c r="V370" s="35">
        <f>'Client Data'!W158</f>
        <v>0</v>
      </c>
      <c r="W370" s="35">
        <f>'Client Data'!X158</f>
        <v>0</v>
      </c>
      <c r="X370" s="35">
        <f>'Client Data'!Y158</f>
        <v>0</v>
      </c>
      <c r="Y370" s="35">
        <f>'Client Data'!Z158</f>
        <v>0</v>
      </c>
      <c r="Z370" s="35">
        <f>'Client Data'!AA158</f>
        <v>0</v>
      </c>
      <c r="AA370" s="35">
        <f>'Client Data'!AB158</f>
        <v>0</v>
      </c>
      <c r="AB370" s="35">
        <f>'Client Data'!AC158</f>
        <v>0</v>
      </c>
      <c r="AC370" s="35">
        <f>'Client Data'!AD158</f>
        <v>0</v>
      </c>
      <c r="AD370" s="35">
        <f>'Client Data'!AE158</f>
        <v>0</v>
      </c>
      <c r="AE370" s="35">
        <f>'Client Data'!AF158</f>
        <v>0</v>
      </c>
      <c r="AF370" s="35">
        <f>'Client Data'!AG158</f>
        <v>0</v>
      </c>
      <c r="AG370" s="35">
        <f>'Client Data'!AH158</f>
        <v>0</v>
      </c>
      <c r="AH370" s="35">
        <f>'Client Data'!AI158</f>
        <v>0</v>
      </c>
      <c r="AI370" s="35">
        <f>'Client Data'!AJ158</f>
        <v>0</v>
      </c>
      <c r="AJ370" s="35">
        <f>'Client Data'!AK158</f>
        <v>0</v>
      </c>
      <c r="AK370" s="35">
        <f>'Client Data'!AL158</f>
        <v>0</v>
      </c>
      <c r="AL370" s="35">
        <f>'Client Data'!AM158</f>
        <v>0</v>
      </c>
      <c r="AM370" s="35">
        <f>'Client Data'!AN158</f>
        <v>0</v>
      </c>
      <c r="AN370" s="35">
        <f>'Client Data'!AO158</f>
        <v>0</v>
      </c>
      <c r="AO370" s="35">
        <f>'Client Data'!AP158</f>
        <v>0</v>
      </c>
      <c r="AP370" s="35">
        <f>'Client Data'!AQ158</f>
        <v>0</v>
      </c>
      <c r="AQ370" s="35">
        <f>'Client Data'!AR158</f>
        <v>0</v>
      </c>
      <c r="AR370" s="35">
        <f>'Client Data'!AS158</f>
        <v>0</v>
      </c>
      <c r="AS370" s="35">
        <f>'Client Data'!AT158</f>
        <v>0</v>
      </c>
      <c r="AT370" s="35">
        <f>'Client Data'!AU158</f>
        <v>0</v>
      </c>
      <c r="AU370" s="35">
        <f>'Client Data'!AV158</f>
        <v>0</v>
      </c>
      <c r="AV370" s="35">
        <f>'Client Data'!AW158</f>
        <v>0</v>
      </c>
      <c r="AW370" s="35">
        <f>'Client Data'!AX158</f>
        <v>0</v>
      </c>
      <c r="AX370" s="35">
        <f>'Client Data'!AY158</f>
        <v>0</v>
      </c>
      <c r="AY370" s="35">
        <f>'Client Data'!AZ158</f>
        <v>0</v>
      </c>
      <c r="AZ370" s="35">
        <f>'Client Data'!BA158</f>
        <v>0</v>
      </c>
      <c r="BA370" s="35">
        <f>'Client Data'!BB158</f>
        <v>0</v>
      </c>
      <c r="BB370" s="35">
        <f>'Client Data'!BC158</f>
        <v>0</v>
      </c>
      <c r="BC370" s="19">
        <f t="shared" si="658"/>
        <v>0</v>
      </c>
    </row>
    <row r="371" spans="2:55" x14ac:dyDescent="0.25">
      <c r="B371" s="19" t="str">
        <f>'Client Data'!C159</f>
        <v>Product E</v>
      </c>
      <c r="C371" s="35">
        <f>'Client Data'!D159</f>
        <v>0</v>
      </c>
      <c r="D371" s="35">
        <f>'Client Data'!E159</f>
        <v>0</v>
      </c>
      <c r="E371" s="35">
        <f>'Client Data'!F159</f>
        <v>0</v>
      </c>
      <c r="F371" s="35">
        <f>'Client Data'!G159</f>
        <v>0</v>
      </c>
      <c r="G371" s="35">
        <f>'Client Data'!H159</f>
        <v>0</v>
      </c>
      <c r="H371" s="35">
        <f>'Client Data'!I159</f>
        <v>0</v>
      </c>
      <c r="I371" s="35">
        <f>'Client Data'!J159</f>
        <v>0</v>
      </c>
      <c r="J371" s="35">
        <f>'Client Data'!K159</f>
        <v>0</v>
      </c>
      <c r="K371" s="35">
        <f>'Client Data'!L159</f>
        <v>0</v>
      </c>
      <c r="L371" s="35">
        <f>'Client Data'!M159</f>
        <v>0</v>
      </c>
      <c r="M371" s="35">
        <f>'Client Data'!N159</f>
        <v>0</v>
      </c>
      <c r="N371" s="35">
        <f>'Client Data'!O159</f>
        <v>0</v>
      </c>
      <c r="O371" s="35">
        <f>'Client Data'!P159</f>
        <v>0</v>
      </c>
      <c r="P371" s="35">
        <f>'Client Data'!Q159</f>
        <v>0</v>
      </c>
      <c r="Q371" s="35">
        <f>'Client Data'!R159</f>
        <v>0</v>
      </c>
      <c r="R371" s="35">
        <f>'Client Data'!S159</f>
        <v>0</v>
      </c>
      <c r="S371" s="35">
        <f>'Client Data'!T159</f>
        <v>0</v>
      </c>
      <c r="T371" s="35">
        <f>'Client Data'!U159</f>
        <v>0</v>
      </c>
      <c r="U371" s="35">
        <f>'Client Data'!V159</f>
        <v>0</v>
      </c>
      <c r="V371" s="35">
        <f>'Client Data'!W159</f>
        <v>0</v>
      </c>
      <c r="W371" s="35">
        <f>'Client Data'!X159</f>
        <v>0</v>
      </c>
      <c r="X371" s="35">
        <f>'Client Data'!Y159</f>
        <v>0</v>
      </c>
      <c r="Y371" s="35">
        <f>'Client Data'!Z159</f>
        <v>0</v>
      </c>
      <c r="Z371" s="35">
        <f>'Client Data'!AA159</f>
        <v>0</v>
      </c>
      <c r="AA371" s="35">
        <f>'Client Data'!AB159</f>
        <v>0</v>
      </c>
      <c r="AB371" s="35">
        <f>'Client Data'!AC159</f>
        <v>0</v>
      </c>
      <c r="AC371" s="35">
        <f>'Client Data'!AD159</f>
        <v>0</v>
      </c>
      <c r="AD371" s="35">
        <f>'Client Data'!AE159</f>
        <v>0</v>
      </c>
      <c r="AE371" s="35">
        <f>'Client Data'!AF159</f>
        <v>0</v>
      </c>
      <c r="AF371" s="35">
        <f>'Client Data'!AG159</f>
        <v>0</v>
      </c>
      <c r="AG371" s="35">
        <f>'Client Data'!AH159</f>
        <v>0</v>
      </c>
      <c r="AH371" s="35">
        <f>'Client Data'!AI159</f>
        <v>0</v>
      </c>
      <c r="AI371" s="35">
        <f>'Client Data'!AJ159</f>
        <v>0</v>
      </c>
      <c r="AJ371" s="35">
        <f>'Client Data'!AK159</f>
        <v>0</v>
      </c>
      <c r="AK371" s="35">
        <f>'Client Data'!AL159</f>
        <v>0</v>
      </c>
      <c r="AL371" s="35">
        <f>'Client Data'!AM159</f>
        <v>0</v>
      </c>
      <c r="AM371" s="35">
        <f>'Client Data'!AN159</f>
        <v>0</v>
      </c>
      <c r="AN371" s="35">
        <f>'Client Data'!AO159</f>
        <v>0</v>
      </c>
      <c r="AO371" s="35">
        <f>'Client Data'!AP159</f>
        <v>0</v>
      </c>
      <c r="AP371" s="35">
        <f>'Client Data'!AQ159</f>
        <v>0</v>
      </c>
      <c r="AQ371" s="35">
        <f>'Client Data'!AR159</f>
        <v>0</v>
      </c>
      <c r="AR371" s="35">
        <f>'Client Data'!AS159</f>
        <v>0</v>
      </c>
      <c r="AS371" s="35">
        <f>'Client Data'!AT159</f>
        <v>0</v>
      </c>
      <c r="AT371" s="35">
        <f>'Client Data'!AU159</f>
        <v>0</v>
      </c>
      <c r="AU371" s="35">
        <f>'Client Data'!AV159</f>
        <v>0</v>
      </c>
      <c r="AV371" s="35">
        <f>'Client Data'!AW159</f>
        <v>0</v>
      </c>
      <c r="AW371" s="35">
        <f>'Client Data'!AX159</f>
        <v>0</v>
      </c>
      <c r="AX371" s="35">
        <f>'Client Data'!AY159</f>
        <v>0</v>
      </c>
      <c r="AY371" s="35">
        <f>'Client Data'!AZ159</f>
        <v>0</v>
      </c>
      <c r="AZ371" s="35">
        <f>'Client Data'!BA159</f>
        <v>0</v>
      </c>
      <c r="BA371" s="35">
        <f>'Client Data'!BB159</f>
        <v>0</v>
      </c>
      <c r="BB371" s="35">
        <f>'Client Data'!BC159</f>
        <v>0</v>
      </c>
      <c r="BC371" s="19">
        <f t="shared" si="658"/>
        <v>0</v>
      </c>
    </row>
    <row r="372" spans="2:55" x14ac:dyDescent="0.25">
      <c r="B372" s="19" t="str">
        <f>'Client Data'!C160</f>
        <v>Product F</v>
      </c>
      <c r="C372" s="35">
        <f>'Client Data'!D160</f>
        <v>0</v>
      </c>
      <c r="D372" s="35">
        <f>'Client Data'!E160</f>
        <v>2</v>
      </c>
      <c r="E372" s="35">
        <f>'Client Data'!F160</f>
        <v>6</v>
      </c>
      <c r="F372" s="35">
        <f>'Client Data'!G160</f>
        <v>0</v>
      </c>
      <c r="G372" s="35">
        <f>'Client Data'!H160</f>
        <v>0</v>
      </c>
      <c r="H372" s="35">
        <f>'Client Data'!I160</f>
        <v>2</v>
      </c>
      <c r="I372" s="35">
        <f>'Client Data'!J160</f>
        <v>4</v>
      </c>
      <c r="J372" s="35">
        <f>'Client Data'!K160</f>
        <v>5</v>
      </c>
      <c r="K372" s="35">
        <f>'Client Data'!L160</f>
        <v>3</v>
      </c>
      <c r="L372" s="35">
        <f>'Client Data'!M160</f>
        <v>2</v>
      </c>
      <c r="M372" s="35">
        <f>'Client Data'!N160</f>
        <v>6</v>
      </c>
      <c r="N372" s="35">
        <f>'Client Data'!O160</f>
        <v>5</v>
      </c>
      <c r="O372" s="35">
        <f>'Client Data'!P160</f>
        <v>0</v>
      </c>
      <c r="P372" s="35">
        <f>'Client Data'!Q160</f>
        <v>2</v>
      </c>
      <c r="Q372" s="35">
        <f>'Client Data'!R160</f>
        <v>6</v>
      </c>
      <c r="R372" s="35">
        <f>'Client Data'!S160</f>
        <v>5</v>
      </c>
      <c r="S372" s="35">
        <f>'Client Data'!T160</f>
        <v>0</v>
      </c>
      <c r="T372" s="35">
        <f>'Client Data'!U160</f>
        <v>2</v>
      </c>
      <c r="U372" s="35">
        <f>'Client Data'!V160</f>
        <v>3</v>
      </c>
      <c r="V372" s="35">
        <f>'Client Data'!W160</f>
        <v>5</v>
      </c>
      <c r="W372" s="35">
        <f>'Client Data'!X160</f>
        <v>0</v>
      </c>
      <c r="X372" s="35">
        <f>'Client Data'!Y160</f>
        <v>2</v>
      </c>
      <c r="Y372" s="35">
        <f>'Client Data'!Z160</f>
        <v>4</v>
      </c>
      <c r="Z372" s="35">
        <f>'Client Data'!AA160</f>
        <v>5</v>
      </c>
      <c r="AA372" s="35">
        <f>'Client Data'!AB160</f>
        <v>0</v>
      </c>
      <c r="AB372" s="35">
        <f>'Client Data'!AC160</f>
        <v>2</v>
      </c>
      <c r="AC372" s="35">
        <f>'Client Data'!AD160</f>
        <v>5</v>
      </c>
      <c r="AD372" s="35">
        <f>'Client Data'!AE160</f>
        <v>2</v>
      </c>
      <c r="AE372" s="35">
        <f>'Client Data'!AF160</f>
        <v>0</v>
      </c>
      <c r="AF372" s="35">
        <f>'Client Data'!AG160</f>
        <v>2</v>
      </c>
      <c r="AG372" s="35">
        <f>'Client Data'!AH160</f>
        <v>6</v>
      </c>
      <c r="AH372" s="35">
        <f>'Client Data'!AI160</f>
        <v>5</v>
      </c>
      <c r="AI372" s="35">
        <f>'Client Data'!AJ160</f>
        <v>0</v>
      </c>
      <c r="AJ372" s="35">
        <f>'Client Data'!AK160</f>
        <v>2</v>
      </c>
      <c r="AK372" s="35">
        <f>'Client Data'!AL160</f>
        <v>4</v>
      </c>
      <c r="AL372" s="35">
        <f>'Client Data'!AM160</f>
        <v>5</v>
      </c>
      <c r="AM372" s="35">
        <f>'Client Data'!AN160</f>
        <v>0</v>
      </c>
      <c r="AN372" s="35">
        <f>'Client Data'!AO160</f>
        <v>2</v>
      </c>
      <c r="AO372" s="35">
        <f>'Client Data'!AP160</f>
        <v>6</v>
      </c>
      <c r="AP372" s="35">
        <f>'Client Data'!AQ160</f>
        <v>2</v>
      </c>
      <c r="AQ372" s="35">
        <f>'Client Data'!AR160</f>
        <v>0</v>
      </c>
      <c r="AR372" s="35">
        <f>'Client Data'!AS160</f>
        <v>2</v>
      </c>
      <c r="AS372" s="35">
        <f>'Client Data'!AT160</f>
        <v>6</v>
      </c>
      <c r="AT372" s="35">
        <f>'Client Data'!AU160</f>
        <v>5</v>
      </c>
      <c r="AU372" s="35">
        <f>'Client Data'!AV160</f>
        <v>2</v>
      </c>
      <c r="AV372" s="35">
        <f>'Client Data'!AW160</f>
        <v>2</v>
      </c>
      <c r="AW372" s="35">
        <f>'Client Data'!AX160</f>
        <v>5</v>
      </c>
      <c r="AX372" s="35">
        <f>'Client Data'!AY160</f>
        <v>5</v>
      </c>
      <c r="AY372" s="35">
        <f>'Client Data'!AZ160</f>
        <v>3</v>
      </c>
      <c r="AZ372" s="35">
        <f>'Client Data'!BA160</f>
        <v>2</v>
      </c>
      <c r="BA372" s="35">
        <f>'Client Data'!BB160</f>
        <v>4</v>
      </c>
      <c r="BB372" s="35">
        <f>'Client Data'!BC160</f>
        <v>5</v>
      </c>
      <c r="BC372" s="19">
        <f t="shared" si="658"/>
        <v>153</v>
      </c>
    </row>
    <row r="373" spans="2:55" x14ac:dyDescent="0.25">
      <c r="B373" s="19" t="str">
        <f>'Client Data'!C161</f>
        <v>Product G</v>
      </c>
      <c r="C373" s="35">
        <f>'Client Data'!D161</f>
        <v>0</v>
      </c>
      <c r="D373" s="35">
        <f>'Client Data'!E161</f>
        <v>0</v>
      </c>
      <c r="E373" s="35">
        <f>'Client Data'!F161</f>
        <v>0</v>
      </c>
      <c r="F373" s="35">
        <f>'Client Data'!G161</f>
        <v>0</v>
      </c>
      <c r="G373" s="35">
        <f>'Client Data'!H161</f>
        <v>0</v>
      </c>
      <c r="H373" s="35">
        <f>'Client Data'!I161</f>
        <v>0</v>
      </c>
      <c r="I373" s="35">
        <f>'Client Data'!J161</f>
        <v>0</v>
      </c>
      <c r="J373" s="35">
        <f>'Client Data'!K161</f>
        <v>0</v>
      </c>
      <c r="K373" s="35">
        <f>'Client Data'!L161</f>
        <v>0</v>
      </c>
      <c r="L373" s="35">
        <f>'Client Data'!M161</f>
        <v>0</v>
      </c>
      <c r="M373" s="35">
        <f>'Client Data'!N161</f>
        <v>0</v>
      </c>
      <c r="N373" s="35">
        <f>'Client Data'!O161</f>
        <v>0</v>
      </c>
      <c r="O373" s="35">
        <f>'Client Data'!P161</f>
        <v>0</v>
      </c>
      <c r="P373" s="35">
        <f>'Client Data'!Q161</f>
        <v>0</v>
      </c>
      <c r="Q373" s="35">
        <f>'Client Data'!R161</f>
        <v>0</v>
      </c>
      <c r="R373" s="35">
        <f>'Client Data'!S161</f>
        <v>0</v>
      </c>
      <c r="S373" s="35">
        <f>'Client Data'!T161</f>
        <v>0</v>
      </c>
      <c r="T373" s="35">
        <f>'Client Data'!U161</f>
        <v>0</v>
      </c>
      <c r="U373" s="35">
        <f>'Client Data'!V161</f>
        <v>0</v>
      </c>
      <c r="V373" s="35">
        <f>'Client Data'!W161</f>
        <v>0</v>
      </c>
      <c r="W373" s="35">
        <f>'Client Data'!X161</f>
        <v>0</v>
      </c>
      <c r="X373" s="35">
        <f>'Client Data'!Y161</f>
        <v>0</v>
      </c>
      <c r="Y373" s="35">
        <f>'Client Data'!Z161</f>
        <v>0</v>
      </c>
      <c r="Z373" s="35">
        <f>'Client Data'!AA161</f>
        <v>0</v>
      </c>
      <c r="AA373" s="35">
        <f>'Client Data'!AB161</f>
        <v>0</v>
      </c>
      <c r="AB373" s="35">
        <f>'Client Data'!AC161</f>
        <v>0</v>
      </c>
      <c r="AC373" s="35">
        <f>'Client Data'!AD161</f>
        <v>0</v>
      </c>
      <c r="AD373" s="35">
        <f>'Client Data'!AE161</f>
        <v>0</v>
      </c>
      <c r="AE373" s="35">
        <f>'Client Data'!AF161</f>
        <v>0</v>
      </c>
      <c r="AF373" s="35">
        <f>'Client Data'!AG161</f>
        <v>0</v>
      </c>
      <c r="AG373" s="35">
        <f>'Client Data'!AH161</f>
        <v>0</v>
      </c>
      <c r="AH373" s="35">
        <f>'Client Data'!AI161</f>
        <v>0</v>
      </c>
      <c r="AI373" s="35">
        <f>'Client Data'!AJ161</f>
        <v>0</v>
      </c>
      <c r="AJ373" s="35">
        <f>'Client Data'!AK161</f>
        <v>0</v>
      </c>
      <c r="AK373" s="35">
        <f>'Client Data'!AL161</f>
        <v>0</v>
      </c>
      <c r="AL373" s="35">
        <f>'Client Data'!AM161</f>
        <v>0</v>
      </c>
      <c r="AM373" s="35">
        <f>'Client Data'!AN161</f>
        <v>0</v>
      </c>
      <c r="AN373" s="35">
        <f>'Client Data'!AO161</f>
        <v>0</v>
      </c>
      <c r="AO373" s="35">
        <f>'Client Data'!AP161</f>
        <v>0</v>
      </c>
      <c r="AP373" s="35">
        <f>'Client Data'!AQ161</f>
        <v>0</v>
      </c>
      <c r="AQ373" s="35">
        <f>'Client Data'!AR161</f>
        <v>0</v>
      </c>
      <c r="AR373" s="35">
        <f>'Client Data'!AS161</f>
        <v>0</v>
      </c>
      <c r="AS373" s="35">
        <f>'Client Data'!AT161</f>
        <v>0</v>
      </c>
      <c r="AT373" s="35">
        <f>'Client Data'!AU161</f>
        <v>0</v>
      </c>
      <c r="AU373" s="35">
        <f>'Client Data'!AV161</f>
        <v>0</v>
      </c>
      <c r="AV373" s="35">
        <f>'Client Data'!AW161</f>
        <v>0</v>
      </c>
      <c r="AW373" s="35">
        <f>'Client Data'!AX161</f>
        <v>0</v>
      </c>
      <c r="AX373" s="35">
        <f>'Client Data'!AY161</f>
        <v>0</v>
      </c>
      <c r="AY373" s="35">
        <f>'Client Data'!AZ161</f>
        <v>0</v>
      </c>
      <c r="AZ373" s="35">
        <f>'Client Data'!BA161</f>
        <v>0</v>
      </c>
      <c r="BA373" s="35">
        <f>'Client Data'!BB161</f>
        <v>0</v>
      </c>
      <c r="BB373" s="35">
        <f>'Client Data'!BC161</f>
        <v>0</v>
      </c>
      <c r="BC373" s="19">
        <f t="shared" si="658"/>
        <v>0</v>
      </c>
    </row>
    <row r="374" spans="2:55" x14ac:dyDescent="0.25">
      <c r="B374" s="19" t="str">
        <f>'Client Data'!C162</f>
        <v>Product H</v>
      </c>
      <c r="C374" s="35">
        <f>'Client Data'!D162</f>
        <v>0</v>
      </c>
      <c r="D374" s="35">
        <f>'Client Data'!E162</f>
        <v>0</v>
      </c>
      <c r="E374" s="35">
        <f>'Client Data'!F162</f>
        <v>0</v>
      </c>
      <c r="F374" s="35">
        <f>'Client Data'!G162</f>
        <v>0</v>
      </c>
      <c r="G374" s="35">
        <f>'Client Data'!H162</f>
        <v>0</v>
      </c>
      <c r="H374" s="35">
        <f>'Client Data'!I162</f>
        <v>0</v>
      </c>
      <c r="I374" s="35">
        <f>'Client Data'!J162</f>
        <v>0</v>
      </c>
      <c r="J374" s="35">
        <f>'Client Data'!K162</f>
        <v>0</v>
      </c>
      <c r="K374" s="35">
        <f>'Client Data'!L162</f>
        <v>0</v>
      </c>
      <c r="L374" s="35">
        <f>'Client Data'!M162</f>
        <v>0</v>
      </c>
      <c r="M374" s="35">
        <f>'Client Data'!N162</f>
        <v>0</v>
      </c>
      <c r="N374" s="35">
        <f>'Client Data'!O162</f>
        <v>0</v>
      </c>
      <c r="O374" s="35">
        <f>'Client Data'!P162</f>
        <v>0</v>
      </c>
      <c r="P374" s="35">
        <f>'Client Data'!Q162</f>
        <v>0</v>
      </c>
      <c r="Q374" s="35">
        <f>'Client Data'!R162</f>
        <v>0</v>
      </c>
      <c r="R374" s="35">
        <f>'Client Data'!S162</f>
        <v>0</v>
      </c>
      <c r="S374" s="35">
        <f>'Client Data'!T162</f>
        <v>0</v>
      </c>
      <c r="T374" s="35">
        <f>'Client Data'!U162</f>
        <v>0</v>
      </c>
      <c r="U374" s="35">
        <f>'Client Data'!V162</f>
        <v>0</v>
      </c>
      <c r="V374" s="35">
        <f>'Client Data'!W162</f>
        <v>0</v>
      </c>
      <c r="W374" s="35">
        <f>'Client Data'!X162</f>
        <v>0</v>
      </c>
      <c r="X374" s="35">
        <f>'Client Data'!Y162</f>
        <v>0</v>
      </c>
      <c r="Y374" s="35">
        <f>'Client Data'!Z162</f>
        <v>0</v>
      </c>
      <c r="Z374" s="35">
        <f>'Client Data'!AA162</f>
        <v>0</v>
      </c>
      <c r="AA374" s="35">
        <f>'Client Data'!AB162</f>
        <v>0</v>
      </c>
      <c r="AB374" s="35">
        <f>'Client Data'!AC162</f>
        <v>0</v>
      </c>
      <c r="AC374" s="35">
        <f>'Client Data'!AD162</f>
        <v>0</v>
      </c>
      <c r="AD374" s="35">
        <f>'Client Data'!AE162</f>
        <v>0</v>
      </c>
      <c r="AE374" s="35">
        <f>'Client Data'!AF162</f>
        <v>0</v>
      </c>
      <c r="AF374" s="35">
        <f>'Client Data'!AG162</f>
        <v>0</v>
      </c>
      <c r="AG374" s="35">
        <f>'Client Data'!AH162</f>
        <v>0</v>
      </c>
      <c r="AH374" s="35">
        <f>'Client Data'!AI162</f>
        <v>0</v>
      </c>
      <c r="AI374" s="35">
        <f>'Client Data'!AJ162</f>
        <v>0</v>
      </c>
      <c r="AJ374" s="35">
        <f>'Client Data'!AK162</f>
        <v>0</v>
      </c>
      <c r="AK374" s="35">
        <f>'Client Data'!AL162</f>
        <v>0</v>
      </c>
      <c r="AL374" s="35">
        <f>'Client Data'!AM162</f>
        <v>0</v>
      </c>
      <c r="AM374" s="35">
        <f>'Client Data'!AN162</f>
        <v>0</v>
      </c>
      <c r="AN374" s="35">
        <f>'Client Data'!AO162</f>
        <v>0</v>
      </c>
      <c r="AO374" s="35">
        <f>'Client Data'!AP162</f>
        <v>0</v>
      </c>
      <c r="AP374" s="35">
        <f>'Client Data'!AQ162</f>
        <v>0</v>
      </c>
      <c r="AQ374" s="35">
        <f>'Client Data'!AR162</f>
        <v>0</v>
      </c>
      <c r="AR374" s="35">
        <f>'Client Data'!AS162</f>
        <v>0</v>
      </c>
      <c r="AS374" s="35">
        <f>'Client Data'!AT162</f>
        <v>0</v>
      </c>
      <c r="AT374" s="35">
        <f>'Client Data'!AU162</f>
        <v>0</v>
      </c>
      <c r="AU374" s="35">
        <f>'Client Data'!AV162</f>
        <v>0</v>
      </c>
      <c r="AV374" s="35">
        <f>'Client Data'!AW162</f>
        <v>0</v>
      </c>
      <c r="AW374" s="35">
        <f>'Client Data'!AX162</f>
        <v>0</v>
      </c>
      <c r="AX374" s="35">
        <f>'Client Data'!AY162</f>
        <v>0</v>
      </c>
      <c r="AY374" s="35">
        <f>'Client Data'!AZ162</f>
        <v>0</v>
      </c>
      <c r="AZ374" s="35">
        <f>'Client Data'!BA162</f>
        <v>0</v>
      </c>
      <c r="BA374" s="35">
        <f>'Client Data'!BB162</f>
        <v>0</v>
      </c>
      <c r="BB374" s="35">
        <f>'Client Data'!BC162</f>
        <v>0</v>
      </c>
      <c r="BC374" s="19">
        <f t="shared" si="658"/>
        <v>0</v>
      </c>
    </row>
    <row r="375" spans="2:55" x14ac:dyDescent="0.25">
      <c r="B375" s="19" t="str">
        <f>'Client Data'!B163</f>
        <v>Yield Defect Loss Type G</v>
      </c>
      <c r="C375" s="50">
        <f t="shared" ref="C375:AH375" si="667">IF(C190&gt;0,SUM(C376:C383),0)</f>
        <v>0</v>
      </c>
      <c r="D375" s="50">
        <f t="shared" si="667"/>
        <v>1</v>
      </c>
      <c r="E375" s="50">
        <f t="shared" si="667"/>
        <v>3</v>
      </c>
      <c r="F375" s="50">
        <f t="shared" si="667"/>
        <v>5</v>
      </c>
      <c r="G375" s="50">
        <f t="shared" si="667"/>
        <v>0</v>
      </c>
      <c r="H375" s="50">
        <f t="shared" si="667"/>
        <v>0</v>
      </c>
      <c r="I375" s="50">
        <f t="shared" si="667"/>
        <v>2</v>
      </c>
      <c r="J375" s="50">
        <f t="shared" si="667"/>
        <v>6</v>
      </c>
      <c r="K375" s="50">
        <f t="shared" si="667"/>
        <v>0</v>
      </c>
      <c r="L375" s="50">
        <f t="shared" si="667"/>
        <v>0</v>
      </c>
      <c r="M375" s="50">
        <f t="shared" si="667"/>
        <v>2</v>
      </c>
      <c r="N375" s="50">
        <f t="shared" si="667"/>
        <v>5</v>
      </c>
      <c r="O375" s="50">
        <f t="shared" si="667"/>
        <v>0</v>
      </c>
      <c r="P375" s="50">
        <f t="shared" si="667"/>
        <v>0</v>
      </c>
      <c r="Q375" s="50">
        <f t="shared" si="667"/>
        <v>2</v>
      </c>
      <c r="R375" s="50">
        <f t="shared" si="667"/>
        <v>3</v>
      </c>
      <c r="S375" s="50">
        <f t="shared" si="667"/>
        <v>0</v>
      </c>
      <c r="T375" s="50">
        <f t="shared" si="667"/>
        <v>0</v>
      </c>
      <c r="U375" s="50">
        <f t="shared" si="667"/>
        <v>2</v>
      </c>
      <c r="V375" s="50">
        <f t="shared" si="667"/>
        <v>6</v>
      </c>
      <c r="W375" s="50">
        <f t="shared" si="667"/>
        <v>0</v>
      </c>
      <c r="X375" s="50">
        <f t="shared" si="667"/>
        <v>0</v>
      </c>
      <c r="Y375" s="50">
        <f t="shared" si="667"/>
        <v>2</v>
      </c>
      <c r="Z375" s="50">
        <f t="shared" si="667"/>
        <v>6</v>
      </c>
      <c r="AA375" s="50">
        <f t="shared" si="667"/>
        <v>0</v>
      </c>
      <c r="AB375" s="50">
        <f t="shared" si="667"/>
        <v>0</v>
      </c>
      <c r="AC375" s="50">
        <f t="shared" si="667"/>
        <v>2</v>
      </c>
      <c r="AD375" s="50">
        <f t="shared" si="667"/>
        <v>6</v>
      </c>
      <c r="AE375" s="50">
        <f t="shared" si="667"/>
        <v>0</v>
      </c>
      <c r="AF375" s="50">
        <f t="shared" si="667"/>
        <v>0</v>
      </c>
      <c r="AG375" s="50">
        <f t="shared" si="667"/>
        <v>2</v>
      </c>
      <c r="AH375" s="50">
        <f t="shared" si="667"/>
        <v>6</v>
      </c>
      <c r="AI375" s="50">
        <f t="shared" ref="AI375:BB375" si="668">IF(AI190&gt;0,SUM(AI376:AI383),0)</f>
        <v>0</v>
      </c>
      <c r="AJ375" s="50">
        <f t="shared" si="668"/>
        <v>0</v>
      </c>
      <c r="AK375" s="50">
        <f t="shared" si="668"/>
        <v>2</v>
      </c>
      <c r="AL375" s="50">
        <f t="shared" si="668"/>
        <v>6</v>
      </c>
      <c r="AM375" s="50">
        <f t="shared" si="668"/>
        <v>0</v>
      </c>
      <c r="AN375" s="50">
        <f t="shared" si="668"/>
        <v>0</v>
      </c>
      <c r="AO375" s="50">
        <f t="shared" si="668"/>
        <v>2</v>
      </c>
      <c r="AP375" s="50">
        <f t="shared" si="668"/>
        <v>6</v>
      </c>
      <c r="AQ375" s="50">
        <f t="shared" si="668"/>
        <v>0</v>
      </c>
      <c r="AR375" s="50">
        <f t="shared" si="668"/>
        <v>0</v>
      </c>
      <c r="AS375" s="50">
        <f t="shared" si="668"/>
        <v>2</v>
      </c>
      <c r="AT375" s="50">
        <f t="shared" si="668"/>
        <v>6</v>
      </c>
      <c r="AU375" s="50">
        <f t="shared" si="668"/>
        <v>0</v>
      </c>
      <c r="AV375" s="50">
        <f t="shared" si="668"/>
        <v>0</v>
      </c>
      <c r="AW375" s="50">
        <f t="shared" si="668"/>
        <v>2</v>
      </c>
      <c r="AX375" s="50">
        <f t="shared" si="668"/>
        <v>6</v>
      </c>
      <c r="AY375" s="50">
        <f t="shared" si="668"/>
        <v>0</v>
      </c>
      <c r="AZ375" s="50">
        <f t="shared" si="668"/>
        <v>0</v>
      </c>
      <c r="BA375" s="50">
        <f t="shared" si="668"/>
        <v>2</v>
      </c>
      <c r="BB375" s="50">
        <f t="shared" si="668"/>
        <v>3</v>
      </c>
      <c r="BC375" s="19">
        <f t="shared" si="658"/>
        <v>98</v>
      </c>
    </row>
    <row r="376" spans="2:55" x14ac:dyDescent="0.25">
      <c r="B376" s="19" t="str">
        <f>'Client Data'!C164</f>
        <v>Product A</v>
      </c>
      <c r="C376" s="35">
        <f>'Client Data'!D164</f>
        <v>0</v>
      </c>
      <c r="D376" s="35">
        <f>'Client Data'!E164</f>
        <v>0</v>
      </c>
      <c r="E376" s="35">
        <f>'Client Data'!F164</f>
        <v>0</v>
      </c>
      <c r="F376" s="35">
        <f>'Client Data'!G164</f>
        <v>0</v>
      </c>
      <c r="G376" s="35">
        <f>'Client Data'!H164</f>
        <v>0</v>
      </c>
      <c r="H376" s="35">
        <f>'Client Data'!I164</f>
        <v>0</v>
      </c>
      <c r="I376" s="35">
        <f>'Client Data'!J164</f>
        <v>0</v>
      </c>
      <c r="J376" s="35">
        <f>'Client Data'!K164</f>
        <v>0</v>
      </c>
      <c r="K376" s="35">
        <f>'Client Data'!L164</f>
        <v>0</v>
      </c>
      <c r="L376" s="35">
        <f>'Client Data'!M164</f>
        <v>0</v>
      </c>
      <c r="M376" s="35">
        <f>'Client Data'!N164</f>
        <v>0</v>
      </c>
      <c r="N376" s="35">
        <f>'Client Data'!O164</f>
        <v>0</v>
      </c>
      <c r="O376" s="35">
        <f>'Client Data'!P164</f>
        <v>0</v>
      </c>
      <c r="P376" s="35">
        <f>'Client Data'!Q164</f>
        <v>0</v>
      </c>
      <c r="Q376" s="35">
        <f>'Client Data'!R164</f>
        <v>0</v>
      </c>
      <c r="R376" s="35">
        <f>'Client Data'!S164</f>
        <v>0</v>
      </c>
      <c r="S376" s="35">
        <f>'Client Data'!T164</f>
        <v>0</v>
      </c>
      <c r="T376" s="35">
        <f>'Client Data'!U164</f>
        <v>0</v>
      </c>
      <c r="U376" s="35">
        <f>'Client Data'!V164</f>
        <v>0</v>
      </c>
      <c r="V376" s="35">
        <f>'Client Data'!W164</f>
        <v>0</v>
      </c>
      <c r="W376" s="35">
        <f>'Client Data'!X164</f>
        <v>0</v>
      </c>
      <c r="X376" s="35">
        <f>'Client Data'!Y164</f>
        <v>0</v>
      </c>
      <c r="Y376" s="35">
        <f>'Client Data'!Z164</f>
        <v>0</v>
      </c>
      <c r="Z376" s="35">
        <f>'Client Data'!AA164</f>
        <v>0</v>
      </c>
      <c r="AA376" s="35">
        <f>'Client Data'!AB164</f>
        <v>0</v>
      </c>
      <c r="AB376" s="35">
        <f>'Client Data'!AC164</f>
        <v>0</v>
      </c>
      <c r="AC376" s="35">
        <f>'Client Data'!AD164</f>
        <v>0</v>
      </c>
      <c r="AD376" s="35">
        <f>'Client Data'!AE164</f>
        <v>0</v>
      </c>
      <c r="AE376" s="35">
        <f>'Client Data'!AF164</f>
        <v>0</v>
      </c>
      <c r="AF376" s="35">
        <f>'Client Data'!AG164</f>
        <v>0</v>
      </c>
      <c r="AG376" s="35">
        <f>'Client Data'!AH164</f>
        <v>0</v>
      </c>
      <c r="AH376" s="35">
        <f>'Client Data'!AI164</f>
        <v>0</v>
      </c>
      <c r="AI376" s="35">
        <f>'Client Data'!AJ164</f>
        <v>0</v>
      </c>
      <c r="AJ376" s="35">
        <f>'Client Data'!AK164</f>
        <v>0</v>
      </c>
      <c r="AK376" s="35">
        <f>'Client Data'!AL164</f>
        <v>0</v>
      </c>
      <c r="AL376" s="35">
        <f>'Client Data'!AM164</f>
        <v>0</v>
      </c>
      <c r="AM376" s="35">
        <f>'Client Data'!AN164</f>
        <v>0</v>
      </c>
      <c r="AN376" s="35">
        <f>'Client Data'!AO164</f>
        <v>0</v>
      </c>
      <c r="AO376" s="35">
        <f>'Client Data'!AP164</f>
        <v>0</v>
      </c>
      <c r="AP376" s="35">
        <f>'Client Data'!AQ164</f>
        <v>0</v>
      </c>
      <c r="AQ376" s="35">
        <f>'Client Data'!AR164</f>
        <v>0</v>
      </c>
      <c r="AR376" s="35">
        <f>'Client Data'!AS164</f>
        <v>0</v>
      </c>
      <c r="AS376" s="35">
        <f>'Client Data'!AT164</f>
        <v>0</v>
      </c>
      <c r="AT376" s="35">
        <f>'Client Data'!AU164</f>
        <v>0</v>
      </c>
      <c r="AU376" s="35">
        <f>'Client Data'!AV164</f>
        <v>0</v>
      </c>
      <c r="AV376" s="35">
        <f>'Client Data'!AW164</f>
        <v>0</v>
      </c>
      <c r="AW376" s="35">
        <f>'Client Data'!AX164</f>
        <v>0</v>
      </c>
      <c r="AX376" s="35">
        <f>'Client Data'!AY164</f>
        <v>0</v>
      </c>
      <c r="AY376" s="35">
        <f>'Client Data'!AZ164</f>
        <v>0</v>
      </c>
      <c r="AZ376" s="35">
        <f>'Client Data'!BA164</f>
        <v>0</v>
      </c>
      <c r="BA376" s="35">
        <f>'Client Data'!BB164</f>
        <v>0</v>
      </c>
      <c r="BB376" s="35">
        <f>'Client Data'!BC164</f>
        <v>0</v>
      </c>
      <c r="BC376" s="19">
        <f t="shared" si="658"/>
        <v>0</v>
      </c>
    </row>
    <row r="377" spans="2:55" x14ac:dyDescent="0.25">
      <c r="B377" s="19" t="str">
        <f>'Client Data'!C165</f>
        <v>Product B</v>
      </c>
      <c r="C377" s="35">
        <f>'Client Data'!D165</f>
        <v>0</v>
      </c>
      <c r="D377" s="35">
        <f>'Client Data'!E165</f>
        <v>0</v>
      </c>
      <c r="E377" s="35">
        <f>'Client Data'!F165</f>
        <v>0</v>
      </c>
      <c r="F377" s="35">
        <f>'Client Data'!G165</f>
        <v>0</v>
      </c>
      <c r="G377" s="35">
        <f>'Client Data'!H165</f>
        <v>0</v>
      </c>
      <c r="H377" s="35">
        <f>'Client Data'!I165</f>
        <v>0</v>
      </c>
      <c r="I377" s="35">
        <f>'Client Data'!J165</f>
        <v>0</v>
      </c>
      <c r="J377" s="35">
        <f>'Client Data'!K165</f>
        <v>0</v>
      </c>
      <c r="K377" s="35">
        <f>'Client Data'!L165</f>
        <v>0</v>
      </c>
      <c r="L377" s="35">
        <f>'Client Data'!M165</f>
        <v>0</v>
      </c>
      <c r="M377" s="35">
        <f>'Client Data'!N165</f>
        <v>0</v>
      </c>
      <c r="N377" s="35">
        <f>'Client Data'!O165</f>
        <v>0</v>
      </c>
      <c r="O377" s="35">
        <f>'Client Data'!P165</f>
        <v>0</v>
      </c>
      <c r="P377" s="35">
        <f>'Client Data'!Q165</f>
        <v>0</v>
      </c>
      <c r="Q377" s="35">
        <f>'Client Data'!R165</f>
        <v>0</v>
      </c>
      <c r="R377" s="35">
        <f>'Client Data'!S165</f>
        <v>0</v>
      </c>
      <c r="S377" s="35">
        <f>'Client Data'!T165</f>
        <v>0</v>
      </c>
      <c r="T377" s="35">
        <f>'Client Data'!U165</f>
        <v>0</v>
      </c>
      <c r="U377" s="35">
        <f>'Client Data'!V165</f>
        <v>0</v>
      </c>
      <c r="V377" s="35">
        <f>'Client Data'!W165</f>
        <v>0</v>
      </c>
      <c r="W377" s="35">
        <f>'Client Data'!X165</f>
        <v>0</v>
      </c>
      <c r="X377" s="35">
        <f>'Client Data'!Y165</f>
        <v>0</v>
      </c>
      <c r="Y377" s="35">
        <f>'Client Data'!Z165</f>
        <v>0</v>
      </c>
      <c r="Z377" s="35">
        <f>'Client Data'!AA165</f>
        <v>0</v>
      </c>
      <c r="AA377" s="35">
        <f>'Client Data'!AB165</f>
        <v>0</v>
      </c>
      <c r="AB377" s="35">
        <f>'Client Data'!AC165</f>
        <v>0</v>
      </c>
      <c r="AC377" s="35">
        <f>'Client Data'!AD165</f>
        <v>0</v>
      </c>
      <c r="AD377" s="35">
        <f>'Client Data'!AE165</f>
        <v>0</v>
      </c>
      <c r="AE377" s="35">
        <f>'Client Data'!AF165</f>
        <v>0</v>
      </c>
      <c r="AF377" s="35">
        <f>'Client Data'!AG165</f>
        <v>0</v>
      </c>
      <c r="AG377" s="35">
        <f>'Client Data'!AH165</f>
        <v>0</v>
      </c>
      <c r="AH377" s="35">
        <f>'Client Data'!AI165</f>
        <v>0</v>
      </c>
      <c r="AI377" s="35">
        <f>'Client Data'!AJ165</f>
        <v>0</v>
      </c>
      <c r="AJ377" s="35">
        <f>'Client Data'!AK165</f>
        <v>0</v>
      </c>
      <c r="AK377" s="35">
        <f>'Client Data'!AL165</f>
        <v>0</v>
      </c>
      <c r="AL377" s="35">
        <f>'Client Data'!AM165</f>
        <v>0</v>
      </c>
      <c r="AM377" s="35">
        <f>'Client Data'!AN165</f>
        <v>0</v>
      </c>
      <c r="AN377" s="35">
        <f>'Client Data'!AO165</f>
        <v>0</v>
      </c>
      <c r="AO377" s="35">
        <f>'Client Data'!AP165</f>
        <v>0</v>
      </c>
      <c r="AP377" s="35">
        <f>'Client Data'!AQ165</f>
        <v>0</v>
      </c>
      <c r="AQ377" s="35">
        <f>'Client Data'!AR165</f>
        <v>0</v>
      </c>
      <c r="AR377" s="35">
        <f>'Client Data'!AS165</f>
        <v>0</v>
      </c>
      <c r="AS377" s="35">
        <f>'Client Data'!AT165</f>
        <v>0</v>
      </c>
      <c r="AT377" s="35">
        <f>'Client Data'!AU165</f>
        <v>0</v>
      </c>
      <c r="AU377" s="35">
        <f>'Client Data'!AV165</f>
        <v>0</v>
      </c>
      <c r="AV377" s="35">
        <f>'Client Data'!AW165</f>
        <v>0</v>
      </c>
      <c r="AW377" s="35">
        <f>'Client Data'!AX165</f>
        <v>0</v>
      </c>
      <c r="AX377" s="35">
        <f>'Client Data'!AY165</f>
        <v>0</v>
      </c>
      <c r="AY377" s="35">
        <f>'Client Data'!AZ165</f>
        <v>0</v>
      </c>
      <c r="AZ377" s="35">
        <f>'Client Data'!BA165</f>
        <v>0</v>
      </c>
      <c r="BA377" s="35">
        <f>'Client Data'!BB165</f>
        <v>0</v>
      </c>
      <c r="BB377" s="35">
        <f>'Client Data'!BC165</f>
        <v>0</v>
      </c>
      <c r="BC377" s="19">
        <f t="shared" si="658"/>
        <v>0</v>
      </c>
    </row>
    <row r="378" spans="2:55" x14ac:dyDescent="0.25">
      <c r="B378" s="19" t="str">
        <f>'Client Data'!C166</f>
        <v>Product C</v>
      </c>
      <c r="C378" s="35">
        <f>'Client Data'!D166</f>
        <v>0</v>
      </c>
      <c r="D378" s="35">
        <f>'Client Data'!E166</f>
        <v>0</v>
      </c>
      <c r="E378" s="35">
        <f>'Client Data'!F166</f>
        <v>0</v>
      </c>
      <c r="F378" s="35">
        <f>'Client Data'!G166</f>
        <v>0</v>
      </c>
      <c r="G378" s="35">
        <f>'Client Data'!H166</f>
        <v>0</v>
      </c>
      <c r="H378" s="35">
        <f>'Client Data'!I166</f>
        <v>0</v>
      </c>
      <c r="I378" s="35">
        <f>'Client Data'!J166</f>
        <v>0</v>
      </c>
      <c r="J378" s="35">
        <f>'Client Data'!K166</f>
        <v>0</v>
      </c>
      <c r="K378" s="35">
        <f>'Client Data'!L166</f>
        <v>0</v>
      </c>
      <c r="L378" s="35">
        <f>'Client Data'!M166</f>
        <v>0</v>
      </c>
      <c r="M378" s="35">
        <f>'Client Data'!N166</f>
        <v>0</v>
      </c>
      <c r="N378" s="35">
        <f>'Client Data'!O166</f>
        <v>0</v>
      </c>
      <c r="O378" s="35">
        <f>'Client Data'!P166</f>
        <v>0</v>
      </c>
      <c r="P378" s="35">
        <f>'Client Data'!Q166</f>
        <v>0</v>
      </c>
      <c r="Q378" s="35">
        <f>'Client Data'!R166</f>
        <v>0</v>
      </c>
      <c r="R378" s="35">
        <f>'Client Data'!S166</f>
        <v>0</v>
      </c>
      <c r="S378" s="35">
        <f>'Client Data'!T166</f>
        <v>0</v>
      </c>
      <c r="T378" s="35">
        <f>'Client Data'!U166</f>
        <v>0</v>
      </c>
      <c r="U378" s="35">
        <f>'Client Data'!V166</f>
        <v>0</v>
      </c>
      <c r="V378" s="35">
        <f>'Client Data'!W166</f>
        <v>0</v>
      </c>
      <c r="W378" s="35">
        <f>'Client Data'!X166</f>
        <v>0</v>
      </c>
      <c r="X378" s="35">
        <f>'Client Data'!Y166</f>
        <v>0</v>
      </c>
      <c r="Y378" s="35">
        <f>'Client Data'!Z166</f>
        <v>0</v>
      </c>
      <c r="Z378" s="35">
        <f>'Client Data'!AA166</f>
        <v>0</v>
      </c>
      <c r="AA378" s="35">
        <f>'Client Data'!AB166</f>
        <v>0</v>
      </c>
      <c r="AB378" s="35">
        <f>'Client Data'!AC166</f>
        <v>0</v>
      </c>
      <c r="AC378" s="35">
        <f>'Client Data'!AD166</f>
        <v>0</v>
      </c>
      <c r="AD378" s="35">
        <f>'Client Data'!AE166</f>
        <v>0</v>
      </c>
      <c r="AE378" s="35">
        <f>'Client Data'!AF166</f>
        <v>0</v>
      </c>
      <c r="AF378" s="35">
        <f>'Client Data'!AG166</f>
        <v>0</v>
      </c>
      <c r="AG378" s="35">
        <f>'Client Data'!AH166</f>
        <v>0</v>
      </c>
      <c r="AH378" s="35">
        <f>'Client Data'!AI166</f>
        <v>0</v>
      </c>
      <c r="AI378" s="35">
        <f>'Client Data'!AJ166</f>
        <v>0</v>
      </c>
      <c r="AJ378" s="35">
        <f>'Client Data'!AK166</f>
        <v>0</v>
      </c>
      <c r="AK378" s="35">
        <f>'Client Data'!AL166</f>
        <v>0</v>
      </c>
      <c r="AL378" s="35">
        <f>'Client Data'!AM166</f>
        <v>0</v>
      </c>
      <c r="AM378" s="35">
        <f>'Client Data'!AN166</f>
        <v>0</v>
      </c>
      <c r="AN378" s="35">
        <f>'Client Data'!AO166</f>
        <v>0</v>
      </c>
      <c r="AO378" s="35">
        <f>'Client Data'!AP166</f>
        <v>0</v>
      </c>
      <c r="AP378" s="35">
        <f>'Client Data'!AQ166</f>
        <v>0</v>
      </c>
      <c r="AQ378" s="35">
        <f>'Client Data'!AR166</f>
        <v>0</v>
      </c>
      <c r="AR378" s="35">
        <f>'Client Data'!AS166</f>
        <v>0</v>
      </c>
      <c r="AS378" s="35">
        <f>'Client Data'!AT166</f>
        <v>0</v>
      </c>
      <c r="AT378" s="35">
        <f>'Client Data'!AU166</f>
        <v>0</v>
      </c>
      <c r="AU378" s="35">
        <f>'Client Data'!AV166</f>
        <v>0</v>
      </c>
      <c r="AV378" s="35">
        <f>'Client Data'!AW166</f>
        <v>0</v>
      </c>
      <c r="AW378" s="35">
        <f>'Client Data'!AX166</f>
        <v>0</v>
      </c>
      <c r="AX378" s="35">
        <f>'Client Data'!AY166</f>
        <v>0</v>
      </c>
      <c r="AY378" s="35">
        <f>'Client Data'!AZ166</f>
        <v>0</v>
      </c>
      <c r="AZ378" s="35">
        <f>'Client Data'!BA166</f>
        <v>0</v>
      </c>
      <c r="BA378" s="35">
        <f>'Client Data'!BB166</f>
        <v>0</v>
      </c>
      <c r="BB378" s="35">
        <f>'Client Data'!BC166</f>
        <v>0</v>
      </c>
      <c r="BC378" s="19">
        <f t="shared" si="658"/>
        <v>0</v>
      </c>
    </row>
    <row r="379" spans="2:55" x14ac:dyDescent="0.25">
      <c r="B379" s="19" t="str">
        <f>'Client Data'!C167</f>
        <v>Product D</v>
      </c>
      <c r="C379" s="35">
        <f>'Client Data'!D167</f>
        <v>0</v>
      </c>
      <c r="D379" s="35">
        <f>'Client Data'!E167</f>
        <v>0</v>
      </c>
      <c r="E379" s="35">
        <f>'Client Data'!F167</f>
        <v>0</v>
      </c>
      <c r="F379" s="35">
        <f>'Client Data'!G167</f>
        <v>0</v>
      </c>
      <c r="G379" s="35">
        <f>'Client Data'!H167</f>
        <v>0</v>
      </c>
      <c r="H379" s="35">
        <f>'Client Data'!I167</f>
        <v>0</v>
      </c>
      <c r="I379" s="35">
        <f>'Client Data'!J167</f>
        <v>0</v>
      </c>
      <c r="J379" s="35">
        <f>'Client Data'!K167</f>
        <v>0</v>
      </c>
      <c r="K379" s="35">
        <f>'Client Data'!L167</f>
        <v>0</v>
      </c>
      <c r="L379" s="35">
        <f>'Client Data'!M167</f>
        <v>0</v>
      </c>
      <c r="M379" s="35">
        <f>'Client Data'!N167</f>
        <v>0</v>
      </c>
      <c r="N379" s="35">
        <f>'Client Data'!O167</f>
        <v>0</v>
      </c>
      <c r="O379" s="35">
        <f>'Client Data'!P167</f>
        <v>0</v>
      </c>
      <c r="P379" s="35">
        <f>'Client Data'!Q167</f>
        <v>0</v>
      </c>
      <c r="Q379" s="35">
        <f>'Client Data'!R167</f>
        <v>0</v>
      </c>
      <c r="R379" s="35">
        <f>'Client Data'!S167</f>
        <v>0</v>
      </c>
      <c r="S379" s="35">
        <f>'Client Data'!T167</f>
        <v>0</v>
      </c>
      <c r="T379" s="35">
        <f>'Client Data'!U167</f>
        <v>0</v>
      </c>
      <c r="U379" s="35">
        <f>'Client Data'!V167</f>
        <v>0</v>
      </c>
      <c r="V379" s="35">
        <f>'Client Data'!W167</f>
        <v>0</v>
      </c>
      <c r="W379" s="35">
        <f>'Client Data'!X167</f>
        <v>0</v>
      </c>
      <c r="X379" s="35">
        <f>'Client Data'!Y167</f>
        <v>0</v>
      </c>
      <c r="Y379" s="35">
        <f>'Client Data'!Z167</f>
        <v>0</v>
      </c>
      <c r="Z379" s="35">
        <f>'Client Data'!AA167</f>
        <v>0</v>
      </c>
      <c r="AA379" s="35">
        <f>'Client Data'!AB167</f>
        <v>0</v>
      </c>
      <c r="AB379" s="35">
        <f>'Client Data'!AC167</f>
        <v>0</v>
      </c>
      <c r="AC379" s="35">
        <f>'Client Data'!AD167</f>
        <v>0</v>
      </c>
      <c r="AD379" s="35">
        <f>'Client Data'!AE167</f>
        <v>0</v>
      </c>
      <c r="AE379" s="35">
        <f>'Client Data'!AF167</f>
        <v>0</v>
      </c>
      <c r="AF379" s="35">
        <f>'Client Data'!AG167</f>
        <v>0</v>
      </c>
      <c r="AG379" s="35">
        <f>'Client Data'!AH167</f>
        <v>0</v>
      </c>
      <c r="AH379" s="35">
        <f>'Client Data'!AI167</f>
        <v>0</v>
      </c>
      <c r="AI379" s="35">
        <f>'Client Data'!AJ167</f>
        <v>0</v>
      </c>
      <c r="AJ379" s="35">
        <f>'Client Data'!AK167</f>
        <v>0</v>
      </c>
      <c r="AK379" s="35">
        <f>'Client Data'!AL167</f>
        <v>0</v>
      </c>
      <c r="AL379" s="35">
        <f>'Client Data'!AM167</f>
        <v>0</v>
      </c>
      <c r="AM379" s="35">
        <f>'Client Data'!AN167</f>
        <v>0</v>
      </c>
      <c r="AN379" s="35">
        <f>'Client Data'!AO167</f>
        <v>0</v>
      </c>
      <c r="AO379" s="35">
        <f>'Client Data'!AP167</f>
        <v>0</v>
      </c>
      <c r="AP379" s="35">
        <f>'Client Data'!AQ167</f>
        <v>0</v>
      </c>
      <c r="AQ379" s="35">
        <f>'Client Data'!AR167</f>
        <v>0</v>
      </c>
      <c r="AR379" s="35">
        <f>'Client Data'!AS167</f>
        <v>0</v>
      </c>
      <c r="AS379" s="35">
        <f>'Client Data'!AT167</f>
        <v>0</v>
      </c>
      <c r="AT379" s="35">
        <f>'Client Data'!AU167</f>
        <v>0</v>
      </c>
      <c r="AU379" s="35">
        <f>'Client Data'!AV167</f>
        <v>0</v>
      </c>
      <c r="AV379" s="35">
        <f>'Client Data'!AW167</f>
        <v>0</v>
      </c>
      <c r="AW379" s="35">
        <f>'Client Data'!AX167</f>
        <v>0</v>
      </c>
      <c r="AX379" s="35">
        <f>'Client Data'!AY167</f>
        <v>0</v>
      </c>
      <c r="AY379" s="35">
        <f>'Client Data'!AZ167</f>
        <v>0</v>
      </c>
      <c r="AZ379" s="35">
        <f>'Client Data'!BA167</f>
        <v>0</v>
      </c>
      <c r="BA379" s="35">
        <f>'Client Data'!BB167</f>
        <v>0</v>
      </c>
      <c r="BB379" s="35">
        <f>'Client Data'!BC167</f>
        <v>0</v>
      </c>
      <c r="BC379" s="19">
        <f t="shared" si="658"/>
        <v>0</v>
      </c>
    </row>
    <row r="380" spans="2:55" x14ac:dyDescent="0.25">
      <c r="B380" s="19" t="str">
        <f>'Client Data'!C168</f>
        <v>Product E</v>
      </c>
      <c r="C380" s="35">
        <f>'Client Data'!D168</f>
        <v>0</v>
      </c>
      <c r="D380" s="35">
        <f>'Client Data'!E168</f>
        <v>0</v>
      </c>
      <c r="E380" s="35">
        <f>'Client Data'!F168</f>
        <v>0</v>
      </c>
      <c r="F380" s="35">
        <f>'Client Data'!G168</f>
        <v>0</v>
      </c>
      <c r="G380" s="35">
        <f>'Client Data'!H168</f>
        <v>0</v>
      </c>
      <c r="H380" s="35">
        <f>'Client Data'!I168</f>
        <v>0</v>
      </c>
      <c r="I380" s="35">
        <f>'Client Data'!J168</f>
        <v>0</v>
      </c>
      <c r="J380" s="35">
        <f>'Client Data'!K168</f>
        <v>0</v>
      </c>
      <c r="K380" s="35">
        <f>'Client Data'!L168</f>
        <v>0</v>
      </c>
      <c r="L380" s="35">
        <f>'Client Data'!M168</f>
        <v>0</v>
      </c>
      <c r="M380" s="35">
        <f>'Client Data'!N168</f>
        <v>0</v>
      </c>
      <c r="N380" s="35">
        <f>'Client Data'!O168</f>
        <v>0</v>
      </c>
      <c r="O380" s="35">
        <f>'Client Data'!P168</f>
        <v>0</v>
      </c>
      <c r="P380" s="35">
        <f>'Client Data'!Q168</f>
        <v>0</v>
      </c>
      <c r="Q380" s="35">
        <f>'Client Data'!R168</f>
        <v>0</v>
      </c>
      <c r="R380" s="35">
        <f>'Client Data'!S168</f>
        <v>0</v>
      </c>
      <c r="S380" s="35">
        <f>'Client Data'!T168</f>
        <v>0</v>
      </c>
      <c r="T380" s="35">
        <f>'Client Data'!U168</f>
        <v>0</v>
      </c>
      <c r="U380" s="35">
        <f>'Client Data'!V168</f>
        <v>0</v>
      </c>
      <c r="V380" s="35">
        <f>'Client Data'!W168</f>
        <v>0</v>
      </c>
      <c r="W380" s="35">
        <f>'Client Data'!X168</f>
        <v>0</v>
      </c>
      <c r="X380" s="35">
        <f>'Client Data'!Y168</f>
        <v>0</v>
      </c>
      <c r="Y380" s="35">
        <f>'Client Data'!Z168</f>
        <v>0</v>
      </c>
      <c r="Z380" s="35">
        <f>'Client Data'!AA168</f>
        <v>0</v>
      </c>
      <c r="AA380" s="35">
        <f>'Client Data'!AB168</f>
        <v>0</v>
      </c>
      <c r="AB380" s="35">
        <f>'Client Data'!AC168</f>
        <v>0</v>
      </c>
      <c r="AC380" s="35">
        <f>'Client Data'!AD168</f>
        <v>0</v>
      </c>
      <c r="AD380" s="35">
        <f>'Client Data'!AE168</f>
        <v>0</v>
      </c>
      <c r="AE380" s="35">
        <f>'Client Data'!AF168</f>
        <v>0</v>
      </c>
      <c r="AF380" s="35">
        <f>'Client Data'!AG168</f>
        <v>0</v>
      </c>
      <c r="AG380" s="35">
        <f>'Client Data'!AH168</f>
        <v>0</v>
      </c>
      <c r="AH380" s="35">
        <f>'Client Data'!AI168</f>
        <v>0</v>
      </c>
      <c r="AI380" s="35">
        <f>'Client Data'!AJ168</f>
        <v>0</v>
      </c>
      <c r="AJ380" s="35">
        <f>'Client Data'!AK168</f>
        <v>0</v>
      </c>
      <c r="AK380" s="35">
        <f>'Client Data'!AL168</f>
        <v>0</v>
      </c>
      <c r="AL380" s="35">
        <f>'Client Data'!AM168</f>
        <v>0</v>
      </c>
      <c r="AM380" s="35">
        <f>'Client Data'!AN168</f>
        <v>0</v>
      </c>
      <c r="AN380" s="35">
        <f>'Client Data'!AO168</f>
        <v>0</v>
      </c>
      <c r="AO380" s="35">
        <f>'Client Data'!AP168</f>
        <v>0</v>
      </c>
      <c r="AP380" s="35">
        <f>'Client Data'!AQ168</f>
        <v>0</v>
      </c>
      <c r="AQ380" s="35">
        <f>'Client Data'!AR168</f>
        <v>0</v>
      </c>
      <c r="AR380" s="35">
        <f>'Client Data'!AS168</f>
        <v>0</v>
      </c>
      <c r="AS380" s="35">
        <f>'Client Data'!AT168</f>
        <v>0</v>
      </c>
      <c r="AT380" s="35">
        <f>'Client Data'!AU168</f>
        <v>0</v>
      </c>
      <c r="AU380" s="35">
        <f>'Client Data'!AV168</f>
        <v>0</v>
      </c>
      <c r="AV380" s="35">
        <f>'Client Data'!AW168</f>
        <v>0</v>
      </c>
      <c r="AW380" s="35">
        <f>'Client Data'!AX168</f>
        <v>0</v>
      </c>
      <c r="AX380" s="35">
        <f>'Client Data'!AY168</f>
        <v>0</v>
      </c>
      <c r="AY380" s="35">
        <f>'Client Data'!AZ168</f>
        <v>0</v>
      </c>
      <c r="AZ380" s="35">
        <f>'Client Data'!BA168</f>
        <v>0</v>
      </c>
      <c r="BA380" s="35">
        <f>'Client Data'!BB168</f>
        <v>0</v>
      </c>
      <c r="BB380" s="35">
        <f>'Client Data'!BC168</f>
        <v>0</v>
      </c>
      <c r="BC380" s="19">
        <f t="shared" si="658"/>
        <v>0</v>
      </c>
    </row>
    <row r="381" spans="2:55" x14ac:dyDescent="0.25">
      <c r="B381" s="19" t="str">
        <f>'Client Data'!C169</f>
        <v>Product F</v>
      </c>
      <c r="C381" s="35">
        <f>'Client Data'!D169</f>
        <v>0</v>
      </c>
      <c r="D381" s="35">
        <f>'Client Data'!E169</f>
        <v>0</v>
      </c>
      <c r="E381" s="35">
        <f>'Client Data'!F169</f>
        <v>0</v>
      </c>
      <c r="F381" s="35">
        <f>'Client Data'!G169</f>
        <v>0</v>
      </c>
      <c r="G381" s="35">
        <f>'Client Data'!H169</f>
        <v>0</v>
      </c>
      <c r="H381" s="35">
        <f>'Client Data'!I169</f>
        <v>0</v>
      </c>
      <c r="I381" s="35">
        <f>'Client Data'!J169</f>
        <v>0</v>
      </c>
      <c r="J381" s="35">
        <f>'Client Data'!K169</f>
        <v>0</v>
      </c>
      <c r="K381" s="35">
        <f>'Client Data'!L169</f>
        <v>0</v>
      </c>
      <c r="L381" s="35">
        <f>'Client Data'!M169</f>
        <v>0</v>
      </c>
      <c r="M381" s="35">
        <f>'Client Data'!N169</f>
        <v>0</v>
      </c>
      <c r="N381" s="35">
        <f>'Client Data'!O169</f>
        <v>0</v>
      </c>
      <c r="O381" s="35">
        <f>'Client Data'!P169</f>
        <v>0</v>
      </c>
      <c r="P381" s="35">
        <f>'Client Data'!Q169</f>
        <v>0</v>
      </c>
      <c r="Q381" s="35">
        <f>'Client Data'!R169</f>
        <v>0</v>
      </c>
      <c r="R381" s="35">
        <f>'Client Data'!S169</f>
        <v>0</v>
      </c>
      <c r="S381" s="35">
        <f>'Client Data'!T169</f>
        <v>0</v>
      </c>
      <c r="T381" s="35">
        <f>'Client Data'!U169</f>
        <v>0</v>
      </c>
      <c r="U381" s="35">
        <f>'Client Data'!V169</f>
        <v>0</v>
      </c>
      <c r="V381" s="35">
        <f>'Client Data'!W169</f>
        <v>0</v>
      </c>
      <c r="W381" s="35">
        <f>'Client Data'!X169</f>
        <v>0</v>
      </c>
      <c r="X381" s="35">
        <f>'Client Data'!Y169</f>
        <v>0</v>
      </c>
      <c r="Y381" s="35">
        <f>'Client Data'!Z169</f>
        <v>0</v>
      </c>
      <c r="Z381" s="35">
        <f>'Client Data'!AA169</f>
        <v>0</v>
      </c>
      <c r="AA381" s="35">
        <f>'Client Data'!AB169</f>
        <v>0</v>
      </c>
      <c r="AB381" s="35">
        <f>'Client Data'!AC169</f>
        <v>0</v>
      </c>
      <c r="AC381" s="35">
        <f>'Client Data'!AD169</f>
        <v>0</v>
      </c>
      <c r="AD381" s="35">
        <f>'Client Data'!AE169</f>
        <v>0</v>
      </c>
      <c r="AE381" s="35">
        <f>'Client Data'!AF169</f>
        <v>0</v>
      </c>
      <c r="AF381" s="35">
        <f>'Client Data'!AG169</f>
        <v>0</v>
      </c>
      <c r="AG381" s="35">
        <f>'Client Data'!AH169</f>
        <v>0</v>
      </c>
      <c r="AH381" s="35">
        <f>'Client Data'!AI169</f>
        <v>0</v>
      </c>
      <c r="AI381" s="35">
        <f>'Client Data'!AJ169</f>
        <v>0</v>
      </c>
      <c r="AJ381" s="35">
        <f>'Client Data'!AK169</f>
        <v>0</v>
      </c>
      <c r="AK381" s="35">
        <f>'Client Data'!AL169</f>
        <v>0</v>
      </c>
      <c r="AL381" s="35">
        <f>'Client Data'!AM169</f>
        <v>0</v>
      </c>
      <c r="AM381" s="35">
        <f>'Client Data'!AN169</f>
        <v>0</v>
      </c>
      <c r="AN381" s="35">
        <f>'Client Data'!AO169</f>
        <v>0</v>
      </c>
      <c r="AO381" s="35">
        <f>'Client Data'!AP169</f>
        <v>0</v>
      </c>
      <c r="AP381" s="35">
        <f>'Client Data'!AQ169</f>
        <v>0</v>
      </c>
      <c r="AQ381" s="35">
        <f>'Client Data'!AR169</f>
        <v>0</v>
      </c>
      <c r="AR381" s="35">
        <f>'Client Data'!AS169</f>
        <v>0</v>
      </c>
      <c r="AS381" s="35">
        <f>'Client Data'!AT169</f>
        <v>0</v>
      </c>
      <c r="AT381" s="35">
        <f>'Client Data'!AU169</f>
        <v>0</v>
      </c>
      <c r="AU381" s="35">
        <f>'Client Data'!AV169</f>
        <v>0</v>
      </c>
      <c r="AV381" s="35">
        <f>'Client Data'!AW169</f>
        <v>0</v>
      </c>
      <c r="AW381" s="35">
        <f>'Client Data'!AX169</f>
        <v>0</v>
      </c>
      <c r="AX381" s="35">
        <f>'Client Data'!AY169</f>
        <v>0</v>
      </c>
      <c r="AY381" s="35">
        <f>'Client Data'!AZ169</f>
        <v>0</v>
      </c>
      <c r="AZ381" s="35">
        <f>'Client Data'!BA169</f>
        <v>0</v>
      </c>
      <c r="BA381" s="35">
        <f>'Client Data'!BB169</f>
        <v>0</v>
      </c>
      <c r="BB381" s="35">
        <f>'Client Data'!BC169</f>
        <v>0</v>
      </c>
      <c r="BC381" s="19">
        <f t="shared" si="658"/>
        <v>0</v>
      </c>
    </row>
    <row r="382" spans="2:55" x14ac:dyDescent="0.25">
      <c r="B382" s="19" t="str">
        <f>'Client Data'!C170</f>
        <v>Product G</v>
      </c>
      <c r="C382" s="35">
        <f>'Client Data'!D170</f>
        <v>0</v>
      </c>
      <c r="D382" s="35">
        <f>'Client Data'!E170</f>
        <v>1</v>
      </c>
      <c r="E382" s="35">
        <f>'Client Data'!F170</f>
        <v>3</v>
      </c>
      <c r="F382" s="35">
        <f>'Client Data'!G170</f>
        <v>5</v>
      </c>
      <c r="G382" s="35">
        <f>'Client Data'!H170</f>
        <v>0</v>
      </c>
      <c r="H382" s="35">
        <f>'Client Data'!I170</f>
        <v>0</v>
      </c>
      <c r="I382" s="35">
        <f>'Client Data'!J170</f>
        <v>2</v>
      </c>
      <c r="J382" s="35">
        <f>'Client Data'!K170</f>
        <v>6</v>
      </c>
      <c r="K382" s="35">
        <f>'Client Data'!L170</f>
        <v>0</v>
      </c>
      <c r="L382" s="35">
        <f>'Client Data'!M170</f>
        <v>0</v>
      </c>
      <c r="M382" s="35">
        <f>'Client Data'!N170</f>
        <v>2</v>
      </c>
      <c r="N382" s="35">
        <f>'Client Data'!O170</f>
        <v>5</v>
      </c>
      <c r="O382" s="35">
        <f>'Client Data'!P170</f>
        <v>0</v>
      </c>
      <c r="P382" s="35">
        <f>'Client Data'!Q170</f>
        <v>0</v>
      </c>
      <c r="Q382" s="35">
        <f>'Client Data'!R170</f>
        <v>2</v>
      </c>
      <c r="R382" s="35">
        <f>'Client Data'!S170</f>
        <v>3</v>
      </c>
      <c r="S382" s="35">
        <f>'Client Data'!T170</f>
        <v>0</v>
      </c>
      <c r="T382" s="35">
        <f>'Client Data'!U170</f>
        <v>0</v>
      </c>
      <c r="U382" s="35">
        <f>'Client Data'!V170</f>
        <v>2</v>
      </c>
      <c r="V382" s="35">
        <f>'Client Data'!W170</f>
        <v>6</v>
      </c>
      <c r="W382" s="35">
        <f>'Client Data'!X170</f>
        <v>0</v>
      </c>
      <c r="X382" s="35">
        <f>'Client Data'!Y170</f>
        <v>0</v>
      </c>
      <c r="Y382" s="35">
        <f>'Client Data'!Z170</f>
        <v>2</v>
      </c>
      <c r="Z382" s="35">
        <f>'Client Data'!AA170</f>
        <v>6</v>
      </c>
      <c r="AA382" s="35">
        <f>'Client Data'!AB170</f>
        <v>0</v>
      </c>
      <c r="AB382" s="35">
        <f>'Client Data'!AC170</f>
        <v>0</v>
      </c>
      <c r="AC382" s="35">
        <f>'Client Data'!AD170</f>
        <v>2</v>
      </c>
      <c r="AD382" s="35">
        <f>'Client Data'!AE170</f>
        <v>6</v>
      </c>
      <c r="AE382" s="35">
        <f>'Client Data'!AF170</f>
        <v>0</v>
      </c>
      <c r="AF382" s="35">
        <f>'Client Data'!AG170</f>
        <v>0</v>
      </c>
      <c r="AG382" s="35">
        <f>'Client Data'!AH170</f>
        <v>2</v>
      </c>
      <c r="AH382" s="35">
        <f>'Client Data'!AI170</f>
        <v>6</v>
      </c>
      <c r="AI382" s="35">
        <f>'Client Data'!AJ170</f>
        <v>0</v>
      </c>
      <c r="AJ382" s="35">
        <f>'Client Data'!AK170</f>
        <v>0</v>
      </c>
      <c r="AK382" s="35">
        <f>'Client Data'!AL170</f>
        <v>2</v>
      </c>
      <c r="AL382" s="35">
        <f>'Client Data'!AM170</f>
        <v>6</v>
      </c>
      <c r="AM382" s="35">
        <f>'Client Data'!AN170</f>
        <v>0</v>
      </c>
      <c r="AN382" s="35">
        <f>'Client Data'!AO170</f>
        <v>0</v>
      </c>
      <c r="AO382" s="35">
        <f>'Client Data'!AP170</f>
        <v>2</v>
      </c>
      <c r="AP382" s="35">
        <f>'Client Data'!AQ170</f>
        <v>6</v>
      </c>
      <c r="AQ382" s="35">
        <f>'Client Data'!AR170</f>
        <v>0</v>
      </c>
      <c r="AR382" s="35">
        <f>'Client Data'!AS170</f>
        <v>0</v>
      </c>
      <c r="AS382" s="35">
        <f>'Client Data'!AT170</f>
        <v>2</v>
      </c>
      <c r="AT382" s="35">
        <f>'Client Data'!AU170</f>
        <v>6</v>
      </c>
      <c r="AU382" s="35">
        <f>'Client Data'!AV170</f>
        <v>0</v>
      </c>
      <c r="AV382" s="35">
        <f>'Client Data'!AW170</f>
        <v>0</v>
      </c>
      <c r="AW382" s="35">
        <f>'Client Data'!AX170</f>
        <v>2</v>
      </c>
      <c r="AX382" s="35">
        <f>'Client Data'!AY170</f>
        <v>6</v>
      </c>
      <c r="AY382" s="35">
        <f>'Client Data'!AZ170</f>
        <v>0</v>
      </c>
      <c r="AZ382" s="35">
        <f>'Client Data'!BA170</f>
        <v>0</v>
      </c>
      <c r="BA382" s="35">
        <f>'Client Data'!BB170</f>
        <v>2</v>
      </c>
      <c r="BB382" s="35">
        <f>'Client Data'!BC170</f>
        <v>3</v>
      </c>
      <c r="BC382" s="19">
        <f t="shared" si="658"/>
        <v>98</v>
      </c>
    </row>
    <row r="383" spans="2:55" x14ac:dyDescent="0.25">
      <c r="B383" s="19" t="str">
        <f>'Client Data'!C171</f>
        <v>Product H</v>
      </c>
      <c r="C383" s="35">
        <f>'Client Data'!D171</f>
        <v>0</v>
      </c>
      <c r="D383" s="35">
        <f>'Client Data'!E171</f>
        <v>0</v>
      </c>
      <c r="E383" s="35">
        <f>'Client Data'!F171</f>
        <v>0</v>
      </c>
      <c r="F383" s="35">
        <f>'Client Data'!G171</f>
        <v>0</v>
      </c>
      <c r="G383" s="35">
        <f>'Client Data'!H171</f>
        <v>0</v>
      </c>
      <c r="H383" s="35">
        <f>'Client Data'!I171</f>
        <v>0</v>
      </c>
      <c r="I383" s="35">
        <f>'Client Data'!J171</f>
        <v>0</v>
      </c>
      <c r="J383" s="35">
        <f>'Client Data'!K171</f>
        <v>0</v>
      </c>
      <c r="K383" s="35">
        <f>'Client Data'!L171</f>
        <v>0</v>
      </c>
      <c r="L383" s="35">
        <f>'Client Data'!M171</f>
        <v>0</v>
      </c>
      <c r="M383" s="35">
        <f>'Client Data'!N171</f>
        <v>0</v>
      </c>
      <c r="N383" s="35">
        <f>'Client Data'!O171</f>
        <v>0</v>
      </c>
      <c r="O383" s="35">
        <f>'Client Data'!P171</f>
        <v>0</v>
      </c>
      <c r="P383" s="35">
        <f>'Client Data'!Q171</f>
        <v>0</v>
      </c>
      <c r="Q383" s="35">
        <f>'Client Data'!R171</f>
        <v>0</v>
      </c>
      <c r="R383" s="35">
        <f>'Client Data'!S171</f>
        <v>0</v>
      </c>
      <c r="S383" s="35">
        <f>'Client Data'!T171</f>
        <v>0</v>
      </c>
      <c r="T383" s="35">
        <f>'Client Data'!U171</f>
        <v>0</v>
      </c>
      <c r="U383" s="35">
        <f>'Client Data'!V171</f>
        <v>0</v>
      </c>
      <c r="V383" s="35">
        <f>'Client Data'!W171</f>
        <v>0</v>
      </c>
      <c r="W383" s="35">
        <f>'Client Data'!X171</f>
        <v>0</v>
      </c>
      <c r="X383" s="35">
        <f>'Client Data'!Y171</f>
        <v>0</v>
      </c>
      <c r="Y383" s="35">
        <f>'Client Data'!Z171</f>
        <v>0</v>
      </c>
      <c r="Z383" s="35">
        <f>'Client Data'!AA171</f>
        <v>0</v>
      </c>
      <c r="AA383" s="35">
        <f>'Client Data'!AB171</f>
        <v>0</v>
      </c>
      <c r="AB383" s="35">
        <f>'Client Data'!AC171</f>
        <v>0</v>
      </c>
      <c r="AC383" s="35">
        <f>'Client Data'!AD171</f>
        <v>0</v>
      </c>
      <c r="AD383" s="35">
        <f>'Client Data'!AE171</f>
        <v>0</v>
      </c>
      <c r="AE383" s="35">
        <f>'Client Data'!AF171</f>
        <v>0</v>
      </c>
      <c r="AF383" s="35">
        <f>'Client Data'!AG171</f>
        <v>0</v>
      </c>
      <c r="AG383" s="35">
        <f>'Client Data'!AH171</f>
        <v>0</v>
      </c>
      <c r="AH383" s="35">
        <f>'Client Data'!AI171</f>
        <v>0</v>
      </c>
      <c r="AI383" s="35">
        <f>'Client Data'!AJ171</f>
        <v>0</v>
      </c>
      <c r="AJ383" s="35">
        <f>'Client Data'!AK171</f>
        <v>0</v>
      </c>
      <c r="AK383" s="35">
        <f>'Client Data'!AL171</f>
        <v>0</v>
      </c>
      <c r="AL383" s="35">
        <f>'Client Data'!AM171</f>
        <v>0</v>
      </c>
      <c r="AM383" s="35">
        <f>'Client Data'!AN171</f>
        <v>0</v>
      </c>
      <c r="AN383" s="35">
        <f>'Client Data'!AO171</f>
        <v>0</v>
      </c>
      <c r="AO383" s="35">
        <f>'Client Data'!AP171</f>
        <v>0</v>
      </c>
      <c r="AP383" s="35">
        <f>'Client Data'!AQ171</f>
        <v>0</v>
      </c>
      <c r="AQ383" s="35">
        <f>'Client Data'!AR171</f>
        <v>0</v>
      </c>
      <c r="AR383" s="35">
        <f>'Client Data'!AS171</f>
        <v>0</v>
      </c>
      <c r="AS383" s="35">
        <f>'Client Data'!AT171</f>
        <v>0</v>
      </c>
      <c r="AT383" s="35">
        <f>'Client Data'!AU171</f>
        <v>0</v>
      </c>
      <c r="AU383" s="35">
        <f>'Client Data'!AV171</f>
        <v>0</v>
      </c>
      <c r="AV383" s="35">
        <f>'Client Data'!AW171</f>
        <v>0</v>
      </c>
      <c r="AW383" s="35">
        <f>'Client Data'!AX171</f>
        <v>0</v>
      </c>
      <c r="AX383" s="35">
        <f>'Client Data'!AY171</f>
        <v>0</v>
      </c>
      <c r="AY383" s="35">
        <f>'Client Data'!AZ171</f>
        <v>0</v>
      </c>
      <c r="AZ383" s="35">
        <f>'Client Data'!BA171</f>
        <v>0</v>
      </c>
      <c r="BA383" s="35">
        <f>'Client Data'!BB171</f>
        <v>0</v>
      </c>
      <c r="BB383" s="35">
        <f>'Client Data'!BC171</f>
        <v>0</v>
      </c>
      <c r="BC383" s="19">
        <f t="shared" si="658"/>
        <v>0</v>
      </c>
    </row>
    <row r="384" spans="2:55" x14ac:dyDescent="0.25">
      <c r="B384" s="19" t="str">
        <f>'Client Data'!B172</f>
        <v>Yield Defect Loss Type H</v>
      </c>
      <c r="C384" s="50">
        <f t="shared" ref="C384:AH384" si="669">IF(C190&gt;0,SUM(C385:C392),0)</f>
        <v>0</v>
      </c>
      <c r="D384" s="50">
        <f t="shared" si="669"/>
        <v>0</v>
      </c>
      <c r="E384" s="50">
        <f t="shared" si="669"/>
        <v>0</v>
      </c>
      <c r="F384" s="50">
        <f t="shared" si="669"/>
        <v>2</v>
      </c>
      <c r="G384" s="50">
        <f t="shared" si="669"/>
        <v>0</v>
      </c>
      <c r="H384" s="50">
        <f t="shared" si="669"/>
        <v>0</v>
      </c>
      <c r="I384" s="50">
        <f t="shared" si="669"/>
        <v>0</v>
      </c>
      <c r="J384" s="50">
        <f t="shared" si="669"/>
        <v>2</v>
      </c>
      <c r="K384" s="50">
        <f t="shared" si="669"/>
        <v>0</v>
      </c>
      <c r="L384" s="50">
        <f t="shared" si="669"/>
        <v>0</v>
      </c>
      <c r="M384" s="50">
        <f t="shared" si="669"/>
        <v>0</v>
      </c>
      <c r="N384" s="50">
        <f t="shared" si="669"/>
        <v>2</v>
      </c>
      <c r="O384" s="50">
        <f t="shared" si="669"/>
        <v>0</v>
      </c>
      <c r="P384" s="50">
        <f t="shared" si="669"/>
        <v>0</v>
      </c>
      <c r="Q384" s="50">
        <f t="shared" si="669"/>
        <v>3</v>
      </c>
      <c r="R384" s="50">
        <f t="shared" si="669"/>
        <v>2</v>
      </c>
      <c r="S384" s="50">
        <f t="shared" si="669"/>
        <v>0</v>
      </c>
      <c r="T384" s="50">
        <f t="shared" si="669"/>
        <v>0</v>
      </c>
      <c r="U384" s="50">
        <f t="shared" si="669"/>
        <v>0</v>
      </c>
      <c r="V384" s="50">
        <f t="shared" si="669"/>
        <v>2</v>
      </c>
      <c r="W384" s="50">
        <f t="shared" si="669"/>
        <v>3</v>
      </c>
      <c r="X384" s="50">
        <f t="shared" si="669"/>
        <v>0</v>
      </c>
      <c r="Y384" s="50">
        <f t="shared" si="669"/>
        <v>0</v>
      </c>
      <c r="Z384" s="50">
        <f t="shared" si="669"/>
        <v>2</v>
      </c>
      <c r="AA384" s="50">
        <f t="shared" si="669"/>
        <v>0</v>
      </c>
      <c r="AB384" s="50">
        <f t="shared" si="669"/>
        <v>1</v>
      </c>
      <c r="AC384" s="50">
        <f t="shared" si="669"/>
        <v>0</v>
      </c>
      <c r="AD384" s="50">
        <f t="shared" si="669"/>
        <v>2</v>
      </c>
      <c r="AE384" s="50">
        <f t="shared" si="669"/>
        <v>0</v>
      </c>
      <c r="AF384" s="50">
        <f t="shared" si="669"/>
        <v>0</v>
      </c>
      <c r="AG384" s="50">
        <f t="shared" si="669"/>
        <v>0</v>
      </c>
      <c r="AH384" s="50">
        <f t="shared" si="669"/>
        <v>2</v>
      </c>
      <c r="AI384" s="50">
        <f t="shared" ref="AI384:BB384" si="670">IF(AI190&gt;0,SUM(AI385:AI392),0)</f>
        <v>3</v>
      </c>
      <c r="AJ384" s="50">
        <f t="shared" si="670"/>
        <v>0</v>
      </c>
      <c r="AK384" s="50">
        <f t="shared" si="670"/>
        <v>0</v>
      </c>
      <c r="AL384" s="50">
        <f t="shared" si="670"/>
        <v>2</v>
      </c>
      <c r="AM384" s="50">
        <f t="shared" si="670"/>
        <v>0</v>
      </c>
      <c r="AN384" s="50">
        <f t="shared" si="670"/>
        <v>0</v>
      </c>
      <c r="AO384" s="50">
        <f t="shared" si="670"/>
        <v>3</v>
      </c>
      <c r="AP384" s="50">
        <f t="shared" si="670"/>
        <v>3</v>
      </c>
      <c r="AQ384" s="50">
        <f t="shared" si="670"/>
        <v>0</v>
      </c>
      <c r="AR384" s="50">
        <f t="shared" si="670"/>
        <v>0</v>
      </c>
      <c r="AS384" s="50">
        <f t="shared" si="670"/>
        <v>0</v>
      </c>
      <c r="AT384" s="50">
        <f t="shared" si="670"/>
        <v>2</v>
      </c>
      <c r="AU384" s="50">
        <f t="shared" si="670"/>
        <v>0</v>
      </c>
      <c r="AV384" s="50">
        <f t="shared" si="670"/>
        <v>0</v>
      </c>
      <c r="AW384" s="50">
        <f t="shared" si="670"/>
        <v>0</v>
      </c>
      <c r="AX384" s="50">
        <f t="shared" si="670"/>
        <v>2</v>
      </c>
      <c r="AY384" s="50">
        <f t="shared" si="670"/>
        <v>0</v>
      </c>
      <c r="AZ384" s="50">
        <f t="shared" si="670"/>
        <v>0</v>
      </c>
      <c r="BA384" s="50">
        <f t="shared" si="670"/>
        <v>0</v>
      </c>
      <c r="BB384" s="50">
        <f t="shared" si="670"/>
        <v>2</v>
      </c>
      <c r="BC384" s="19">
        <f t="shared" si="658"/>
        <v>40</v>
      </c>
    </row>
    <row r="385" spans="2:56" x14ac:dyDescent="0.25">
      <c r="B385" s="19" t="str">
        <f>'Client Data'!C173</f>
        <v>Product A</v>
      </c>
      <c r="C385" s="35">
        <f>'Client Data'!D173</f>
        <v>0</v>
      </c>
      <c r="D385" s="35">
        <f>'Client Data'!E173</f>
        <v>0</v>
      </c>
      <c r="E385" s="35">
        <f>'Client Data'!F173</f>
        <v>0</v>
      </c>
      <c r="F385" s="35">
        <f>'Client Data'!G173</f>
        <v>0</v>
      </c>
      <c r="G385" s="35">
        <f>'Client Data'!H173</f>
        <v>0</v>
      </c>
      <c r="H385" s="35">
        <f>'Client Data'!I173</f>
        <v>0</v>
      </c>
      <c r="I385" s="35">
        <f>'Client Data'!J173</f>
        <v>0</v>
      </c>
      <c r="J385" s="35">
        <f>'Client Data'!K173</f>
        <v>0</v>
      </c>
      <c r="K385" s="35">
        <f>'Client Data'!L173</f>
        <v>0</v>
      </c>
      <c r="L385" s="35">
        <f>'Client Data'!M173</f>
        <v>0</v>
      </c>
      <c r="M385" s="35">
        <f>'Client Data'!N173</f>
        <v>0</v>
      </c>
      <c r="N385" s="35">
        <f>'Client Data'!O173</f>
        <v>0</v>
      </c>
      <c r="O385" s="35">
        <f>'Client Data'!P173</f>
        <v>0</v>
      </c>
      <c r="P385" s="35">
        <f>'Client Data'!Q173</f>
        <v>0</v>
      </c>
      <c r="Q385" s="35">
        <f>'Client Data'!R173</f>
        <v>0</v>
      </c>
      <c r="R385" s="35">
        <f>'Client Data'!S173</f>
        <v>0</v>
      </c>
      <c r="S385" s="35">
        <f>'Client Data'!T173</f>
        <v>0</v>
      </c>
      <c r="T385" s="35">
        <f>'Client Data'!U173</f>
        <v>0</v>
      </c>
      <c r="U385" s="35">
        <f>'Client Data'!V173</f>
        <v>0</v>
      </c>
      <c r="V385" s="35">
        <f>'Client Data'!W173</f>
        <v>0</v>
      </c>
      <c r="W385" s="35">
        <f>'Client Data'!X173</f>
        <v>0</v>
      </c>
      <c r="X385" s="35">
        <f>'Client Data'!Y173</f>
        <v>0</v>
      </c>
      <c r="Y385" s="35">
        <f>'Client Data'!Z173</f>
        <v>0</v>
      </c>
      <c r="Z385" s="35">
        <f>'Client Data'!AA173</f>
        <v>0</v>
      </c>
      <c r="AA385" s="35">
        <f>'Client Data'!AB173</f>
        <v>0</v>
      </c>
      <c r="AB385" s="35">
        <f>'Client Data'!AC173</f>
        <v>0</v>
      </c>
      <c r="AC385" s="35">
        <f>'Client Data'!AD173</f>
        <v>0</v>
      </c>
      <c r="AD385" s="35">
        <f>'Client Data'!AE173</f>
        <v>0</v>
      </c>
      <c r="AE385" s="35">
        <f>'Client Data'!AF173</f>
        <v>0</v>
      </c>
      <c r="AF385" s="35">
        <f>'Client Data'!AG173</f>
        <v>0</v>
      </c>
      <c r="AG385" s="35">
        <f>'Client Data'!AH173</f>
        <v>0</v>
      </c>
      <c r="AH385" s="35">
        <f>'Client Data'!AI173</f>
        <v>0</v>
      </c>
      <c r="AI385" s="35">
        <f>'Client Data'!AJ173</f>
        <v>0</v>
      </c>
      <c r="AJ385" s="35">
        <f>'Client Data'!AK173</f>
        <v>0</v>
      </c>
      <c r="AK385" s="35">
        <f>'Client Data'!AL173</f>
        <v>0</v>
      </c>
      <c r="AL385" s="35">
        <f>'Client Data'!AM173</f>
        <v>0</v>
      </c>
      <c r="AM385" s="35">
        <f>'Client Data'!AN173</f>
        <v>0</v>
      </c>
      <c r="AN385" s="35">
        <f>'Client Data'!AO173</f>
        <v>0</v>
      </c>
      <c r="AO385" s="35">
        <f>'Client Data'!AP173</f>
        <v>0</v>
      </c>
      <c r="AP385" s="35">
        <f>'Client Data'!AQ173</f>
        <v>0</v>
      </c>
      <c r="AQ385" s="35">
        <f>'Client Data'!AR173</f>
        <v>0</v>
      </c>
      <c r="AR385" s="35">
        <f>'Client Data'!AS173</f>
        <v>0</v>
      </c>
      <c r="AS385" s="35">
        <f>'Client Data'!AT173</f>
        <v>0</v>
      </c>
      <c r="AT385" s="35">
        <f>'Client Data'!AU173</f>
        <v>0</v>
      </c>
      <c r="AU385" s="35">
        <f>'Client Data'!AV173</f>
        <v>0</v>
      </c>
      <c r="AV385" s="35">
        <f>'Client Data'!AW173</f>
        <v>0</v>
      </c>
      <c r="AW385" s="35">
        <f>'Client Data'!AX173</f>
        <v>0</v>
      </c>
      <c r="AX385" s="35">
        <f>'Client Data'!AY173</f>
        <v>0</v>
      </c>
      <c r="AY385" s="35">
        <f>'Client Data'!AZ173</f>
        <v>0</v>
      </c>
      <c r="AZ385" s="35">
        <f>'Client Data'!BA173</f>
        <v>0</v>
      </c>
      <c r="BA385" s="35">
        <f>'Client Data'!BB173</f>
        <v>0</v>
      </c>
      <c r="BB385" s="35">
        <f>'Client Data'!BC173</f>
        <v>0</v>
      </c>
      <c r="BC385" s="19">
        <f t="shared" si="658"/>
        <v>0</v>
      </c>
    </row>
    <row r="386" spans="2:56" x14ac:dyDescent="0.25">
      <c r="B386" s="19" t="str">
        <f>'Client Data'!C174</f>
        <v>Product B</v>
      </c>
      <c r="C386" s="35">
        <f>'Client Data'!D174</f>
        <v>0</v>
      </c>
      <c r="D386" s="35">
        <f>'Client Data'!E174</f>
        <v>0</v>
      </c>
      <c r="E386" s="35">
        <f>'Client Data'!F174</f>
        <v>0</v>
      </c>
      <c r="F386" s="35">
        <f>'Client Data'!G174</f>
        <v>0</v>
      </c>
      <c r="G386" s="35">
        <f>'Client Data'!H174</f>
        <v>0</v>
      </c>
      <c r="H386" s="35">
        <f>'Client Data'!I174</f>
        <v>0</v>
      </c>
      <c r="I386" s="35">
        <f>'Client Data'!J174</f>
        <v>0</v>
      </c>
      <c r="J386" s="35">
        <f>'Client Data'!K174</f>
        <v>0</v>
      </c>
      <c r="K386" s="35">
        <f>'Client Data'!L174</f>
        <v>0</v>
      </c>
      <c r="L386" s="35">
        <f>'Client Data'!M174</f>
        <v>0</v>
      </c>
      <c r="M386" s="35">
        <f>'Client Data'!N174</f>
        <v>0</v>
      </c>
      <c r="N386" s="35">
        <f>'Client Data'!O174</f>
        <v>0</v>
      </c>
      <c r="O386" s="35">
        <f>'Client Data'!P174</f>
        <v>0</v>
      </c>
      <c r="P386" s="35">
        <f>'Client Data'!Q174</f>
        <v>0</v>
      </c>
      <c r="Q386" s="35">
        <f>'Client Data'!R174</f>
        <v>0</v>
      </c>
      <c r="R386" s="35">
        <f>'Client Data'!S174</f>
        <v>0</v>
      </c>
      <c r="S386" s="35">
        <f>'Client Data'!T174</f>
        <v>0</v>
      </c>
      <c r="T386" s="35">
        <f>'Client Data'!U174</f>
        <v>0</v>
      </c>
      <c r="U386" s="35">
        <f>'Client Data'!V174</f>
        <v>0</v>
      </c>
      <c r="V386" s="35">
        <f>'Client Data'!W174</f>
        <v>0</v>
      </c>
      <c r="W386" s="35">
        <f>'Client Data'!X174</f>
        <v>0</v>
      </c>
      <c r="X386" s="35">
        <f>'Client Data'!Y174</f>
        <v>0</v>
      </c>
      <c r="Y386" s="35">
        <f>'Client Data'!Z174</f>
        <v>0</v>
      </c>
      <c r="Z386" s="35">
        <f>'Client Data'!AA174</f>
        <v>0</v>
      </c>
      <c r="AA386" s="35">
        <f>'Client Data'!AB174</f>
        <v>0</v>
      </c>
      <c r="AB386" s="35">
        <f>'Client Data'!AC174</f>
        <v>0</v>
      </c>
      <c r="AC386" s="35">
        <f>'Client Data'!AD174</f>
        <v>0</v>
      </c>
      <c r="AD386" s="35">
        <f>'Client Data'!AE174</f>
        <v>0</v>
      </c>
      <c r="AE386" s="35">
        <f>'Client Data'!AF174</f>
        <v>0</v>
      </c>
      <c r="AF386" s="35">
        <f>'Client Data'!AG174</f>
        <v>0</v>
      </c>
      <c r="AG386" s="35">
        <f>'Client Data'!AH174</f>
        <v>0</v>
      </c>
      <c r="AH386" s="35">
        <f>'Client Data'!AI174</f>
        <v>0</v>
      </c>
      <c r="AI386" s="35">
        <f>'Client Data'!AJ174</f>
        <v>0</v>
      </c>
      <c r="AJ386" s="35">
        <f>'Client Data'!AK174</f>
        <v>0</v>
      </c>
      <c r="AK386" s="35">
        <f>'Client Data'!AL174</f>
        <v>0</v>
      </c>
      <c r="AL386" s="35">
        <f>'Client Data'!AM174</f>
        <v>0</v>
      </c>
      <c r="AM386" s="35">
        <f>'Client Data'!AN174</f>
        <v>0</v>
      </c>
      <c r="AN386" s="35">
        <f>'Client Data'!AO174</f>
        <v>0</v>
      </c>
      <c r="AO386" s="35">
        <f>'Client Data'!AP174</f>
        <v>0</v>
      </c>
      <c r="AP386" s="35">
        <f>'Client Data'!AQ174</f>
        <v>0</v>
      </c>
      <c r="AQ386" s="35">
        <f>'Client Data'!AR174</f>
        <v>0</v>
      </c>
      <c r="AR386" s="35">
        <f>'Client Data'!AS174</f>
        <v>0</v>
      </c>
      <c r="AS386" s="35">
        <f>'Client Data'!AT174</f>
        <v>0</v>
      </c>
      <c r="AT386" s="35">
        <f>'Client Data'!AU174</f>
        <v>0</v>
      </c>
      <c r="AU386" s="35">
        <f>'Client Data'!AV174</f>
        <v>0</v>
      </c>
      <c r="AV386" s="35">
        <f>'Client Data'!AW174</f>
        <v>0</v>
      </c>
      <c r="AW386" s="35">
        <f>'Client Data'!AX174</f>
        <v>0</v>
      </c>
      <c r="AX386" s="35">
        <f>'Client Data'!AY174</f>
        <v>0</v>
      </c>
      <c r="AY386" s="35">
        <f>'Client Data'!AZ174</f>
        <v>0</v>
      </c>
      <c r="AZ386" s="35">
        <f>'Client Data'!BA174</f>
        <v>0</v>
      </c>
      <c r="BA386" s="35">
        <f>'Client Data'!BB174</f>
        <v>0</v>
      </c>
      <c r="BB386" s="35">
        <f>'Client Data'!BC174</f>
        <v>0</v>
      </c>
      <c r="BC386" s="19">
        <f t="shared" si="658"/>
        <v>0</v>
      </c>
    </row>
    <row r="387" spans="2:56" x14ac:dyDescent="0.25">
      <c r="B387" s="19" t="str">
        <f>'Client Data'!C175</f>
        <v>Product C</v>
      </c>
      <c r="C387" s="35">
        <f>'Client Data'!D175</f>
        <v>0</v>
      </c>
      <c r="D387" s="35">
        <f>'Client Data'!E175</f>
        <v>0</v>
      </c>
      <c r="E387" s="35">
        <f>'Client Data'!F175</f>
        <v>0</v>
      </c>
      <c r="F387" s="35">
        <f>'Client Data'!G175</f>
        <v>0</v>
      </c>
      <c r="G387" s="35">
        <f>'Client Data'!H175</f>
        <v>0</v>
      </c>
      <c r="H387" s="35">
        <f>'Client Data'!I175</f>
        <v>0</v>
      </c>
      <c r="I387" s="35">
        <f>'Client Data'!J175</f>
        <v>0</v>
      </c>
      <c r="J387" s="35">
        <f>'Client Data'!K175</f>
        <v>0</v>
      </c>
      <c r="K387" s="35">
        <f>'Client Data'!L175</f>
        <v>0</v>
      </c>
      <c r="L387" s="35">
        <f>'Client Data'!M175</f>
        <v>0</v>
      </c>
      <c r="M387" s="35">
        <f>'Client Data'!N175</f>
        <v>0</v>
      </c>
      <c r="N387" s="35">
        <f>'Client Data'!O175</f>
        <v>0</v>
      </c>
      <c r="O387" s="35">
        <f>'Client Data'!P175</f>
        <v>0</v>
      </c>
      <c r="P387" s="35">
        <f>'Client Data'!Q175</f>
        <v>0</v>
      </c>
      <c r="Q387" s="35">
        <f>'Client Data'!R175</f>
        <v>0</v>
      </c>
      <c r="R387" s="35">
        <f>'Client Data'!S175</f>
        <v>0</v>
      </c>
      <c r="S387" s="35">
        <f>'Client Data'!T175</f>
        <v>0</v>
      </c>
      <c r="T387" s="35">
        <f>'Client Data'!U175</f>
        <v>0</v>
      </c>
      <c r="U387" s="35">
        <f>'Client Data'!V175</f>
        <v>0</v>
      </c>
      <c r="V387" s="35">
        <f>'Client Data'!W175</f>
        <v>0</v>
      </c>
      <c r="W387" s="35">
        <f>'Client Data'!X175</f>
        <v>0</v>
      </c>
      <c r="X387" s="35">
        <f>'Client Data'!Y175</f>
        <v>0</v>
      </c>
      <c r="Y387" s="35">
        <f>'Client Data'!Z175</f>
        <v>0</v>
      </c>
      <c r="Z387" s="35">
        <f>'Client Data'!AA175</f>
        <v>0</v>
      </c>
      <c r="AA387" s="35">
        <f>'Client Data'!AB175</f>
        <v>0</v>
      </c>
      <c r="AB387" s="35">
        <f>'Client Data'!AC175</f>
        <v>0</v>
      </c>
      <c r="AC387" s="35">
        <f>'Client Data'!AD175</f>
        <v>0</v>
      </c>
      <c r="AD387" s="35">
        <f>'Client Data'!AE175</f>
        <v>0</v>
      </c>
      <c r="AE387" s="35">
        <f>'Client Data'!AF175</f>
        <v>0</v>
      </c>
      <c r="AF387" s="35">
        <f>'Client Data'!AG175</f>
        <v>0</v>
      </c>
      <c r="AG387" s="35">
        <f>'Client Data'!AH175</f>
        <v>0</v>
      </c>
      <c r="AH387" s="35">
        <f>'Client Data'!AI175</f>
        <v>0</v>
      </c>
      <c r="AI387" s="35">
        <f>'Client Data'!AJ175</f>
        <v>0</v>
      </c>
      <c r="AJ387" s="35">
        <f>'Client Data'!AK175</f>
        <v>0</v>
      </c>
      <c r="AK387" s="35">
        <f>'Client Data'!AL175</f>
        <v>0</v>
      </c>
      <c r="AL387" s="35">
        <f>'Client Data'!AM175</f>
        <v>0</v>
      </c>
      <c r="AM387" s="35">
        <f>'Client Data'!AN175</f>
        <v>0</v>
      </c>
      <c r="AN387" s="35">
        <f>'Client Data'!AO175</f>
        <v>0</v>
      </c>
      <c r="AO387" s="35">
        <f>'Client Data'!AP175</f>
        <v>0</v>
      </c>
      <c r="AP387" s="35">
        <f>'Client Data'!AQ175</f>
        <v>0</v>
      </c>
      <c r="AQ387" s="35">
        <f>'Client Data'!AR175</f>
        <v>0</v>
      </c>
      <c r="AR387" s="35">
        <f>'Client Data'!AS175</f>
        <v>0</v>
      </c>
      <c r="AS387" s="35">
        <f>'Client Data'!AT175</f>
        <v>0</v>
      </c>
      <c r="AT387" s="35">
        <f>'Client Data'!AU175</f>
        <v>0</v>
      </c>
      <c r="AU387" s="35">
        <f>'Client Data'!AV175</f>
        <v>0</v>
      </c>
      <c r="AV387" s="35">
        <f>'Client Data'!AW175</f>
        <v>0</v>
      </c>
      <c r="AW387" s="35">
        <f>'Client Data'!AX175</f>
        <v>0</v>
      </c>
      <c r="AX387" s="35">
        <f>'Client Data'!AY175</f>
        <v>0</v>
      </c>
      <c r="AY387" s="35">
        <f>'Client Data'!AZ175</f>
        <v>0</v>
      </c>
      <c r="AZ387" s="35">
        <f>'Client Data'!BA175</f>
        <v>0</v>
      </c>
      <c r="BA387" s="35">
        <f>'Client Data'!BB175</f>
        <v>0</v>
      </c>
      <c r="BB387" s="35">
        <f>'Client Data'!BC175</f>
        <v>0</v>
      </c>
      <c r="BC387" s="19">
        <f t="shared" si="658"/>
        <v>0</v>
      </c>
    </row>
    <row r="388" spans="2:56" x14ac:dyDescent="0.25">
      <c r="B388" s="19" t="str">
        <f>'Client Data'!C176</f>
        <v>Product D</v>
      </c>
      <c r="C388" s="35">
        <f>'Client Data'!D176</f>
        <v>0</v>
      </c>
      <c r="D388" s="35">
        <f>'Client Data'!E176</f>
        <v>0</v>
      </c>
      <c r="E388" s="35">
        <f>'Client Data'!F176</f>
        <v>0</v>
      </c>
      <c r="F388" s="35">
        <f>'Client Data'!G176</f>
        <v>0</v>
      </c>
      <c r="G388" s="35">
        <f>'Client Data'!H176</f>
        <v>0</v>
      </c>
      <c r="H388" s="35">
        <f>'Client Data'!I176</f>
        <v>0</v>
      </c>
      <c r="I388" s="35">
        <f>'Client Data'!J176</f>
        <v>0</v>
      </c>
      <c r="J388" s="35">
        <f>'Client Data'!K176</f>
        <v>0</v>
      </c>
      <c r="K388" s="35">
        <f>'Client Data'!L176</f>
        <v>0</v>
      </c>
      <c r="L388" s="35">
        <f>'Client Data'!M176</f>
        <v>0</v>
      </c>
      <c r="M388" s="35">
        <f>'Client Data'!N176</f>
        <v>0</v>
      </c>
      <c r="N388" s="35">
        <f>'Client Data'!O176</f>
        <v>0</v>
      </c>
      <c r="O388" s="35">
        <f>'Client Data'!P176</f>
        <v>0</v>
      </c>
      <c r="P388" s="35">
        <f>'Client Data'!Q176</f>
        <v>0</v>
      </c>
      <c r="Q388" s="35">
        <f>'Client Data'!R176</f>
        <v>0</v>
      </c>
      <c r="R388" s="35">
        <f>'Client Data'!S176</f>
        <v>0</v>
      </c>
      <c r="S388" s="35">
        <f>'Client Data'!T176</f>
        <v>0</v>
      </c>
      <c r="T388" s="35">
        <f>'Client Data'!U176</f>
        <v>0</v>
      </c>
      <c r="U388" s="35">
        <f>'Client Data'!V176</f>
        <v>0</v>
      </c>
      <c r="V388" s="35">
        <f>'Client Data'!W176</f>
        <v>0</v>
      </c>
      <c r="W388" s="35">
        <f>'Client Data'!X176</f>
        <v>0</v>
      </c>
      <c r="X388" s="35">
        <f>'Client Data'!Y176</f>
        <v>0</v>
      </c>
      <c r="Y388" s="35">
        <f>'Client Data'!Z176</f>
        <v>0</v>
      </c>
      <c r="Z388" s="35">
        <f>'Client Data'!AA176</f>
        <v>0</v>
      </c>
      <c r="AA388" s="35">
        <f>'Client Data'!AB176</f>
        <v>0</v>
      </c>
      <c r="AB388" s="35">
        <f>'Client Data'!AC176</f>
        <v>0</v>
      </c>
      <c r="AC388" s="35">
        <f>'Client Data'!AD176</f>
        <v>0</v>
      </c>
      <c r="AD388" s="35">
        <f>'Client Data'!AE176</f>
        <v>0</v>
      </c>
      <c r="AE388" s="35">
        <f>'Client Data'!AF176</f>
        <v>0</v>
      </c>
      <c r="AF388" s="35">
        <f>'Client Data'!AG176</f>
        <v>0</v>
      </c>
      <c r="AG388" s="35">
        <f>'Client Data'!AH176</f>
        <v>0</v>
      </c>
      <c r="AH388" s="35">
        <f>'Client Data'!AI176</f>
        <v>0</v>
      </c>
      <c r="AI388" s="35">
        <f>'Client Data'!AJ176</f>
        <v>0</v>
      </c>
      <c r="AJ388" s="35">
        <f>'Client Data'!AK176</f>
        <v>0</v>
      </c>
      <c r="AK388" s="35">
        <f>'Client Data'!AL176</f>
        <v>0</v>
      </c>
      <c r="AL388" s="35">
        <f>'Client Data'!AM176</f>
        <v>0</v>
      </c>
      <c r="AM388" s="35">
        <f>'Client Data'!AN176</f>
        <v>0</v>
      </c>
      <c r="AN388" s="35">
        <f>'Client Data'!AO176</f>
        <v>0</v>
      </c>
      <c r="AO388" s="35">
        <f>'Client Data'!AP176</f>
        <v>0</v>
      </c>
      <c r="AP388" s="35">
        <f>'Client Data'!AQ176</f>
        <v>0</v>
      </c>
      <c r="AQ388" s="35">
        <f>'Client Data'!AR176</f>
        <v>0</v>
      </c>
      <c r="AR388" s="35">
        <f>'Client Data'!AS176</f>
        <v>0</v>
      </c>
      <c r="AS388" s="35">
        <f>'Client Data'!AT176</f>
        <v>0</v>
      </c>
      <c r="AT388" s="35">
        <f>'Client Data'!AU176</f>
        <v>0</v>
      </c>
      <c r="AU388" s="35">
        <f>'Client Data'!AV176</f>
        <v>0</v>
      </c>
      <c r="AV388" s="35">
        <f>'Client Data'!AW176</f>
        <v>0</v>
      </c>
      <c r="AW388" s="35">
        <f>'Client Data'!AX176</f>
        <v>0</v>
      </c>
      <c r="AX388" s="35">
        <f>'Client Data'!AY176</f>
        <v>0</v>
      </c>
      <c r="AY388" s="35">
        <f>'Client Data'!AZ176</f>
        <v>0</v>
      </c>
      <c r="AZ388" s="35">
        <f>'Client Data'!BA176</f>
        <v>0</v>
      </c>
      <c r="BA388" s="35">
        <f>'Client Data'!BB176</f>
        <v>0</v>
      </c>
      <c r="BB388" s="35">
        <f>'Client Data'!BC176</f>
        <v>0</v>
      </c>
      <c r="BC388" s="19">
        <f t="shared" si="658"/>
        <v>0</v>
      </c>
    </row>
    <row r="389" spans="2:56" x14ac:dyDescent="0.25">
      <c r="B389" s="19" t="str">
        <f>'Client Data'!C177</f>
        <v>Product E</v>
      </c>
      <c r="C389" s="35">
        <f>'Client Data'!D177</f>
        <v>0</v>
      </c>
      <c r="D389" s="35">
        <f>'Client Data'!E177</f>
        <v>0</v>
      </c>
      <c r="E389" s="35">
        <f>'Client Data'!F177</f>
        <v>0</v>
      </c>
      <c r="F389" s="35">
        <f>'Client Data'!G177</f>
        <v>0</v>
      </c>
      <c r="G389" s="35">
        <f>'Client Data'!H177</f>
        <v>0</v>
      </c>
      <c r="H389" s="35">
        <f>'Client Data'!I177</f>
        <v>0</v>
      </c>
      <c r="I389" s="35">
        <f>'Client Data'!J177</f>
        <v>0</v>
      </c>
      <c r="J389" s="35">
        <f>'Client Data'!K177</f>
        <v>0</v>
      </c>
      <c r="K389" s="35">
        <f>'Client Data'!L177</f>
        <v>0</v>
      </c>
      <c r="L389" s="35">
        <f>'Client Data'!M177</f>
        <v>0</v>
      </c>
      <c r="M389" s="35">
        <f>'Client Data'!N177</f>
        <v>0</v>
      </c>
      <c r="N389" s="35">
        <f>'Client Data'!O177</f>
        <v>0</v>
      </c>
      <c r="O389" s="35">
        <f>'Client Data'!P177</f>
        <v>0</v>
      </c>
      <c r="P389" s="35">
        <f>'Client Data'!Q177</f>
        <v>0</v>
      </c>
      <c r="Q389" s="35">
        <f>'Client Data'!R177</f>
        <v>0</v>
      </c>
      <c r="R389" s="35">
        <f>'Client Data'!S177</f>
        <v>0</v>
      </c>
      <c r="S389" s="35">
        <f>'Client Data'!T177</f>
        <v>0</v>
      </c>
      <c r="T389" s="35">
        <f>'Client Data'!U177</f>
        <v>0</v>
      </c>
      <c r="U389" s="35">
        <f>'Client Data'!V177</f>
        <v>0</v>
      </c>
      <c r="V389" s="35">
        <f>'Client Data'!W177</f>
        <v>0</v>
      </c>
      <c r="W389" s="35">
        <f>'Client Data'!X177</f>
        <v>0</v>
      </c>
      <c r="X389" s="35">
        <f>'Client Data'!Y177</f>
        <v>0</v>
      </c>
      <c r="Y389" s="35">
        <f>'Client Data'!Z177</f>
        <v>0</v>
      </c>
      <c r="Z389" s="35">
        <f>'Client Data'!AA177</f>
        <v>0</v>
      </c>
      <c r="AA389" s="35">
        <f>'Client Data'!AB177</f>
        <v>0</v>
      </c>
      <c r="AB389" s="35">
        <f>'Client Data'!AC177</f>
        <v>0</v>
      </c>
      <c r="AC389" s="35">
        <f>'Client Data'!AD177</f>
        <v>0</v>
      </c>
      <c r="AD389" s="35">
        <f>'Client Data'!AE177</f>
        <v>0</v>
      </c>
      <c r="AE389" s="35">
        <f>'Client Data'!AF177</f>
        <v>0</v>
      </c>
      <c r="AF389" s="35">
        <f>'Client Data'!AG177</f>
        <v>0</v>
      </c>
      <c r="AG389" s="35">
        <f>'Client Data'!AH177</f>
        <v>0</v>
      </c>
      <c r="AH389" s="35">
        <f>'Client Data'!AI177</f>
        <v>0</v>
      </c>
      <c r="AI389" s="35">
        <f>'Client Data'!AJ177</f>
        <v>0</v>
      </c>
      <c r="AJ389" s="35">
        <f>'Client Data'!AK177</f>
        <v>0</v>
      </c>
      <c r="AK389" s="35">
        <f>'Client Data'!AL177</f>
        <v>0</v>
      </c>
      <c r="AL389" s="35">
        <f>'Client Data'!AM177</f>
        <v>0</v>
      </c>
      <c r="AM389" s="35">
        <f>'Client Data'!AN177</f>
        <v>0</v>
      </c>
      <c r="AN389" s="35">
        <f>'Client Data'!AO177</f>
        <v>0</v>
      </c>
      <c r="AO389" s="35">
        <f>'Client Data'!AP177</f>
        <v>0</v>
      </c>
      <c r="AP389" s="35">
        <f>'Client Data'!AQ177</f>
        <v>0</v>
      </c>
      <c r="AQ389" s="35">
        <f>'Client Data'!AR177</f>
        <v>0</v>
      </c>
      <c r="AR389" s="35">
        <f>'Client Data'!AS177</f>
        <v>0</v>
      </c>
      <c r="AS389" s="35">
        <f>'Client Data'!AT177</f>
        <v>0</v>
      </c>
      <c r="AT389" s="35">
        <f>'Client Data'!AU177</f>
        <v>0</v>
      </c>
      <c r="AU389" s="35">
        <f>'Client Data'!AV177</f>
        <v>0</v>
      </c>
      <c r="AV389" s="35">
        <f>'Client Data'!AW177</f>
        <v>0</v>
      </c>
      <c r="AW389" s="35">
        <f>'Client Data'!AX177</f>
        <v>0</v>
      </c>
      <c r="AX389" s="35">
        <f>'Client Data'!AY177</f>
        <v>0</v>
      </c>
      <c r="AY389" s="35">
        <f>'Client Data'!AZ177</f>
        <v>0</v>
      </c>
      <c r="AZ389" s="35">
        <f>'Client Data'!BA177</f>
        <v>0</v>
      </c>
      <c r="BA389" s="35">
        <f>'Client Data'!BB177</f>
        <v>0</v>
      </c>
      <c r="BB389" s="35">
        <f>'Client Data'!BC177</f>
        <v>0</v>
      </c>
      <c r="BC389" s="19">
        <f t="shared" si="658"/>
        <v>0</v>
      </c>
    </row>
    <row r="390" spans="2:56" x14ac:dyDescent="0.25">
      <c r="B390" s="19" t="str">
        <f>'Client Data'!C178</f>
        <v>Product F</v>
      </c>
      <c r="C390" s="35">
        <f>'Client Data'!D178</f>
        <v>0</v>
      </c>
      <c r="D390" s="35">
        <f>'Client Data'!E178</f>
        <v>0</v>
      </c>
      <c r="E390" s="35">
        <f>'Client Data'!F178</f>
        <v>0</v>
      </c>
      <c r="F390" s="35">
        <f>'Client Data'!G178</f>
        <v>0</v>
      </c>
      <c r="G390" s="35">
        <f>'Client Data'!H178</f>
        <v>0</v>
      </c>
      <c r="H390" s="35">
        <f>'Client Data'!I178</f>
        <v>0</v>
      </c>
      <c r="I390" s="35">
        <f>'Client Data'!J178</f>
        <v>0</v>
      </c>
      <c r="J390" s="35">
        <f>'Client Data'!K178</f>
        <v>0</v>
      </c>
      <c r="K390" s="35">
        <f>'Client Data'!L178</f>
        <v>0</v>
      </c>
      <c r="L390" s="35">
        <f>'Client Data'!M178</f>
        <v>0</v>
      </c>
      <c r="M390" s="35">
        <f>'Client Data'!N178</f>
        <v>0</v>
      </c>
      <c r="N390" s="35">
        <f>'Client Data'!O178</f>
        <v>0</v>
      </c>
      <c r="O390" s="35">
        <f>'Client Data'!P178</f>
        <v>0</v>
      </c>
      <c r="P390" s="35">
        <f>'Client Data'!Q178</f>
        <v>0</v>
      </c>
      <c r="Q390" s="35">
        <f>'Client Data'!R178</f>
        <v>0</v>
      </c>
      <c r="R390" s="35">
        <f>'Client Data'!S178</f>
        <v>0</v>
      </c>
      <c r="S390" s="35">
        <f>'Client Data'!T178</f>
        <v>0</v>
      </c>
      <c r="T390" s="35">
        <f>'Client Data'!U178</f>
        <v>0</v>
      </c>
      <c r="U390" s="35">
        <f>'Client Data'!V178</f>
        <v>0</v>
      </c>
      <c r="V390" s="35">
        <f>'Client Data'!W178</f>
        <v>0</v>
      </c>
      <c r="W390" s="35">
        <f>'Client Data'!X178</f>
        <v>0</v>
      </c>
      <c r="X390" s="35">
        <f>'Client Data'!Y178</f>
        <v>0</v>
      </c>
      <c r="Y390" s="35">
        <f>'Client Data'!Z178</f>
        <v>0</v>
      </c>
      <c r="Z390" s="35">
        <f>'Client Data'!AA178</f>
        <v>0</v>
      </c>
      <c r="AA390" s="35">
        <f>'Client Data'!AB178</f>
        <v>0</v>
      </c>
      <c r="AB390" s="35">
        <f>'Client Data'!AC178</f>
        <v>0</v>
      </c>
      <c r="AC390" s="35">
        <f>'Client Data'!AD178</f>
        <v>0</v>
      </c>
      <c r="AD390" s="35">
        <f>'Client Data'!AE178</f>
        <v>0</v>
      </c>
      <c r="AE390" s="35">
        <f>'Client Data'!AF178</f>
        <v>0</v>
      </c>
      <c r="AF390" s="35">
        <f>'Client Data'!AG178</f>
        <v>0</v>
      </c>
      <c r="AG390" s="35">
        <f>'Client Data'!AH178</f>
        <v>0</v>
      </c>
      <c r="AH390" s="35">
        <f>'Client Data'!AI178</f>
        <v>0</v>
      </c>
      <c r="AI390" s="35">
        <f>'Client Data'!AJ178</f>
        <v>0</v>
      </c>
      <c r="AJ390" s="35">
        <f>'Client Data'!AK178</f>
        <v>0</v>
      </c>
      <c r="AK390" s="35">
        <f>'Client Data'!AL178</f>
        <v>0</v>
      </c>
      <c r="AL390" s="35">
        <f>'Client Data'!AM178</f>
        <v>0</v>
      </c>
      <c r="AM390" s="35">
        <f>'Client Data'!AN178</f>
        <v>0</v>
      </c>
      <c r="AN390" s="35">
        <f>'Client Data'!AO178</f>
        <v>0</v>
      </c>
      <c r="AO390" s="35">
        <f>'Client Data'!AP178</f>
        <v>0</v>
      </c>
      <c r="AP390" s="35">
        <f>'Client Data'!AQ178</f>
        <v>0</v>
      </c>
      <c r="AQ390" s="35">
        <f>'Client Data'!AR178</f>
        <v>0</v>
      </c>
      <c r="AR390" s="35">
        <f>'Client Data'!AS178</f>
        <v>0</v>
      </c>
      <c r="AS390" s="35">
        <f>'Client Data'!AT178</f>
        <v>0</v>
      </c>
      <c r="AT390" s="35">
        <f>'Client Data'!AU178</f>
        <v>0</v>
      </c>
      <c r="AU390" s="35">
        <f>'Client Data'!AV178</f>
        <v>0</v>
      </c>
      <c r="AV390" s="35">
        <f>'Client Data'!AW178</f>
        <v>0</v>
      </c>
      <c r="AW390" s="35">
        <f>'Client Data'!AX178</f>
        <v>0</v>
      </c>
      <c r="AX390" s="35">
        <f>'Client Data'!AY178</f>
        <v>0</v>
      </c>
      <c r="AY390" s="35">
        <f>'Client Data'!AZ178</f>
        <v>0</v>
      </c>
      <c r="AZ390" s="35">
        <f>'Client Data'!BA178</f>
        <v>0</v>
      </c>
      <c r="BA390" s="35">
        <f>'Client Data'!BB178</f>
        <v>0</v>
      </c>
      <c r="BB390" s="35">
        <f>'Client Data'!BC178</f>
        <v>0</v>
      </c>
      <c r="BC390" s="19">
        <f t="shared" si="658"/>
        <v>0</v>
      </c>
    </row>
    <row r="391" spans="2:56" x14ac:dyDescent="0.25">
      <c r="B391" s="19" t="str">
        <f>'Client Data'!C179</f>
        <v>Product G</v>
      </c>
      <c r="C391" s="35">
        <f>'Client Data'!D179</f>
        <v>0</v>
      </c>
      <c r="D391" s="35">
        <f>'Client Data'!E179</f>
        <v>0</v>
      </c>
      <c r="E391" s="35">
        <f>'Client Data'!F179</f>
        <v>0</v>
      </c>
      <c r="F391" s="35">
        <f>'Client Data'!G179</f>
        <v>0</v>
      </c>
      <c r="G391" s="35">
        <f>'Client Data'!H179</f>
        <v>0</v>
      </c>
      <c r="H391" s="35">
        <f>'Client Data'!I179</f>
        <v>0</v>
      </c>
      <c r="I391" s="35">
        <f>'Client Data'!J179</f>
        <v>0</v>
      </c>
      <c r="J391" s="35">
        <f>'Client Data'!K179</f>
        <v>0</v>
      </c>
      <c r="K391" s="35">
        <f>'Client Data'!L179</f>
        <v>0</v>
      </c>
      <c r="L391" s="35">
        <f>'Client Data'!M179</f>
        <v>0</v>
      </c>
      <c r="M391" s="35">
        <f>'Client Data'!N179</f>
        <v>0</v>
      </c>
      <c r="N391" s="35">
        <f>'Client Data'!O179</f>
        <v>0</v>
      </c>
      <c r="O391" s="35">
        <f>'Client Data'!P179</f>
        <v>0</v>
      </c>
      <c r="P391" s="35">
        <f>'Client Data'!Q179</f>
        <v>0</v>
      </c>
      <c r="Q391" s="35">
        <f>'Client Data'!R179</f>
        <v>0</v>
      </c>
      <c r="R391" s="35">
        <f>'Client Data'!S179</f>
        <v>0</v>
      </c>
      <c r="S391" s="35">
        <f>'Client Data'!T179</f>
        <v>0</v>
      </c>
      <c r="T391" s="35">
        <f>'Client Data'!U179</f>
        <v>0</v>
      </c>
      <c r="U391" s="35">
        <f>'Client Data'!V179</f>
        <v>0</v>
      </c>
      <c r="V391" s="35">
        <f>'Client Data'!W179</f>
        <v>0</v>
      </c>
      <c r="W391" s="35">
        <f>'Client Data'!X179</f>
        <v>0</v>
      </c>
      <c r="X391" s="35">
        <f>'Client Data'!Y179</f>
        <v>0</v>
      </c>
      <c r="Y391" s="35">
        <f>'Client Data'!Z179</f>
        <v>0</v>
      </c>
      <c r="Z391" s="35">
        <f>'Client Data'!AA179</f>
        <v>0</v>
      </c>
      <c r="AA391" s="35">
        <f>'Client Data'!AB179</f>
        <v>0</v>
      </c>
      <c r="AB391" s="35">
        <f>'Client Data'!AC179</f>
        <v>0</v>
      </c>
      <c r="AC391" s="35">
        <f>'Client Data'!AD179</f>
        <v>0</v>
      </c>
      <c r="AD391" s="35">
        <f>'Client Data'!AE179</f>
        <v>0</v>
      </c>
      <c r="AE391" s="35">
        <f>'Client Data'!AF179</f>
        <v>0</v>
      </c>
      <c r="AF391" s="35">
        <f>'Client Data'!AG179</f>
        <v>0</v>
      </c>
      <c r="AG391" s="35">
        <f>'Client Data'!AH179</f>
        <v>0</v>
      </c>
      <c r="AH391" s="35">
        <f>'Client Data'!AI179</f>
        <v>0</v>
      </c>
      <c r="AI391" s="35">
        <f>'Client Data'!AJ179</f>
        <v>0</v>
      </c>
      <c r="AJ391" s="35">
        <f>'Client Data'!AK179</f>
        <v>0</v>
      </c>
      <c r="AK391" s="35">
        <f>'Client Data'!AL179</f>
        <v>0</v>
      </c>
      <c r="AL391" s="35">
        <f>'Client Data'!AM179</f>
        <v>0</v>
      </c>
      <c r="AM391" s="35">
        <f>'Client Data'!AN179</f>
        <v>0</v>
      </c>
      <c r="AN391" s="35">
        <f>'Client Data'!AO179</f>
        <v>0</v>
      </c>
      <c r="AO391" s="35">
        <f>'Client Data'!AP179</f>
        <v>0</v>
      </c>
      <c r="AP391" s="35">
        <f>'Client Data'!AQ179</f>
        <v>0</v>
      </c>
      <c r="AQ391" s="35">
        <f>'Client Data'!AR179</f>
        <v>0</v>
      </c>
      <c r="AR391" s="35">
        <f>'Client Data'!AS179</f>
        <v>0</v>
      </c>
      <c r="AS391" s="35">
        <f>'Client Data'!AT179</f>
        <v>0</v>
      </c>
      <c r="AT391" s="35">
        <f>'Client Data'!AU179</f>
        <v>0</v>
      </c>
      <c r="AU391" s="35">
        <f>'Client Data'!AV179</f>
        <v>0</v>
      </c>
      <c r="AV391" s="35">
        <f>'Client Data'!AW179</f>
        <v>0</v>
      </c>
      <c r="AW391" s="35">
        <f>'Client Data'!AX179</f>
        <v>0</v>
      </c>
      <c r="AX391" s="35">
        <f>'Client Data'!AY179</f>
        <v>0</v>
      </c>
      <c r="AY391" s="35">
        <f>'Client Data'!AZ179</f>
        <v>0</v>
      </c>
      <c r="AZ391" s="35">
        <f>'Client Data'!BA179</f>
        <v>0</v>
      </c>
      <c r="BA391" s="35">
        <f>'Client Data'!BB179</f>
        <v>0</v>
      </c>
      <c r="BB391" s="35">
        <f>'Client Data'!BC179</f>
        <v>0</v>
      </c>
      <c r="BC391" s="19">
        <f t="shared" si="658"/>
        <v>0</v>
      </c>
    </row>
    <row r="392" spans="2:56" x14ac:dyDescent="0.25">
      <c r="B392" s="19" t="str">
        <f>'Client Data'!C180</f>
        <v>Product H</v>
      </c>
      <c r="C392" s="35">
        <f>'Client Data'!D180</f>
        <v>0</v>
      </c>
      <c r="D392" s="35">
        <f>'Client Data'!E180</f>
        <v>0</v>
      </c>
      <c r="E392" s="35">
        <f>'Client Data'!F180</f>
        <v>0</v>
      </c>
      <c r="F392" s="35">
        <f>'Client Data'!G180</f>
        <v>2</v>
      </c>
      <c r="G392" s="35">
        <f>'Client Data'!H180</f>
        <v>0</v>
      </c>
      <c r="H392" s="35">
        <f>'Client Data'!I180</f>
        <v>0</v>
      </c>
      <c r="I392" s="35">
        <f>'Client Data'!J180</f>
        <v>0</v>
      </c>
      <c r="J392" s="35">
        <f>'Client Data'!K180</f>
        <v>2</v>
      </c>
      <c r="K392" s="35">
        <f>'Client Data'!L180</f>
        <v>0</v>
      </c>
      <c r="L392" s="35">
        <f>'Client Data'!M180</f>
        <v>0</v>
      </c>
      <c r="M392" s="35">
        <f>'Client Data'!N180</f>
        <v>0</v>
      </c>
      <c r="N392" s="35">
        <f>'Client Data'!O180</f>
        <v>2</v>
      </c>
      <c r="O392" s="35">
        <f>'Client Data'!P180</f>
        <v>0</v>
      </c>
      <c r="P392" s="35">
        <f>'Client Data'!Q180</f>
        <v>0</v>
      </c>
      <c r="Q392" s="35">
        <f>'Client Data'!R180</f>
        <v>3</v>
      </c>
      <c r="R392" s="35">
        <f>'Client Data'!S180</f>
        <v>2</v>
      </c>
      <c r="S392" s="35">
        <f>'Client Data'!T180</f>
        <v>0</v>
      </c>
      <c r="T392" s="35">
        <f>'Client Data'!U180</f>
        <v>0</v>
      </c>
      <c r="U392" s="35">
        <f>'Client Data'!V180</f>
        <v>0</v>
      </c>
      <c r="V392" s="35">
        <f>'Client Data'!W180</f>
        <v>2</v>
      </c>
      <c r="W392" s="35">
        <f>'Client Data'!X180</f>
        <v>3</v>
      </c>
      <c r="X392" s="35">
        <f>'Client Data'!Y180</f>
        <v>0</v>
      </c>
      <c r="Y392" s="35">
        <f>'Client Data'!Z180</f>
        <v>0</v>
      </c>
      <c r="Z392" s="35">
        <f>'Client Data'!AA180</f>
        <v>2</v>
      </c>
      <c r="AA392" s="35">
        <f>'Client Data'!AB180</f>
        <v>0</v>
      </c>
      <c r="AB392" s="35">
        <f>'Client Data'!AC180</f>
        <v>1</v>
      </c>
      <c r="AC392" s="35">
        <f>'Client Data'!AD180</f>
        <v>0</v>
      </c>
      <c r="AD392" s="35">
        <f>'Client Data'!AE180</f>
        <v>2</v>
      </c>
      <c r="AE392" s="35">
        <f>'Client Data'!AF180</f>
        <v>0</v>
      </c>
      <c r="AF392" s="35">
        <f>'Client Data'!AG180</f>
        <v>0</v>
      </c>
      <c r="AG392" s="35">
        <f>'Client Data'!AH180</f>
        <v>0</v>
      </c>
      <c r="AH392" s="35">
        <f>'Client Data'!AI180</f>
        <v>2</v>
      </c>
      <c r="AI392" s="35">
        <f>'Client Data'!AJ180</f>
        <v>3</v>
      </c>
      <c r="AJ392" s="35">
        <f>'Client Data'!AK180</f>
        <v>0</v>
      </c>
      <c r="AK392" s="35">
        <f>'Client Data'!AL180</f>
        <v>0</v>
      </c>
      <c r="AL392" s="35">
        <f>'Client Data'!AM180</f>
        <v>2</v>
      </c>
      <c r="AM392" s="35">
        <f>'Client Data'!AN180</f>
        <v>0</v>
      </c>
      <c r="AN392" s="35">
        <f>'Client Data'!AO180</f>
        <v>0</v>
      </c>
      <c r="AO392" s="35">
        <f>'Client Data'!AP180</f>
        <v>3</v>
      </c>
      <c r="AP392" s="35">
        <f>'Client Data'!AQ180</f>
        <v>3</v>
      </c>
      <c r="AQ392" s="35">
        <f>'Client Data'!AR180</f>
        <v>0</v>
      </c>
      <c r="AR392" s="35">
        <f>'Client Data'!AS180</f>
        <v>0</v>
      </c>
      <c r="AS392" s="35">
        <f>'Client Data'!AT180</f>
        <v>0</v>
      </c>
      <c r="AT392" s="35">
        <f>'Client Data'!AU180</f>
        <v>2</v>
      </c>
      <c r="AU392" s="35">
        <f>'Client Data'!AV180</f>
        <v>0</v>
      </c>
      <c r="AV392" s="35">
        <f>'Client Data'!AW180</f>
        <v>0</v>
      </c>
      <c r="AW392" s="35">
        <f>'Client Data'!AX180</f>
        <v>0</v>
      </c>
      <c r="AX392" s="35">
        <f>'Client Data'!AY180</f>
        <v>2</v>
      </c>
      <c r="AY392" s="35">
        <f>'Client Data'!AZ180</f>
        <v>0</v>
      </c>
      <c r="AZ392" s="35">
        <f>'Client Data'!BA180</f>
        <v>0</v>
      </c>
      <c r="BA392" s="35">
        <f>'Client Data'!BB180</f>
        <v>0</v>
      </c>
      <c r="BB392" s="35">
        <f>'Client Data'!BC180</f>
        <v>2</v>
      </c>
      <c r="BC392" s="19">
        <f t="shared" si="658"/>
        <v>40</v>
      </c>
    </row>
    <row r="393" spans="2:56" x14ac:dyDescent="0.25">
      <c r="B393" s="50" t="str">
        <f>_xlfn.CONCAT(B322," ","Yield Loss")</f>
        <v>Product A Yield Loss</v>
      </c>
      <c r="C393" s="50">
        <f>SUM(C322,C331,C340,C349,C358,C367,C376,C385)</f>
        <v>5</v>
      </c>
      <c r="D393" s="50">
        <f t="shared" ref="D393:BB393" si="671">SUM(D322,D331,D340,D349,D358,D367,D376,D385)</f>
        <v>0</v>
      </c>
      <c r="E393" s="50">
        <f t="shared" si="671"/>
        <v>2</v>
      </c>
      <c r="F393" s="50">
        <f t="shared" si="671"/>
        <v>0</v>
      </c>
      <c r="G393" s="50">
        <f t="shared" si="671"/>
        <v>4</v>
      </c>
      <c r="H393" s="50">
        <f t="shared" si="671"/>
        <v>0</v>
      </c>
      <c r="I393" s="50">
        <f t="shared" si="671"/>
        <v>0</v>
      </c>
      <c r="J393" s="50">
        <f t="shared" si="671"/>
        <v>0</v>
      </c>
      <c r="K393" s="50">
        <f t="shared" si="671"/>
        <v>4</v>
      </c>
      <c r="L393" s="50">
        <f t="shared" si="671"/>
        <v>0</v>
      </c>
      <c r="M393" s="50">
        <f t="shared" si="671"/>
        <v>0</v>
      </c>
      <c r="N393" s="50">
        <f t="shared" si="671"/>
        <v>0</v>
      </c>
      <c r="O393" s="50">
        <f t="shared" si="671"/>
        <v>4</v>
      </c>
      <c r="P393" s="50">
        <f t="shared" si="671"/>
        <v>1</v>
      </c>
      <c r="Q393" s="50">
        <f t="shared" si="671"/>
        <v>0</v>
      </c>
      <c r="R393" s="50">
        <f t="shared" si="671"/>
        <v>0</v>
      </c>
      <c r="S393" s="50">
        <f t="shared" si="671"/>
        <v>4</v>
      </c>
      <c r="T393" s="50">
        <f t="shared" si="671"/>
        <v>0</v>
      </c>
      <c r="U393" s="50">
        <f t="shared" si="671"/>
        <v>0</v>
      </c>
      <c r="V393" s="50">
        <f t="shared" si="671"/>
        <v>1</v>
      </c>
      <c r="W393" s="50">
        <f t="shared" si="671"/>
        <v>4</v>
      </c>
      <c r="X393" s="50">
        <f t="shared" si="671"/>
        <v>0</v>
      </c>
      <c r="Y393" s="50">
        <f t="shared" si="671"/>
        <v>0</v>
      </c>
      <c r="Z393" s="50">
        <f t="shared" si="671"/>
        <v>0</v>
      </c>
      <c r="AA393" s="50">
        <f t="shared" si="671"/>
        <v>4</v>
      </c>
      <c r="AB393" s="50">
        <f t="shared" si="671"/>
        <v>0</v>
      </c>
      <c r="AC393" s="50">
        <f t="shared" si="671"/>
        <v>3</v>
      </c>
      <c r="AD393" s="50">
        <f t="shared" si="671"/>
        <v>0</v>
      </c>
      <c r="AE393" s="50">
        <f t="shared" si="671"/>
        <v>4</v>
      </c>
      <c r="AF393" s="50">
        <f t="shared" si="671"/>
        <v>0</v>
      </c>
      <c r="AG393" s="50">
        <f t="shared" si="671"/>
        <v>0</v>
      </c>
      <c r="AH393" s="50">
        <f t="shared" si="671"/>
        <v>1</v>
      </c>
      <c r="AI393" s="50">
        <f t="shared" si="671"/>
        <v>4</v>
      </c>
      <c r="AJ393" s="50">
        <f t="shared" si="671"/>
        <v>0</v>
      </c>
      <c r="AK393" s="50">
        <f t="shared" si="671"/>
        <v>0</v>
      </c>
      <c r="AL393" s="50">
        <f t="shared" si="671"/>
        <v>0</v>
      </c>
      <c r="AM393" s="50">
        <f t="shared" si="671"/>
        <v>4</v>
      </c>
      <c r="AN393" s="50">
        <f t="shared" si="671"/>
        <v>1</v>
      </c>
      <c r="AO393" s="50">
        <f t="shared" si="671"/>
        <v>0</v>
      </c>
      <c r="AP393" s="50">
        <f t="shared" si="671"/>
        <v>0</v>
      </c>
      <c r="AQ393" s="50">
        <f t="shared" si="671"/>
        <v>4</v>
      </c>
      <c r="AR393" s="50">
        <f t="shared" si="671"/>
        <v>0</v>
      </c>
      <c r="AS393" s="50">
        <f t="shared" si="671"/>
        <v>2</v>
      </c>
      <c r="AT393" s="50">
        <f t="shared" si="671"/>
        <v>0</v>
      </c>
      <c r="AU393" s="50">
        <f t="shared" si="671"/>
        <v>4</v>
      </c>
      <c r="AV393" s="50">
        <f t="shared" si="671"/>
        <v>2</v>
      </c>
      <c r="AW393" s="50">
        <f t="shared" si="671"/>
        <v>0</v>
      </c>
      <c r="AX393" s="50">
        <f t="shared" si="671"/>
        <v>0</v>
      </c>
      <c r="AY393" s="50">
        <f t="shared" si="671"/>
        <v>4</v>
      </c>
      <c r="AZ393" s="50">
        <f t="shared" si="671"/>
        <v>0</v>
      </c>
      <c r="BA393" s="50">
        <f t="shared" si="671"/>
        <v>0</v>
      </c>
      <c r="BB393" s="50">
        <f t="shared" si="671"/>
        <v>0</v>
      </c>
      <c r="BC393" s="19">
        <f t="shared" si="658"/>
        <v>66</v>
      </c>
    </row>
    <row r="394" spans="2:56" x14ac:dyDescent="0.25">
      <c r="B394" s="50" t="str">
        <f t="shared" ref="B394:B400" si="672">_xlfn.CONCAT(B323," ","Yield Loss")</f>
        <v>Product B Yield Loss</v>
      </c>
      <c r="C394" s="50">
        <f t="shared" ref="C394:BB394" si="673">SUM(C323,C332,C341,C350,C359,C368,C377,C386)</f>
        <v>4</v>
      </c>
      <c r="D394" s="50">
        <f t="shared" si="673"/>
        <v>4</v>
      </c>
      <c r="E394" s="50">
        <f t="shared" si="673"/>
        <v>0</v>
      </c>
      <c r="F394" s="50">
        <f t="shared" si="673"/>
        <v>3</v>
      </c>
      <c r="G394" s="50">
        <f t="shared" si="673"/>
        <v>4</v>
      </c>
      <c r="H394" s="50">
        <f t="shared" si="673"/>
        <v>4</v>
      </c>
      <c r="I394" s="50">
        <f t="shared" si="673"/>
        <v>0</v>
      </c>
      <c r="J394" s="50">
        <f t="shared" si="673"/>
        <v>1</v>
      </c>
      <c r="K394" s="50">
        <f t="shared" si="673"/>
        <v>4</v>
      </c>
      <c r="L394" s="50">
        <f t="shared" si="673"/>
        <v>4</v>
      </c>
      <c r="M394" s="50">
        <f t="shared" si="673"/>
        <v>0</v>
      </c>
      <c r="N394" s="50">
        <f t="shared" si="673"/>
        <v>0</v>
      </c>
      <c r="O394" s="50">
        <f t="shared" si="673"/>
        <v>4</v>
      </c>
      <c r="P394" s="50">
        <f t="shared" si="673"/>
        <v>4</v>
      </c>
      <c r="Q394" s="50">
        <f t="shared" si="673"/>
        <v>0</v>
      </c>
      <c r="R394" s="50">
        <f t="shared" si="673"/>
        <v>0</v>
      </c>
      <c r="S394" s="50">
        <f t="shared" si="673"/>
        <v>4</v>
      </c>
      <c r="T394" s="50">
        <f t="shared" si="673"/>
        <v>4</v>
      </c>
      <c r="U394" s="50">
        <f t="shared" si="673"/>
        <v>0</v>
      </c>
      <c r="V394" s="50">
        <f t="shared" si="673"/>
        <v>0</v>
      </c>
      <c r="W394" s="50">
        <f t="shared" si="673"/>
        <v>4</v>
      </c>
      <c r="X394" s="50">
        <f t="shared" si="673"/>
        <v>4</v>
      </c>
      <c r="Y394" s="50">
        <f t="shared" si="673"/>
        <v>0</v>
      </c>
      <c r="Z394" s="50">
        <f t="shared" si="673"/>
        <v>0</v>
      </c>
      <c r="AA394" s="50">
        <f t="shared" si="673"/>
        <v>4</v>
      </c>
      <c r="AB394" s="50">
        <f t="shared" si="673"/>
        <v>4</v>
      </c>
      <c r="AC394" s="50">
        <f t="shared" si="673"/>
        <v>0</v>
      </c>
      <c r="AD394" s="50">
        <f t="shared" si="673"/>
        <v>0</v>
      </c>
      <c r="AE394" s="50">
        <f t="shared" si="673"/>
        <v>4</v>
      </c>
      <c r="AF394" s="50">
        <f t="shared" si="673"/>
        <v>4</v>
      </c>
      <c r="AG394" s="50">
        <f t="shared" si="673"/>
        <v>0</v>
      </c>
      <c r="AH394" s="50">
        <f t="shared" si="673"/>
        <v>0</v>
      </c>
      <c r="AI394" s="50">
        <f t="shared" si="673"/>
        <v>4</v>
      </c>
      <c r="AJ394" s="50">
        <f t="shared" si="673"/>
        <v>4</v>
      </c>
      <c r="AK394" s="50">
        <f t="shared" si="673"/>
        <v>0</v>
      </c>
      <c r="AL394" s="50">
        <f t="shared" si="673"/>
        <v>0</v>
      </c>
      <c r="AM394" s="50">
        <f t="shared" si="673"/>
        <v>4</v>
      </c>
      <c r="AN394" s="50">
        <f t="shared" si="673"/>
        <v>4</v>
      </c>
      <c r="AO394" s="50">
        <f t="shared" si="673"/>
        <v>0</v>
      </c>
      <c r="AP394" s="50">
        <f t="shared" si="673"/>
        <v>0</v>
      </c>
      <c r="AQ394" s="50">
        <f t="shared" si="673"/>
        <v>4</v>
      </c>
      <c r="AR394" s="50">
        <f t="shared" si="673"/>
        <v>4</v>
      </c>
      <c r="AS394" s="50">
        <f t="shared" si="673"/>
        <v>0</v>
      </c>
      <c r="AT394" s="50">
        <f t="shared" si="673"/>
        <v>2</v>
      </c>
      <c r="AU394" s="50">
        <f t="shared" si="673"/>
        <v>4</v>
      </c>
      <c r="AV394" s="50">
        <f t="shared" si="673"/>
        <v>4</v>
      </c>
      <c r="AW394" s="50">
        <f t="shared" si="673"/>
        <v>0</v>
      </c>
      <c r="AX394" s="50">
        <f t="shared" si="673"/>
        <v>1</v>
      </c>
      <c r="AY394" s="50">
        <f t="shared" si="673"/>
        <v>4</v>
      </c>
      <c r="AZ394" s="50">
        <f t="shared" si="673"/>
        <v>1</v>
      </c>
      <c r="BA394" s="50">
        <f t="shared" si="673"/>
        <v>0</v>
      </c>
      <c r="BB394" s="50">
        <f t="shared" si="673"/>
        <v>0</v>
      </c>
      <c r="BC394" s="19">
        <f t="shared" ref="BC394:BC426" si="674">SUM(C394:BB394)</f>
        <v>108</v>
      </c>
    </row>
    <row r="395" spans="2:56" x14ac:dyDescent="0.25">
      <c r="B395" s="50" t="str">
        <f t="shared" si="672"/>
        <v>Product C Yield Loss</v>
      </c>
      <c r="C395" s="50">
        <f t="shared" ref="C395:BB395" si="675">SUM(C324,C333,C342,C351,C360,C369,C378,C387)</f>
        <v>5</v>
      </c>
      <c r="D395" s="50">
        <f t="shared" si="675"/>
        <v>4</v>
      </c>
      <c r="E395" s="50">
        <f t="shared" si="675"/>
        <v>4</v>
      </c>
      <c r="F395" s="50">
        <f t="shared" si="675"/>
        <v>0</v>
      </c>
      <c r="G395" s="50">
        <f t="shared" si="675"/>
        <v>5</v>
      </c>
      <c r="H395" s="50">
        <f t="shared" si="675"/>
        <v>4</v>
      </c>
      <c r="I395" s="50">
        <f t="shared" si="675"/>
        <v>4</v>
      </c>
      <c r="J395" s="50">
        <f t="shared" si="675"/>
        <v>0</v>
      </c>
      <c r="K395" s="50">
        <f t="shared" si="675"/>
        <v>3</v>
      </c>
      <c r="L395" s="50">
        <f t="shared" si="675"/>
        <v>4</v>
      </c>
      <c r="M395" s="50">
        <f t="shared" si="675"/>
        <v>4</v>
      </c>
      <c r="N395" s="50">
        <f t="shared" si="675"/>
        <v>0</v>
      </c>
      <c r="O395" s="50">
        <f t="shared" si="675"/>
        <v>3</v>
      </c>
      <c r="P395" s="50">
        <f t="shared" si="675"/>
        <v>4</v>
      </c>
      <c r="Q395" s="50">
        <f t="shared" si="675"/>
        <v>4</v>
      </c>
      <c r="R395" s="50">
        <f t="shared" si="675"/>
        <v>0</v>
      </c>
      <c r="S395" s="50">
        <f t="shared" si="675"/>
        <v>5</v>
      </c>
      <c r="T395" s="50">
        <f t="shared" si="675"/>
        <v>4</v>
      </c>
      <c r="U395" s="50">
        <f t="shared" si="675"/>
        <v>4</v>
      </c>
      <c r="V395" s="50">
        <f t="shared" si="675"/>
        <v>0</v>
      </c>
      <c r="W395" s="50">
        <f t="shared" si="675"/>
        <v>5</v>
      </c>
      <c r="X395" s="50">
        <f t="shared" si="675"/>
        <v>4</v>
      </c>
      <c r="Y395" s="50">
        <f t="shared" si="675"/>
        <v>4</v>
      </c>
      <c r="Z395" s="50">
        <f t="shared" si="675"/>
        <v>0</v>
      </c>
      <c r="AA395" s="50">
        <f t="shared" si="675"/>
        <v>5</v>
      </c>
      <c r="AB395" s="50">
        <f t="shared" si="675"/>
        <v>4</v>
      </c>
      <c r="AC395" s="50">
        <f t="shared" si="675"/>
        <v>4</v>
      </c>
      <c r="AD395" s="50">
        <f t="shared" si="675"/>
        <v>0</v>
      </c>
      <c r="AE395" s="50">
        <f t="shared" si="675"/>
        <v>5</v>
      </c>
      <c r="AF395" s="50">
        <f t="shared" si="675"/>
        <v>4</v>
      </c>
      <c r="AG395" s="50">
        <f t="shared" si="675"/>
        <v>4</v>
      </c>
      <c r="AH395" s="50">
        <f t="shared" si="675"/>
        <v>0</v>
      </c>
      <c r="AI395" s="50">
        <f t="shared" si="675"/>
        <v>5</v>
      </c>
      <c r="AJ395" s="50">
        <f t="shared" si="675"/>
        <v>4</v>
      </c>
      <c r="AK395" s="50">
        <f t="shared" si="675"/>
        <v>4</v>
      </c>
      <c r="AL395" s="50">
        <f t="shared" si="675"/>
        <v>0</v>
      </c>
      <c r="AM395" s="50">
        <f t="shared" si="675"/>
        <v>5</v>
      </c>
      <c r="AN395" s="50">
        <f t="shared" si="675"/>
        <v>4</v>
      </c>
      <c r="AO395" s="50">
        <f t="shared" si="675"/>
        <v>4</v>
      </c>
      <c r="AP395" s="50">
        <f t="shared" si="675"/>
        <v>0</v>
      </c>
      <c r="AQ395" s="50">
        <f t="shared" si="675"/>
        <v>5</v>
      </c>
      <c r="AR395" s="50">
        <f t="shared" si="675"/>
        <v>4</v>
      </c>
      <c r="AS395" s="50">
        <f t="shared" si="675"/>
        <v>4</v>
      </c>
      <c r="AT395" s="50">
        <f t="shared" si="675"/>
        <v>0</v>
      </c>
      <c r="AU395" s="50">
        <f t="shared" si="675"/>
        <v>5</v>
      </c>
      <c r="AV395" s="50">
        <f t="shared" si="675"/>
        <v>4</v>
      </c>
      <c r="AW395" s="50">
        <f t="shared" si="675"/>
        <v>4</v>
      </c>
      <c r="AX395" s="50">
        <f t="shared" si="675"/>
        <v>0</v>
      </c>
      <c r="AY395" s="50">
        <f t="shared" si="675"/>
        <v>5</v>
      </c>
      <c r="AZ395" s="50">
        <f t="shared" si="675"/>
        <v>4</v>
      </c>
      <c r="BA395" s="50">
        <f t="shared" si="675"/>
        <v>4</v>
      </c>
      <c r="BB395" s="50">
        <f t="shared" si="675"/>
        <v>0</v>
      </c>
      <c r="BC395" s="19">
        <f t="shared" si="674"/>
        <v>165</v>
      </c>
    </row>
    <row r="396" spans="2:56" x14ac:dyDescent="0.25">
      <c r="B396" s="50" t="str">
        <f t="shared" si="672"/>
        <v>Product D Yield Loss</v>
      </c>
      <c r="C396" s="50">
        <f t="shared" ref="C396:BB396" si="676">SUM(C325,C334,C343,C352,C361,C370,C379,C388)</f>
        <v>5</v>
      </c>
      <c r="D396" s="50">
        <f t="shared" si="676"/>
        <v>5</v>
      </c>
      <c r="E396" s="50">
        <f t="shared" si="676"/>
        <v>4</v>
      </c>
      <c r="F396" s="50">
        <f t="shared" si="676"/>
        <v>4</v>
      </c>
      <c r="G396" s="50">
        <f t="shared" si="676"/>
        <v>4</v>
      </c>
      <c r="H396" s="50">
        <f t="shared" si="676"/>
        <v>5</v>
      </c>
      <c r="I396" s="50">
        <f t="shared" si="676"/>
        <v>4</v>
      </c>
      <c r="J396" s="50">
        <f t="shared" si="676"/>
        <v>4</v>
      </c>
      <c r="K396" s="50">
        <f t="shared" si="676"/>
        <v>5</v>
      </c>
      <c r="L396" s="50">
        <f t="shared" si="676"/>
        <v>5</v>
      </c>
      <c r="M396" s="50">
        <f t="shared" si="676"/>
        <v>4</v>
      </c>
      <c r="N396" s="50">
        <f t="shared" si="676"/>
        <v>4</v>
      </c>
      <c r="O396" s="50">
        <f t="shared" si="676"/>
        <v>6</v>
      </c>
      <c r="P396" s="50">
        <f t="shared" si="676"/>
        <v>5</v>
      </c>
      <c r="Q396" s="50">
        <f t="shared" si="676"/>
        <v>4</v>
      </c>
      <c r="R396" s="50">
        <f t="shared" si="676"/>
        <v>4</v>
      </c>
      <c r="S396" s="50">
        <f t="shared" si="676"/>
        <v>4</v>
      </c>
      <c r="T396" s="50">
        <f t="shared" si="676"/>
        <v>4</v>
      </c>
      <c r="U396" s="50">
        <f t="shared" si="676"/>
        <v>4</v>
      </c>
      <c r="V396" s="50">
        <f t="shared" si="676"/>
        <v>4</v>
      </c>
      <c r="W396" s="50">
        <f t="shared" si="676"/>
        <v>6</v>
      </c>
      <c r="X396" s="50">
        <f t="shared" si="676"/>
        <v>5</v>
      </c>
      <c r="Y396" s="50">
        <f t="shared" si="676"/>
        <v>4</v>
      </c>
      <c r="Z396" s="50">
        <f t="shared" si="676"/>
        <v>3</v>
      </c>
      <c r="AA396" s="50">
        <f t="shared" si="676"/>
        <v>6</v>
      </c>
      <c r="AB396" s="50">
        <f t="shared" si="676"/>
        <v>5</v>
      </c>
      <c r="AC396" s="50">
        <f t="shared" si="676"/>
        <v>4</v>
      </c>
      <c r="AD396" s="50">
        <f t="shared" si="676"/>
        <v>3</v>
      </c>
      <c r="AE396" s="50">
        <f t="shared" si="676"/>
        <v>4</v>
      </c>
      <c r="AF396" s="50">
        <f t="shared" si="676"/>
        <v>5</v>
      </c>
      <c r="AG396" s="50">
        <f t="shared" si="676"/>
        <v>4</v>
      </c>
      <c r="AH396" s="50">
        <f t="shared" si="676"/>
        <v>4</v>
      </c>
      <c r="AI396" s="50">
        <f t="shared" si="676"/>
        <v>4</v>
      </c>
      <c r="AJ396" s="50">
        <f t="shared" si="676"/>
        <v>5</v>
      </c>
      <c r="AK396" s="50">
        <f t="shared" si="676"/>
        <v>4</v>
      </c>
      <c r="AL396" s="50">
        <f t="shared" si="676"/>
        <v>3</v>
      </c>
      <c r="AM396" s="50">
        <f t="shared" si="676"/>
        <v>5</v>
      </c>
      <c r="AN396" s="50">
        <f t="shared" si="676"/>
        <v>5</v>
      </c>
      <c r="AO396" s="50">
        <f t="shared" si="676"/>
        <v>4</v>
      </c>
      <c r="AP396" s="50">
        <f t="shared" si="676"/>
        <v>4</v>
      </c>
      <c r="AQ396" s="50">
        <f t="shared" si="676"/>
        <v>4</v>
      </c>
      <c r="AR396" s="50">
        <f t="shared" si="676"/>
        <v>5</v>
      </c>
      <c r="AS396" s="50">
        <f t="shared" si="676"/>
        <v>4</v>
      </c>
      <c r="AT396" s="50">
        <f t="shared" si="676"/>
        <v>4</v>
      </c>
      <c r="AU396" s="50">
        <f t="shared" si="676"/>
        <v>6</v>
      </c>
      <c r="AV396" s="50">
        <f t="shared" si="676"/>
        <v>4</v>
      </c>
      <c r="AW396" s="50">
        <f t="shared" si="676"/>
        <v>4</v>
      </c>
      <c r="AX396" s="50">
        <f t="shared" si="676"/>
        <v>4</v>
      </c>
      <c r="AY396" s="50">
        <f t="shared" si="676"/>
        <v>6</v>
      </c>
      <c r="AZ396" s="50">
        <f t="shared" si="676"/>
        <v>5</v>
      </c>
      <c r="BA396" s="50">
        <f t="shared" si="676"/>
        <v>4</v>
      </c>
      <c r="BB396" s="50">
        <f t="shared" si="676"/>
        <v>3</v>
      </c>
      <c r="BC396" s="19">
        <f t="shared" si="674"/>
        <v>228</v>
      </c>
    </row>
    <row r="397" spans="2:56" x14ac:dyDescent="0.25">
      <c r="B397" s="50" t="str">
        <f t="shared" si="672"/>
        <v>Product E Yield Loss</v>
      </c>
      <c r="C397" s="50">
        <f t="shared" ref="C397:BB397" si="677">SUM(C326,C335,C344,C353,C362,C371,C380,C389)</f>
        <v>2</v>
      </c>
      <c r="D397" s="50">
        <f t="shared" si="677"/>
        <v>4</v>
      </c>
      <c r="E397" s="50">
        <f t="shared" si="677"/>
        <v>5</v>
      </c>
      <c r="F397" s="50">
        <f t="shared" si="677"/>
        <v>4</v>
      </c>
      <c r="G397" s="50">
        <f t="shared" si="677"/>
        <v>2</v>
      </c>
      <c r="H397" s="50">
        <f t="shared" si="677"/>
        <v>5</v>
      </c>
      <c r="I397" s="50">
        <f t="shared" si="677"/>
        <v>5</v>
      </c>
      <c r="J397" s="50">
        <f t="shared" si="677"/>
        <v>4</v>
      </c>
      <c r="K397" s="50">
        <f t="shared" si="677"/>
        <v>2</v>
      </c>
      <c r="L397" s="50">
        <f t="shared" si="677"/>
        <v>3</v>
      </c>
      <c r="M397" s="50">
        <f t="shared" si="677"/>
        <v>3</v>
      </c>
      <c r="N397" s="50">
        <f t="shared" si="677"/>
        <v>4</v>
      </c>
      <c r="O397" s="50">
        <f t="shared" si="677"/>
        <v>2</v>
      </c>
      <c r="P397" s="50">
        <f t="shared" si="677"/>
        <v>6</v>
      </c>
      <c r="Q397" s="50">
        <f t="shared" si="677"/>
        <v>5</v>
      </c>
      <c r="R397" s="50">
        <f t="shared" si="677"/>
        <v>4</v>
      </c>
      <c r="S397" s="50">
        <f t="shared" si="677"/>
        <v>2</v>
      </c>
      <c r="T397" s="50">
        <f t="shared" si="677"/>
        <v>4</v>
      </c>
      <c r="U397" s="50">
        <f t="shared" si="677"/>
        <v>5</v>
      </c>
      <c r="V397" s="50">
        <f t="shared" si="677"/>
        <v>4</v>
      </c>
      <c r="W397" s="50">
        <f t="shared" si="677"/>
        <v>2</v>
      </c>
      <c r="X397" s="50">
        <f t="shared" si="677"/>
        <v>3</v>
      </c>
      <c r="Y397" s="50">
        <f t="shared" si="677"/>
        <v>2</v>
      </c>
      <c r="Z397" s="50">
        <f t="shared" si="677"/>
        <v>4</v>
      </c>
      <c r="AA397" s="50">
        <f t="shared" si="677"/>
        <v>2</v>
      </c>
      <c r="AB397" s="50">
        <f t="shared" si="677"/>
        <v>4</v>
      </c>
      <c r="AC397" s="50">
        <f t="shared" si="677"/>
        <v>4</v>
      </c>
      <c r="AD397" s="50">
        <f t="shared" si="677"/>
        <v>4</v>
      </c>
      <c r="AE397" s="50">
        <f t="shared" si="677"/>
        <v>2</v>
      </c>
      <c r="AF397" s="50">
        <f t="shared" si="677"/>
        <v>5</v>
      </c>
      <c r="AG397" s="50">
        <f t="shared" si="677"/>
        <v>5</v>
      </c>
      <c r="AH397" s="50">
        <f t="shared" si="677"/>
        <v>4</v>
      </c>
      <c r="AI397" s="50">
        <f t="shared" si="677"/>
        <v>2</v>
      </c>
      <c r="AJ397" s="50">
        <f t="shared" si="677"/>
        <v>3</v>
      </c>
      <c r="AK397" s="50">
        <f t="shared" si="677"/>
        <v>5</v>
      </c>
      <c r="AL397" s="50">
        <f t="shared" si="677"/>
        <v>4</v>
      </c>
      <c r="AM397" s="50">
        <f t="shared" si="677"/>
        <v>2</v>
      </c>
      <c r="AN397" s="50">
        <f t="shared" si="677"/>
        <v>6</v>
      </c>
      <c r="AO397" s="50">
        <f t="shared" si="677"/>
        <v>5</v>
      </c>
      <c r="AP397" s="50">
        <f t="shared" si="677"/>
        <v>4</v>
      </c>
      <c r="AQ397" s="50">
        <f t="shared" si="677"/>
        <v>2</v>
      </c>
      <c r="AR397" s="50">
        <f t="shared" si="677"/>
        <v>5</v>
      </c>
      <c r="AS397" s="50">
        <f t="shared" si="677"/>
        <v>5</v>
      </c>
      <c r="AT397" s="50">
        <f t="shared" si="677"/>
        <v>4</v>
      </c>
      <c r="AU397" s="50">
        <f t="shared" si="677"/>
        <v>2</v>
      </c>
      <c r="AV397" s="50">
        <f t="shared" si="677"/>
        <v>5</v>
      </c>
      <c r="AW397" s="50">
        <f t="shared" si="677"/>
        <v>3</v>
      </c>
      <c r="AX397" s="50">
        <f t="shared" si="677"/>
        <v>4</v>
      </c>
      <c r="AY397" s="50">
        <f t="shared" si="677"/>
        <v>2</v>
      </c>
      <c r="AZ397" s="50">
        <f t="shared" si="677"/>
        <v>6</v>
      </c>
      <c r="BA397" s="50">
        <f t="shared" si="677"/>
        <v>5</v>
      </c>
      <c r="BB397" s="50">
        <f t="shared" si="677"/>
        <v>4</v>
      </c>
      <c r="BC397" s="19">
        <f t="shared" si="674"/>
        <v>194</v>
      </c>
    </row>
    <row r="398" spans="2:56" x14ac:dyDescent="0.25">
      <c r="B398" s="50" t="str">
        <f t="shared" si="672"/>
        <v>Product F Yield Loss</v>
      </c>
      <c r="C398" s="50">
        <f t="shared" ref="C398:BB398" si="678">SUM(C327,C336,C345,C354,C363,C372,C381,C390)</f>
        <v>0</v>
      </c>
      <c r="D398" s="50">
        <f t="shared" si="678"/>
        <v>2</v>
      </c>
      <c r="E398" s="50">
        <f t="shared" si="678"/>
        <v>6</v>
      </c>
      <c r="F398" s="50">
        <f t="shared" si="678"/>
        <v>0</v>
      </c>
      <c r="G398" s="50">
        <f t="shared" si="678"/>
        <v>0</v>
      </c>
      <c r="H398" s="50">
        <f t="shared" si="678"/>
        <v>2</v>
      </c>
      <c r="I398" s="50">
        <f t="shared" si="678"/>
        <v>4</v>
      </c>
      <c r="J398" s="50">
        <f t="shared" si="678"/>
        <v>5</v>
      </c>
      <c r="K398" s="50">
        <f t="shared" si="678"/>
        <v>3</v>
      </c>
      <c r="L398" s="50">
        <f t="shared" si="678"/>
        <v>2</v>
      </c>
      <c r="M398" s="50">
        <f t="shared" si="678"/>
        <v>6</v>
      </c>
      <c r="N398" s="50">
        <f t="shared" si="678"/>
        <v>5</v>
      </c>
      <c r="O398" s="50">
        <f t="shared" si="678"/>
        <v>0</v>
      </c>
      <c r="P398" s="50">
        <f t="shared" si="678"/>
        <v>2</v>
      </c>
      <c r="Q398" s="50">
        <f t="shared" si="678"/>
        <v>6</v>
      </c>
      <c r="R398" s="50">
        <f t="shared" si="678"/>
        <v>5</v>
      </c>
      <c r="S398" s="50">
        <f t="shared" si="678"/>
        <v>0</v>
      </c>
      <c r="T398" s="50">
        <f t="shared" si="678"/>
        <v>2</v>
      </c>
      <c r="U398" s="50">
        <f t="shared" si="678"/>
        <v>3</v>
      </c>
      <c r="V398" s="50">
        <f t="shared" si="678"/>
        <v>5</v>
      </c>
      <c r="W398" s="50">
        <f t="shared" si="678"/>
        <v>0</v>
      </c>
      <c r="X398" s="50">
        <f t="shared" si="678"/>
        <v>2</v>
      </c>
      <c r="Y398" s="50">
        <f t="shared" si="678"/>
        <v>4</v>
      </c>
      <c r="Z398" s="50">
        <f t="shared" si="678"/>
        <v>5</v>
      </c>
      <c r="AA398" s="50">
        <f t="shared" si="678"/>
        <v>0</v>
      </c>
      <c r="AB398" s="50">
        <f t="shared" si="678"/>
        <v>2</v>
      </c>
      <c r="AC398" s="50">
        <f t="shared" si="678"/>
        <v>5</v>
      </c>
      <c r="AD398" s="50">
        <f t="shared" si="678"/>
        <v>2</v>
      </c>
      <c r="AE398" s="50">
        <f t="shared" si="678"/>
        <v>0</v>
      </c>
      <c r="AF398" s="50">
        <f t="shared" si="678"/>
        <v>2</v>
      </c>
      <c r="AG398" s="50">
        <f t="shared" si="678"/>
        <v>6</v>
      </c>
      <c r="AH398" s="50">
        <f t="shared" si="678"/>
        <v>5</v>
      </c>
      <c r="AI398" s="50">
        <f t="shared" si="678"/>
        <v>0</v>
      </c>
      <c r="AJ398" s="50">
        <f t="shared" si="678"/>
        <v>2</v>
      </c>
      <c r="AK398" s="50">
        <f t="shared" si="678"/>
        <v>4</v>
      </c>
      <c r="AL398" s="50">
        <f t="shared" si="678"/>
        <v>5</v>
      </c>
      <c r="AM398" s="50">
        <f t="shared" si="678"/>
        <v>0</v>
      </c>
      <c r="AN398" s="50">
        <f t="shared" si="678"/>
        <v>2</v>
      </c>
      <c r="AO398" s="50">
        <f t="shared" si="678"/>
        <v>6</v>
      </c>
      <c r="AP398" s="50">
        <f t="shared" si="678"/>
        <v>2</v>
      </c>
      <c r="AQ398" s="50">
        <f t="shared" si="678"/>
        <v>0</v>
      </c>
      <c r="AR398" s="50">
        <f t="shared" si="678"/>
        <v>2</v>
      </c>
      <c r="AS398" s="50">
        <f t="shared" si="678"/>
        <v>6</v>
      </c>
      <c r="AT398" s="50">
        <f t="shared" si="678"/>
        <v>5</v>
      </c>
      <c r="AU398" s="50">
        <f t="shared" si="678"/>
        <v>2</v>
      </c>
      <c r="AV398" s="50">
        <f t="shared" si="678"/>
        <v>2</v>
      </c>
      <c r="AW398" s="50">
        <f t="shared" si="678"/>
        <v>5</v>
      </c>
      <c r="AX398" s="50">
        <f t="shared" si="678"/>
        <v>5</v>
      </c>
      <c r="AY398" s="50">
        <f t="shared" si="678"/>
        <v>3</v>
      </c>
      <c r="AZ398" s="50">
        <f t="shared" si="678"/>
        <v>2</v>
      </c>
      <c r="BA398" s="50">
        <f t="shared" si="678"/>
        <v>4</v>
      </c>
      <c r="BB398" s="50">
        <f t="shared" si="678"/>
        <v>5</v>
      </c>
      <c r="BC398" s="19">
        <f t="shared" si="674"/>
        <v>153</v>
      </c>
    </row>
    <row r="399" spans="2:56" x14ac:dyDescent="0.25">
      <c r="B399" s="50" t="str">
        <f t="shared" si="672"/>
        <v>Product G Yield Loss</v>
      </c>
      <c r="C399" s="50">
        <f t="shared" ref="C399:BB399" si="679">SUM(C328,C337,C346,C355,C364,C373,C382,C391)</f>
        <v>0</v>
      </c>
      <c r="D399" s="50">
        <f t="shared" si="679"/>
        <v>1</v>
      </c>
      <c r="E399" s="50">
        <f t="shared" si="679"/>
        <v>3</v>
      </c>
      <c r="F399" s="50">
        <f t="shared" si="679"/>
        <v>5</v>
      </c>
      <c r="G399" s="50">
        <f t="shared" si="679"/>
        <v>0</v>
      </c>
      <c r="H399" s="50">
        <f t="shared" si="679"/>
        <v>0</v>
      </c>
      <c r="I399" s="50">
        <f t="shared" si="679"/>
        <v>2</v>
      </c>
      <c r="J399" s="50">
        <f t="shared" si="679"/>
        <v>6</v>
      </c>
      <c r="K399" s="50">
        <f t="shared" si="679"/>
        <v>0</v>
      </c>
      <c r="L399" s="50">
        <f t="shared" si="679"/>
        <v>0</v>
      </c>
      <c r="M399" s="50">
        <f t="shared" si="679"/>
        <v>2</v>
      </c>
      <c r="N399" s="50">
        <f t="shared" si="679"/>
        <v>5</v>
      </c>
      <c r="O399" s="50">
        <f t="shared" si="679"/>
        <v>0</v>
      </c>
      <c r="P399" s="50">
        <f t="shared" si="679"/>
        <v>0</v>
      </c>
      <c r="Q399" s="50">
        <f t="shared" si="679"/>
        <v>2</v>
      </c>
      <c r="R399" s="50">
        <f t="shared" si="679"/>
        <v>3</v>
      </c>
      <c r="S399" s="50">
        <f t="shared" si="679"/>
        <v>0</v>
      </c>
      <c r="T399" s="50">
        <f t="shared" si="679"/>
        <v>0</v>
      </c>
      <c r="U399" s="50">
        <f t="shared" si="679"/>
        <v>2</v>
      </c>
      <c r="V399" s="50">
        <f t="shared" si="679"/>
        <v>6</v>
      </c>
      <c r="W399" s="50">
        <f t="shared" si="679"/>
        <v>0</v>
      </c>
      <c r="X399" s="50">
        <f t="shared" si="679"/>
        <v>0</v>
      </c>
      <c r="Y399" s="50">
        <f t="shared" si="679"/>
        <v>2</v>
      </c>
      <c r="Z399" s="50">
        <f t="shared" si="679"/>
        <v>6</v>
      </c>
      <c r="AA399" s="50">
        <f t="shared" si="679"/>
        <v>0</v>
      </c>
      <c r="AB399" s="50">
        <f t="shared" si="679"/>
        <v>0</v>
      </c>
      <c r="AC399" s="50">
        <f t="shared" si="679"/>
        <v>2</v>
      </c>
      <c r="AD399" s="50">
        <f t="shared" si="679"/>
        <v>6</v>
      </c>
      <c r="AE399" s="50">
        <f t="shared" si="679"/>
        <v>0</v>
      </c>
      <c r="AF399" s="50">
        <f t="shared" si="679"/>
        <v>0</v>
      </c>
      <c r="AG399" s="50">
        <f t="shared" si="679"/>
        <v>2</v>
      </c>
      <c r="AH399" s="50">
        <f t="shared" si="679"/>
        <v>6</v>
      </c>
      <c r="AI399" s="50">
        <f t="shared" si="679"/>
        <v>0</v>
      </c>
      <c r="AJ399" s="50">
        <f t="shared" si="679"/>
        <v>0</v>
      </c>
      <c r="AK399" s="50">
        <f t="shared" si="679"/>
        <v>2</v>
      </c>
      <c r="AL399" s="50">
        <f t="shared" si="679"/>
        <v>6</v>
      </c>
      <c r="AM399" s="50">
        <f t="shared" si="679"/>
        <v>0</v>
      </c>
      <c r="AN399" s="50">
        <f t="shared" si="679"/>
        <v>0</v>
      </c>
      <c r="AO399" s="50">
        <f t="shared" si="679"/>
        <v>2</v>
      </c>
      <c r="AP399" s="50">
        <f t="shared" si="679"/>
        <v>6</v>
      </c>
      <c r="AQ399" s="50">
        <f t="shared" si="679"/>
        <v>0</v>
      </c>
      <c r="AR399" s="50">
        <f t="shared" si="679"/>
        <v>0</v>
      </c>
      <c r="AS399" s="50">
        <f t="shared" si="679"/>
        <v>2</v>
      </c>
      <c r="AT399" s="50">
        <f t="shared" si="679"/>
        <v>6</v>
      </c>
      <c r="AU399" s="50">
        <f t="shared" si="679"/>
        <v>0</v>
      </c>
      <c r="AV399" s="50">
        <f t="shared" si="679"/>
        <v>0</v>
      </c>
      <c r="AW399" s="50">
        <f t="shared" si="679"/>
        <v>2</v>
      </c>
      <c r="AX399" s="50">
        <f t="shared" si="679"/>
        <v>6</v>
      </c>
      <c r="AY399" s="50">
        <f t="shared" si="679"/>
        <v>0</v>
      </c>
      <c r="AZ399" s="50">
        <f t="shared" si="679"/>
        <v>0</v>
      </c>
      <c r="BA399" s="50">
        <f t="shared" si="679"/>
        <v>2</v>
      </c>
      <c r="BB399" s="50">
        <f t="shared" si="679"/>
        <v>3</v>
      </c>
      <c r="BC399" s="19">
        <f t="shared" si="674"/>
        <v>98</v>
      </c>
    </row>
    <row r="400" spans="2:56" x14ac:dyDescent="0.25">
      <c r="B400" s="50" t="str">
        <f t="shared" si="672"/>
        <v>Product H Yield Loss</v>
      </c>
      <c r="C400" s="50">
        <f t="shared" ref="C400:BB400" si="680">SUM(C329,C338,C347,C356,C365,C374,C383,C392)</f>
        <v>0</v>
      </c>
      <c r="D400" s="50">
        <f t="shared" si="680"/>
        <v>0</v>
      </c>
      <c r="E400" s="50">
        <f t="shared" si="680"/>
        <v>0</v>
      </c>
      <c r="F400" s="50">
        <f t="shared" si="680"/>
        <v>2</v>
      </c>
      <c r="G400" s="50">
        <f t="shared" si="680"/>
        <v>0</v>
      </c>
      <c r="H400" s="50">
        <f t="shared" si="680"/>
        <v>0</v>
      </c>
      <c r="I400" s="50">
        <f t="shared" si="680"/>
        <v>0</v>
      </c>
      <c r="J400" s="50">
        <f t="shared" si="680"/>
        <v>2</v>
      </c>
      <c r="K400" s="50">
        <f t="shared" si="680"/>
        <v>0</v>
      </c>
      <c r="L400" s="50">
        <f t="shared" si="680"/>
        <v>0</v>
      </c>
      <c r="M400" s="50">
        <f t="shared" si="680"/>
        <v>0</v>
      </c>
      <c r="N400" s="50">
        <f t="shared" si="680"/>
        <v>2</v>
      </c>
      <c r="O400" s="50">
        <f t="shared" si="680"/>
        <v>0</v>
      </c>
      <c r="P400" s="50">
        <f t="shared" si="680"/>
        <v>0</v>
      </c>
      <c r="Q400" s="50">
        <f t="shared" si="680"/>
        <v>3</v>
      </c>
      <c r="R400" s="50">
        <f t="shared" si="680"/>
        <v>2</v>
      </c>
      <c r="S400" s="50">
        <f t="shared" si="680"/>
        <v>0</v>
      </c>
      <c r="T400" s="50">
        <f t="shared" si="680"/>
        <v>0</v>
      </c>
      <c r="U400" s="50">
        <f t="shared" si="680"/>
        <v>0</v>
      </c>
      <c r="V400" s="50">
        <f t="shared" si="680"/>
        <v>2</v>
      </c>
      <c r="W400" s="50">
        <f t="shared" si="680"/>
        <v>3</v>
      </c>
      <c r="X400" s="50">
        <f t="shared" si="680"/>
        <v>0</v>
      </c>
      <c r="Y400" s="50">
        <f t="shared" si="680"/>
        <v>0</v>
      </c>
      <c r="Z400" s="50">
        <f t="shared" si="680"/>
        <v>2</v>
      </c>
      <c r="AA400" s="50">
        <f t="shared" si="680"/>
        <v>0</v>
      </c>
      <c r="AB400" s="50">
        <f t="shared" si="680"/>
        <v>1</v>
      </c>
      <c r="AC400" s="50">
        <f t="shared" si="680"/>
        <v>0</v>
      </c>
      <c r="AD400" s="50">
        <f t="shared" si="680"/>
        <v>2</v>
      </c>
      <c r="AE400" s="50">
        <f t="shared" si="680"/>
        <v>0</v>
      </c>
      <c r="AF400" s="50">
        <f t="shared" si="680"/>
        <v>0</v>
      </c>
      <c r="AG400" s="50">
        <f t="shared" si="680"/>
        <v>0</v>
      </c>
      <c r="AH400" s="50">
        <f t="shared" si="680"/>
        <v>2</v>
      </c>
      <c r="AI400" s="50">
        <f t="shared" si="680"/>
        <v>3</v>
      </c>
      <c r="AJ400" s="50">
        <f t="shared" si="680"/>
        <v>0</v>
      </c>
      <c r="AK400" s="50">
        <f t="shared" si="680"/>
        <v>0</v>
      </c>
      <c r="AL400" s="50">
        <f t="shared" si="680"/>
        <v>2</v>
      </c>
      <c r="AM400" s="50">
        <f t="shared" si="680"/>
        <v>0</v>
      </c>
      <c r="AN400" s="50">
        <f t="shared" si="680"/>
        <v>0</v>
      </c>
      <c r="AO400" s="50">
        <f t="shared" si="680"/>
        <v>3</v>
      </c>
      <c r="AP400" s="50">
        <f t="shared" si="680"/>
        <v>3</v>
      </c>
      <c r="AQ400" s="50">
        <f t="shared" si="680"/>
        <v>0</v>
      </c>
      <c r="AR400" s="50">
        <f t="shared" si="680"/>
        <v>0</v>
      </c>
      <c r="AS400" s="50">
        <f t="shared" si="680"/>
        <v>0</v>
      </c>
      <c r="AT400" s="50">
        <f t="shared" si="680"/>
        <v>2</v>
      </c>
      <c r="AU400" s="50">
        <f t="shared" si="680"/>
        <v>0</v>
      </c>
      <c r="AV400" s="50">
        <f t="shared" si="680"/>
        <v>0</v>
      </c>
      <c r="AW400" s="50">
        <f t="shared" si="680"/>
        <v>0</v>
      </c>
      <c r="AX400" s="50">
        <f t="shared" si="680"/>
        <v>2</v>
      </c>
      <c r="AY400" s="50">
        <f t="shared" si="680"/>
        <v>0</v>
      </c>
      <c r="AZ400" s="50">
        <f t="shared" si="680"/>
        <v>0</v>
      </c>
      <c r="BA400" s="50">
        <f t="shared" si="680"/>
        <v>0</v>
      </c>
      <c r="BB400" s="50">
        <f t="shared" si="680"/>
        <v>2</v>
      </c>
      <c r="BC400" s="19">
        <f t="shared" si="674"/>
        <v>40</v>
      </c>
      <c r="BD400" s="124"/>
    </row>
    <row r="401" spans="2:55" x14ac:dyDescent="0.25">
      <c r="B401" s="123" t="s">
        <v>229</v>
      </c>
      <c r="C401" s="123" t="b">
        <f>IF(SUM(C393:C400)=SUM(C384,C375,C366,C357,C348,C339,C330,C321),TRUE,FALSE)</f>
        <v>1</v>
      </c>
      <c r="D401" s="123" t="b">
        <f t="shared" ref="D401:BC401" si="681">IF(SUM(D393:D400)=SUM(D384,D375,D366,D357,D348,D339,D330,D321),TRUE,FALSE)</f>
        <v>1</v>
      </c>
      <c r="E401" s="123" t="b">
        <f t="shared" si="681"/>
        <v>1</v>
      </c>
      <c r="F401" s="123" t="b">
        <f t="shared" si="681"/>
        <v>1</v>
      </c>
      <c r="G401" s="123" t="b">
        <f t="shared" si="681"/>
        <v>1</v>
      </c>
      <c r="H401" s="123" t="b">
        <f t="shared" si="681"/>
        <v>1</v>
      </c>
      <c r="I401" s="123" t="b">
        <f t="shared" si="681"/>
        <v>1</v>
      </c>
      <c r="J401" s="123" t="b">
        <f t="shared" si="681"/>
        <v>1</v>
      </c>
      <c r="K401" s="123" t="b">
        <f t="shared" si="681"/>
        <v>1</v>
      </c>
      <c r="L401" s="123" t="b">
        <f t="shared" si="681"/>
        <v>1</v>
      </c>
      <c r="M401" s="123" t="b">
        <f t="shared" si="681"/>
        <v>1</v>
      </c>
      <c r="N401" s="123" t="b">
        <f t="shared" si="681"/>
        <v>1</v>
      </c>
      <c r="O401" s="123" t="b">
        <f t="shared" si="681"/>
        <v>1</v>
      </c>
      <c r="P401" s="123" t="b">
        <f t="shared" si="681"/>
        <v>1</v>
      </c>
      <c r="Q401" s="123" t="b">
        <f t="shared" si="681"/>
        <v>1</v>
      </c>
      <c r="R401" s="123" t="b">
        <f t="shared" si="681"/>
        <v>1</v>
      </c>
      <c r="S401" s="123" t="b">
        <f t="shared" si="681"/>
        <v>1</v>
      </c>
      <c r="T401" s="123" t="b">
        <f t="shared" si="681"/>
        <v>1</v>
      </c>
      <c r="U401" s="123" t="b">
        <f t="shared" si="681"/>
        <v>1</v>
      </c>
      <c r="V401" s="123" t="b">
        <f t="shared" si="681"/>
        <v>1</v>
      </c>
      <c r="W401" s="123" t="b">
        <f t="shared" si="681"/>
        <v>1</v>
      </c>
      <c r="X401" s="123" t="b">
        <f t="shared" si="681"/>
        <v>1</v>
      </c>
      <c r="Y401" s="123" t="b">
        <f t="shared" si="681"/>
        <v>1</v>
      </c>
      <c r="Z401" s="123" t="b">
        <f t="shared" si="681"/>
        <v>1</v>
      </c>
      <c r="AA401" s="123" t="b">
        <f t="shared" si="681"/>
        <v>1</v>
      </c>
      <c r="AB401" s="123" t="b">
        <f t="shared" si="681"/>
        <v>1</v>
      </c>
      <c r="AC401" s="123" t="b">
        <f t="shared" si="681"/>
        <v>1</v>
      </c>
      <c r="AD401" s="123" t="b">
        <f t="shared" si="681"/>
        <v>1</v>
      </c>
      <c r="AE401" s="123" t="b">
        <f t="shared" si="681"/>
        <v>1</v>
      </c>
      <c r="AF401" s="123" t="b">
        <f t="shared" si="681"/>
        <v>1</v>
      </c>
      <c r="AG401" s="123" t="b">
        <f t="shared" si="681"/>
        <v>1</v>
      </c>
      <c r="AH401" s="123" t="b">
        <f t="shared" si="681"/>
        <v>1</v>
      </c>
      <c r="AI401" s="123" t="b">
        <f t="shared" si="681"/>
        <v>1</v>
      </c>
      <c r="AJ401" s="123" t="b">
        <f t="shared" si="681"/>
        <v>1</v>
      </c>
      <c r="AK401" s="123" t="b">
        <f t="shared" si="681"/>
        <v>1</v>
      </c>
      <c r="AL401" s="123" t="b">
        <f t="shared" si="681"/>
        <v>1</v>
      </c>
      <c r="AM401" s="123" t="b">
        <f t="shared" si="681"/>
        <v>1</v>
      </c>
      <c r="AN401" s="123" t="b">
        <f t="shared" si="681"/>
        <v>1</v>
      </c>
      <c r="AO401" s="123" t="b">
        <f t="shared" si="681"/>
        <v>1</v>
      </c>
      <c r="AP401" s="123" t="b">
        <f t="shared" si="681"/>
        <v>1</v>
      </c>
      <c r="AQ401" s="123" t="b">
        <f t="shared" si="681"/>
        <v>1</v>
      </c>
      <c r="AR401" s="123" t="b">
        <f t="shared" si="681"/>
        <v>1</v>
      </c>
      <c r="AS401" s="123" t="b">
        <f t="shared" si="681"/>
        <v>1</v>
      </c>
      <c r="AT401" s="123" t="b">
        <f t="shared" si="681"/>
        <v>1</v>
      </c>
      <c r="AU401" s="123" t="b">
        <f t="shared" si="681"/>
        <v>1</v>
      </c>
      <c r="AV401" s="123" t="b">
        <f t="shared" si="681"/>
        <v>1</v>
      </c>
      <c r="AW401" s="123" t="b">
        <f t="shared" si="681"/>
        <v>1</v>
      </c>
      <c r="AX401" s="123" t="b">
        <f t="shared" si="681"/>
        <v>1</v>
      </c>
      <c r="AY401" s="123" t="b">
        <f t="shared" si="681"/>
        <v>1</v>
      </c>
      <c r="AZ401" s="123" t="b">
        <f t="shared" si="681"/>
        <v>1</v>
      </c>
      <c r="BA401" s="123" t="b">
        <f t="shared" si="681"/>
        <v>1</v>
      </c>
      <c r="BB401" s="123" t="b">
        <f t="shared" si="681"/>
        <v>1</v>
      </c>
      <c r="BC401" s="123" t="b">
        <f t="shared" si="681"/>
        <v>1</v>
      </c>
    </row>
    <row r="402" spans="2:55" x14ac:dyDescent="0.25">
      <c r="B402" s="88" t="str">
        <f>_xlfn.CONCAT(B321," ","Yield Loss")</f>
        <v>Yield Defect Loss Type A Yield Loss</v>
      </c>
      <c r="C402" s="88">
        <f>SUM(C322:C329)</f>
        <v>5</v>
      </c>
      <c r="D402" s="88">
        <f t="shared" ref="D402:BB402" si="682">SUM(D322:D329)</f>
        <v>0</v>
      </c>
      <c r="E402" s="88">
        <f t="shared" si="682"/>
        <v>2</v>
      </c>
      <c r="F402" s="88">
        <f t="shared" si="682"/>
        <v>0</v>
      </c>
      <c r="G402" s="88">
        <f t="shared" si="682"/>
        <v>4</v>
      </c>
      <c r="H402" s="88">
        <f t="shared" si="682"/>
        <v>0</v>
      </c>
      <c r="I402" s="88">
        <f t="shared" si="682"/>
        <v>0</v>
      </c>
      <c r="J402" s="88">
        <f t="shared" si="682"/>
        <v>0</v>
      </c>
      <c r="K402" s="88">
        <f t="shared" si="682"/>
        <v>4</v>
      </c>
      <c r="L402" s="88">
        <f t="shared" si="682"/>
        <v>0</v>
      </c>
      <c r="M402" s="88">
        <f t="shared" si="682"/>
        <v>0</v>
      </c>
      <c r="N402" s="88">
        <f t="shared" si="682"/>
        <v>0</v>
      </c>
      <c r="O402" s="88">
        <f t="shared" si="682"/>
        <v>4</v>
      </c>
      <c r="P402" s="88">
        <f t="shared" si="682"/>
        <v>1</v>
      </c>
      <c r="Q402" s="88">
        <f t="shared" si="682"/>
        <v>0</v>
      </c>
      <c r="R402" s="88">
        <f t="shared" si="682"/>
        <v>0</v>
      </c>
      <c r="S402" s="88">
        <f t="shared" si="682"/>
        <v>4</v>
      </c>
      <c r="T402" s="88">
        <f t="shared" si="682"/>
        <v>0</v>
      </c>
      <c r="U402" s="88">
        <f t="shared" si="682"/>
        <v>0</v>
      </c>
      <c r="V402" s="88">
        <f t="shared" si="682"/>
        <v>1</v>
      </c>
      <c r="W402" s="88">
        <f t="shared" si="682"/>
        <v>4</v>
      </c>
      <c r="X402" s="88">
        <f t="shared" si="682"/>
        <v>0</v>
      </c>
      <c r="Y402" s="88">
        <f t="shared" si="682"/>
        <v>0</v>
      </c>
      <c r="Z402" s="88">
        <f t="shared" si="682"/>
        <v>0</v>
      </c>
      <c r="AA402" s="88">
        <f t="shared" si="682"/>
        <v>4</v>
      </c>
      <c r="AB402" s="88">
        <f t="shared" si="682"/>
        <v>0</v>
      </c>
      <c r="AC402" s="88">
        <f t="shared" si="682"/>
        <v>3</v>
      </c>
      <c r="AD402" s="88">
        <f t="shared" si="682"/>
        <v>0</v>
      </c>
      <c r="AE402" s="88">
        <f t="shared" si="682"/>
        <v>4</v>
      </c>
      <c r="AF402" s="88">
        <f t="shared" si="682"/>
        <v>0</v>
      </c>
      <c r="AG402" s="88">
        <f t="shared" si="682"/>
        <v>0</v>
      </c>
      <c r="AH402" s="88">
        <f t="shared" si="682"/>
        <v>1</v>
      </c>
      <c r="AI402" s="88">
        <f t="shared" si="682"/>
        <v>4</v>
      </c>
      <c r="AJ402" s="88">
        <f t="shared" si="682"/>
        <v>0</v>
      </c>
      <c r="AK402" s="88">
        <f t="shared" si="682"/>
        <v>0</v>
      </c>
      <c r="AL402" s="88">
        <f t="shared" si="682"/>
        <v>0</v>
      </c>
      <c r="AM402" s="88">
        <f t="shared" si="682"/>
        <v>4</v>
      </c>
      <c r="AN402" s="88">
        <f t="shared" si="682"/>
        <v>1</v>
      </c>
      <c r="AO402" s="88">
        <f t="shared" si="682"/>
        <v>0</v>
      </c>
      <c r="AP402" s="88">
        <f t="shared" si="682"/>
        <v>0</v>
      </c>
      <c r="AQ402" s="88">
        <f t="shared" si="682"/>
        <v>4</v>
      </c>
      <c r="AR402" s="88">
        <f t="shared" si="682"/>
        <v>0</v>
      </c>
      <c r="AS402" s="88">
        <f t="shared" si="682"/>
        <v>2</v>
      </c>
      <c r="AT402" s="88">
        <f t="shared" si="682"/>
        <v>0</v>
      </c>
      <c r="AU402" s="88">
        <f t="shared" si="682"/>
        <v>4</v>
      </c>
      <c r="AV402" s="88">
        <f t="shared" si="682"/>
        <v>2</v>
      </c>
      <c r="AW402" s="88">
        <f t="shared" si="682"/>
        <v>0</v>
      </c>
      <c r="AX402" s="88">
        <f t="shared" si="682"/>
        <v>0</v>
      </c>
      <c r="AY402" s="88">
        <f t="shared" si="682"/>
        <v>4</v>
      </c>
      <c r="AZ402" s="88">
        <f t="shared" si="682"/>
        <v>0</v>
      </c>
      <c r="BA402" s="88">
        <f t="shared" si="682"/>
        <v>0</v>
      </c>
      <c r="BB402" s="88">
        <f t="shared" si="682"/>
        <v>0</v>
      </c>
      <c r="BC402" s="19">
        <f t="shared" si="674"/>
        <v>66</v>
      </c>
    </row>
    <row r="403" spans="2:55" x14ac:dyDescent="0.25">
      <c r="B403" s="88" t="str">
        <f>_xlfn.CONCAT(B330," ","Yield Loss")</f>
        <v>Yield Defect Loss Type B Yield Loss</v>
      </c>
      <c r="C403" s="88">
        <f>SUM(C331:C338)</f>
        <v>4</v>
      </c>
      <c r="D403" s="88">
        <f t="shared" ref="D403:BB403" si="683">SUM(D331:D338)</f>
        <v>4</v>
      </c>
      <c r="E403" s="88">
        <f t="shared" si="683"/>
        <v>0</v>
      </c>
      <c r="F403" s="88">
        <f t="shared" si="683"/>
        <v>3</v>
      </c>
      <c r="G403" s="88">
        <f t="shared" si="683"/>
        <v>4</v>
      </c>
      <c r="H403" s="88">
        <f t="shared" si="683"/>
        <v>4</v>
      </c>
      <c r="I403" s="88">
        <f t="shared" si="683"/>
        <v>0</v>
      </c>
      <c r="J403" s="88">
        <f t="shared" si="683"/>
        <v>1</v>
      </c>
      <c r="K403" s="88">
        <f t="shared" si="683"/>
        <v>4</v>
      </c>
      <c r="L403" s="88">
        <f t="shared" si="683"/>
        <v>4</v>
      </c>
      <c r="M403" s="88">
        <f t="shared" si="683"/>
        <v>0</v>
      </c>
      <c r="N403" s="88">
        <f t="shared" si="683"/>
        <v>0</v>
      </c>
      <c r="O403" s="88">
        <f t="shared" si="683"/>
        <v>4</v>
      </c>
      <c r="P403" s="88">
        <f t="shared" si="683"/>
        <v>4</v>
      </c>
      <c r="Q403" s="88">
        <f t="shared" si="683"/>
        <v>0</v>
      </c>
      <c r="R403" s="88">
        <f t="shared" si="683"/>
        <v>0</v>
      </c>
      <c r="S403" s="88">
        <f t="shared" si="683"/>
        <v>4</v>
      </c>
      <c r="T403" s="88">
        <f t="shared" si="683"/>
        <v>4</v>
      </c>
      <c r="U403" s="88">
        <f t="shared" si="683"/>
        <v>0</v>
      </c>
      <c r="V403" s="88">
        <f t="shared" si="683"/>
        <v>0</v>
      </c>
      <c r="W403" s="88">
        <f t="shared" si="683"/>
        <v>4</v>
      </c>
      <c r="X403" s="88">
        <f t="shared" si="683"/>
        <v>4</v>
      </c>
      <c r="Y403" s="88">
        <f t="shared" si="683"/>
        <v>0</v>
      </c>
      <c r="Z403" s="88">
        <f t="shared" si="683"/>
        <v>0</v>
      </c>
      <c r="AA403" s="88">
        <f t="shared" si="683"/>
        <v>4</v>
      </c>
      <c r="AB403" s="88">
        <f t="shared" si="683"/>
        <v>4</v>
      </c>
      <c r="AC403" s="88">
        <f t="shared" si="683"/>
        <v>0</v>
      </c>
      <c r="AD403" s="88">
        <f t="shared" si="683"/>
        <v>0</v>
      </c>
      <c r="AE403" s="88">
        <f t="shared" si="683"/>
        <v>4</v>
      </c>
      <c r="AF403" s="88">
        <f t="shared" si="683"/>
        <v>4</v>
      </c>
      <c r="AG403" s="88">
        <f t="shared" si="683"/>
        <v>0</v>
      </c>
      <c r="AH403" s="88">
        <f t="shared" si="683"/>
        <v>0</v>
      </c>
      <c r="AI403" s="88">
        <f t="shared" si="683"/>
        <v>4</v>
      </c>
      <c r="AJ403" s="88">
        <f t="shared" si="683"/>
        <v>4</v>
      </c>
      <c r="AK403" s="88">
        <f t="shared" si="683"/>
        <v>0</v>
      </c>
      <c r="AL403" s="88">
        <f t="shared" si="683"/>
        <v>0</v>
      </c>
      <c r="AM403" s="88">
        <f t="shared" si="683"/>
        <v>4</v>
      </c>
      <c r="AN403" s="88">
        <f t="shared" si="683"/>
        <v>4</v>
      </c>
      <c r="AO403" s="88">
        <f t="shared" si="683"/>
        <v>0</v>
      </c>
      <c r="AP403" s="88">
        <f t="shared" si="683"/>
        <v>0</v>
      </c>
      <c r="AQ403" s="88">
        <f t="shared" si="683"/>
        <v>4</v>
      </c>
      <c r="AR403" s="88">
        <f t="shared" si="683"/>
        <v>4</v>
      </c>
      <c r="AS403" s="88">
        <f t="shared" si="683"/>
        <v>0</v>
      </c>
      <c r="AT403" s="88">
        <f t="shared" si="683"/>
        <v>2</v>
      </c>
      <c r="AU403" s="88">
        <f t="shared" si="683"/>
        <v>4</v>
      </c>
      <c r="AV403" s="88">
        <f t="shared" si="683"/>
        <v>4</v>
      </c>
      <c r="AW403" s="88">
        <f t="shared" si="683"/>
        <v>0</v>
      </c>
      <c r="AX403" s="88">
        <f t="shared" si="683"/>
        <v>1</v>
      </c>
      <c r="AY403" s="88">
        <f t="shared" si="683"/>
        <v>4</v>
      </c>
      <c r="AZ403" s="88">
        <f t="shared" si="683"/>
        <v>1</v>
      </c>
      <c r="BA403" s="88">
        <f t="shared" si="683"/>
        <v>0</v>
      </c>
      <c r="BB403" s="88">
        <f t="shared" si="683"/>
        <v>0</v>
      </c>
      <c r="BC403" s="19">
        <f t="shared" si="674"/>
        <v>108</v>
      </c>
    </row>
    <row r="404" spans="2:55" x14ac:dyDescent="0.25">
      <c r="B404" s="88" t="str">
        <f>_xlfn.CONCAT(B339," ","Yield Loss")</f>
        <v>Yield Defect Loss Type C Yield Loss</v>
      </c>
      <c r="C404" s="88">
        <f>SUM(C340:C347)</f>
        <v>5</v>
      </c>
      <c r="D404" s="88">
        <f t="shared" ref="D404:BB404" si="684">SUM(D340:D347)</f>
        <v>4</v>
      </c>
      <c r="E404" s="88">
        <f t="shared" si="684"/>
        <v>4</v>
      </c>
      <c r="F404" s="88">
        <f t="shared" si="684"/>
        <v>0</v>
      </c>
      <c r="G404" s="88">
        <f t="shared" si="684"/>
        <v>5</v>
      </c>
      <c r="H404" s="88">
        <f t="shared" si="684"/>
        <v>4</v>
      </c>
      <c r="I404" s="88">
        <f t="shared" si="684"/>
        <v>4</v>
      </c>
      <c r="J404" s="88">
        <f t="shared" si="684"/>
        <v>0</v>
      </c>
      <c r="K404" s="88">
        <f t="shared" si="684"/>
        <v>3</v>
      </c>
      <c r="L404" s="88">
        <f t="shared" si="684"/>
        <v>4</v>
      </c>
      <c r="M404" s="88">
        <f t="shared" si="684"/>
        <v>4</v>
      </c>
      <c r="N404" s="88">
        <f t="shared" si="684"/>
        <v>0</v>
      </c>
      <c r="O404" s="88">
        <f t="shared" si="684"/>
        <v>3</v>
      </c>
      <c r="P404" s="88">
        <f t="shared" si="684"/>
        <v>4</v>
      </c>
      <c r="Q404" s="88">
        <f t="shared" si="684"/>
        <v>4</v>
      </c>
      <c r="R404" s="88">
        <f t="shared" si="684"/>
        <v>0</v>
      </c>
      <c r="S404" s="88">
        <f t="shared" si="684"/>
        <v>5</v>
      </c>
      <c r="T404" s="88">
        <f t="shared" si="684"/>
        <v>4</v>
      </c>
      <c r="U404" s="88">
        <f t="shared" si="684"/>
        <v>4</v>
      </c>
      <c r="V404" s="88">
        <f t="shared" si="684"/>
        <v>0</v>
      </c>
      <c r="W404" s="88">
        <f t="shared" si="684"/>
        <v>5</v>
      </c>
      <c r="X404" s="88">
        <f t="shared" si="684"/>
        <v>4</v>
      </c>
      <c r="Y404" s="88">
        <f t="shared" si="684"/>
        <v>4</v>
      </c>
      <c r="Z404" s="88">
        <f t="shared" si="684"/>
        <v>0</v>
      </c>
      <c r="AA404" s="88">
        <f t="shared" si="684"/>
        <v>5</v>
      </c>
      <c r="AB404" s="88">
        <f t="shared" si="684"/>
        <v>4</v>
      </c>
      <c r="AC404" s="88">
        <f t="shared" si="684"/>
        <v>4</v>
      </c>
      <c r="AD404" s="88">
        <f t="shared" si="684"/>
        <v>0</v>
      </c>
      <c r="AE404" s="88">
        <f t="shared" si="684"/>
        <v>5</v>
      </c>
      <c r="AF404" s="88">
        <f t="shared" si="684"/>
        <v>4</v>
      </c>
      <c r="AG404" s="88">
        <f t="shared" si="684"/>
        <v>4</v>
      </c>
      <c r="AH404" s="88">
        <f t="shared" si="684"/>
        <v>0</v>
      </c>
      <c r="AI404" s="88">
        <f t="shared" si="684"/>
        <v>5</v>
      </c>
      <c r="AJ404" s="88">
        <f t="shared" si="684"/>
        <v>4</v>
      </c>
      <c r="AK404" s="88">
        <f t="shared" si="684"/>
        <v>4</v>
      </c>
      <c r="AL404" s="88">
        <f t="shared" si="684"/>
        <v>0</v>
      </c>
      <c r="AM404" s="88">
        <f t="shared" si="684"/>
        <v>5</v>
      </c>
      <c r="AN404" s="88">
        <f t="shared" si="684"/>
        <v>4</v>
      </c>
      <c r="AO404" s="88">
        <f t="shared" si="684"/>
        <v>4</v>
      </c>
      <c r="AP404" s="88">
        <f t="shared" si="684"/>
        <v>0</v>
      </c>
      <c r="AQ404" s="88">
        <f t="shared" si="684"/>
        <v>5</v>
      </c>
      <c r="AR404" s="88">
        <f t="shared" si="684"/>
        <v>4</v>
      </c>
      <c r="AS404" s="88">
        <f t="shared" si="684"/>
        <v>4</v>
      </c>
      <c r="AT404" s="88">
        <f t="shared" si="684"/>
        <v>0</v>
      </c>
      <c r="AU404" s="88">
        <f t="shared" si="684"/>
        <v>5</v>
      </c>
      <c r="AV404" s="88">
        <f t="shared" si="684"/>
        <v>4</v>
      </c>
      <c r="AW404" s="88">
        <f t="shared" si="684"/>
        <v>4</v>
      </c>
      <c r="AX404" s="88">
        <f t="shared" si="684"/>
        <v>0</v>
      </c>
      <c r="AY404" s="88">
        <f t="shared" si="684"/>
        <v>5</v>
      </c>
      <c r="AZ404" s="88">
        <f t="shared" si="684"/>
        <v>4</v>
      </c>
      <c r="BA404" s="88">
        <f t="shared" si="684"/>
        <v>4</v>
      </c>
      <c r="BB404" s="88">
        <f t="shared" si="684"/>
        <v>0</v>
      </c>
      <c r="BC404" s="19">
        <f t="shared" si="674"/>
        <v>165</v>
      </c>
    </row>
    <row r="405" spans="2:55" x14ac:dyDescent="0.25">
      <c r="B405" s="88" t="str">
        <f>_xlfn.CONCAT(B348," ","Yield Loss")</f>
        <v>Yield Defect Loss Type D Yield Loss</v>
      </c>
      <c r="C405" s="88">
        <f>SUM(C349:C356)</f>
        <v>5</v>
      </c>
      <c r="D405" s="88">
        <f t="shared" ref="D405:BB405" si="685">SUM(D349:D356)</f>
        <v>5</v>
      </c>
      <c r="E405" s="88">
        <f t="shared" si="685"/>
        <v>4</v>
      </c>
      <c r="F405" s="88">
        <f t="shared" si="685"/>
        <v>4</v>
      </c>
      <c r="G405" s="88">
        <f t="shared" si="685"/>
        <v>4</v>
      </c>
      <c r="H405" s="88">
        <f t="shared" si="685"/>
        <v>5</v>
      </c>
      <c r="I405" s="88">
        <f t="shared" si="685"/>
        <v>4</v>
      </c>
      <c r="J405" s="88">
        <f t="shared" si="685"/>
        <v>4</v>
      </c>
      <c r="K405" s="88">
        <f t="shared" si="685"/>
        <v>5</v>
      </c>
      <c r="L405" s="88">
        <f t="shared" si="685"/>
        <v>5</v>
      </c>
      <c r="M405" s="88">
        <f t="shared" si="685"/>
        <v>4</v>
      </c>
      <c r="N405" s="88">
        <f t="shared" si="685"/>
        <v>4</v>
      </c>
      <c r="O405" s="88">
        <f t="shared" si="685"/>
        <v>6</v>
      </c>
      <c r="P405" s="88">
        <f t="shared" si="685"/>
        <v>5</v>
      </c>
      <c r="Q405" s="88">
        <f t="shared" si="685"/>
        <v>4</v>
      </c>
      <c r="R405" s="88">
        <f t="shared" si="685"/>
        <v>4</v>
      </c>
      <c r="S405" s="88">
        <f t="shared" si="685"/>
        <v>4</v>
      </c>
      <c r="T405" s="88">
        <f t="shared" si="685"/>
        <v>4</v>
      </c>
      <c r="U405" s="88">
        <f t="shared" si="685"/>
        <v>4</v>
      </c>
      <c r="V405" s="88">
        <f t="shared" si="685"/>
        <v>4</v>
      </c>
      <c r="W405" s="88">
        <f t="shared" si="685"/>
        <v>6</v>
      </c>
      <c r="X405" s="88">
        <f t="shared" si="685"/>
        <v>5</v>
      </c>
      <c r="Y405" s="88">
        <f t="shared" si="685"/>
        <v>4</v>
      </c>
      <c r="Z405" s="88">
        <f t="shared" si="685"/>
        <v>3</v>
      </c>
      <c r="AA405" s="88">
        <f t="shared" si="685"/>
        <v>6</v>
      </c>
      <c r="AB405" s="88">
        <f t="shared" si="685"/>
        <v>5</v>
      </c>
      <c r="AC405" s="88">
        <f t="shared" si="685"/>
        <v>4</v>
      </c>
      <c r="AD405" s="88">
        <f t="shared" si="685"/>
        <v>3</v>
      </c>
      <c r="AE405" s="88">
        <f t="shared" si="685"/>
        <v>4</v>
      </c>
      <c r="AF405" s="88">
        <f t="shared" si="685"/>
        <v>5</v>
      </c>
      <c r="AG405" s="88">
        <f t="shared" si="685"/>
        <v>4</v>
      </c>
      <c r="AH405" s="88">
        <f t="shared" si="685"/>
        <v>4</v>
      </c>
      <c r="AI405" s="88">
        <f t="shared" si="685"/>
        <v>4</v>
      </c>
      <c r="AJ405" s="88">
        <f t="shared" si="685"/>
        <v>5</v>
      </c>
      <c r="AK405" s="88">
        <f t="shared" si="685"/>
        <v>4</v>
      </c>
      <c r="AL405" s="88">
        <f t="shared" si="685"/>
        <v>3</v>
      </c>
      <c r="AM405" s="88">
        <f t="shared" si="685"/>
        <v>5</v>
      </c>
      <c r="AN405" s="88">
        <f t="shared" si="685"/>
        <v>5</v>
      </c>
      <c r="AO405" s="88">
        <f t="shared" si="685"/>
        <v>4</v>
      </c>
      <c r="AP405" s="88">
        <f t="shared" si="685"/>
        <v>4</v>
      </c>
      <c r="AQ405" s="88">
        <f t="shared" si="685"/>
        <v>4</v>
      </c>
      <c r="AR405" s="88">
        <f t="shared" si="685"/>
        <v>5</v>
      </c>
      <c r="AS405" s="88">
        <f t="shared" si="685"/>
        <v>4</v>
      </c>
      <c r="AT405" s="88">
        <f t="shared" si="685"/>
        <v>4</v>
      </c>
      <c r="AU405" s="88">
        <f t="shared" si="685"/>
        <v>6</v>
      </c>
      <c r="AV405" s="88">
        <f t="shared" si="685"/>
        <v>4</v>
      </c>
      <c r="AW405" s="88">
        <f t="shared" si="685"/>
        <v>4</v>
      </c>
      <c r="AX405" s="88">
        <f t="shared" si="685"/>
        <v>4</v>
      </c>
      <c r="AY405" s="88">
        <f t="shared" si="685"/>
        <v>6</v>
      </c>
      <c r="AZ405" s="88">
        <f t="shared" si="685"/>
        <v>5</v>
      </c>
      <c r="BA405" s="88">
        <f t="shared" si="685"/>
        <v>4</v>
      </c>
      <c r="BB405" s="88">
        <f t="shared" si="685"/>
        <v>3</v>
      </c>
      <c r="BC405" s="19">
        <f t="shared" si="674"/>
        <v>228</v>
      </c>
    </row>
    <row r="406" spans="2:55" x14ac:dyDescent="0.25">
      <c r="B406" s="88" t="str">
        <f>_xlfn.CONCAT(B357," ","Yield Loss")</f>
        <v>Yield Defect Loss Type E Yield Loss</v>
      </c>
      <c r="C406" s="88">
        <f>SUM(C358:C365)</f>
        <v>2</v>
      </c>
      <c r="D406" s="88">
        <f t="shared" ref="D406:BB406" si="686">SUM(D358:D365)</f>
        <v>4</v>
      </c>
      <c r="E406" s="88">
        <f t="shared" si="686"/>
        <v>5</v>
      </c>
      <c r="F406" s="88">
        <f t="shared" si="686"/>
        <v>4</v>
      </c>
      <c r="G406" s="88">
        <f t="shared" si="686"/>
        <v>2</v>
      </c>
      <c r="H406" s="88">
        <f t="shared" si="686"/>
        <v>5</v>
      </c>
      <c r="I406" s="88">
        <f t="shared" si="686"/>
        <v>5</v>
      </c>
      <c r="J406" s="88">
        <f t="shared" si="686"/>
        <v>4</v>
      </c>
      <c r="K406" s="88">
        <f t="shared" si="686"/>
        <v>2</v>
      </c>
      <c r="L406" s="88">
        <f t="shared" si="686"/>
        <v>3</v>
      </c>
      <c r="M406" s="88">
        <f t="shared" si="686"/>
        <v>3</v>
      </c>
      <c r="N406" s="88">
        <f t="shared" si="686"/>
        <v>4</v>
      </c>
      <c r="O406" s="88">
        <f t="shared" si="686"/>
        <v>2</v>
      </c>
      <c r="P406" s="88">
        <f t="shared" si="686"/>
        <v>6</v>
      </c>
      <c r="Q406" s="88">
        <f t="shared" si="686"/>
        <v>5</v>
      </c>
      <c r="R406" s="88">
        <f t="shared" si="686"/>
        <v>4</v>
      </c>
      <c r="S406" s="88">
        <f t="shared" si="686"/>
        <v>2</v>
      </c>
      <c r="T406" s="88">
        <f t="shared" si="686"/>
        <v>4</v>
      </c>
      <c r="U406" s="88">
        <f t="shared" si="686"/>
        <v>5</v>
      </c>
      <c r="V406" s="88">
        <f t="shared" si="686"/>
        <v>4</v>
      </c>
      <c r="W406" s="88">
        <f t="shared" si="686"/>
        <v>2</v>
      </c>
      <c r="X406" s="88">
        <f t="shared" si="686"/>
        <v>3</v>
      </c>
      <c r="Y406" s="88">
        <f t="shared" si="686"/>
        <v>2</v>
      </c>
      <c r="Z406" s="88">
        <f t="shared" si="686"/>
        <v>4</v>
      </c>
      <c r="AA406" s="88">
        <f t="shared" si="686"/>
        <v>2</v>
      </c>
      <c r="AB406" s="88">
        <f t="shared" si="686"/>
        <v>4</v>
      </c>
      <c r="AC406" s="88">
        <f t="shared" si="686"/>
        <v>4</v>
      </c>
      <c r="AD406" s="88">
        <f t="shared" si="686"/>
        <v>4</v>
      </c>
      <c r="AE406" s="88">
        <f t="shared" si="686"/>
        <v>2</v>
      </c>
      <c r="AF406" s="88">
        <f t="shared" si="686"/>
        <v>5</v>
      </c>
      <c r="AG406" s="88">
        <f t="shared" si="686"/>
        <v>5</v>
      </c>
      <c r="AH406" s="88">
        <f t="shared" si="686"/>
        <v>4</v>
      </c>
      <c r="AI406" s="88">
        <f t="shared" si="686"/>
        <v>2</v>
      </c>
      <c r="AJ406" s="88">
        <f t="shared" si="686"/>
        <v>3</v>
      </c>
      <c r="AK406" s="88">
        <f t="shared" si="686"/>
        <v>5</v>
      </c>
      <c r="AL406" s="88">
        <f t="shared" si="686"/>
        <v>4</v>
      </c>
      <c r="AM406" s="88">
        <f t="shared" si="686"/>
        <v>2</v>
      </c>
      <c r="AN406" s="88">
        <f t="shared" si="686"/>
        <v>6</v>
      </c>
      <c r="AO406" s="88">
        <f t="shared" si="686"/>
        <v>5</v>
      </c>
      <c r="AP406" s="88">
        <f t="shared" si="686"/>
        <v>4</v>
      </c>
      <c r="AQ406" s="88">
        <f t="shared" si="686"/>
        <v>2</v>
      </c>
      <c r="AR406" s="88">
        <f t="shared" si="686"/>
        <v>5</v>
      </c>
      <c r="AS406" s="88">
        <f t="shared" si="686"/>
        <v>5</v>
      </c>
      <c r="AT406" s="88">
        <f t="shared" si="686"/>
        <v>4</v>
      </c>
      <c r="AU406" s="88">
        <f t="shared" si="686"/>
        <v>2</v>
      </c>
      <c r="AV406" s="88">
        <f t="shared" si="686"/>
        <v>5</v>
      </c>
      <c r="AW406" s="88">
        <f t="shared" si="686"/>
        <v>3</v>
      </c>
      <c r="AX406" s="88">
        <f t="shared" si="686"/>
        <v>4</v>
      </c>
      <c r="AY406" s="88">
        <f t="shared" si="686"/>
        <v>2</v>
      </c>
      <c r="AZ406" s="88">
        <f t="shared" si="686"/>
        <v>6</v>
      </c>
      <c r="BA406" s="88">
        <f t="shared" si="686"/>
        <v>5</v>
      </c>
      <c r="BB406" s="88">
        <f t="shared" si="686"/>
        <v>4</v>
      </c>
      <c r="BC406" s="19">
        <f t="shared" si="674"/>
        <v>194</v>
      </c>
    </row>
    <row r="407" spans="2:55" x14ac:dyDescent="0.25">
      <c r="B407" s="88" t="str">
        <f>_xlfn.CONCAT(B366," ","Yield Loss")</f>
        <v>Yield Defect Loss Type F Yield Loss</v>
      </c>
      <c r="C407" s="88">
        <f>SUM(C367:C374)</f>
        <v>0</v>
      </c>
      <c r="D407" s="88">
        <f t="shared" ref="D407:BB407" si="687">SUM(D367:D374)</f>
        <v>2</v>
      </c>
      <c r="E407" s="88">
        <f t="shared" si="687"/>
        <v>6</v>
      </c>
      <c r="F407" s="88">
        <f t="shared" si="687"/>
        <v>0</v>
      </c>
      <c r="G407" s="88">
        <f t="shared" si="687"/>
        <v>0</v>
      </c>
      <c r="H407" s="88">
        <f t="shared" si="687"/>
        <v>2</v>
      </c>
      <c r="I407" s="88">
        <f t="shared" si="687"/>
        <v>4</v>
      </c>
      <c r="J407" s="88">
        <f t="shared" si="687"/>
        <v>5</v>
      </c>
      <c r="K407" s="88">
        <f t="shared" si="687"/>
        <v>3</v>
      </c>
      <c r="L407" s="88">
        <f t="shared" si="687"/>
        <v>2</v>
      </c>
      <c r="M407" s="88">
        <f t="shared" si="687"/>
        <v>6</v>
      </c>
      <c r="N407" s="88">
        <f t="shared" si="687"/>
        <v>5</v>
      </c>
      <c r="O407" s="88">
        <f t="shared" si="687"/>
        <v>0</v>
      </c>
      <c r="P407" s="88">
        <f t="shared" si="687"/>
        <v>2</v>
      </c>
      <c r="Q407" s="88">
        <f t="shared" si="687"/>
        <v>6</v>
      </c>
      <c r="R407" s="88">
        <f t="shared" si="687"/>
        <v>5</v>
      </c>
      <c r="S407" s="88">
        <f t="shared" si="687"/>
        <v>0</v>
      </c>
      <c r="T407" s="88">
        <f t="shared" si="687"/>
        <v>2</v>
      </c>
      <c r="U407" s="88">
        <f t="shared" si="687"/>
        <v>3</v>
      </c>
      <c r="V407" s="88">
        <f t="shared" si="687"/>
        <v>5</v>
      </c>
      <c r="W407" s="88">
        <f t="shared" si="687"/>
        <v>0</v>
      </c>
      <c r="X407" s="88">
        <f t="shared" si="687"/>
        <v>2</v>
      </c>
      <c r="Y407" s="88">
        <f t="shared" si="687"/>
        <v>4</v>
      </c>
      <c r="Z407" s="88">
        <f t="shared" si="687"/>
        <v>5</v>
      </c>
      <c r="AA407" s="88">
        <f t="shared" si="687"/>
        <v>0</v>
      </c>
      <c r="AB407" s="88">
        <f t="shared" si="687"/>
        <v>2</v>
      </c>
      <c r="AC407" s="88">
        <f t="shared" si="687"/>
        <v>5</v>
      </c>
      <c r="AD407" s="88">
        <f t="shared" si="687"/>
        <v>2</v>
      </c>
      <c r="AE407" s="88">
        <f t="shared" si="687"/>
        <v>0</v>
      </c>
      <c r="AF407" s="88">
        <f t="shared" si="687"/>
        <v>2</v>
      </c>
      <c r="AG407" s="88">
        <f t="shared" si="687"/>
        <v>6</v>
      </c>
      <c r="AH407" s="88">
        <f t="shared" si="687"/>
        <v>5</v>
      </c>
      <c r="AI407" s="88">
        <f t="shared" si="687"/>
        <v>0</v>
      </c>
      <c r="AJ407" s="88">
        <f t="shared" si="687"/>
        <v>2</v>
      </c>
      <c r="AK407" s="88">
        <f t="shared" si="687"/>
        <v>4</v>
      </c>
      <c r="AL407" s="88">
        <f t="shared" si="687"/>
        <v>5</v>
      </c>
      <c r="AM407" s="88">
        <f t="shared" si="687"/>
        <v>0</v>
      </c>
      <c r="AN407" s="88">
        <f t="shared" si="687"/>
        <v>2</v>
      </c>
      <c r="AO407" s="88">
        <f t="shared" si="687"/>
        <v>6</v>
      </c>
      <c r="AP407" s="88">
        <f t="shared" si="687"/>
        <v>2</v>
      </c>
      <c r="AQ407" s="88">
        <f t="shared" si="687"/>
        <v>0</v>
      </c>
      <c r="AR407" s="88">
        <f t="shared" si="687"/>
        <v>2</v>
      </c>
      <c r="AS407" s="88">
        <f t="shared" si="687"/>
        <v>6</v>
      </c>
      <c r="AT407" s="88">
        <f t="shared" si="687"/>
        <v>5</v>
      </c>
      <c r="AU407" s="88">
        <f t="shared" si="687"/>
        <v>2</v>
      </c>
      <c r="AV407" s="88">
        <f t="shared" si="687"/>
        <v>2</v>
      </c>
      <c r="AW407" s="88">
        <f t="shared" si="687"/>
        <v>5</v>
      </c>
      <c r="AX407" s="88">
        <f t="shared" si="687"/>
        <v>5</v>
      </c>
      <c r="AY407" s="88">
        <f t="shared" si="687"/>
        <v>3</v>
      </c>
      <c r="AZ407" s="88">
        <f t="shared" si="687"/>
        <v>2</v>
      </c>
      <c r="BA407" s="88">
        <f t="shared" si="687"/>
        <v>4</v>
      </c>
      <c r="BB407" s="88">
        <f t="shared" si="687"/>
        <v>5</v>
      </c>
      <c r="BC407" s="19">
        <f t="shared" si="674"/>
        <v>153</v>
      </c>
    </row>
    <row r="408" spans="2:55" x14ac:dyDescent="0.25">
      <c r="B408" s="88" t="str">
        <f>_xlfn.CONCAT(B375," ","Yield Loss")</f>
        <v>Yield Defect Loss Type G Yield Loss</v>
      </c>
      <c r="C408" s="88">
        <f>SUM(C376:C383)</f>
        <v>0</v>
      </c>
      <c r="D408" s="88">
        <f t="shared" ref="D408:BB408" si="688">SUM(D376:D383)</f>
        <v>1</v>
      </c>
      <c r="E408" s="88">
        <f t="shared" si="688"/>
        <v>3</v>
      </c>
      <c r="F408" s="88">
        <f t="shared" si="688"/>
        <v>5</v>
      </c>
      <c r="G408" s="88">
        <f t="shared" si="688"/>
        <v>0</v>
      </c>
      <c r="H408" s="88">
        <f t="shared" si="688"/>
        <v>0</v>
      </c>
      <c r="I408" s="88">
        <f t="shared" si="688"/>
        <v>2</v>
      </c>
      <c r="J408" s="88">
        <f t="shared" si="688"/>
        <v>6</v>
      </c>
      <c r="K408" s="88">
        <f t="shared" si="688"/>
        <v>0</v>
      </c>
      <c r="L408" s="88">
        <f t="shared" si="688"/>
        <v>0</v>
      </c>
      <c r="M408" s="88">
        <f t="shared" si="688"/>
        <v>2</v>
      </c>
      <c r="N408" s="88">
        <f t="shared" si="688"/>
        <v>5</v>
      </c>
      <c r="O408" s="88">
        <f t="shared" si="688"/>
        <v>0</v>
      </c>
      <c r="P408" s="88">
        <f t="shared" si="688"/>
        <v>0</v>
      </c>
      <c r="Q408" s="88">
        <f t="shared" si="688"/>
        <v>2</v>
      </c>
      <c r="R408" s="88">
        <f t="shared" si="688"/>
        <v>3</v>
      </c>
      <c r="S408" s="88">
        <f t="shared" si="688"/>
        <v>0</v>
      </c>
      <c r="T408" s="88">
        <f t="shared" si="688"/>
        <v>0</v>
      </c>
      <c r="U408" s="88">
        <f t="shared" si="688"/>
        <v>2</v>
      </c>
      <c r="V408" s="88">
        <f t="shared" si="688"/>
        <v>6</v>
      </c>
      <c r="W408" s="88">
        <f t="shared" si="688"/>
        <v>0</v>
      </c>
      <c r="X408" s="88">
        <f t="shared" si="688"/>
        <v>0</v>
      </c>
      <c r="Y408" s="88">
        <f t="shared" si="688"/>
        <v>2</v>
      </c>
      <c r="Z408" s="88">
        <f t="shared" si="688"/>
        <v>6</v>
      </c>
      <c r="AA408" s="88">
        <f t="shared" si="688"/>
        <v>0</v>
      </c>
      <c r="AB408" s="88">
        <f t="shared" si="688"/>
        <v>0</v>
      </c>
      <c r="AC408" s="88">
        <f t="shared" si="688"/>
        <v>2</v>
      </c>
      <c r="AD408" s="88">
        <f t="shared" si="688"/>
        <v>6</v>
      </c>
      <c r="AE408" s="88">
        <f t="shared" si="688"/>
        <v>0</v>
      </c>
      <c r="AF408" s="88">
        <f t="shared" si="688"/>
        <v>0</v>
      </c>
      <c r="AG408" s="88">
        <f t="shared" si="688"/>
        <v>2</v>
      </c>
      <c r="AH408" s="88">
        <f t="shared" si="688"/>
        <v>6</v>
      </c>
      <c r="AI408" s="88">
        <f t="shared" si="688"/>
        <v>0</v>
      </c>
      <c r="AJ408" s="88">
        <f t="shared" si="688"/>
        <v>0</v>
      </c>
      <c r="AK408" s="88">
        <f t="shared" si="688"/>
        <v>2</v>
      </c>
      <c r="AL408" s="88">
        <f t="shared" si="688"/>
        <v>6</v>
      </c>
      <c r="AM408" s="88">
        <f t="shared" si="688"/>
        <v>0</v>
      </c>
      <c r="AN408" s="88">
        <f t="shared" si="688"/>
        <v>0</v>
      </c>
      <c r="AO408" s="88">
        <f t="shared" si="688"/>
        <v>2</v>
      </c>
      <c r="AP408" s="88">
        <f t="shared" si="688"/>
        <v>6</v>
      </c>
      <c r="AQ408" s="88">
        <f t="shared" si="688"/>
        <v>0</v>
      </c>
      <c r="AR408" s="88">
        <f t="shared" si="688"/>
        <v>0</v>
      </c>
      <c r="AS408" s="88">
        <f t="shared" si="688"/>
        <v>2</v>
      </c>
      <c r="AT408" s="88">
        <f t="shared" si="688"/>
        <v>6</v>
      </c>
      <c r="AU408" s="88">
        <f t="shared" si="688"/>
        <v>0</v>
      </c>
      <c r="AV408" s="88">
        <f t="shared" si="688"/>
        <v>0</v>
      </c>
      <c r="AW408" s="88">
        <f t="shared" si="688"/>
        <v>2</v>
      </c>
      <c r="AX408" s="88">
        <f t="shared" si="688"/>
        <v>6</v>
      </c>
      <c r="AY408" s="88">
        <f t="shared" si="688"/>
        <v>0</v>
      </c>
      <c r="AZ408" s="88">
        <f t="shared" si="688"/>
        <v>0</v>
      </c>
      <c r="BA408" s="88">
        <f t="shared" si="688"/>
        <v>2</v>
      </c>
      <c r="BB408" s="88">
        <f t="shared" si="688"/>
        <v>3</v>
      </c>
      <c r="BC408" s="19">
        <f t="shared" si="674"/>
        <v>98</v>
      </c>
    </row>
    <row r="409" spans="2:55" x14ac:dyDescent="0.25">
      <c r="B409" s="88" t="str">
        <f>_xlfn.CONCAT(B384," ","Yield Loss")</f>
        <v>Yield Defect Loss Type H Yield Loss</v>
      </c>
      <c r="C409" s="88">
        <f>SUM(C385:C392)</f>
        <v>0</v>
      </c>
      <c r="D409" s="88">
        <f t="shared" ref="D409:BB409" si="689">SUM(D385:D392)</f>
        <v>0</v>
      </c>
      <c r="E409" s="88">
        <f t="shared" si="689"/>
        <v>0</v>
      </c>
      <c r="F409" s="88">
        <f t="shared" si="689"/>
        <v>2</v>
      </c>
      <c r="G409" s="88">
        <f t="shared" si="689"/>
        <v>0</v>
      </c>
      <c r="H409" s="88">
        <f t="shared" si="689"/>
        <v>0</v>
      </c>
      <c r="I409" s="88">
        <f t="shared" si="689"/>
        <v>0</v>
      </c>
      <c r="J409" s="88">
        <f t="shared" si="689"/>
        <v>2</v>
      </c>
      <c r="K409" s="88">
        <f t="shared" si="689"/>
        <v>0</v>
      </c>
      <c r="L409" s="88">
        <f t="shared" si="689"/>
        <v>0</v>
      </c>
      <c r="M409" s="88">
        <f t="shared" si="689"/>
        <v>0</v>
      </c>
      <c r="N409" s="88">
        <f t="shared" si="689"/>
        <v>2</v>
      </c>
      <c r="O409" s="88">
        <f t="shared" si="689"/>
        <v>0</v>
      </c>
      <c r="P409" s="88">
        <f t="shared" si="689"/>
        <v>0</v>
      </c>
      <c r="Q409" s="88">
        <f t="shared" si="689"/>
        <v>3</v>
      </c>
      <c r="R409" s="88">
        <f t="shared" si="689"/>
        <v>2</v>
      </c>
      <c r="S409" s="88">
        <f t="shared" si="689"/>
        <v>0</v>
      </c>
      <c r="T409" s="88">
        <f t="shared" si="689"/>
        <v>0</v>
      </c>
      <c r="U409" s="88">
        <f t="shared" si="689"/>
        <v>0</v>
      </c>
      <c r="V409" s="88">
        <f t="shared" si="689"/>
        <v>2</v>
      </c>
      <c r="W409" s="88">
        <f t="shared" si="689"/>
        <v>3</v>
      </c>
      <c r="X409" s="88">
        <f t="shared" si="689"/>
        <v>0</v>
      </c>
      <c r="Y409" s="88">
        <f t="shared" si="689"/>
        <v>0</v>
      </c>
      <c r="Z409" s="88">
        <f t="shared" si="689"/>
        <v>2</v>
      </c>
      <c r="AA409" s="88">
        <f t="shared" si="689"/>
        <v>0</v>
      </c>
      <c r="AB409" s="88">
        <f t="shared" si="689"/>
        <v>1</v>
      </c>
      <c r="AC409" s="88">
        <f t="shared" si="689"/>
        <v>0</v>
      </c>
      <c r="AD409" s="88">
        <f t="shared" si="689"/>
        <v>2</v>
      </c>
      <c r="AE409" s="88">
        <f t="shared" si="689"/>
        <v>0</v>
      </c>
      <c r="AF409" s="88">
        <f t="shared" si="689"/>
        <v>0</v>
      </c>
      <c r="AG409" s="88">
        <f t="shared" si="689"/>
        <v>0</v>
      </c>
      <c r="AH409" s="88">
        <f t="shared" si="689"/>
        <v>2</v>
      </c>
      <c r="AI409" s="88">
        <f t="shared" si="689"/>
        <v>3</v>
      </c>
      <c r="AJ409" s="88">
        <f t="shared" si="689"/>
        <v>0</v>
      </c>
      <c r="AK409" s="88">
        <f t="shared" si="689"/>
        <v>0</v>
      </c>
      <c r="AL409" s="88">
        <f t="shared" si="689"/>
        <v>2</v>
      </c>
      <c r="AM409" s="88">
        <f t="shared" si="689"/>
        <v>0</v>
      </c>
      <c r="AN409" s="88">
        <f t="shared" si="689"/>
        <v>0</v>
      </c>
      <c r="AO409" s="88">
        <f t="shared" si="689"/>
        <v>3</v>
      </c>
      <c r="AP409" s="88">
        <f t="shared" si="689"/>
        <v>3</v>
      </c>
      <c r="AQ409" s="88">
        <f t="shared" si="689"/>
        <v>0</v>
      </c>
      <c r="AR409" s="88">
        <f t="shared" si="689"/>
        <v>0</v>
      </c>
      <c r="AS409" s="88">
        <f t="shared" si="689"/>
        <v>0</v>
      </c>
      <c r="AT409" s="88">
        <f t="shared" si="689"/>
        <v>2</v>
      </c>
      <c r="AU409" s="88">
        <f t="shared" si="689"/>
        <v>0</v>
      </c>
      <c r="AV409" s="88">
        <f t="shared" si="689"/>
        <v>0</v>
      </c>
      <c r="AW409" s="88">
        <f t="shared" si="689"/>
        <v>0</v>
      </c>
      <c r="AX409" s="88">
        <f t="shared" si="689"/>
        <v>2</v>
      </c>
      <c r="AY409" s="88">
        <f t="shared" si="689"/>
        <v>0</v>
      </c>
      <c r="AZ409" s="88">
        <f t="shared" si="689"/>
        <v>0</v>
      </c>
      <c r="BA409" s="88">
        <f t="shared" si="689"/>
        <v>0</v>
      </c>
      <c r="BB409" s="88">
        <f t="shared" si="689"/>
        <v>2</v>
      </c>
      <c r="BC409" s="19">
        <f t="shared" si="674"/>
        <v>40</v>
      </c>
    </row>
    <row r="410" spans="2:55" x14ac:dyDescent="0.25">
      <c r="B410" s="123" t="s">
        <v>229</v>
      </c>
      <c r="C410" s="123" t="b">
        <f>IF(SUM(C402:C409)=SUM(C321,C330,C339,C348,C357,C366,C375,C384),TRUE,FALSE)</f>
        <v>1</v>
      </c>
      <c r="D410" s="123" t="b">
        <f t="shared" ref="D410:BC410" si="690">IF(SUM(D402:D409)=SUM(D321,D330,D339,D348,D357,D366,D375,D384),TRUE,FALSE)</f>
        <v>1</v>
      </c>
      <c r="E410" s="123" t="b">
        <f t="shared" si="690"/>
        <v>1</v>
      </c>
      <c r="F410" s="123" t="b">
        <f t="shared" si="690"/>
        <v>1</v>
      </c>
      <c r="G410" s="123" t="b">
        <f t="shared" si="690"/>
        <v>1</v>
      </c>
      <c r="H410" s="123" t="b">
        <f t="shared" si="690"/>
        <v>1</v>
      </c>
      <c r="I410" s="123" t="b">
        <f t="shared" si="690"/>
        <v>1</v>
      </c>
      <c r="J410" s="123" t="b">
        <f t="shared" si="690"/>
        <v>1</v>
      </c>
      <c r="K410" s="123" t="b">
        <f t="shared" si="690"/>
        <v>1</v>
      </c>
      <c r="L410" s="123" t="b">
        <f t="shared" si="690"/>
        <v>1</v>
      </c>
      <c r="M410" s="123" t="b">
        <f t="shared" si="690"/>
        <v>1</v>
      </c>
      <c r="N410" s="123" t="b">
        <f t="shared" si="690"/>
        <v>1</v>
      </c>
      <c r="O410" s="123" t="b">
        <f t="shared" si="690"/>
        <v>1</v>
      </c>
      <c r="P410" s="123" t="b">
        <f t="shared" si="690"/>
        <v>1</v>
      </c>
      <c r="Q410" s="123" t="b">
        <f t="shared" si="690"/>
        <v>1</v>
      </c>
      <c r="R410" s="123" t="b">
        <f t="shared" si="690"/>
        <v>1</v>
      </c>
      <c r="S410" s="123" t="b">
        <f t="shared" si="690"/>
        <v>1</v>
      </c>
      <c r="T410" s="123" t="b">
        <f t="shared" si="690"/>
        <v>1</v>
      </c>
      <c r="U410" s="123" t="b">
        <f t="shared" si="690"/>
        <v>1</v>
      </c>
      <c r="V410" s="123" t="b">
        <f t="shared" si="690"/>
        <v>1</v>
      </c>
      <c r="W410" s="123" t="b">
        <f t="shared" si="690"/>
        <v>1</v>
      </c>
      <c r="X410" s="123" t="b">
        <f t="shared" si="690"/>
        <v>1</v>
      </c>
      <c r="Y410" s="123" t="b">
        <f t="shared" si="690"/>
        <v>1</v>
      </c>
      <c r="Z410" s="123" t="b">
        <f t="shared" si="690"/>
        <v>1</v>
      </c>
      <c r="AA410" s="123" t="b">
        <f t="shared" si="690"/>
        <v>1</v>
      </c>
      <c r="AB410" s="123" t="b">
        <f t="shared" si="690"/>
        <v>1</v>
      </c>
      <c r="AC410" s="123" t="b">
        <f t="shared" si="690"/>
        <v>1</v>
      </c>
      <c r="AD410" s="123" t="b">
        <f t="shared" si="690"/>
        <v>1</v>
      </c>
      <c r="AE410" s="123" t="b">
        <f t="shared" si="690"/>
        <v>1</v>
      </c>
      <c r="AF410" s="123" t="b">
        <f t="shared" si="690"/>
        <v>1</v>
      </c>
      <c r="AG410" s="123" t="b">
        <f t="shared" si="690"/>
        <v>1</v>
      </c>
      <c r="AH410" s="123" t="b">
        <f t="shared" si="690"/>
        <v>1</v>
      </c>
      <c r="AI410" s="123" t="b">
        <f t="shared" si="690"/>
        <v>1</v>
      </c>
      <c r="AJ410" s="123" t="b">
        <f t="shared" si="690"/>
        <v>1</v>
      </c>
      <c r="AK410" s="123" t="b">
        <f t="shared" si="690"/>
        <v>1</v>
      </c>
      <c r="AL410" s="123" t="b">
        <f t="shared" si="690"/>
        <v>1</v>
      </c>
      <c r="AM410" s="123" t="b">
        <f t="shared" si="690"/>
        <v>1</v>
      </c>
      <c r="AN410" s="123" t="b">
        <f t="shared" si="690"/>
        <v>1</v>
      </c>
      <c r="AO410" s="123" t="b">
        <f t="shared" si="690"/>
        <v>1</v>
      </c>
      <c r="AP410" s="123" t="b">
        <f t="shared" si="690"/>
        <v>1</v>
      </c>
      <c r="AQ410" s="123" t="b">
        <f t="shared" si="690"/>
        <v>1</v>
      </c>
      <c r="AR410" s="123" t="b">
        <f t="shared" si="690"/>
        <v>1</v>
      </c>
      <c r="AS410" s="123" t="b">
        <f t="shared" si="690"/>
        <v>1</v>
      </c>
      <c r="AT410" s="123" t="b">
        <f t="shared" si="690"/>
        <v>1</v>
      </c>
      <c r="AU410" s="123" t="b">
        <f t="shared" si="690"/>
        <v>1</v>
      </c>
      <c r="AV410" s="123" t="b">
        <f t="shared" si="690"/>
        <v>1</v>
      </c>
      <c r="AW410" s="123" t="b">
        <f t="shared" si="690"/>
        <v>1</v>
      </c>
      <c r="AX410" s="123" t="b">
        <f t="shared" si="690"/>
        <v>1</v>
      </c>
      <c r="AY410" s="123" t="b">
        <f t="shared" si="690"/>
        <v>1</v>
      </c>
      <c r="AZ410" s="123" t="b">
        <f t="shared" si="690"/>
        <v>1</v>
      </c>
      <c r="BA410" s="123" t="b">
        <f t="shared" si="690"/>
        <v>1</v>
      </c>
      <c r="BB410" s="123" t="b">
        <f t="shared" si="690"/>
        <v>1</v>
      </c>
      <c r="BC410" s="123" t="b">
        <f t="shared" si="690"/>
        <v>1</v>
      </c>
    </row>
    <row r="411" spans="2:55" x14ac:dyDescent="0.25">
      <c r="B411" s="88" t="str">
        <f t="shared" ref="B411:B418" si="691">_xlfn.CONCAT(B393," ","VAS")</f>
        <v>Product A Yield Loss VAS</v>
      </c>
      <c r="C411" s="88">
        <f t="shared" ref="C411:AH411" si="692">C393*C634</f>
        <v>77.901061007957566</v>
      </c>
      <c r="D411" s="88">
        <f t="shared" si="692"/>
        <v>0</v>
      </c>
      <c r="E411" s="88">
        <f t="shared" si="692"/>
        <v>31.140135161228038</v>
      </c>
      <c r="F411" s="88">
        <f t="shared" si="692"/>
        <v>0</v>
      </c>
      <c r="G411" s="88">
        <f t="shared" si="692"/>
        <v>62.355416258570031</v>
      </c>
      <c r="H411" s="88">
        <f t="shared" si="692"/>
        <v>0</v>
      </c>
      <c r="I411" s="88">
        <f t="shared" si="692"/>
        <v>0</v>
      </c>
      <c r="J411" s="88">
        <f t="shared" si="692"/>
        <v>0</v>
      </c>
      <c r="K411" s="88">
        <f t="shared" si="692"/>
        <v>62.281629802095459</v>
      </c>
      <c r="L411" s="88">
        <f t="shared" si="692"/>
        <v>0</v>
      </c>
      <c r="M411" s="88">
        <f t="shared" si="692"/>
        <v>0</v>
      </c>
      <c r="N411" s="88">
        <f t="shared" si="692"/>
        <v>0</v>
      </c>
      <c r="O411" s="88">
        <f t="shared" si="692"/>
        <v>62.320848806366051</v>
      </c>
      <c r="P411" s="88">
        <f t="shared" si="692"/>
        <v>15.573323903818954</v>
      </c>
      <c r="Q411" s="88">
        <f t="shared" si="692"/>
        <v>0</v>
      </c>
      <c r="R411" s="88">
        <f t="shared" si="692"/>
        <v>0</v>
      </c>
      <c r="S411" s="88">
        <f t="shared" si="692"/>
        <v>62.355416258570031</v>
      </c>
      <c r="T411" s="88">
        <f t="shared" si="692"/>
        <v>0</v>
      </c>
      <c r="U411" s="88">
        <f t="shared" si="692"/>
        <v>0</v>
      </c>
      <c r="V411" s="88">
        <f t="shared" si="692"/>
        <v>15.575537052456287</v>
      </c>
      <c r="W411" s="88">
        <f t="shared" si="692"/>
        <v>62.28595744680851</v>
      </c>
      <c r="X411" s="88">
        <f t="shared" si="692"/>
        <v>0</v>
      </c>
      <c r="Y411" s="88">
        <f t="shared" si="692"/>
        <v>0</v>
      </c>
      <c r="Z411" s="88">
        <f t="shared" si="692"/>
        <v>0</v>
      </c>
      <c r="AA411" s="88">
        <f t="shared" si="692"/>
        <v>62.320848806366051</v>
      </c>
      <c r="AB411" s="88">
        <f t="shared" si="692"/>
        <v>0</v>
      </c>
      <c r="AC411" s="88">
        <f t="shared" si="692"/>
        <v>46.710202741842053</v>
      </c>
      <c r="AD411" s="88">
        <f t="shared" si="692"/>
        <v>0</v>
      </c>
      <c r="AE411" s="88">
        <f t="shared" si="692"/>
        <v>62.355416258570031</v>
      </c>
      <c r="AF411" s="88">
        <f t="shared" si="692"/>
        <v>0</v>
      </c>
      <c r="AG411" s="88">
        <f t="shared" si="692"/>
        <v>0</v>
      </c>
      <c r="AH411" s="88">
        <f t="shared" si="692"/>
        <v>15.575537052456287</v>
      </c>
      <c r="AI411" s="88">
        <f t="shared" ref="AI411:BB411" si="693">AI393*AI634</f>
        <v>62.28595744680851</v>
      </c>
      <c r="AJ411" s="88">
        <f t="shared" si="693"/>
        <v>0</v>
      </c>
      <c r="AK411" s="88">
        <f t="shared" si="693"/>
        <v>0</v>
      </c>
      <c r="AL411" s="88">
        <f t="shared" si="693"/>
        <v>0</v>
      </c>
      <c r="AM411" s="88">
        <f t="shared" si="693"/>
        <v>62.320848806366051</v>
      </c>
      <c r="AN411" s="88">
        <f t="shared" si="693"/>
        <v>15.573323903818954</v>
      </c>
      <c r="AO411" s="88">
        <f t="shared" si="693"/>
        <v>0</v>
      </c>
      <c r="AP411" s="88">
        <f t="shared" si="693"/>
        <v>0</v>
      </c>
      <c r="AQ411" s="88">
        <f t="shared" si="693"/>
        <v>62.355416258570031</v>
      </c>
      <c r="AR411" s="88">
        <f t="shared" si="693"/>
        <v>0</v>
      </c>
      <c r="AS411" s="88">
        <f t="shared" si="693"/>
        <v>31.142613480055022</v>
      </c>
      <c r="AT411" s="88">
        <f t="shared" si="693"/>
        <v>0</v>
      </c>
      <c r="AU411" s="88">
        <f t="shared" si="693"/>
        <v>62.287486631016044</v>
      </c>
      <c r="AV411" s="88">
        <f t="shared" si="693"/>
        <v>31.141501267303568</v>
      </c>
      <c r="AW411" s="88">
        <f t="shared" si="693"/>
        <v>0</v>
      </c>
      <c r="AX411" s="88">
        <f t="shared" si="693"/>
        <v>0</v>
      </c>
      <c r="AY411" s="88">
        <f t="shared" si="693"/>
        <v>62.281629802095459</v>
      </c>
      <c r="AZ411" s="88">
        <f t="shared" si="693"/>
        <v>0</v>
      </c>
      <c r="BA411" s="88">
        <f t="shared" si="693"/>
        <v>0</v>
      </c>
      <c r="BB411" s="88">
        <f t="shared" si="693"/>
        <v>0</v>
      </c>
      <c r="BC411" s="19">
        <f t="shared" si="674"/>
        <v>1028.140108153139</v>
      </c>
    </row>
    <row r="412" spans="2:55" x14ac:dyDescent="0.25">
      <c r="B412" s="88" t="str">
        <f t="shared" si="691"/>
        <v>Product B Yield Loss VAS</v>
      </c>
      <c r="C412" s="88">
        <f t="shared" ref="C412:AH412" si="694">C394*C635</f>
        <v>67.949368700265254</v>
      </c>
      <c r="D412" s="88">
        <f t="shared" si="694"/>
        <v>67.919366336633658</v>
      </c>
      <c r="E412" s="88">
        <f t="shared" si="694"/>
        <v>0</v>
      </c>
      <c r="F412" s="88">
        <f t="shared" si="694"/>
        <v>51.00457553956835</v>
      </c>
      <c r="G412" s="88">
        <f t="shared" si="694"/>
        <v>67.987008814887361</v>
      </c>
      <c r="H412" s="88">
        <f t="shared" si="694"/>
        <v>67.954143849428647</v>
      </c>
      <c r="I412" s="88">
        <f t="shared" si="694"/>
        <v>0</v>
      </c>
      <c r="J412" s="88">
        <f t="shared" si="694"/>
        <v>16.981842584921292</v>
      </c>
      <c r="K412" s="88">
        <f t="shared" si="694"/>
        <v>67.906663562281722</v>
      </c>
      <c r="L412" s="88">
        <f t="shared" si="694"/>
        <v>67.992097246340862</v>
      </c>
      <c r="M412" s="88">
        <f t="shared" si="694"/>
        <v>0</v>
      </c>
      <c r="N412" s="88">
        <f t="shared" si="694"/>
        <v>0</v>
      </c>
      <c r="O412" s="88">
        <f t="shared" si="694"/>
        <v>67.949368700265254</v>
      </c>
      <c r="P412" s="88">
        <f t="shared" si="694"/>
        <v>67.919366336633658</v>
      </c>
      <c r="Q412" s="88">
        <f t="shared" si="694"/>
        <v>0</v>
      </c>
      <c r="R412" s="88">
        <f t="shared" si="694"/>
        <v>0</v>
      </c>
      <c r="S412" s="88">
        <f t="shared" si="694"/>
        <v>67.987008814887361</v>
      </c>
      <c r="T412" s="88">
        <f t="shared" si="694"/>
        <v>67.954461538461544</v>
      </c>
      <c r="U412" s="88">
        <f t="shared" si="694"/>
        <v>0</v>
      </c>
      <c r="V412" s="88">
        <f t="shared" si="694"/>
        <v>0</v>
      </c>
      <c r="W412" s="88">
        <f t="shared" si="694"/>
        <v>67.911375886524823</v>
      </c>
      <c r="X412" s="88">
        <f t="shared" si="694"/>
        <v>67.992097246340862</v>
      </c>
      <c r="Y412" s="88">
        <f t="shared" si="694"/>
        <v>0</v>
      </c>
      <c r="Z412" s="88">
        <f t="shared" si="694"/>
        <v>0</v>
      </c>
      <c r="AA412" s="88">
        <f t="shared" si="694"/>
        <v>67.949368700265254</v>
      </c>
      <c r="AB412" s="88">
        <f t="shared" si="694"/>
        <v>67.918979616548938</v>
      </c>
      <c r="AC412" s="88">
        <f t="shared" si="694"/>
        <v>0</v>
      </c>
      <c r="AD412" s="88">
        <f t="shared" si="694"/>
        <v>0</v>
      </c>
      <c r="AE412" s="88">
        <f t="shared" si="694"/>
        <v>67.987008814887361</v>
      </c>
      <c r="AF412" s="88">
        <f t="shared" si="694"/>
        <v>67.954143849428647</v>
      </c>
      <c r="AG412" s="88">
        <f t="shared" si="694"/>
        <v>0</v>
      </c>
      <c r="AH412" s="88">
        <f t="shared" si="694"/>
        <v>0</v>
      </c>
      <c r="AI412" s="88">
        <f t="shared" ref="AI412:BB412" si="695">AI394*AI635</f>
        <v>67.911375886524823</v>
      </c>
      <c r="AJ412" s="88">
        <f t="shared" si="695"/>
        <v>67.992097246340862</v>
      </c>
      <c r="AK412" s="88">
        <f t="shared" si="695"/>
        <v>0</v>
      </c>
      <c r="AL412" s="88">
        <f t="shared" si="695"/>
        <v>0</v>
      </c>
      <c r="AM412" s="88">
        <f t="shared" si="695"/>
        <v>67.949368700265254</v>
      </c>
      <c r="AN412" s="88">
        <f t="shared" si="695"/>
        <v>67.919366336633658</v>
      </c>
      <c r="AO412" s="88">
        <f t="shared" si="695"/>
        <v>0</v>
      </c>
      <c r="AP412" s="88">
        <f t="shared" si="695"/>
        <v>0</v>
      </c>
      <c r="AQ412" s="88">
        <f t="shared" si="695"/>
        <v>67.987008814887361</v>
      </c>
      <c r="AR412" s="88">
        <f t="shared" si="695"/>
        <v>67.954143849428647</v>
      </c>
      <c r="AS412" s="88">
        <f t="shared" si="695"/>
        <v>0</v>
      </c>
      <c r="AT412" s="88">
        <f t="shared" si="695"/>
        <v>33.957299363057331</v>
      </c>
      <c r="AU412" s="88">
        <f t="shared" si="695"/>
        <v>67.913040998217468</v>
      </c>
      <c r="AV412" s="88">
        <f t="shared" si="695"/>
        <v>67.908158315461108</v>
      </c>
      <c r="AW412" s="88">
        <f t="shared" si="695"/>
        <v>0</v>
      </c>
      <c r="AX412" s="88">
        <f t="shared" si="695"/>
        <v>16.981842584921292</v>
      </c>
      <c r="AY412" s="88">
        <f t="shared" si="695"/>
        <v>67.906663562281722</v>
      </c>
      <c r="AZ412" s="88">
        <f t="shared" si="695"/>
        <v>16.996586653629919</v>
      </c>
      <c r="BA412" s="88">
        <f t="shared" si="695"/>
        <v>0</v>
      </c>
      <c r="BB412" s="88">
        <f t="shared" si="695"/>
        <v>0</v>
      </c>
      <c r="BC412" s="19">
        <f t="shared" si="674"/>
        <v>1834.5951984502199</v>
      </c>
    </row>
    <row r="413" spans="2:55" x14ac:dyDescent="0.25">
      <c r="B413" s="88" t="str">
        <f t="shared" si="691"/>
        <v>Product C Yield Loss VAS</v>
      </c>
      <c r="C413" s="88">
        <f t="shared" ref="C413:AH413" si="696">C395*C636</f>
        <v>75.427798408488059</v>
      </c>
      <c r="D413" s="88">
        <f t="shared" si="696"/>
        <v>60.3128486562942</v>
      </c>
      <c r="E413" s="88">
        <f t="shared" si="696"/>
        <v>60.298955010619814</v>
      </c>
      <c r="F413" s="88">
        <f t="shared" si="696"/>
        <v>0</v>
      </c>
      <c r="G413" s="88">
        <f t="shared" si="696"/>
        <v>75.473888344760041</v>
      </c>
      <c r="H413" s="88">
        <f t="shared" si="696"/>
        <v>60.346916423930089</v>
      </c>
      <c r="I413" s="88">
        <f t="shared" si="696"/>
        <v>60.333754688510453</v>
      </c>
      <c r="J413" s="88">
        <f t="shared" si="696"/>
        <v>0</v>
      </c>
      <c r="K413" s="88">
        <f t="shared" si="696"/>
        <v>45.225303841676364</v>
      </c>
      <c r="L413" s="88">
        <f t="shared" si="696"/>
        <v>60.384095261721654</v>
      </c>
      <c r="M413" s="88">
        <f t="shared" si="696"/>
        <v>60.368026622296171</v>
      </c>
      <c r="N413" s="88">
        <f t="shared" si="696"/>
        <v>0</v>
      </c>
      <c r="O413" s="88">
        <f t="shared" si="696"/>
        <v>45.256679045092838</v>
      </c>
      <c r="P413" s="88">
        <f t="shared" si="696"/>
        <v>60.3128486562942</v>
      </c>
      <c r="Q413" s="88">
        <f t="shared" si="696"/>
        <v>60.298263918320167</v>
      </c>
      <c r="R413" s="88">
        <f t="shared" si="696"/>
        <v>0</v>
      </c>
      <c r="S413" s="88">
        <f t="shared" si="696"/>
        <v>75.473888344760041</v>
      </c>
      <c r="T413" s="88">
        <f t="shared" si="696"/>
        <v>60.347227629513341</v>
      </c>
      <c r="U413" s="88">
        <f t="shared" si="696"/>
        <v>60.333754688510453</v>
      </c>
      <c r="V413" s="88">
        <f t="shared" si="696"/>
        <v>0</v>
      </c>
      <c r="W413" s="88">
        <f t="shared" si="696"/>
        <v>75.38127659574468</v>
      </c>
      <c r="X413" s="88">
        <f t="shared" si="696"/>
        <v>60.384095261721654</v>
      </c>
      <c r="Y413" s="88">
        <f t="shared" si="696"/>
        <v>60.366979853045748</v>
      </c>
      <c r="Z413" s="88">
        <f t="shared" si="696"/>
        <v>0</v>
      </c>
      <c r="AA413" s="88">
        <f t="shared" si="696"/>
        <v>75.427798408488059</v>
      </c>
      <c r="AB413" s="88">
        <f t="shared" si="696"/>
        <v>60.312469828456102</v>
      </c>
      <c r="AC413" s="88">
        <f t="shared" si="696"/>
        <v>60.298955010619814</v>
      </c>
      <c r="AD413" s="88">
        <f t="shared" si="696"/>
        <v>0</v>
      </c>
      <c r="AE413" s="88">
        <f t="shared" si="696"/>
        <v>75.473888344760041</v>
      </c>
      <c r="AF413" s="88">
        <f t="shared" si="696"/>
        <v>60.346916423930089</v>
      </c>
      <c r="AG413" s="88">
        <f t="shared" si="696"/>
        <v>60.333754688510453</v>
      </c>
      <c r="AH413" s="88">
        <f t="shared" si="696"/>
        <v>0</v>
      </c>
      <c r="AI413" s="88">
        <f t="shared" ref="AI413:BB413" si="697">AI395*AI636</f>
        <v>75.38127659574468</v>
      </c>
      <c r="AJ413" s="88">
        <f t="shared" si="697"/>
        <v>60.384095261721654</v>
      </c>
      <c r="AK413" s="88">
        <f t="shared" si="697"/>
        <v>60.366979853045748</v>
      </c>
      <c r="AL413" s="88">
        <f t="shared" si="697"/>
        <v>0</v>
      </c>
      <c r="AM413" s="88">
        <f t="shared" si="697"/>
        <v>75.427798408488059</v>
      </c>
      <c r="AN413" s="88">
        <f t="shared" si="697"/>
        <v>60.3128486562942</v>
      </c>
      <c r="AO413" s="88">
        <f t="shared" si="697"/>
        <v>60.298263918320167</v>
      </c>
      <c r="AP413" s="88">
        <f t="shared" si="697"/>
        <v>0</v>
      </c>
      <c r="AQ413" s="88">
        <f t="shared" si="697"/>
        <v>75.473888344760041</v>
      </c>
      <c r="AR413" s="88">
        <f t="shared" si="697"/>
        <v>60.346916423930089</v>
      </c>
      <c r="AS413" s="88">
        <f t="shared" si="697"/>
        <v>60.304242090784044</v>
      </c>
      <c r="AT413" s="88">
        <f t="shared" si="697"/>
        <v>0</v>
      </c>
      <c r="AU413" s="88">
        <f t="shared" si="697"/>
        <v>75.383315508021397</v>
      </c>
      <c r="AV413" s="88">
        <f t="shared" si="697"/>
        <v>60.301869370247609</v>
      </c>
      <c r="AW413" s="88">
        <f t="shared" si="697"/>
        <v>60.333754688510453</v>
      </c>
      <c r="AX413" s="88">
        <f t="shared" si="697"/>
        <v>0</v>
      </c>
      <c r="AY413" s="88">
        <f t="shared" si="697"/>
        <v>75.375506402793945</v>
      </c>
      <c r="AZ413" s="88">
        <f t="shared" si="697"/>
        <v>60.378461989733559</v>
      </c>
      <c r="BA413" s="88">
        <f t="shared" si="697"/>
        <v>60.366979853045748</v>
      </c>
      <c r="BB413" s="88">
        <f t="shared" si="697"/>
        <v>0</v>
      </c>
      <c r="BC413" s="19">
        <f t="shared" si="674"/>
        <v>2488.9565813215063</v>
      </c>
    </row>
    <row r="414" spans="2:55" x14ac:dyDescent="0.25">
      <c r="B414" s="88" t="str">
        <f t="shared" si="691"/>
        <v>Product D Yield Loss VAS</v>
      </c>
      <c r="C414" s="88">
        <f t="shared" ref="C414:AH414" si="698">C396*C637</f>
        <v>82.990185676392585</v>
      </c>
      <c r="D414" s="88">
        <f t="shared" si="698"/>
        <v>82.948090523338038</v>
      </c>
      <c r="E414" s="88">
        <f t="shared" si="698"/>
        <v>66.342552616335198</v>
      </c>
      <c r="F414" s="88">
        <f t="shared" si="698"/>
        <v>66.455827338129495</v>
      </c>
      <c r="G414" s="88">
        <f t="shared" si="698"/>
        <v>66.434397649363376</v>
      </c>
      <c r="H414" s="88">
        <f t="shared" si="698"/>
        <v>82.996885503024885</v>
      </c>
      <c r="I414" s="88">
        <f t="shared" si="698"/>
        <v>66.38242724725157</v>
      </c>
      <c r="J414" s="88">
        <f t="shared" si="698"/>
        <v>66.367456503728249</v>
      </c>
      <c r="K414" s="88">
        <f t="shared" si="698"/>
        <v>82.930267753201406</v>
      </c>
      <c r="L414" s="88">
        <f t="shared" si="698"/>
        <v>83.050136442570093</v>
      </c>
      <c r="M414" s="88">
        <f t="shared" si="698"/>
        <v>66.421697171381027</v>
      </c>
      <c r="N414" s="88">
        <f t="shared" si="698"/>
        <v>66.407459807073963</v>
      </c>
      <c r="O414" s="88">
        <f t="shared" si="698"/>
        <v>99.588222811671102</v>
      </c>
      <c r="P414" s="88">
        <f t="shared" si="698"/>
        <v>82.948090523338038</v>
      </c>
      <c r="Q414" s="88">
        <f t="shared" si="698"/>
        <v>66.341760739741858</v>
      </c>
      <c r="R414" s="88">
        <f t="shared" si="698"/>
        <v>66.444186279419128</v>
      </c>
      <c r="S414" s="88">
        <f t="shared" si="698"/>
        <v>66.434397649363376</v>
      </c>
      <c r="T414" s="88">
        <f t="shared" si="698"/>
        <v>66.397864992150716</v>
      </c>
      <c r="U414" s="88">
        <f t="shared" si="698"/>
        <v>66.38242724725157</v>
      </c>
      <c r="V414" s="88">
        <f t="shared" si="698"/>
        <v>66.369292256452951</v>
      </c>
      <c r="W414" s="88">
        <f t="shared" si="698"/>
        <v>99.524255319148949</v>
      </c>
      <c r="X414" s="88">
        <f t="shared" si="698"/>
        <v>83.050136442570093</v>
      </c>
      <c r="Y414" s="88">
        <f t="shared" si="698"/>
        <v>66.420497748281576</v>
      </c>
      <c r="Z414" s="88">
        <f t="shared" si="698"/>
        <v>49.808428372739918</v>
      </c>
      <c r="AA414" s="88">
        <f t="shared" si="698"/>
        <v>99.588222811671102</v>
      </c>
      <c r="AB414" s="88">
        <f t="shared" si="698"/>
        <v>82.947547931382445</v>
      </c>
      <c r="AC414" s="88">
        <f t="shared" si="698"/>
        <v>66.342552616335198</v>
      </c>
      <c r="AD414" s="88">
        <f t="shared" si="698"/>
        <v>49.84081967213114</v>
      </c>
      <c r="AE414" s="88">
        <f t="shared" si="698"/>
        <v>66.434397649363376</v>
      </c>
      <c r="AF414" s="88">
        <f t="shared" si="698"/>
        <v>82.996885503024885</v>
      </c>
      <c r="AG414" s="88">
        <f t="shared" si="698"/>
        <v>66.38242724725157</v>
      </c>
      <c r="AH414" s="88">
        <f t="shared" si="698"/>
        <v>66.369292256452951</v>
      </c>
      <c r="AI414" s="88">
        <f t="shared" ref="AI414:BB414" si="699">AI396*AI637</f>
        <v>66.349503546099299</v>
      </c>
      <c r="AJ414" s="88">
        <f t="shared" si="699"/>
        <v>83.050136442570093</v>
      </c>
      <c r="AK414" s="88">
        <f t="shared" si="699"/>
        <v>66.420497748281576</v>
      </c>
      <c r="AL414" s="88">
        <f t="shared" si="699"/>
        <v>49.808428372739918</v>
      </c>
      <c r="AM414" s="88">
        <f t="shared" si="699"/>
        <v>82.990185676392585</v>
      </c>
      <c r="AN414" s="88">
        <f t="shared" si="699"/>
        <v>82.948090523338038</v>
      </c>
      <c r="AO414" s="88">
        <f t="shared" si="699"/>
        <v>66.341760739741858</v>
      </c>
      <c r="AP414" s="88">
        <f t="shared" si="699"/>
        <v>66.454426229508186</v>
      </c>
      <c r="AQ414" s="88">
        <f t="shared" si="699"/>
        <v>66.434397649363376</v>
      </c>
      <c r="AR414" s="88">
        <f t="shared" si="699"/>
        <v>82.996885503024885</v>
      </c>
      <c r="AS414" s="88">
        <f t="shared" si="699"/>
        <v>66.348610729023392</v>
      </c>
      <c r="AT414" s="88">
        <f t="shared" si="699"/>
        <v>66.353121019108272</v>
      </c>
      <c r="AU414" s="88">
        <f t="shared" si="699"/>
        <v>99.527058823529401</v>
      </c>
      <c r="AV414" s="88">
        <f t="shared" si="699"/>
        <v>66.34589198674206</v>
      </c>
      <c r="AW414" s="88">
        <f t="shared" si="699"/>
        <v>66.38242724725157</v>
      </c>
      <c r="AX414" s="88">
        <f t="shared" si="699"/>
        <v>66.367456503728249</v>
      </c>
      <c r="AY414" s="88">
        <f t="shared" si="699"/>
        <v>99.516321303841679</v>
      </c>
      <c r="AZ414" s="88">
        <f t="shared" si="699"/>
        <v>83.042067954045464</v>
      </c>
      <c r="BA414" s="88">
        <f t="shared" si="699"/>
        <v>66.420497748281576</v>
      </c>
      <c r="BB414" s="88">
        <f t="shared" si="699"/>
        <v>49.808428372739918</v>
      </c>
      <c r="BC414" s="19">
        <f t="shared" si="674"/>
        <v>3784.2452844208819</v>
      </c>
    </row>
    <row r="415" spans="2:55" x14ac:dyDescent="0.25">
      <c r="B415" s="88" t="str">
        <f t="shared" si="691"/>
        <v>Product E Yield Loss VAS</v>
      </c>
      <c r="C415" s="88">
        <f t="shared" ref="C415:AH415" si="700">C397*C638</f>
        <v>31.792509283819626</v>
      </c>
      <c r="D415" s="88">
        <f t="shared" si="700"/>
        <v>63.551954738330977</v>
      </c>
      <c r="E415" s="88">
        <f t="shared" si="700"/>
        <v>79.420405483684107</v>
      </c>
      <c r="F415" s="88">
        <f t="shared" si="700"/>
        <v>63.647539568345323</v>
      </c>
      <c r="G415" s="88">
        <f t="shared" si="700"/>
        <v>31.813249755142017</v>
      </c>
      <c r="H415" s="88">
        <f t="shared" si="700"/>
        <v>79.487851221151686</v>
      </c>
      <c r="I415" s="88">
        <f t="shared" si="700"/>
        <v>79.469342530717825</v>
      </c>
      <c r="J415" s="88">
        <f t="shared" si="700"/>
        <v>63.560775476387732</v>
      </c>
      <c r="K415" s="88">
        <f t="shared" si="700"/>
        <v>31.768977881257275</v>
      </c>
      <c r="L415" s="88">
        <f t="shared" si="700"/>
        <v>47.724080377077648</v>
      </c>
      <c r="M415" s="88">
        <f t="shared" si="700"/>
        <v>47.710522462562395</v>
      </c>
      <c r="N415" s="88">
        <f t="shared" si="700"/>
        <v>63.600051446945336</v>
      </c>
      <c r="O415" s="88">
        <f t="shared" si="700"/>
        <v>31.792509283819626</v>
      </c>
      <c r="P415" s="88">
        <f t="shared" si="700"/>
        <v>95.327932107496466</v>
      </c>
      <c r="Q415" s="88">
        <f t="shared" si="700"/>
        <v>79.419433635137736</v>
      </c>
      <c r="R415" s="88">
        <f t="shared" si="700"/>
        <v>63.636110165247871</v>
      </c>
      <c r="S415" s="88">
        <f t="shared" si="700"/>
        <v>31.813249755142017</v>
      </c>
      <c r="T415" s="88">
        <f t="shared" si="700"/>
        <v>63.59063108320251</v>
      </c>
      <c r="U415" s="88">
        <f t="shared" si="700"/>
        <v>79.469342530717825</v>
      </c>
      <c r="V415" s="88">
        <f t="shared" si="700"/>
        <v>63.562577851790174</v>
      </c>
      <c r="W415" s="88">
        <f t="shared" si="700"/>
        <v>31.771574468085106</v>
      </c>
      <c r="X415" s="88">
        <f t="shared" si="700"/>
        <v>47.724080377077648</v>
      </c>
      <c r="Y415" s="88">
        <f t="shared" si="700"/>
        <v>31.80642616733823</v>
      </c>
      <c r="Z415" s="88">
        <f t="shared" si="700"/>
        <v>63.603760778859524</v>
      </c>
      <c r="AA415" s="88">
        <f t="shared" si="700"/>
        <v>31.792509283819626</v>
      </c>
      <c r="AB415" s="88">
        <f t="shared" si="700"/>
        <v>63.551528557013114</v>
      </c>
      <c r="AC415" s="88">
        <f t="shared" si="700"/>
        <v>63.536324386947285</v>
      </c>
      <c r="AD415" s="88">
        <f t="shared" si="700"/>
        <v>63.646163934426227</v>
      </c>
      <c r="AE415" s="88">
        <f t="shared" si="700"/>
        <v>31.813249755142017</v>
      </c>
      <c r="AF415" s="88">
        <f t="shared" si="700"/>
        <v>79.487851221151686</v>
      </c>
      <c r="AG415" s="88">
        <f t="shared" si="700"/>
        <v>79.469342530717825</v>
      </c>
      <c r="AH415" s="88">
        <f t="shared" si="700"/>
        <v>63.562577851790174</v>
      </c>
      <c r="AI415" s="88">
        <f t="shared" ref="AI415:BB415" si="701">AI397*AI638</f>
        <v>31.771574468085106</v>
      </c>
      <c r="AJ415" s="88">
        <f t="shared" si="701"/>
        <v>47.724080377077648</v>
      </c>
      <c r="AK415" s="88">
        <f t="shared" si="701"/>
        <v>79.516065418345576</v>
      </c>
      <c r="AL415" s="88">
        <f t="shared" si="701"/>
        <v>63.603760778859524</v>
      </c>
      <c r="AM415" s="88">
        <f t="shared" si="701"/>
        <v>31.792509283819626</v>
      </c>
      <c r="AN415" s="88">
        <f t="shared" si="701"/>
        <v>95.327932107496466</v>
      </c>
      <c r="AO415" s="88">
        <f t="shared" si="701"/>
        <v>79.419433635137736</v>
      </c>
      <c r="AP415" s="88">
        <f t="shared" si="701"/>
        <v>63.646163934426227</v>
      </c>
      <c r="AQ415" s="88">
        <f t="shared" si="701"/>
        <v>31.813249755142017</v>
      </c>
      <c r="AR415" s="88">
        <f t="shared" si="701"/>
        <v>79.487851221151686</v>
      </c>
      <c r="AS415" s="88">
        <f t="shared" si="701"/>
        <v>79.427840440165056</v>
      </c>
      <c r="AT415" s="88">
        <f t="shared" si="701"/>
        <v>63.546700636942674</v>
      </c>
      <c r="AU415" s="88">
        <f t="shared" si="701"/>
        <v>31.772491978609626</v>
      </c>
      <c r="AV415" s="88">
        <f t="shared" si="701"/>
        <v>79.424503801910703</v>
      </c>
      <c r="AW415" s="88">
        <f t="shared" si="701"/>
        <v>47.6816055184307</v>
      </c>
      <c r="AX415" s="88">
        <f t="shared" si="701"/>
        <v>63.560775476387732</v>
      </c>
      <c r="AY415" s="88">
        <f t="shared" si="701"/>
        <v>31.768977881257275</v>
      </c>
      <c r="AZ415" s="88">
        <f t="shared" si="701"/>
        <v>95.438654607675389</v>
      </c>
      <c r="BA415" s="88">
        <f t="shared" si="701"/>
        <v>79.516065418345576</v>
      </c>
      <c r="BB415" s="88">
        <f t="shared" si="701"/>
        <v>63.603760778859524</v>
      </c>
      <c r="BC415" s="19">
        <f t="shared" si="674"/>
        <v>3083.7684334684704</v>
      </c>
    </row>
    <row r="416" spans="2:55" x14ac:dyDescent="0.25">
      <c r="B416" s="88" t="str">
        <f t="shared" si="691"/>
        <v>Product F Yield Loss VAS</v>
      </c>
      <c r="C416" s="88">
        <f t="shared" ref="C416:AH416" si="702">C398*C639</f>
        <v>0</v>
      </c>
      <c r="D416" s="88">
        <f t="shared" si="702"/>
        <v>33.971089108910888</v>
      </c>
      <c r="E416" s="88">
        <f t="shared" si="702"/>
        <v>101.89047306429813</v>
      </c>
      <c r="F416" s="88">
        <f t="shared" si="702"/>
        <v>0</v>
      </c>
      <c r="G416" s="88">
        <f t="shared" si="702"/>
        <v>0</v>
      </c>
      <c r="H416" s="88">
        <f t="shared" si="702"/>
        <v>33.989719919336771</v>
      </c>
      <c r="I416" s="88">
        <f t="shared" si="702"/>
        <v>67.965044190558316</v>
      </c>
      <c r="J416" s="88">
        <f t="shared" si="702"/>
        <v>84.938442419221204</v>
      </c>
      <c r="K416" s="88">
        <f t="shared" si="702"/>
        <v>50.946426076833525</v>
      </c>
      <c r="L416" s="88">
        <f t="shared" si="702"/>
        <v>34.010052096254029</v>
      </c>
      <c r="M416" s="88">
        <f t="shared" si="702"/>
        <v>102.00379367720465</v>
      </c>
      <c r="N416" s="88">
        <f t="shared" si="702"/>
        <v>84.986173633440515</v>
      </c>
      <c r="O416" s="88">
        <f t="shared" si="702"/>
        <v>0</v>
      </c>
      <c r="P416" s="88">
        <f t="shared" si="702"/>
        <v>33.971089108910888</v>
      </c>
      <c r="Q416" s="88">
        <f t="shared" si="702"/>
        <v>101.88933924099402</v>
      </c>
      <c r="R416" s="88">
        <f t="shared" si="702"/>
        <v>85.029994992488724</v>
      </c>
      <c r="S416" s="88">
        <f t="shared" si="702"/>
        <v>0</v>
      </c>
      <c r="T416" s="88">
        <f t="shared" si="702"/>
        <v>33.989890109890112</v>
      </c>
      <c r="U416" s="88">
        <f t="shared" si="702"/>
        <v>50.973783142918734</v>
      </c>
      <c r="V416" s="88">
        <f t="shared" si="702"/>
        <v>84.940632805995023</v>
      </c>
      <c r="W416" s="88">
        <f t="shared" si="702"/>
        <v>0</v>
      </c>
      <c r="X416" s="88">
        <f t="shared" si="702"/>
        <v>34.010052096254029</v>
      </c>
      <c r="Y416" s="88">
        <f t="shared" si="702"/>
        <v>68.001384214268782</v>
      </c>
      <c r="Z416" s="88">
        <f t="shared" si="702"/>
        <v>84.990681502086233</v>
      </c>
      <c r="AA416" s="88">
        <f t="shared" si="702"/>
        <v>0</v>
      </c>
      <c r="AB416" s="88">
        <f t="shared" si="702"/>
        <v>33.970881937436936</v>
      </c>
      <c r="AC416" s="88">
        <f t="shared" si="702"/>
        <v>84.90872755358177</v>
      </c>
      <c r="AD416" s="88">
        <f t="shared" si="702"/>
        <v>34.016885245901641</v>
      </c>
      <c r="AE416" s="88">
        <f t="shared" si="702"/>
        <v>0</v>
      </c>
      <c r="AF416" s="88">
        <f t="shared" si="702"/>
        <v>33.989719919336771</v>
      </c>
      <c r="AG416" s="88">
        <f t="shared" si="702"/>
        <v>101.94756628583747</v>
      </c>
      <c r="AH416" s="88">
        <f t="shared" si="702"/>
        <v>84.940632805995023</v>
      </c>
      <c r="AI416" s="88">
        <f t="shared" ref="AI416:BB416" si="703">AI398*AI639</f>
        <v>0</v>
      </c>
      <c r="AJ416" s="88">
        <f t="shared" si="703"/>
        <v>34.010052096254029</v>
      </c>
      <c r="AK416" s="88">
        <f t="shared" si="703"/>
        <v>68.001384214268782</v>
      </c>
      <c r="AL416" s="88">
        <f t="shared" si="703"/>
        <v>84.990681502086233</v>
      </c>
      <c r="AM416" s="88">
        <f t="shared" si="703"/>
        <v>0</v>
      </c>
      <c r="AN416" s="88">
        <f t="shared" si="703"/>
        <v>33.971089108910888</v>
      </c>
      <c r="AO416" s="88">
        <f t="shared" si="703"/>
        <v>101.88933924099402</v>
      </c>
      <c r="AP416" s="88">
        <f t="shared" si="703"/>
        <v>34.016885245901641</v>
      </c>
      <c r="AQ416" s="88">
        <f t="shared" si="703"/>
        <v>0</v>
      </c>
      <c r="AR416" s="88">
        <f t="shared" si="703"/>
        <v>33.989719919336771</v>
      </c>
      <c r="AS416" s="88">
        <f t="shared" si="703"/>
        <v>101.89914718019257</v>
      </c>
      <c r="AT416" s="88">
        <f t="shared" si="703"/>
        <v>84.921337579617827</v>
      </c>
      <c r="AU416" s="88">
        <f t="shared" si="703"/>
        <v>33.967700534759359</v>
      </c>
      <c r="AV416" s="88">
        <f t="shared" si="703"/>
        <v>33.965084811854162</v>
      </c>
      <c r="AW416" s="88">
        <f t="shared" si="703"/>
        <v>84.956305238197899</v>
      </c>
      <c r="AX416" s="88">
        <f t="shared" si="703"/>
        <v>84.938442419221204</v>
      </c>
      <c r="AY416" s="88">
        <f t="shared" si="703"/>
        <v>50.946426076833525</v>
      </c>
      <c r="AZ416" s="88">
        <f t="shared" si="703"/>
        <v>34.006971400635543</v>
      </c>
      <c r="BA416" s="88">
        <f t="shared" si="703"/>
        <v>68.001384214268782</v>
      </c>
      <c r="BB416" s="88">
        <f t="shared" si="703"/>
        <v>84.990681502086233</v>
      </c>
      <c r="BC416" s="19">
        <f t="shared" si="674"/>
        <v>2599.7351074333733</v>
      </c>
    </row>
    <row r="417" spans="2:56" x14ac:dyDescent="0.25">
      <c r="B417" s="88" t="str">
        <f t="shared" si="691"/>
        <v>Product G Yield Loss VAS</v>
      </c>
      <c r="C417" s="88">
        <f t="shared" ref="C417:AH417" si="704">C399*C640</f>
        <v>0</v>
      </c>
      <c r="D417" s="88">
        <f t="shared" si="704"/>
        <v>14.973323903818955</v>
      </c>
      <c r="E417" s="88">
        <f t="shared" si="704"/>
        <v>44.910202741842056</v>
      </c>
      <c r="F417" s="88">
        <f t="shared" si="704"/>
        <v>74.966187050359721</v>
      </c>
      <c r="G417" s="88">
        <f t="shared" si="704"/>
        <v>0</v>
      </c>
      <c r="H417" s="88">
        <f t="shared" si="704"/>
        <v>0</v>
      </c>
      <c r="I417" s="88">
        <f t="shared" si="704"/>
        <v>29.956447510239276</v>
      </c>
      <c r="J417" s="88">
        <f t="shared" si="704"/>
        <v>89.850969345484685</v>
      </c>
      <c r="K417" s="88">
        <f t="shared" si="704"/>
        <v>0</v>
      </c>
      <c r="L417" s="88">
        <f t="shared" si="704"/>
        <v>0</v>
      </c>
      <c r="M417" s="88">
        <f t="shared" si="704"/>
        <v>29.972512479201331</v>
      </c>
      <c r="N417" s="88">
        <f t="shared" si="704"/>
        <v>74.916720257234729</v>
      </c>
      <c r="O417" s="88">
        <f t="shared" si="704"/>
        <v>0</v>
      </c>
      <c r="P417" s="88">
        <f t="shared" si="704"/>
        <v>0</v>
      </c>
      <c r="Q417" s="88">
        <f t="shared" si="704"/>
        <v>29.939811211712581</v>
      </c>
      <c r="R417" s="88">
        <f t="shared" si="704"/>
        <v>44.972568853279917</v>
      </c>
      <c r="S417" s="88">
        <f t="shared" si="704"/>
        <v>0</v>
      </c>
      <c r="T417" s="88">
        <f t="shared" si="704"/>
        <v>0</v>
      </c>
      <c r="U417" s="88">
        <f t="shared" si="704"/>
        <v>29.956447510239276</v>
      </c>
      <c r="V417" s="88">
        <f t="shared" si="704"/>
        <v>89.853222314737721</v>
      </c>
      <c r="W417" s="88">
        <f t="shared" si="704"/>
        <v>0</v>
      </c>
      <c r="X417" s="88">
        <f t="shared" si="704"/>
        <v>0</v>
      </c>
      <c r="Y417" s="88">
        <f t="shared" si="704"/>
        <v>29.972021806115194</v>
      </c>
      <c r="Z417" s="88">
        <f t="shared" si="704"/>
        <v>89.904700973574407</v>
      </c>
      <c r="AA417" s="88">
        <f t="shared" si="704"/>
        <v>0</v>
      </c>
      <c r="AB417" s="88">
        <f t="shared" si="704"/>
        <v>0</v>
      </c>
      <c r="AC417" s="88">
        <f t="shared" si="704"/>
        <v>29.940135161228039</v>
      </c>
      <c r="AD417" s="88">
        <f t="shared" si="704"/>
        <v>89.957704918032789</v>
      </c>
      <c r="AE417" s="88">
        <f t="shared" si="704"/>
        <v>0</v>
      </c>
      <c r="AF417" s="88">
        <f t="shared" si="704"/>
        <v>0</v>
      </c>
      <c r="AG417" s="88">
        <f t="shared" si="704"/>
        <v>29.956447510239276</v>
      </c>
      <c r="AH417" s="88">
        <f t="shared" si="704"/>
        <v>89.853222314737721</v>
      </c>
      <c r="AI417" s="88">
        <f t="shared" ref="AI417:BB417" si="705">AI399*AI640</f>
        <v>0</v>
      </c>
      <c r="AJ417" s="88">
        <f t="shared" si="705"/>
        <v>0</v>
      </c>
      <c r="AK417" s="88">
        <f t="shared" si="705"/>
        <v>29.972021806115194</v>
      </c>
      <c r="AL417" s="88">
        <f t="shared" si="705"/>
        <v>89.904700973574407</v>
      </c>
      <c r="AM417" s="88">
        <f t="shared" si="705"/>
        <v>0</v>
      </c>
      <c r="AN417" s="88">
        <f t="shared" si="705"/>
        <v>0</v>
      </c>
      <c r="AO417" s="88">
        <f t="shared" si="705"/>
        <v>29.939811211712581</v>
      </c>
      <c r="AP417" s="88">
        <f t="shared" si="705"/>
        <v>89.957704918032789</v>
      </c>
      <c r="AQ417" s="88">
        <f t="shared" si="705"/>
        <v>0</v>
      </c>
      <c r="AR417" s="88">
        <f t="shared" si="705"/>
        <v>0</v>
      </c>
      <c r="AS417" s="88">
        <f t="shared" si="705"/>
        <v>29.942613480055023</v>
      </c>
      <c r="AT417" s="88">
        <f t="shared" si="705"/>
        <v>89.833375796178345</v>
      </c>
      <c r="AU417" s="88">
        <f t="shared" si="705"/>
        <v>0</v>
      </c>
      <c r="AV417" s="88">
        <f t="shared" si="705"/>
        <v>0</v>
      </c>
      <c r="AW417" s="88">
        <f t="shared" si="705"/>
        <v>29.956447510239276</v>
      </c>
      <c r="AX417" s="88">
        <f t="shared" si="705"/>
        <v>89.850969345484685</v>
      </c>
      <c r="AY417" s="88">
        <f t="shared" si="705"/>
        <v>0</v>
      </c>
      <c r="AZ417" s="88">
        <f t="shared" si="705"/>
        <v>0</v>
      </c>
      <c r="BA417" s="88">
        <f t="shared" si="705"/>
        <v>29.972021806115194</v>
      </c>
      <c r="BB417" s="88">
        <f t="shared" si="705"/>
        <v>44.952350486787203</v>
      </c>
      <c r="BC417" s="19">
        <f t="shared" si="674"/>
        <v>1468.1346631963727</v>
      </c>
    </row>
    <row r="418" spans="2:56" x14ac:dyDescent="0.25">
      <c r="B418" s="88" t="str">
        <f t="shared" si="691"/>
        <v>Product H Yield Loss VAS</v>
      </c>
      <c r="C418" s="88">
        <f t="shared" ref="C418:AH418" si="706">C400*C641</f>
        <v>0</v>
      </c>
      <c r="D418" s="88">
        <f t="shared" si="706"/>
        <v>0</v>
      </c>
      <c r="E418" s="88">
        <f t="shared" si="706"/>
        <v>0</v>
      </c>
      <c r="F418" s="88">
        <f t="shared" si="706"/>
        <v>30.790618705035971</v>
      </c>
      <c r="G418" s="88">
        <f t="shared" si="706"/>
        <v>0</v>
      </c>
      <c r="H418" s="88">
        <f t="shared" si="706"/>
        <v>0</v>
      </c>
      <c r="I418" s="88">
        <f t="shared" si="706"/>
        <v>0</v>
      </c>
      <c r="J418" s="88">
        <f t="shared" si="706"/>
        <v>30.753663628831816</v>
      </c>
      <c r="K418" s="88">
        <f t="shared" si="706"/>
        <v>0</v>
      </c>
      <c r="L418" s="88">
        <f t="shared" si="706"/>
        <v>0</v>
      </c>
      <c r="M418" s="88">
        <f t="shared" si="706"/>
        <v>0</v>
      </c>
      <c r="N418" s="88">
        <f t="shared" si="706"/>
        <v>30.770392282958198</v>
      </c>
      <c r="O418" s="88">
        <f t="shared" si="706"/>
        <v>0</v>
      </c>
      <c r="P418" s="88">
        <f t="shared" si="706"/>
        <v>0</v>
      </c>
      <c r="Q418" s="88">
        <f t="shared" si="706"/>
        <v>46.114377191292618</v>
      </c>
      <c r="R418" s="88">
        <f t="shared" si="706"/>
        <v>30.78575062593891</v>
      </c>
      <c r="S418" s="88">
        <f t="shared" si="706"/>
        <v>0</v>
      </c>
      <c r="T418" s="88">
        <f t="shared" si="706"/>
        <v>0</v>
      </c>
      <c r="U418" s="88">
        <f t="shared" si="706"/>
        <v>0</v>
      </c>
      <c r="V418" s="88">
        <f t="shared" si="706"/>
        <v>30.754431307243962</v>
      </c>
      <c r="W418" s="88">
        <f t="shared" si="706"/>
        <v>46.119234042553188</v>
      </c>
      <c r="X418" s="88">
        <f t="shared" si="706"/>
        <v>0</v>
      </c>
      <c r="Y418" s="88">
        <f t="shared" si="706"/>
        <v>0</v>
      </c>
      <c r="Z418" s="88">
        <f t="shared" si="706"/>
        <v>30.771972183588318</v>
      </c>
      <c r="AA418" s="88">
        <f t="shared" si="706"/>
        <v>0</v>
      </c>
      <c r="AB418" s="88">
        <f t="shared" si="706"/>
        <v>15.374862563067609</v>
      </c>
      <c r="AC418" s="88">
        <f t="shared" si="706"/>
        <v>0</v>
      </c>
      <c r="AD418" s="88">
        <f t="shared" si="706"/>
        <v>30.790032786885245</v>
      </c>
      <c r="AE418" s="88">
        <f t="shared" si="706"/>
        <v>0</v>
      </c>
      <c r="AF418" s="88">
        <f t="shared" si="706"/>
        <v>0</v>
      </c>
      <c r="AG418" s="88">
        <f t="shared" si="706"/>
        <v>0</v>
      </c>
      <c r="AH418" s="88">
        <f t="shared" si="706"/>
        <v>30.754431307243962</v>
      </c>
      <c r="AI418" s="88">
        <f t="shared" ref="AI418:BB418" si="707">AI400*AI641</f>
        <v>46.119234042553188</v>
      </c>
      <c r="AJ418" s="88">
        <f t="shared" si="707"/>
        <v>0</v>
      </c>
      <c r="AK418" s="88">
        <f t="shared" si="707"/>
        <v>0</v>
      </c>
      <c r="AL418" s="88">
        <f t="shared" si="707"/>
        <v>30.771972183588318</v>
      </c>
      <c r="AM418" s="88">
        <f t="shared" si="707"/>
        <v>0</v>
      </c>
      <c r="AN418" s="88">
        <f t="shared" si="707"/>
        <v>0</v>
      </c>
      <c r="AO418" s="88">
        <f t="shared" si="707"/>
        <v>46.114377191292618</v>
      </c>
      <c r="AP418" s="88">
        <f t="shared" si="707"/>
        <v>46.185049180327866</v>
      </c>
      <c r="AQ418" s="88">
        <f t="shared" si="707"/>
        <v>0</v>
      </c>
      <c r="AR418" s="88">
        <f t="shared" si="707"/>
        <v>0</v>
      </c>
      <c r="AS418" s="88">
        <f t="shared" si="707"/>
        <v>0</v>
      </c>
      <c r="AT418" s="88">
        <f t="shared" si="707"/>
        <v>30.747668789808916</v>
      </c>
      <c r="AU418" s="88">
        <f t="shared" si="707"/>
        <v>0</v>
      </c>
      <c r="AV418" s="88">
        <f t="shared" si="707"/>
        <v>0</v>
      </c>
      <c r="AW418" s="88">
        <f t="shared" si="707"/>
        <v>0</v>
      </c>
      <c r="AX418" s="88">
        <f t="shared" si="707"/>
        <v>30.753663628831816</v>
      </c>
      <c r="AY418" s="88">
        <f t="shared" si="707"/>
        <v>0</v>
      </c>
      <c r="AZ418" s="88">
        <f t="shared" si="707"/>
        <v>0</v>
      </c>
      <c r="BA418" s="88">
        <f t="shared" si="707"/>
        <v>0</v>
      </c>
      <c r="BB418" s="88">
        <f t="shared" si="707"/>
        <v>30.771972183588318</v>
      </c>
      <c r="BC418" s="19">
        <f t="shared" si="674"/>
        <v>615.24370382463098</v>
      </c>
    </row>
    <row r="419" spans="2:56" x14ac:dyDescent="0.25">
      <c r="B419" s="123" t="str">
        <f t="shared" ref="B419:B426" si="708">_xlfn.CONCAT(B402," ","VAS")</f>
        <v>Yield Defect Loss Type A Yield Loss VAS</v>
      </c>
      <c r="C419" s="123">
        <f t="shared" ref="C419:AH419" si="709">C402*C634</f>
        <v>77.901061007957566</v>
      </c>
      <c r="D419" s="123">
        <f t="shared" si="709"/>
        <v>0</v>
      </c>
      <c r="E419" s="123">
        <f t="shared" si="709"/>
        <v>31.140135161228038</v>
      </c>
      <c r="F419" s="123">
        <f t="shared" si="709"/>
        <v>0</v>
      </c>
      <c r="G419" s="123">
        <f t="shared" si="709"/>
        <v>62.355416258570031</v>
      </c>
      <c r="H419" s="123">
        <f t="shared" si="709"/>
        <v>0</v>
      </c>
      <c r="I419" s="123">
        <f t="shared" si="709"/>
        <v>0</v>
      </c>
      <c r="J419" s="123">
        <f t="shared" si="709"/>
        <v>0</v>
      </c>
      <c r="K419" s="123">
        <f t="shared" si="709"/>
        <v>62.281629802095459</v>
      </c>
      <c r="L419" s="123">
        <f t="shared" si="709"/>
        <v>0</v>
      </c>
      <c r="M419" s="123">
        <f t="shared" si="709"/>
        <v>0</v>
      </c>
      <c r="N419" s="123">
        <f t="shared" si="709"/>
        <v>0</v>
      </c>
      <c r="O419" s="123">
        <f t="shared" si="709"/>
        <v>62.320848806366051</v>
      </c>
      <c r="P419" s="123">
        <f t="shared" si="709"/>
        <v>15.573323903818954</v>
      </c>
      <c r="Q419" s="123">
        <f t="shared" si="709"/>
        <v>0</v>
      </c>
      <c r="R419" s="123">
        <f t="shared" si="709"/>
        <v>0</v>
      </c>
      <c r="S419" s="123">
        <f t="shared" si="709"/>
        <v>62.355416258570031</v>
      </c>
      <c r="T419" s="123">
        <f t="shared" si="709"/>
        <v>0</v>
      </c>
      <c r="U419" s="123">
        <f t="shared" si="709"/>
        <v>0</v>
      </c>
      <c r="V419" s="123">
        <f t="shared" si="709"/>
        <v>15.575537052456287</v>
      </c>
      <c r="W419" s="123">
        <f t="shared" si="709"/>
        <v>62.28595744680851</v>
      </c>
      <c r="X419" s="123">
        <f t="shared" si="709"/>
        <v>0</v>
      </c>
      <c r="Y419" s="123">
        <f t="shared" si="709"/>
        <v>0</v>
      </c>
      <c r="Z419" s="123">
        <f t="shared" si="709"/>
        <v>0</v>
      </c>
      <c r="AA419" s="123">
        <f t="shared" si="709"/>
        <v>62.320848806366051</v>
      </c>
      <c r="AB419" s="123">
        <f t="shared" si="709"/>
        <v>0</v>
      </c>
      <c r="AC419" s="123">
        <f t="shared" si="709"/>
        <v>46.710202741842053</v>
      </c>
      <c r="AD419" s="123">
        <f t="shared" si="709"/>
        <v>0</v>
      </c>
      <c r="AE419" s="123">
        <f t="shared" si="709"/>
        <v>62.355416258570031</v>
      </c>
      <c r="AF419" s="123">
        <f t="shared" si="709"/>
        <v>0</v>
      </c>
      <c r="AG419" s="123">
        <f t="shared" si="709"/>
        <v>0</v>
      </c>
      <c r="AH419" s="123">
        <f t="shared" si="709"/>
        <v>15.575537052456287</v>
      </c>
      <c r="AI419" s="123">
        <f t="shared" ref="AI419:BB419" si="710">AI402*AI634</f>
        <v>62.28595744680851</v>
      </c>
      <c r="AJ419" s="123">
        <f t="shared" si="710"/>
        <v>0</v>
      </c>
      <c r="AK419" s="123">
        <f t="shared" si="710"/>
        <v>0</v>
      </c>
      <c r="AL419" s="123">
        <f t="shared" si="710"/>
        <v>0</v>
      </c>
      <c r="AM419" s="123">
        <f t="shared" si="710"/>
        <v>62.320848806366051</v>
      </c>
      <c r="AN419" s="123">
        <f t="shared" si="710"/>
        <v>15.573323903818954</v>
      </c>
      <c r="AO419" s="123">
        <f t="shared" si="710"/>
        <v>0</v>
      </c>
      <c r="AP419" s="123">
        <f t="shared" si="710"/>
        <v>0</v>
      </c>
      <c r="AQ419" s="123">
        <f t="shared" si="710"/>
        <v>62.355416258570031</v>
      </c>
      <c r="AR419" s="123">
        <f t="shared" si="710"/>
        <v>0</v>
      </c>
      <c r="AS419" s="123">
        <f t="shared" si="710"/>
        <v>31.142613480055022</v>
      </c>
      <c r="AT419" s="123">
        <f t="shared" si="710"/>
        <v>0</v>
      </c>
      <c r="AU419" s="123">
        <f t="shared" si="710"/>
        <v>62.287486631016044</v>
      </c>
      <c r="AV419" s="123">
        <f t="shared" si="710"/>
        <v>31.141501267303568</v>
      </c>
      <c r="AW419" s="123">
        <f t="shared" si="710"/>
        <v>0</v>
      </c>
      <c r="AX419" s="123">
        <f t="shared" si="710"/>
        <v>0</v>
      </c>
      <c r="AY419" s="123">
        <f t="shared" si="710"/>
        <v>62.281629802095459</v>
      </c>
      <c r="AZ419" s="123">
        <f t="shared" si="710"/>
        <v>0</v>
      </c>
      <c r="BA419" s="123">
        <f t="shared" si="710"/>
        <v>0</v>
      </c>
      <c r="BB419" s="123">
        <f t="shared" si="710"/>
        <v>0</v>
      </c>
      <c r="BC419" s="19">
        <f t="shared" si="674"/>
        <v>1028.140108153139</v>
      </c>
    </row>
    <row r="420" spans="2:56" x14ac:dyDescent="0.25">
      <c r="B420" s="123" t="str">
        <f t="shared" si="708"/>
        <v>Yield Defect Loss Type B Yield Loss VAS</v>
      </c>
      <c r="C420" s="123">
        <f t="shared" ref="C420:AH420" si="711">C403*C635</f>
        <v>67.949368700265254</v>
      </c>
      <c r="D420" s="123">
        <f t="shared" si="711"/>
        <v>67.919366336633658</v>
      </c>
      <c r="E420" s="123">
        <f t="shared" si="711"/>
        <v>0</v>
      </c>
      <c r="F420" s="123">
        <f t="shared" si="711"/>
        <v>51.00457553956835</v>
      </c>
      <c r="G420" s="123">
        <f t="shared" si="711"/>
        <v>67.987008814887361</v>
      </c>
      <c r="H420" s="123">
        <f t="shared" si="711"/>
        <v>67.954143849428647</v>
      </c>
      <c r="I420" s="123">
        <f t="shared" si="711"/>
        <v>0</v>
      </c>
      <c r="J420" s="123">
        <f t="shared" si="711"/>
        <v>16.981842584921292</v>
      </c>
      <c r="K420" s="123">
        <f t="shared" si="711"/>
        <v>67.906663562281722</v>
      </c>
      <c r="L420" s="123">
        <f t="shared" si="711"/>
        <v>67.992097246340862</v>
      </c>
      <c r="M420" s="123">
        <f t="shared" si="711"/>
        <v>0</v>
      </c>
      <c r="N420" s="123">
        <f t="shared" si="711"/>
        <v>0</v>
      </c>
      <c r="O420" s="123">
        <f t="shared" si="711"/>
        <v>67.949368700265254</v>
      </c>
      <c r="P420" s="123">
        <f t="shared" si="711"/>
        <v>67.919366336633658</v>
      </c>
      <c r="Q420" s="123">
        <f t="shared" si="711"/>
        <v>0</v>
      </c>
      <c r="R420" s="123">
        <f t="shared" si="711"/>
        <v>0</v>
      </c>
      <c r="S420" s="123">
        <f t="shared" si="711"/>
        <v>67.987008814887361</v>
      </c>
      <c r="T420" s="123">
        <f t="shared" si="711"/>
        <v>67.954461538461544</v>
      </c>
      <c r="U420" s="123">
        <f t="shared" si="711"/>
        <v>0</v>
      </c>
      <c r="V420" s="123">
        <f t="shared" si="711"/>
        <v>0</v>
      </c>
      <c r="W420" s="123">
        <f t="shared" si="711"/>
        <v>67.911375886524823</v>
      </c>
      <c r="X420" s="123">
        <f t="shared" si="711"/>
        <v>67.992097246340862</v>
      </c>
      <c r="Y420" s="123">
        <f t="shared" si="711"/>
        <v>0</v>
      </c>
      <c r="Z420" s="123">
        <f t="shared" si="711"/>
        <v>0</v>
      </c>
      <c r="AA420" s="123">
        <f t="shared" si="711"/>
        <v>67.949368700265254</v>
      </c>
      <c r="AB420" s="123">
        <f t="shared" si="711"/>
        <v>67.918979616548938</v>
      </c>
      <c r="AC420" s="123">
        <f t="shared" si="711"/>
        <v>0</v>
      </c>
      <c r="AD420" s="123">
        <f t="shared" si="711"/>
        <v>0</v>
      </c>
      <c r="AE420" s="123">
        <f t="shared" si="711"/>
        <v>67.987008814887361</v>
      </c>
      <c r="AF420" s="123">
        <f t="shared" si="711"/>
        <v>67.954143849428647</v>
      </c>
      <c r="AG420" s="123">
        <f t="shared" si="711"/>
        <v>0</v>
      </c>
      <c r="AH420" s="123">
        <f t="shared" si="711"/>
        <v>0</v>
      </c>
      <c r="AI420" s="123">
        <f t="shared" ref="AI420:BB420" si="712">AI403*AI635</f>
        <v>67.911375886524823</v>
      </c>
      <c r="AJ420" s="123">
        <f t="shared" si="712"/>
        <v>67.992097246340862</v>
      </c>
      <c r="AK420" s="123">
        <f t="shared" si="712"/>
        <v>0</v>
      </c>
      <c r="AL420" s="123">
        <f t="shared" si="712"/>
        <v>0</v>
      </c>
      <c r="AM420" s="123">
        <f t="shared" si="712"/>
        <v>67.949368700265254</v>
      </c>
      <c r="AN420" s="123">
        <f t="shared" si="712"/>
        <v>67.919366336633658</v>
      </c>
      <c r="AO420" s="123">
        <f t="shared" si="712"/>
        <v>0</v>
      </c>
      <c r="AP420" s="123">
        <f t="shared" si="712"/>
        <v>0</v>
      </c>
      <c r="AQ420" s="123">
        <f t="shared" si="712"/>
        <v>67.987008814887361</v>
      </c>
      <c r="AR420" s="123">
        <f t="shared" si="712"/>
        <v>67.954143849428647</v>
      </c>
      <c r="AS420" s="123">
        <f t="shared" si="712"/>
        <v>0</v>
      </c>
      <c r="AT420" s="123">
        <f t="shared" si="712"/>
        <v>33.957299363057331</v>
      </c>
      <c r="AU420" s="123">
        <f t="shared" si="712"/>
        <v>67.913040998217468</v>
      </c>
      <c r="AV420" s="123">
        <f t="shared" si="712"/>
        <v>67.908158315461108</v>
      </c>
      <c r="AW420" s="123">
        <f t="shared" si="712"/>
        <v>0</v>
      </c>
      <c r="AX420" s="123">
        <f t="shared" si="712"/>
        <v>16.981842584921292</v>
      </c>
      <c r="AY420" s="123">
        <f t="shared" si="712"/>
        <v>67.906663562281722</v>
      </c>
      <c r="AZ420" s="123">
        <f t="shared" si="712"/>
        <v>16.996586653629919</v>
      </c>
      <c r="BA420" s="123">
        <f t="shared" si="712"/>
        <v>0</v>
      </c>
      <c r="BB420" s="123">
        <f t="shared" si="712"/>
        <v>0</v>
      </c>
      <c r="BC420" s="19">
        <f t="shared" si="674"/>
        <v>1834.5951984502199</v>
      </c>
    </row>
    <row r="421" spans="2:56" x14ac:dyDescent="0.25">
      <c r="B421" s="123" t="str">
        <f t="shared" si="708"/>
        <v>Yield Defect Loss Type C Yield Loss VAS</v>
      </c>
      <c r="C421" s="123">
        <f t="shared" ref="C421:AH421" si="713">C404*C636</f>
        <v>75.427798408488059</v>
      </c>
      <c r="D421" s="123">
        <f t="shared" si="713"/>
        <v>60.3128486562942</v>
      </c>
      <c r="E421" s="123">
        <f t="shared" si="713"/>
        <v>60.298955010619814</v>
      </c>
      <c r="F421" s="123">
        <f t="shared" si="713"/>
        <v>0</v>
      </c>
      <c r="G421" s="123">
        <f t="shared" si="713"/>
        <v>75.473888344760041</v>
      </c>
      <c r="H421" s="123">
        <f t="shared" si="713"/>
        <v>60.346916423930089</v>
      </c>
      <c r="I421" s="123">
        <f t="shared" si="713"/>
        <v>60.333754688510453</v>
      </c>
      <c r="J421" s="123">
        <f t="shared" si="713"/>
        <v>0</v>
      </c>
      <c r="K421" s="123">
        <f t="shared" si="713"/>
        <v>45.225303841676364</v>
      </c>
      <c r="L421" s="123">
        <f t="shared" si="713"/>
        <v>60.384095261721654</v>
      </c>
      <c r="M421" s="123">
        <f t="shared" si="713"/>
        <v>60.368026622296171</v>
      </c>
      <c r="N421" s="123">
        <f t="shared" si="713"/>
        <v>0</v>
      </c>
      <c r="O421" s="123">
        <f t="shared" si="713"/>
        <v>45.256679045092838</v>
      </c>
      <c r="P421" s="123">
        <f t="shared" si="713"/>
        <v>60.3128486562942</v>
      </c>
      <c r="Q421" s="123">
        <f t="shared" si="713"/>
        <v>60.298263918320167</v>
      </c>
      <c r="R421" s="123">
        <f t="shared" si="713"/>
        <v>0</v>
      </c>
      <c r="S421" s="123">
        <f t="shared" si="713"/>
        <v>75.473888344760041</v>
      </c>
      <c r="T421" s="123">
        <f t="shared" si="713"/>
        <v>60.347227629513341</v>
      </c>
      <c r="U421" s="123">
        <f t="shared" si="713"/>
        <v>60.333754688510453</v>
      </c>
      <c r="V421" s="123">
        <f t="shared" si="713"/>
        <v>0</v>
      </c>
      <c r="W421" s="123">
        <f t="shared" si="713"/>
        <v>75.38127659574468</v>
      </c>
      <c r="X421" s="123">
        <f t="shared" si="713"/>
        <v>60.384095261721654</v>
      </c>
      <c r="Y421" s="123">
        <f t="shared" si="713"/>
        <v>60.366979853045748</v>
      </c>
      <c r="Z421" s="123">
        <f t="shared" si="713"/>
        <v>0</v>
      </c>
      <c r="AA421" s="123">
        <f t="shared" si="713"/>
        <v>75.427798408488059</v>
      </c>
      <c r="AB421" s="123">
        <f t="shared" si="713"/>
        <v>60.312469828456102</v>
      </c>
      <c r="AC421" s="123">
        <f t="shared" si="713"/>
        <v>60.298955010619814</v>
      </c>
      <c r="AD421" s="123">
        <f t="shared" si="713"/>
        <v>0</v>
      </c>
      <c r="AE421" s="123">
        <f t="shared" si="713"/>
        <v>75.473888344760041</v>
      </c>
      <c r="AF421" s="123">
        <f t="shared" si="713"/>
        <v>60.346916423930089</v>
      </c>
      <c r="AG421" s="123">
        <f t="shared" si="713"/>
        <v>60.333754688510453</v>
      </c>
      <c r="AH421" s="123">
        <f t="shared" si="713"/>
        <v>0</v>
      </c>
      <c r="AI421" s="123">
        <f t="shared" ref="AI421:BB421" si="714">AI404*AI636</f>
        <v>75.38127659574468</v>
      </c>
      <c r="AJ421" s="123">
        <f t="shared" si="714"/>
        <v>60.384095261721654</v>
      </c>
      <c r="AK421" s="123">
        <f t="shared" si="714"/>
        <v>60.366979853045748</v>
      </c>
      <c r="AL421" s="123">
        <f t="shared" si="714"/>
        <v>0</v>
      </c>
      <c r="AM421" s="123">
        <f t="shared" si="714"/>
        <v>75.427798408488059</v>
      </c>
      <c r="AN421" s="123">
        <f t="shared" si="714"/>
        <v>60.3128486562942</v>
      </c>
      <c r="AO421" s="123">
        <f t="shared" si="714"/>
        <v>60.298263918320167</v>
      </c>
      <c r="AP421" s="123">
        <f t="shared" si="714"/>
        <v>0</v>
      </c>
      <c r="AQ421" s="123">
        <f t="shared" si="714"/>
        <v>75.473888344760041</v>
      </c>
      <c r="AR421" s="123">
        <f t="shared" si="714"/>
        <v>60.346916423930089</v>
      </c>
      <c r="AS421" s="123">
        <f t="shared" si="714"/>
        <v>60.304242090784044</v>
      </c>
      <c r="AT421" s="123">
        <f t="shared" si="714"/>
        <v>0</v>
      </c>
      <c r="AU421" s="123">
        <f t="shared" si="714"/>
        <v>75.383315508021397</v>
      </c>
      <c r="AV421" s="123">
        <f t="shared" si="714"/>
        <v>60.301869370247609</v>
      </c>
      <c r="AW421" s="123">
        <f t="shared" si="714"/>
        <v>60.333754688510453</v>
      </c>
      <c r="AX421" s="123">
        <f t="shared" si="714"/>
        <v>0</v>
      </c>
      <c r="AY421" s="123">
        <f t="shared" si="714"/>
        <v>75.375506402793945</v>
      </c>
      <c r="AZ421" s="123">
        <f t="shared" si="714"/>
        <v>60.378461989733559</v>
      </c>
      <c r="BA421" s="123">
        <f t="shared" si="714"/>
        <v>60.366979853045748</v>
      </c>
      <c r="BB421" s="123">
        <f t="shared" si="714"/>
        <v>0</v>
      </c>
      <c r="BC421" s="19">
        <f t="shared" si="674"/>
        <v>2488.9565813215063</v>
      </c>
    </row>
    <row r="422" spans="2:56" x14ac:dyDescent="0.25">
      <c r="B422" s="123" t="str">
        <f t="shared" si="708"/>
        <v>Yield Defect Loss Type D Yield Loss VAS</v>
      </c>
      <c r="C422" s="123">
        <f t="shared" ref="C422:AH422" si="715">C405*C637</f>
        <v>82.990185676392585</v>
      </c>
      <c r="D422" s="123">
        <f t="shared" si="715"/>
        <v>82.948090523338038</v>
      </c>
      <c r="E422" s="123">
        <f t="shared" si="715"/>
        <v>66.342552616335198</v>
      </c>
      <c r="F422" s="123">
        <f t="shared" si="715"/>
        <v>66.455827338129495</v>
      </c>
      <c r="G422" s="123">
        <f t="shared" si="715"/>
        <v>66.434397649363376</v>
      </c>
      <c r="H422" s="123">
        <f t="shared" si="715"/>
        <v>82.996885503024885</v>
      </c>
      <c r="I422" s="123">
        <f t="shared" si="715"/>
        <v>66.38242724725157</v>
      </c>
      <c r="J422" s="123">
        <f t="shared" si="715"/>
        <v>66.367456503728249</v>
      </c>
      <c r="K422" s="123">
        <f t="shared" si="715"/>
        <v>82.930267753201406</v>
      </c>
      <c r="L422" s="123">
        <f t="shared" si="715"/>
        <v>83.050136442570093</v>
      </c>
      <c r="M422" s="123">
        <f t="shared" si="715"/>
        <v>66.421697171381027</v>
      </c>
      <c r="N422" s="123">
        <f t="shared" si="715"/>
        <v>66.407459807073963</v>
      </c>
      <c r="O422" s="123">
        <f t="shared" si="715"/>
        <v>99.588222811671102</v>
      </c>
      <c r="P422" s="123">
        <f t="shared" si="715"/>
        <v>82.948090523338038</v>
      </c>
      <c r="Q422" s="123">
        <f t="shared" si="715"/>
        <v>66.341760739741858</v>
      </c>
      <c r="R422" s="123">
        <f t="shared" si="715"/>
        <v>66.444186279419128</v>
      </c>
      <c r="S422" s="123">
        <f t="shared" si="715"/>
        <v>66.434397649363376</v>
      </c>
      <c r="T422" s="123">
        <f t="shared" si="715"/>
        <v>66.397864992150716</v>
      </c>
      <c r="U422" s="123">
        <f t="shared" si="715"/>
        <v>66.38242724725157</v>
      </c>
      <c r="V422" s="123">
        <f t="shared" si="715"/>
        <v>66.369292256452951</v>
      </c>
      <c r="W422" s="123">
        <f t="shared" si="715"/>
        <v>99.524255319148949</v>
      </c>
      <c r="X422" s="123">
        <f t="shared" si="715"/>
        <v>83.050136442570093</v>
      </c>
      <c r="Y422" s="123">
        <f t="shared" si="715"/>
        <v>66.420497748281576</v>
      </c>
      <c r="Z422" s="123">
        <f t="shared" si="715"/>
        <v>49.808428372739918</v>
      </c>
      <c r="AA422" s="123">
        <f t="shared" si="715"/>
        <v>99.588222811671102</v>
      </c>
      <c r="AB422" s="123">
        <f t="shared" si="715"/>
        <v>82.947547931382445</v>
      </c>
      <c r="AC422" s="123">
        <f t="shared" si="715"/>
        <v>66.342552616335198</v>
      </c>
      <c r="AD422" s="123">
        <f t="shared" si="715"/>
        <v>49.84081967213114</v>
      </c>
      <c r="AE422" s="123">
        <f t="shared" si="715"/>
        <v>66.434397649363376</v>
      </c>
      <c r="AF422" s="123">
        <f t="shared" si="715"/>
        <v>82.996885503024885</v>
      </c>
      <c r="AG422" s="123">
        <f t="shared" si="715"/>
        <v>66.38242724725157</v>
      </c>
      <c r="AH422" s="123">
        <f t="shared" si="715"/>
        <v>66.369292256452951</v>
      </c>
      <c r="AI422" s="123">
        <f t="shared" ref="AI422:BB422" si="716">AI405*AI637</f>
        <v>66.349503546099299</v>
      </c>
      <c r="AJ422" s="123">
        <f t="shared" si="716"/>
        <v>83.050136442570093</v>
      </c>
      <c r="AK422" s="123">
        <f t="shared" si="716"/>
        <v>66.420497748281576</v>
      </c>
      <c r="AL422" s="123">
        <f t="shared" si="716"/>
        <v>49.808428372739918</v>
      </c>
      <c r="AM422" s="123">
        <f t="shared" si="716"/>
        <v>82.990185676392585</v>
      </c>
      <c r="AN422" s="123">
        <f t="shared" si="716"/>
        <v>82.948090523338038</v>
      </c>
      <c r="AO422" s="123">
        <f t="shared" si="716"/>
        <v>66.341760739741858</v>
      </c>
      <c r="AP422" s="123">
        <f t="shared" si="716"/>
        <v>66.454426229508186</v>
      </c>
      <c r="AQ422" s="123">
        <f t="shared" si="716"/>
        <v>66.434397649363376</v>
      </c>
      <c r="AR422" s="123">
        <f t="shared" si="716"/>
        <v>82.996885503024885</v>
      </c>
      <c r="AS422" s="123">
        <f t="shared" si="716"/>
        <v>66.348610729023392</v>
      </c>
      <c r="AT422" s="123">
        <f t="shared" si="716"/>
        <v>66.353121019108272</v>
      </c>
      <c r="AU422" s="123">
        <f t="shared" si="716"/>
        <v>99.527058823529401</v>
      </c>
      <c r="AV422" s="123">
        <f t="shared" si="716"/>
        <v>66.34589198674206</v>
      </c>
      <c r="AW422" s="123">
        <f t="shared" si="716"/>
        <v>66.38242724725157</v>
      </c>
      <c r="AX422" s="123">
        <f t="shared" si="716"/>
        <v>66.367456503728249</v>
      </c>
      <c r="AY422" s="123">
        <f t="shared" si="716"/>
        <v>99.516321303841679</v>
      </c>
      <c r="AZ422" s="123">
        <f t="shared" si="716"/>
        <v>83.042067954045464</v>
      </c>
      <c r="BA422" s="123">
        <f t="shared" si="716"/>
        <v>66.420497748281576</v>
      </c>
      <c r="BB422" s="123">
        <f t="shared" si="716"/>
        <v>49.808428372739918</v>
      </c>
      <c r="BC422" s="19">
        <f t="shared" si="674"/>
        <v>3784.2452844208819</v>
      </c>
    </row>
    <row r="423" spans="2:56" x14ac:dyDescent="0.25">
      <c r="B423" s="123" t="str">
        <f t="shared" si="708"/>
        <v>Yield Defect Loss Type E Yield Loss VAS</v>
      </c>
      <c r="C423" s="123">
        <f t="shared" ref="C423:AH423" si="717">C406*C638</f>
        <v>31.792509283819626</v>
      </c>
      <c r="D423" s="123">
        <f t="shared" si="717"/>
        <v>63.551954738330977</v>
      </c>
      <c r="E423" s="123">
        <f t="shared" si="717"/>
        <v>79.420405483684107</v>
      </c>
      <c r="F423" s="123">
        <f t="shared" si="717"/>
        <v>63.647539568345323</v>
      </c>
      <c r="G423" s="123">
        <f t="shared" si="717"/>
        <v>31.813249755142017</v>
      </c>
      <c r="H423" s="123">
        <f t="shared" si="717"/>
        <v>79.487851221151686</v>
      </c>
      <c r="I423" s="123">
        <f t="shared" si="717"/>
        <v>79.469342530717825</v>
      </c>
      <c r="J423" s="123">
        <f t="shared" si="717"/>
        <v>63.560775476387732</v>
      </c>
      <c r="K423" s="123">
        <f t="shared" si="717"/>
        <v>31.768977881257275</v>
      </c>
      <c r="L423" s="123">
        <f t="shared" si="717"/>
        <v>47.724080377077648</v>
      </c>
      <c r="M423" s="123">
        <f t="shared" si="717"/>
        <v>47.710522462562395</v>
      </c>
      <c r="N423" s="123">
        <f t="shared" si="717"/>
        <v>63.600051446945336</v>
      </c>
      <c r="O423" s="123">
        <f t="shared" si="717"/>
        <v>31.792509283819626</v>
      </c>
      <c r="P423" s="123">
        <f t="shared" si="717"/>
        <v>95.327932107496466</v>
      </c>
      <c r="Q423" s="123">
        <f t="shared" si="717"/>
        <v>79.419433635137736</v>
      </c>
      <c r="R423" s="123">
        <f t="shared" si="717"/>
        <v>63.636110165247871</v>
      </c>
      <c r="S423" s="123">
        <f t="shared" si="717"/>
        <v>31.813249755142017</v>
      </c>
      <c r="T423" s="123">
        <f t="shared" si="717"/>
        <v>63.59063108320251</v>
      </c>
      <c r="U423" s="123">
        <f t="shared" si="717"/>
        <v>79.469342530717825</v>
      </c>
      <c r="V423" s="123">
        <f t="shared" si="717"/>
        <v>63.562577851790174</v>
      </c>
      <c r="W423" s="123">
        <f t="shared" si="717"/>
        <v>31.771574468085106</v>
      </c>
      <c r="X423" s="123">
        <f t="shared" si="717"/>
        <v>47.724080377077648</v>
      </c>
      <c r="Y423" s="123">
        <f t="shared" si="717"/>
        <v>31.80642616733823</v>
      </c>
      <c r="Z423" s="123">
        <f t="shared" si="717"/>
        <v>63.603760778859524</v>
      </c>
      <c r="AA423" s="123">
        <f t="shared" si="717"/>
        <v>31.792509283819626</v>
      </c>
      <c r="AB423" s="123">
        <f t="shared" si="717"/>
        <v>63.551528557013114</v>
      </c>
      <c r="AC423" s="123">
        <f t="shared" si="717"/>
        <v>63.536324386947285</v>
      </c>
      <c r="AD423" s="123">
        <f t="shared" si="717"/>
        <v>63.646163934426227</v>
      </c>
      <c r="AE423" s="123">
        <f t="shared" si="717"/>
        <v>31.813249755142017</v>
      </c>
      <c r="AF423" s="123">
        <f t="shared" si="717"/>
        <v>79.487851221151686</v>
      </c>
      <c r="AG423" s="123">
        <f t="shared" si="717"/>
        <v>79.469342530717825</v>
      </c>
      <c r="AH423" s="123">
        <f t="shared" si="717"/>
        <v>63.562577851790174</v>
      </c>
      <c r="AI423" s="123">
        <f t="shared" ref="AI423:BB423" si="718">AI406*AI638</f>
        <v>31.771574468085106</v>
      </c>
      <c r="AJ423" s="123">
        <f t="shared" si="718"/>
        <v>47.724080377077648</v>
      </c>
      <c r="AK423" s="123">
        <f t="shared" si="718"/>
        <v>79.516065418345576</v>
      </c>
      <c r="AL423" s="123">
        <f t="shared" si="718"/>
        <v>63.603760778859524</v>
      </c>
      <c r="AM423" s="123">
        <f t="shared" si="718"/>
        <v>31.792509283819626</v>
      </c>
      <c r="AN423" s="123">
        <f t="shared" si="718"/>
        <v>95.327932107496466</v>
      </c>
      <c r="AO423" s="123">
        <f t="shared" si="718"/>
        <v>79.419433635137736</v>
      </c>
      <c r="AP423" s="123">
        <f t="shared" si="718"/>
        <v>63.646163934426227</v>
      </c>
      <c r="AQ423" s="123">
        <f t="shared" si="718"/>
        <v>31.813249755142017</v>
      </c>
      <c r="AR423" s="123">
        <f t="shared" si="718"/>
        <v>79.487851221151686</v>
      </c>
      <c r="AS423" s="123">
        <f t="shared" si="718"/>
        <v>79.427840440165056</v>
      </c>
      <c r="AT423" s="123">
        <f t="shared" si="718"/>
        <v>63.546700636942674</v>
      </c>
      <c r="AU423" s="123">
        <f t="shared" si="718"/>
        <v>31.772491978609626</v>
      </c>
      <c r="AV423" s="123">
        <f t="shared" si="718"/>
        <v>79.424503801910703</v>
      </c>
      <c r="AW423" s="123">
        <f t="shared" si="718"/>
        <v>47.6816055184307</v>
      </c>
      <c r="AX423" s="123">
        <f t="shared" si="718"/>
        <v>63.560775476387732</v>
      </c>
      <c r="AY423" s="123">
        <f t="shared" si="718"/>
        <v>31.768977881257275</v>
      </c>
      <c r="AZ423" s="123">
        <f t="shared" si="718"/>
        <v>95.438654607675389</v>
      </c>
      <c r="BA423" s="123">
        <f t="shared" si="718"/>
        <v>79.516065418345576</v>
      </c>
      <c r="BB423" s="123">
        <f t="shared" si="718"/>
        <v>63.603760778859524</v>
      </c>
      <c r="BC423" s="19">
        <f t="shared" si="674"/>
        <v>3083.7684334684704</v>
      </c>
    </row>
    <row r="424" spans="2:56" x14ac:dyDescent="0.25">
      <c r="B424" s="123" t="str">
        <f t="shared" si="708"/>
        <v>Yield Defect Loss Type F Yield Loss VAS</v>
      </c>
      <c r="C424" s="123">
        <f t="shared" ref="C424:AH424" si="719">C407*C639</f>
        <v>0</v>
      </c>
      <c r="D424" s="123">
        <f t="shared" si="719"/>
        <v>33.971089108910888</v>
      </c>
      <c r="E424" s="123">
        <f t="shared" si="719"/>
        <v>101.89047306429813</v>
      </c>
      <c r="F424" s="123">
        <f t="shared" si="719"/>
        <v>0</v>
      </c>
      <c r="G424" s="123">
        <f t="shared" si="719"/>
        <v>0</v>
      </c>
      <c r="H424" s="123">
        <f t="shared" si="719"/>
        <v>33.989719919336771</v>
      </c>
      <c r="I424" s="123">
        <f t="shared" si="719"/>
        <v>67.965044190558316</v>
      </c>
      <c r="J424" s="123">
        <f t="shared" si="719"/>
        <v>84.938442419221204</v>
      </c>
      <c r="K424" s="123">
        <f t="shared" si="719"/>
        <v>50.946426076833525</v>
      </c>
      <c r="L424" s="123">
        <f t="shared" si="719"/>
        <v>34.010052096254029</v>
      </c>
      <c r="M424" s="123">
        <f t="shared" si="719"/>
        <v>102.00379367720465</v>
      </c>
      <c r="N424" s="123">
        <f t="shared" si="719"/>
        <v>84.986173633440515</v>
      </c>
      <c r="O424" s="123">
        <f t="shared" si="719"/>
        <v>0</v>
      </c>
      <c r="P424" s="123">
        <f t="shared" si="719"/>
        <v>33.971089108910888</v>
      </c>
      <c r="Q424" s="123">
        <f t="shared" si="719"/>
        <v>101.88933924099402</v>
      </c>
      <c r="R424" s="123">
        <f t="shared" si="719"/>
        <v>85.029994992488724</v>
      </c>
      <c r="S424" s="123">
        <f t="shared" si="719"/>
        <v>0</v>
      </c>
      <c r="T424" s="123">
        <f t="shared" si="719"/>
        <v>33.989890109890112</v>
      </c>
      <c r="U424" s="123">
        <f t="shared" si="719"/>
        <v>50.973783142918734</v>
      </c>
      <c r="V424" s="123">
        <f t="shared" si="719"/>
        <v>84.940632805995023</v>
      </c>
      <c r="W424" s="123">
        <f t="shared" si="719"/>
        <v>0</v>
      </c>
      <c r="X424" s="123">
        <f t="shared" si="719"/>
        <v>34.010052096254029</v>
      </c>
      <c r="Y424" s="123">
        <f t="shared" si="719"/>
        <v>68.001384214268782</v>
      </c>
      <c r="Z424" s="123">
        <f t="shared" si="719"/>
        <v>84.990681502086233</v>
      </c>
      <c r="AA424" s="123">
        <f t="shared" si="719"/>
        <v>0</v>
      </c>
      <c r="AB424" s="123">
        <f t="shared" si="719"/>
        <v>33.970881937436936</v>
      </c>
      <c r="AC424" s="123">
        <f t="shared" si="719"/>
        <v>84.90872755358177</v>
      </c>
      <c r="AD424" s="123">
        <f t="shared" si="719"/>
        <v>34.016885245901641</v>
      </c>
      <c r="AE424" s="123">
        <f t="shared" si="719"/>
        <v>0</v>
      </c>
      <c r="AF424" s="123">
        <f t="shared" si="719"/>
        <v>33.989719919336771</v>
      </c>
      <c r="AG424" s="123">
        <f t="shared" si="719"/>
        <v>101.94756628583747</v>
      </c>
      <c r="AH424" s="123">
        <f t="shared" si="719"/>
        <v>84.940632805995023</v>
      </c>
      <c r="AI424" s="123">
        <f t="shared" ref="AI424:BB424" si="720">AI407*AI639</f>
        <v>0</v>
      </c>
      <c r="AJ424" s="123">
        <f t="shared" si="720"/>
        <v>34.010052096254029</v>
      </c>
      <c r="AK424" s="123">
        <f t="shared" si="720"/>
        <v>68.001384214268782</v>
      </c>
      <c r="AL424" s="123">
        <f t="shared" si="720"/>
        <v>84.990681502086233</v>
      </c>
      <c r="AM424" s="123">
        <f t="shared" si="720"/>
        <v>0</v>
      </c>
      <c r="AN424" s="123">
        <f t="shared" si="720"/>
        <v>33.971089108910888</v>
      </c>
      <c r="AO424" s="123">
        <f t="shared" si="720"/>
        <v>101.88933924099402</v>
      </c>
      <c r="AP424" s="123">
        <f t="shared" si="720"/>
        <v>34.016885245901641</v>
      </c>
      <c r="AQ424" s="123">
        <f t="shared" si="720"/>
        <v>0</v>
      </c>
      <c r="AR424" s="123">
        <f t="shared" si="720"/>
        <v>33.989719919336771</v>
      </c>
      <c r="AS424" s="123">
        <f t="shared" si="720"/>
        <v>101.89914718019257</v>
      </c>
      <c r="AT424" s="123">
        <f t="shared" si="720"/>
        <v>84.921337579617827</v>
      </c>
      <c r="AU424" s="123">
        <f t="shared" si="720"/>
        <v>33.967700534759359</v>
      </c>
      <c r="AV424" s="123">
        <f t="shared" si="720"/>
        <v>33.965084811854162</v>
      </c>
      <c r="AW424" s="123">
        <f t="shared" si="720"/>
        <v>84.956305238197899</v>
      </c>
      <c r="AX424" s="123">
        <f t="shared" si="720"/>
        <v>84.938442419221204</v>
      </c>
      <c r="AY424" s="123">
        <f t="shared" si="720"/>
        <v>50.946426076833525</v>
      </c>
      <c r="AZ424" s="123">
        <f t="shared" si="720"/>
        <v>34.006971400635543</v>
      </c>
      <c r="BA424" s="123">
        <f t="shared" si="720"/>
        <v>68.001384214268782</v>
      </c>
      <c r="BB424" s="123">
        <f t="shared" si="720"/>
        <v>84.990681502086233</v>
      </c>
      <c r="BC424" s="19">
        <f t="shared" si="674"/>
        <v>2599.7351074333733</v>
      </c>
    </row>
    <row r="425" spans="2:56" x14ac:dyDescent="0.25">
      <c r="B425" s="123" t="str">
        <f t="shared" si="708"/>
        <v>Yield Defect Loss Type G Yield Loss VAS</v>
      </c>
      <c r="C425" s="123">
        <f t="shared" ref="C425:AH425" si="721">C408*C640</f>
        <v>0</v>
      </c>
      <c r="D425" s="123">
        <f t="shared" si="721"/>
        <v>14.973323903818955</v>
      </c>
      <c r="E425" s="123">
        <f t="shared" si="721"/>
        <v>44.910202741842056</v>
      </c>
      <c r="F425" s="123">
        <f t="shared" si="721"/>
        <v>74.966187050359721</v>
      </c>
      <c r="G425" s="123">
        <f t="shared" si="721"/>
        <v>0</v>
      </c>
      <c r="H425" s="123">
        <f t="shared" si="721"/>
        <v>0</v>
      </c>
      <c r="I425" s="123">
        <f t="shared" si="721"/>
        <v>29.956447510239276</v>
      </c>
      <c r="J425" s="123">
        <f t="shared" si="721"/>
        <v>89.850969345484685</v>
      </c>
      <c r="K425" s="123">
        <f t="shared" si="721"/>
        <v>0</v>
      </c>
      <c r="L425" s="123">
        <f t="shared" si="721"/>
        <v>0</v>
      </c>
      <c r="M425" s="123">
        <f t="shared" si="721"/>
        <v>29.972512479201331</v>
      </c>
      <c r="N425" s="123">
        <f t="shared" si="721"/>
        <v>74.916720257234729</v>
      </c>
      <c r="O425" s="123">
        <f t="shared" si="721"/>
        <v>0</v>
      </c>
      <c r="P425" s="123">
        <f t="shared" si="721"/>
        <v>0</v>
      </c>
      <c r="Q425" s="123">
        <f t="shared" si="721"/>
        <v>29.939811211712581</v>
      </c>
      <c r="R425" s="123">
        <f t="shared" si="721"/>
        <v>44.972568853279917</v>
      </c>
      <c r="S425" s="123">
        <f t="shared" si="721"/>
        <v>0</v>
      </c>
      <c r="T425" s="123">
        <f t="shared" si="721"/>
        <v>0</v>
      </c>
      <c r="U425" s="123">
        <f t="shared" si="721"/>
        <v>29.956447510239276</v>
      </c>
      <c r="V425" s="123">
        <f t="shared" si="721"/>
        <v>89.853222314737721</v>
      </c>
      <c r="W425" s="123">
        <f t="shared" si="721"/>
        <v>0</v>
      </c>
      <c r="X425" s="123">
        <f t="shared" si="721"/>
        <v>0</v>
      </c>
      <c r="Y425" s="123">
        <f t="shared" si="721"/>
        <v>29.972021806115194</v>
      </c>
      <c r="Z425" s="123">
        <f t="shared" si="721"/>
        <v>89.904700973574407</v>
      </c>
      <c r="AA425" s="123">
        <f t="shared" si="721"/>
        <v>0</v>
      </c>
      <c r="AB425" s="123">
        <f t="shared" si="721"/>
        <v>0</v>
      </c>
      <c r="AC425" s="123">
        <f t="shared" si="721"/>
        <v>29.940135161228039</v>
      </c>
      <c r="AD425" s="123">
        <f t="shared" si="721"/>
        <v>89.957704918032789</v>
      </c>
      <c r="AE425" s="123">
        <f t="shared" si="721"/>
        <v>0</v>
      </c>
      <c r="AF425" s="123">
        <f t="shared" si="721"/>
        <v>0</v>
      </c>
      <c r="AG425" s="123">
        <f t="shared" si="721"/>
        <v>29.956447510239276</v>
      </c>
      <c r="AH425" s="123">
        <f t="shared" si="721"/>
        <v>89.853222314737721</v>
      </c>
      <c r="AI425" s="123">
        <f t="shared" ref="AI425:BB425" si="722">AI408*AI640</f>
        <v>0</v>
      </c>
      <c r="AJ425" s="123">
        <f t="shared" si="722"/>
        <v>0</v>
      </c>
      <c r="AK425" s="123">
        <f t="shared" si="722"/>
        <v>29.972021806115194</v>
      </c>
      <c r="AL425" s="123">
        <f t="shared" si="722"/>
        <v>89.904700973574407</v>
      </c>
      <c r="AM425" s="123">
        <f t="shared" si="722"/>
        <v>0</v>
      </c>
      <c r="AN425" s="123">
        <f t="shared" si="722"/>
        <v>0</v>
      </c>
      <c r="AO425" s="123">
        <f t="shared" si="722"/>
        <v>29.939811211712581</v>
      </c>
      <c r="AP425" s="123">
        <f t="shared" si="722"/>
        <v>89.957704918032789</v>
      </c>
      <c r="AQ425" s="123">
        <f t="shared" si="722"/>
        <v>0</v>
      </c>
      <c r="AR425" s="123">
        <f t="shared" si="722"/>
        <v>0</v>
      </c>
      <c r="AS425" s="123">
        <f t="shared" si="722"/>
        <v>29.942613480055023</v>
      </c>
      <c r="AT425" s="123">
        <f t="shared" si="722"/>
        <v>89.833375796178345</v>
      </c>
      <c r="AU425" s="123">
        <f t="shared" si="722"/>
        <v>0</v>
      </c>
      <c r="AV425" s="123">
        <f t="shared" si="722"/>
        <v>0</v>
      </c>
      <c r="AW425" s="123">
        <f t="shared" si="722"/>
        <v>29.956447510239276</v>
      </c>
      <c r="AX425" s="123">
        <f t="shared" si="722"/>
        <v>89.850969345484685</v>
      </c>
      <c r="AY425" s="123">
        <f t="shared" si="722"/>
        <v>0</v>
      </c>
      <c r="AZ425" s="123">
        <f t="shared" si="722"/>
        <v>0</v>
      </c>
      <c r="BA425" s="123">
        <f t="shared" si="722"/>
        <v>29.972021806115194</v>
      </c>
      <c r="BB425" s="123">
        <f t="shared" si="722"/>
        <v>44.952350486787203</v>
      </c>
      <c r="BC425" s="19">
        <f t="shared" si="674"/>
        <v>1468.1346631963727</v>
      </c>
    </row>
    <row r="426" spans="2:56" x14ac:dyDescent="0.25">
      <c r="B426" s="123" t="str">
        <f t="shared" si="708"/>
        <v>Yield Defect Loss Type H Yield Loss VAS</v>
      </c>
      <c r="C426" s="123">
        <f t="shared" ref="C426:AH426" si="723">C409*C641</f>
        <v>0</v>
      </c>
      <c r="D426" s="123">
        <f t="shared" si="723"/>
        <v>0</v>
      </c>
      <c r="E426" s="123">
        <f t="shared" si="723"/>
        <v>0</v>
      </c>
      <c r="F426" s="123">
        <f t="shared" si="723"/>
        <v>30.790618705035971</v>
      </c>
      <c r="G426" s="123">
        <f t="shared" si="723"/>
        <v>0</v>
      </c>
      <c r="H426" s="123">
        <f t="shared" si="723"/>
        <v>0</v>
      </c>
      <c r="I426" s="123">
        <f t="shared" si="723"/>
        <v>0</v>
      </c>
      <c r="J426" s="123">
        <f t="shared" si="723"/>
        <v>30.753663628831816</v>
      </c>
      <c r="K426" s="123">
        <f t="shared" si="723"/>
        <v>0</v>
      </c>
      <c r="L426" s="123">
        <f t="shared" si="723"/>
        <v>0</v>
      </c>
      <c r="M426" s="123">
        <f t="shared" si="723"/>
        <v>0</v>
      </c>
      <c r="N426" s="123">
        <f t="shared" si="723"/>
        <v>30.770392282958198</v>
      </c>
      <c r="O426" s="123">
        <f t="shared" si="723"/>
        <v>0</v>
      </c>
      <c r="P426" s="123">
        <f t="shared" si="723"/>
        <v>0</v>
      </c>
      <c r="Q426" s="123">
        <f t="shared" si="723"/>
        <v>46.114377191292618</v>
      </c>
      <c r="R426" s="123">
        <f t="shared" si="723"/>
        <v>30.78575062593891</v>
      </c>
      <c r="S426" s="123">
        <f t="shared" si="723"/>
        <v>0</v>
      </c>
      <c r="T426" s="123">
        <f t="shared" si="723"/>
        <v>0</v>
      </c>
      <c r="U426" s="123">
        <f t="shared" si="723"/>
        <v>0</v>
      </c>
      <c r="V426" s="123">
        <f t="shared" si="723"/>
        <v>30.754431307243962</v>
      </c>
      <c r="W426" s="123">
        <f t="shared" si="723"/>
        <v>46.119234042553188</v>
      </c>
      <c r="X426" s="123">
        <f t="shared" si="723"/>
        <v>0</v>
      </c>
      <c r="Y426" s="123">
        <f t="shared" si="723"/>
        <v>0</v>
      </c>
      <c r="Z426" s="123">
        <f t="shared" si="723"/>
        <v>30.771972183588318</v>
      </c>
      <c r="AA426" s="123">
        <f t="shared" si="723"/>
        <v>0</v>
      </c>
      <c r="AB426" s="123">
        <f t="shared" si="723"/>
        <v>15.374862563067609</v>
      </c>
      <c r="AC426" s="123">
        <f t="shared" si="723"/>
        <v>0</v>
      </c>
      <c r="AD426" s="123">
        <f t="shared" si="723"/>
        <v>30.790032786885245</v>
      </c>
      <c r="AE426" s="123">
        <f t="shared" si="723"/>
        <v>0</v>
      </c>
      <c r="AF426" s="123">
        <f t="shared" si="723"/>
        <v>0</v>
      </c>
      <c r="AG426" s="123">
        <f t="shared" si="723"/>
        <v>0</v>
      </c>
      <c r="AH426" s="123">
        <f t="shared" si="723"/>
        <v>30.754431307243962</v>
      </c>
      <c r="AI426" s="123">
        <f t="shared" ref="AI426:BB426" si="724">AI409*AI641</f>
        <v>46.119234042553188</v>
      </c>
      <c r="AJ426" s="123">
        <f t="shared" si="724"/>
        <v>0</v>
      </c>
      <c r="AK426" s="123">
        <f t="shared" si="724"/>
        <v>0</v>
      </c>
      <c r="AL426" s="123">
        <f t="shared" si="724"/>
        <v>30.771972183588318</v>
      </c>
      <c r="AM426" s="123">
        <f t="shared" si="724"/>
        <v>0</v>
      </c>
      <c r="AN426" s="123">
        <f t="shared" si="724"/>
        <v>0</v>
      </c>
      <c r="AO426" s="123">
        <f t="shared" si="724"/>
        <v>46.114377191292618</v>
      </c>
      <c r="AP426" s="123">
        <f t="shared" si="724"/>
        <v>46.185049180327866</v>
      </c>
      <c r="AQ426" s="123">
        <f t="shared" si="724"/>
        <v>0</v>
      </c>
      <c r="AR426" s="123">
        <f t="shared" si="724"/>
        <v>0</v>
      </c>
      <c r="AS426" s="123">
        <f t="shared" si="724"/>
        <v>0</v>
      </c>
      <c r="AT426" s="123">
        <f t="shared" si="724"/>
        <v>30.747668789808916</v>
      </c>
      <c r="AU426" s="123">
        <f t="shared" si="724"/>
        <v>0</v>
      </c>
      <c r="AV426" s="123">
        <f t="shared" si="724"/>
        <v>0</v>
      </c>
      <c r="AW426" s="123">
        <f t="shared" si="724"/>
        <v>0</v>
      </c>
      <c r="AX426" s="123">
        <f t="shared" si="724"/>
        <v>30.753663628831816</v>
      </c>
      <c r="AY426" s="123">
        <f t="shared" si="724"/>
        <v>0</v>
      </c>
      <c r="AZ426" s="123">
        <f t="shared" si="724"/>
        <v>0</v>
      </c>
      <c r="BA426" s="123">
        <f t="shared" si="724"/>
        <v>0</v>
      </c>
      <c r="BB426" s="123">
        <f t="shared" si="724"/>
        <v>30.771972183588318</v>
      </c>
      <c r="BC426" s="19">
        <f t="shared" si="674"/>
        <v>615.24370382463098</v>
      </c>
      <c r="BD426" s="154"/>
    </row>
    <row r="427" spans="2:56" x14ac:dyDescent="0.25">
      <c r="B427" s="113" t="s">
        <v>403</v>
      </c>
      <c r="C427" s="113">
        <f>SUM(C419:C426)/SUM(C393:C400)</f>
        <v>16.002901098901098</v>
      </c>
      <c r="D427" s="113">
        <f t="shared" ref="D427:BB427" si="725">SUM(D419:D426)/SUM(D393:D400)</f>
        <v>16.183833663366336</v>
      </c>
      <c r="E427" s="113">
        <f t="shared" si="725"/>
        <v>16.000113503250308</v>
      </c>
      <c r="F427" s="113">
        <f t="shared" si="725"/>
        <v>15.936930455635494</v>
      </c>
      <c r="G427" s="113">
        <f t="shared" si="725"/>
        <v>16.003366359090677</v>
      </c>
      <c r="H427" s="113">
        <f t="shared" si="725"/>
        <v>16.238775845843602</v>
      </c>
      <c r="I427" s="113">
        <f t="shared" si="725"/>
        <v>16.005632429856707</v>
      </c>
      <c r="J427" s="113">
        <f t="shared" si="725"/>
        <v>16.020597725389774</v>
      </c>
      <c r="K427" s="113">
        <f t="shared" si="725"/>
        <v>16.240917567492655</v>
      </c>
      <c r="L427" s="113">
        <f t="shared" si="725"/>
        <v>16.286692301331346</v>
      </c>
      <c r="M427" s="113">
        <f t="shared" si="725"/>
        <v>16.130344863823449</v>
      </c>
      <c r="N427" s="113">
        <f t="shared" si="725"/>
        <v>16.034039871382639</v>
      </c>
      <c r="O427" s="113">
        <f t="shared" si="725"/>
        <v>16.153033086695519</v>
      </c>
      <c r="P427" s="113">
        <f t="shared" si="725"/>
        <v>16.184211392567828</v>
      </c>
      <c r="Q427" s="113">
        <f t="shared" si="725"/>
        <v>16.00012441404996</v>
      </c>
      <c r="R427" s="113">
        <f t="shared" si="725"/>
        <v>16.15936727313192</v>
      </c>
      <c r="S427" s="113">
        <f t="shared" si="725"/>
        <v>16.003366359090677</v>
      </c>
      <c r="T427" s="113">
        <f t="shared" si="725"/>
        <v>16.237781964067679</v>
      </c>
      <c r="U427" s="113">
        <f t="shared" si="725"/>
        <v>15.950875284424326</v>
      </c>
      <c r="V427" s="113">
        <f t="shared" si="725"/>
        <v>15.957076981303461</v>
      </c>
      <c r="W427" s="113">
        <f t="shared" si="725"/>
        <v>15.95806973995272</v>
      </c>
      <c r="X427" s="113">
        <f t="shared" si="725"/>
        <v>16.286692301331346</v>
      </c>
      <c r="Y427" s="113">
        <f t="shared" si="725"/>
        <v>16.035456861815597</v>
      </c>
      <c r="Z427" s="113">
        <f t="shared" si="725"/>
        <v>15.953977190542421</v>
      </c>
      <c r="AA427" s="113">
        <f t="shared" si="725"/>
        <v>16.051368952886193</v>
      </c>
      <c r="AB427" s="113">
        <f t="shared" si="725"/>
        <v>16.20381352169526</v>
      </c>
      <c r="AC427" s="113">
        <f t="shared" si="725"/>
        <v>15.988040794116101</v>
      </c>
      <c r="AD427" s="113">
        <f t="shared" si="725"/>
        <v>15.779506268081002</v>
      </c>
      <c r="AE427" s="113">
        <f t="shared" si="725"/>
        <v>16.003366359090677</v>
      </c>
      <c r="AF427" s="113">
        <f t="shared" si="725"/>
        <v>16.238775845843602</v>
      </c>
      <c r="AG427" s="113">
        <f t="shared" si="725"/>
        <v>16.099501822026507</v>
      </c>
      <c r="AH427" s="113">
        <f t="shared" si="725"/>
        <v>15.957076981303461</v>
      </c>
      <c r="AI427" s="113">
        <f t="shared" si="725"/>
        <v>15.900860090264349</v>
      </c>
      <c r="AJ427" s="113">
        <f t="shared" si="725"/>
        <v>16.286692301331346</v>
      </c>
      <c r="AK427" s="113">
        <f t="shared" si="725"/>
        <v>16.01457626526615</v>
      </c>
      <c r="AL427" s="113">
        <f t="shared" si="725"/>
        <v>15.953977190542421</v>
      </c>
      <c r="AM427" s="113">
        <f t="shared" si="725"/>
        <v>16.02403554376658</v>
      </c>
      <c r="AN427" s="113">
        <f t="shared" si="725"/>
        <v>16.184211392567828</v>
      </c>
      <c r="AO427" s="113">
        <f t="shared" si="725"/>
        <v>16.00012441404996</v>
      </c>
      <c r="AP427" s="113">
        <f t="shared" si="725"/>
        <v>15.803169974115619</v>
      </c>
      <c r="AQ427" s="113">
        <f t="shared" si="725"/>
        <v>16.003366359090677</v>
      </c>
      <c r="AR427" s="113">
        <f t="shared" si="725"/>
        <v>16.238775845843602</v>
      </c>
      <c r="AS427" s="113">
        <f t="shared" si="725"/>
        <v>16.046307278272831</v>
      </c>
      <c r="AT427" s="113">
        <f t="shared" si="725"/>
        <v>16.059108834117975</v>
      </c>
      <c r="AU427" s="113">
        <f t="shared" si="725"/>
        <v>16.123960629311014</v>
      </c>
      <c r="AV427" s="113">
        <f t="shared" si="725"/>
        <v>16.147000454929486</v>
      </c>
      <c r="AW427" s="113">
        <f t="shared" si="725"/>
        <v>16.072807789034997</v>
      </c>
      <c r="AX427" s="113">
        <f t="shared" si="725"/>
        <v>16.020597725389774</v>
      </c>
      <c r="AY427" s="113">
        <f t="shared" si="725"/>
        <v>16.158146876212651</v>
      </c>
      <c r="AZ427" s="113">
        <f t="shared" si="725"/>
        <v>16.103485700317773</v>
      </c>
      <c r="BA427" s="113">
        <f t="shared" si="725"/>
        <v>16.01457626526615</v>
      </c>
      <c r="BB427" s="113">
        <f t="shared" si="725"/>
        <v>16.125129019062424</v>
      </c>
      <c r="BC427" s="113"/>
    </row>
    <row r="428" spans="2:56" x14ac:dyDescent="0.25">
      <c r="B428" s="88" t="str">
        <f>B410</f>
        <v>Logical Test</v>
      </c>
      <c r="C428" s="88" t="b" cm="1">
        <f t="array" ref="C428">IF(SUM(C411:C418)=SUM(C419:C426),TRUE,FLASE)</f>
        <v>1</v>
      </c>
      <c r="D428" s="88" t="b" cm="1">
        <f t="array" ref="D428">IF(SUM(D411:D418)=SUM(D419:D426),TRUE,FLASE)</f>
        <v>1</v>
      </c>
      <c r="E428" s="88" t="b" cm="1">
        <f t="array" ref="E428">IF(SUM(E411:E418)=SUM(E419:E426),TRUE,FLASE)</f>
        <v>1</v>
      </c>
      <c r="F428" s="88" t="b" cm="1">
        <f t="array" ref="F428">IF(SUM(F411:F418)=SUM(F419:F426),TRUE,FLASE)</f>
        <v>1</v>
      </c>
      <c r="G428" s="88" t="b" cm="1">
        <f t="array" ref="G428">IF(SUM(G411:G418)=SUM(G419:G426),TRUE,FLASE)</f>
        <v>1</v>
      </c>
      <c r="H428" s="88" t="b" cm="1">
        <f t="array" ref="H428">IF(SUM(H411:H418)=SUM(H419:H426),TRUE,FLASE)</f>
        <v>1</v>
      </c>
      <c r="I428" s="88" t="b" cm="1">
        <f t="array" ref="I428">IF(SUM(I411:I418)=SUM(I419:I426),TRUE,FLASE)</f>
        <v>1</v>
      </c>
      <c r="J428" s="88" t="b" cm="1">
        <f t="array" ref="J428">IF(SUM(J411:J418)=SUM(J419:J426),TRUE,FLASE)</f>
        <v>1</v>
      </c>
      <c r="K428" s="88" t="b" cm="1">
        <f t="array" ref="K428">IF(SUM(K411:K418)=SUM(K419:K426),TRUE,FLASE)</f>
        <v>1</v>
      </c>
      <c r="L428" s="88" t="b" cm="1">
        <f t="array" ref="L428">IF(SUM(L411:L418)=SUM(L419:L426),TRUE,FLASE)</f>
        <v>1</v>
      </c>
      <c r="M428" s="88" t="b" cm="1">
        <f t="array" ref="M428">IF(SUM(M411:M418)=SUM(M419:M426),TRUE,FLASE)</f>
        <v>1</v>
      </c>
      <c r="N428" s="88" t="b" cm="1">
        <f t="array" ref="N428">IF(SUM(N411:N418)=SUM(N419:N426),TRUE,FLASE)</f>
        <v>1</v>
      </c>
      <c r="O428" s="88" t="b" cm="1">
        <f t="array" ref="O428">IF(SUM(O411:O418)=SUM(O419:O426),TRUE,FLASE)</f>
        <v>1</v>
      </c>
      <c r="P428" s="88" t="b" cm="1">
        <f t="array" ref="P428">IF(SUM(P411:P418)=SUM(P419:P426),TRUE,FLASE)</f>
        <v>1</v>
      </c>
      <c r="Q428" s="88" t="b" cm="1">
        <f t="array" ref="Q428">IF(SUM(Q411:Q418)=SUM(Q419:Q426),TRUE,FLASE)</f>
        <v>1</v>
      </c>
      <c r="R428" s="88" t="b" cm="1">
        <f t="array" ref="R428">IF(SUM(R411:R418)=SUM(R419:R426),TRUE,FLASE)</f>
        <v>1</v>
      </c>
      <c r="S428" s="88" t="b" cm="1">
        <f t="array" ref="S428">IF(SUM(S411:S418)=SUM(S419:S426),TRUE,FLASE)</f>
        <v>1</v>
      </c>
      <c r="T428" s="88" t="b" cm="1">
        <f t="array" ref="T428">IF(SUM(T411:T418)=SUM(T419:T426),TRUE,FLASE)</f>
        <v>1</v>
      </c>
      <c r="U428" s="88" t="b" cm="1">
        <f t="array" ref="U428">IF(SUM(U411:U418)=SUM(U419:U426),TRUE,FLASE)</f>
        <v>1</v>
      </c>
      <c r="V428" s="88" t="b" cm="1">
        <f t="array" ref="V428">IF(SUM(V411:V418)=SUM(V419:V426),TRUE,FLASE)</f>
        <v>1</v>
      </c>
      <c r="W428" s="88" t="b" cm="1">
        <f t="array" ref="W428">IF(SUM(W411:W418)=SUM(W419:W426),TRUE,FLASE)</f>
        <v>1</v>
      </c>
      <c r="X428" s="88" t="b" cm="1">
        <f t="array" ref="X428">IF(SUM(X411:X418)=SUM(X419:X426),TRUE,FLASE)</f>
        <v>1</v>
      </c>
      <c r="Y428" s="88" t="b" cm="1">
        <f t="array" ref="Y428">IF(SUM(Y411:Y418)=SUM(Y419:Y426),TRUE,FLASE)</f>
        <v>1</v>
      </c>
      <c r="Z428" s="88" t="b" cm="1">
        <f t="array" ref="Z428">IF(SUM(Z411:Z418)=SUM(Z419:Z426),TRUE,FLASE)</f>
        <v>1</v>
      </c>
      <c r="AA428" s="88" t="b" cm="1">
        <f t="array" ref="AA428">IF(SUM(AA411:AA418)=SUM(AA419:AA426),TRUE,FLASE)</f>
        <v>1</v>
      </c>
      <c r="AB428" s="88" t="b" cm="1">
        <f t="array" ref="AB428">IF(SUM(AB411:AB418)=SUM(AB419:AB426),TRUE,FLASE)</f>
        <v>1</v>
      </c>
      <c r="AC428" s="88" t="b" cm="1">
        <f t="array" ref="AC428">IF(SUM(AC411:AC418)=SUM(AC419:AC426),TRUE,FLASE)</f>
        <v>1</v>
      </c>
      <c r="AD428" s="88" t="b" cm="1">
        <f t="array" ref="AD428">IF(SUM(AD411:AD418)=SUM(AD419:AD426),TRUE,FLASE)</f>
        <v>1</v>
      </c>
      <c r="AE428" s="88" t="b" cm="1">
        <f t="array" ref="AE428">IF(SUM(AE411:AE418)=SUM(AE419:AE426),TRUE,FLASE)</f>
        <v>1</v>
      </c>
      <c r="AF428" s="88" t="b" cm="1">
        <f t="array" ref="AF428">IF(SUM(AF411:AF418)=SUM(AF419:AF426),TRUE,FLASE)</f>
        <v>1</v>
      </c>
      <c r="AG428" s="88" t="b" cm="1">
        <f t="array" ref="AG428">IF(SUM(AG411:AG418)=SUM(AG419:AG426),TRUE,FLASE)</f>
        <v>1</v>
      </c>
      <c r="AH428" s="88" t="b" cm="1">
        <f t="array" ref="AH428">IF(SUM(AH411:AH418)=SUM(AH419:AH426),TRUE,FLASE)</f>
        <v>1</v>
      </c>
      <c r="AI428" s="88" t="b" cm="1">
        <f t="array" ref="AI428">IF(SUM(AI411:AI418)=SUM(AI419:AI426),TRUE,FLASE)</f>
        <v>1</v>
      </c>
      <c r="AJ428" s="88" t="b" cm="1">
        <f t="array" ref="AJ428">IF(SUM(AJ411:AJ418)=SUM(AJ419:AJ426),TRUE,FLASE)</f>
        <v>1</v>
      </c>
      <c r="AK428" s="88" t="b" cm="1">
        <f t="array" ref="AK428">IF(SUM(AK411:AK418)=SUM(AK419:AK426),TRUE,FLASE)</f>
        <v>1</v>
      </c>
      <c r="AL428" s="88" t="b" cm="1">
        <f t="array" ref="AL428">IF(SUM(AL411:AL418)=SUM(AL419:AL426),TRUE,FLASE)</f>
        <v>1</v>
      </c>
      <c r="AM428" s="88" t="b" cm="1">
        <f t="array" ref="AM428">IF(SUM(AM411:AM418)=SUM(AM419:AM426),TRUE,FLASE)</f>
        <v>1</v>
      </c>
      <c r="AN428" s="88" t="b" cm="1">
        <f t="array" ref="AN428">IF(SUM(AN411:AN418)=SUM(AN419:AN426),TRUE,FLASE)</f>
        <v>1</v>
      </c>
      <c r="AO428" s="88" t="b" cm="1">
        <f t="array" ref="AO428">IF(SUM(AO411:AO418)=SUM(AO419:AO426),TRUE,FLASE)</f>
        <v>1</v>
      </c>
      <c r="AP428" s="88" t="b" cm="1">
        <f t="array" ref="AP428">IF(SUM(AP411:AP418)=SUM(AP419:AP426),TRUE,FLASE)</f>
        <v>1</v>
      </c>
      <c r="AQ428" s="88" t="b" cm="1">
        <f t="array" ref="AQ428">IF(SUM(AQ411:AQ418)=SUM(AQ419:AQ426),TRUE,FLASE)</f>
        <v>1</v>
      </c>
      <c r="AR428" s="88" t="b" cm="1">
        <f t="array" ref="AR428">IF(SUM(AR411:AR418)=SUM(AR419:AR426),TRUE,FLASE)</f>
        <v>1</v>
      </c>
      <c r="AS428" s="88" t="b" cm="1">
        <f t="array" ref="AS428">IF(SUM(AS411:AS418)=SUM(AS419:AS426),TRUE,FLASE)</f>
        <v>1</v>
      </c>
      <c r="AT428" s="88" t="b" cm="1">
        <f t="array" ref="AT428">IF(SUM(AT411:AT418)=SUM(AT419:AT426),TRUE,FLASE)</f>
        <v>1</v>
      </c>
      <c r="AU428" s="88" t="b" cm="1">
        <f t="array" ref="AU428">IF(SUM(AU411:AU418)=SUM(AU419:AU426),TRUE,FLASE)</f>
        <v>1</v>
      </c>
      <c r="AV428" s="88" t="b" cm="1">
        <f t="array" ref="AV428">IF(SUM(AV411:AV418)=SUM(AV419:AV426),TRUE,FLASE)</f>
        <v>1</v>
      </c>
      <c r="AW428" s="88" t="b" cm="1">
        <f t="array" ref="AW428">IF(SUM(AW411:AW418)=SUM(AW419:AW426),TRUE,FLASE)</f>
        <v>1</v>
      </c>
      <c r="AX428" s="88" t="b" cm="1">
        <f t="array" ref="AX428">IF(SUM(AX411:AX418)=SUM(AX419:AX426),TRUE,FLASE)</f>
        <v>1</v>
      </c>
      <c r="AY428" s="88" t="b" cm="1">
        <f t="array" ref="AY428">IF(SUM(AY411:AY418)=SUM(AY419:AY426),TRUE,FLASE)</f>
        <v>1</v>
      </c>
      <c r="AZ428" s="88" t="b" cm="1">
        <f t="array" ref="AZ428">IF(SUM(AZ411:AZ418)=SUM(AZ419:AZ426),TRUE,FLASE)</f>
        <v>1</v>
      </c>
      <c r="BA428" s="88" t="b" cm="1">
        <f t="array" ref="BA428">IF(SUM(BA411:BA418)=SUM(BA419:BA426),TRUE,FLASE)</f>
        <v>1</v>
      </c>
      <c r="BB428" s="88" t="b" cm="1">
        <f t="array" ref="BB428">IF(SUM(BB411:BB418)=SUM(BB419:BB426),TRUE,FLASE)</f>
        <v>1</v>
      </c>
      <c r="BC428" s="88" t="b" cm="1">
        <f t="array" ref="BC428">IF(SUM(BC411:BC418)=SUM(BC419:BC426),TRUE,FLASE)</f>
        <v>1</v>
      </c>
    </row>
    <row r="429" spans="2:56" x14ac:dyDescent="0.25">
      <c r="B429" s="125" t="str">
        <f t="shared" ref="B429:B436" si="726">_xlfn.CONCAT(B322," ","Allowable Yield Baseline Loss")</f>
        <v>Product A Allowable Yield Baseline Loss</v>
      </c>
      <c r="C429" s="125">
        <f t="shared" ref="C429:AH429" si="727">C763*$K10</f>
        <v>2.6999999999997026</v>
      </c>
      <c r="D429" s="125">
        <f t="shared" si="727"/>
        <v>0</v>
      </c>
      <c r="E429" s="125">
        <f t="shared" si="727"/>
        <v>1.4999999999998348</v>
      </c>
      <c r="F429" s="125">
        <f t="shared" si="727"/>
        <v>0</v>
      </c>
      <c r="G429" s="125">
        <f t="shared" si="727"/>
        <v>2.6999999999997026</v>
      </c>
      <c r="H429" s="125">
        <f t="shared" si="727"/>
        <v>0</v>
      </c>
      <c r="I429" s="125">
        <f t="shared" si="727"/>
        <v>0</v>
      </c>
      <c r="J429" s="125">
        <f t="shared" si="727"/>
        <v>0</v>
      </c>
      <c r="K429" s="125">
        <f t="shared" si="727"/>
        <v>2.6999999999997026</v>
      </c>
      <c r="L429" s="125">
        <f t="shared" si="727"/>
        <v>0</v>
      </c>
      <c r="M429" s="125">
        <f t="shared" si="727"/>
        <v>0</v>
      </c>
      <c r="N429" s="125">
        <f t="shared" si="727"/>
        <v>0</v>
      </c>
      <c r="O429" s="125">
        <f t="shared" si="727"/>
        <v>2.6999999999997026</v>
      </c>
      <c r="P429" s="125">
        <f t="shared" si="727"/>
        <v>0.89999999999990088</v>
      </c>
      <c r="Q429" s="125">
        <f t="shared" si="727"/>
        <v>0</v>
      </c>
      <c r="R429" s="125">
        <f t="shared" si="727"/>
        <v>0</v>
      </c>
      <c r="S429" s="125">
        <f t="shared" si="727"/>
        <v>2.6999999999997026</v>
      </c>
      <c r="T429" s="125">
        <f t="shared" si="727"/>
        <v>0</v>
      </c>
      <c r="U429" s="125">
        <f t="shared" si="727"/>
        <v>0</v>
      </c>
      <c r="V429" s="125">
        <f t="shared" si="727"/>
        <v>0.89999999999990088</v>
      </c>
      <c r="W429" s="125">
        <f t="shared" si="727"/>
        <v>2.6999999999997026</v>
      </c>
      <c r="X429" s="125">
        <f t="shared" si="727"/>
        <v>0</v>
      </c>
      <c r="Y429" s="125">
        <f t="shared" si="727"/>
        <v>0</v>
      </c>
      <c r="Z429" s="125">
        <f t="shared" si="727"/>
        <v>0</v>
      </c>
      <c r="AA429" s="125">
        <f t="shared" si="727"/>
        <v>2.6999999999997026</v>
      </c>
      <c r="AB429" s="125">
        <f t="shared" si="727"/>
        <v>0</v>
      </c>
      <c r="AC429" s="125">
        <f t="shared" si="727"/>
        <v>1.7999999999998018</v>
      </c>
      <c r="AD429" s="125">
        <f t="shared" si="727"/>
        <v>0</v>
      </c>
      <c r="AE429" s="125">
        <f t="shared" si="727"/>
        <v>2.6999999999997026</v>
      </c>
      <c r="AF429" s="125">
        <f t="shared" si="727"/>
        <v>0</v>
      </c>
      <c r="AG429" s="125">
        <f t="shared" si="727"/>
        <v>0</v>
      </c>
      <c r="AH429" s="125">
        <f t="shared" si="727"/>
        <v>0.89999999999990088</v>
      </c>
      <c r="AI429" s="125">
        <f t="shared" ref="AI429:BB429" si="728">AI763*$K10</f>
        <v>2.6999999999997026</v>
      </c>
      <c r="AJ429" s="125">
        <f t="shared" si="728"/>
        <v>0</v>
      </c>
      <c r="AK429" s="125">
        <f t="shared" si="728"/>
        <v>0</v>
      </c>
      <c r="AL429" s="125">
        <f t="shared" si="728"/>
        <v>0</v>
      </c>
      <c r="AM429" s="125">
        <f t="shared" si="728"/>
        <v>2.6999999999997026</v>
      </c>
      <c r="AN429" s="125">
        <f t="shared" si="728"/>
        <v>0.89999999999990088</v>
      </c>
      <c r="AO429" s="125">
        <f t="shared" si="728"/>
        <v>0</v>
      </c>
      <c r="AP429" s="125">
        <f t="shared" si="728"/>
        <v>0</v>
      </c>
      <c r="AQ429" s="125">
        <f t="shared" si="728"/>
        <v>2.6999999999997026</v>
      </c>
      <c r="AR429" s="125">
        <f t="shared" si="728"/>
        <v>0</v>
      </c>
      <c r="AS429" s="125">
        <f t="shared" si="728"/>
        <v>1.4999999999998348</v>
      </c>
      <c r="AT429" s="125">
        <f t="shared" si="728"/>
        <v>0</v>
      </c>
      <c r="AU429" s="125">
        <f t="shared" si="728"/>
        <v>2.6999999999997026</v>
      </c>
      <c r="AV429" s="125">
        <f t="shared" si="728"/>
        <v>1.4999999999998348</v>
      </c>
      <c r="AW429" s="125">
        <f t="shared" si="728"/>
        <v>0</v>
      </c>
      <c r="AX429" s="125">
        <f t="shared" si="728"/>
        <v>0</v>
      </c>
      <c r="AY429" s="125">
        <f t="shared" si="728"/>
        <v>2.6999999999997026</v>
      </c>
      <c r="AZ429" s="125">
        <f t="shared" si="728"/>
        <v>0</v>
      </c>
      <c r="BA429" s="125">
        <f t="shared" si="728"/>
        <v>0</v>
      </c>
      <c r="BB429" s="125">
        <f t="shared" si="728"/>
        <v>0</v>
      </c>
      <c r="BC429" s="19">
        <f>SUM(C429:BB429)</f>
        <v>44.999999999995055</v>
      </c>
    </row>
    <row r="430" spans="2:56" x14ac:dyDescent="0.25">
      <c r="B430" s="125" t="str">
        <f t="shared" si="726"/>
        <v>Product B Allowable Yield Baseline Loss</v>
      </c>
      <c r="C430" s="125">
        <f t="shared" ref="C430:AH430" si="729">C764*$K11</f>
        <v>2.3200000000000998</v>
      </c>
      <c r="D430" s="125">
        <f t="shared" si="729"/>
        <v>2.6100000000001122</v>
      </c>
      <c r="E430" s="125">
        <f t="shared" si="729"/>
        <v>0</v>
      </c>
      <c r="F430" s="125">
        <f t="shared" si="729"/>
        <v>1.7400000000000748</v>
      </c>
      <c r="G430" s="125">
        <f t="shared" si="729"/>
        <v>2.3200000000000998</v>
      </c>
      <c r="H430" s="125">
        <f t="shared" si="729"/>
        <v>2.6100000000001122</v>
      </c>
      <c r="I430" s="125">
        <f t="shared" si="729"/>
        <v>0</v>
      </c>
      <c r="J430" s="125">
        <f t="shared" si="729"/>
        <v>0.87000000000003741</v>
      </c>
      <c r="K430" s="125">
        <f t="shared" si="729"/>
        <v>2.3200000000000998</v>
      </c>
      <c r="L430" s="125">
        <f t="shared" si="729"/>
        <v>2.6100000000001122</v>
      </c>
      <c r="M430" s="125">
        <f t="shared" si="729"/>
        <v>0</v>
      </c>
      <c r="N430" s="125">
        <f t="shared" si="729"/>
        <v>0</v>
      </c>
      <c r="O430" s="125">
        <f t="shared" si="729"/>
        <v>2.3200000000000998</v>
      </c>
      <c r="P430" s="125">
        <f t="shared" si="729"/>
        <v>2.6100000000001122</v>
      </c>
      <c r="Q430" s="125">
        <f t="shared" si="729"/>
        <v>0</v>
      </c>
      <c r="R430" s="125">
        <f t="shared" si="729"/>
        <v>0</v>
      </c>
      <c r="S430" s="125">
        <f t="shared" si="729"/>
        <v>2.3200000000000998</v>
      </c>
      <c r="T430" s="125">
        <f t="shared" si="729"/>
        <v>2.6100000000001122</v>
      </c>
      <c r="U430" s="125">
        <f t="shared" si="729"/>
        <v>0</v>
      </c>
      <c r="V430" s="125">
        <f t="shared" si="729"/>
        <v>0</v>
      </c>
      <c r="W430" s="125">
        <f t="shared" si="729"/>
        <v>2.3200000000000998</v>
      </c>
      <c r="X430" s="125">
        <f t="shared" si="729"/>
        <v>2.6100000000001122</v>
      </c>
      <c r="Y430" s="125">
        <f t="shared" si="729"/>
        <v>0</v>
      </c>
      <c r="Z430" s="125">
        <f t="shared" si="729"/>
        <v>0</v>
      </c>
      <c r="AA430" s="125">
        <f t="shared" si="729"/>
        <v>2.3200000000000998</v>
      </c>
      <c r="AB430" s="125">
        <f t="shared" si="729"/>
        <v>2.6100000000001122</v>
      </c>
      <c r="AC430" s="125">
        <f t="shared" si="729"/>
        <v>0</v>
      </c>
      <c r="AD430" s="125">
        <f t="shared" si="729"/>
        <v>0</v>
      </c>
      <c r="AE430" s="125">
        <f t="shared" si="729"/>
        <v>2.3200000000000998</v>
      </c>
      <c r="AF430" s="125">
        <f t="shared" si="729"/>
        <v>2.6100000000001122</v>
      </c>
      <c r="AG430" s="125">
        <f t="shared" si="729"/>
        <v>0</v>
      </c>
      <c r="AH430" s="125">
        <f t="shared" si="729"/>
        <v>0</v>
      </c>
      <c r="AI430" s="125">
        <f t="shared" ref="AI430:BB430" si="730">AI764*$K11</f>
        <v>2.3200000000000998</v>
      </c>
      <c r="AJ430" s="125">
        <f t="shared" si="730"/>
        <v>2.6100000000001122</v>
      </c>
      <c r="AK430" s="125">
        <f t="shared" si="730"/>
        <v>0</v>
      </c>
      <c r="AL430" s="125">
        <f t="shared" si="730"/>
        <v>0</v>
      </c>
      <c r="AM430" s="125">
        <f t="shared" si="730"/>
        <v>2.3200000000000998</v>
      </c>
      <c r="AN430" s="125">
        <f t="shared" si="730"/>
        <v>2.6100000000001122</v>
      </c>
      <c r="AO430" s="125">
        <f t="shared" si="730"/>
        <v>0</v>
      </c>
      <c r="AP430" s="125">
        <f t="shared" si="730"/>
        <v>0</v>
      </c>
      <c r="AQ430" s="125">
        <f t="shared" si="730"/>
        <v>2.3200000000000998</v>
      </c>
      <c r="AR430" s="125">
        <f t="shared" si="730"/>
        <v>2.6100000000001122</v>
      </c>
      <c r="AS430" s="125">
        <f t="shared" si="730"/>
        <v>0</v>
      </c>
      <c r="AT430" s="125">
        <f t="shared" si="730"/>
        <v>1.4500000000000624</v>
      </c>
      <c r="AU430" s="125">
        <f t="shared" si="730"/>
        <v>2.3200000000000998</v>
      </c>
      <c r="AV430" s="125">
        <f t="shared" si="730"/>
        <v>2.6100000000001122</v>
      </c>
      <c r="AW430" s="125">
        <f t="shared" si="730"/>
        <v>0</v>
      </c>
      <c r="AX430" s="125">
        <f t="shared" si="730"/>
        <v>0.87000000000003741</v>
      </c>
      <c r="AY430" s="125">
        <f t="shared" si="730"/>
        <v>2.3200000000000998</v>
      </c>
      <c r="AZ430" s="125">
        <f t="shared" si="730"/>
        <v>0.87000000000003741</v>
      </c>
      <c r="BA430" s="125">
        <f t="shared" si="730"/>
        <v>0</v>
      </c>
      <c r="BB430" s="125">
        <f t="shared" si="730"/>
        <v>0</v>
      </c>
      <c r="BC430" s="19">
        <f t="shared" ref="BC430:BC452" si="731">SUM(C430:BB430)</f>
        <v>67.2800000000029</v>
      </c>
    </row>
    <row r="431" spans="2:56" x14ac:dyDescent="0.25">
      <c r="B431" s="125" t="str">
        <f t="shared" si="726"/>
        <v>Product C Allowable Yield Baseline Loss</v>
      </c>
      <c r="C431" s="125">
        <f t="shared" ref="C431:AH431" si="732">C765*$K12</f>
        <v>2.4999999999997247</v>
      </c>
      <c r="D431" s="125">
        <f t="shared" si="732"/>
        <v>1.9999999999997797</v>
      </c>
      <c r="E431" s="125">
        <f t="shared" si="732"/>
        <v>2.2499999999997522</v>
      </c>
      <c r="F431" s="125">
        <f t="shared" si="732"/>
        <v>0</v>
      </c>
      <c r="G431" s="125">
        <f t="shared" si="732"/>
        <v>2.4999999999997247</v>
      </c>
      <c r="H431" s="125">
        <f t="shared" si="732"/>
        <v>1.9999999999997797</v>
      </c>
      <c r="I431" s="125">
        <f t="shared" si="732"/>
        <v>2.2499999999997522</v>
      </c>
      <c r="J431" s="125">
        <f t="shared" si="732"/>
        <v>0</v>
      </c>
      <c r="K431" s="125">
        <f t="shared" si="732"/>
        <v>2.4999999999997247</v>
      </c>
      <c r="L431" s="125">
        <f t="shared" si="732"/>
        <v>1.9999999999997797</v>
      </c>
      <c r="M431" s="125">
        <f t="shared" si="732"/>
        <v>2.2499999999997522</v>
      </c>
      <c r="N431" s="125">
        <f t="shared" si="732"/>
        <v>0</v>
      </c>
      <c r="O431" s="125">
        <f t="shared" si="732"/>
        <v>2.4999999999997247</v>
      </c>
      <c r="P431" s="125">
        <f t="shared" si="732"/>
        <v>1.9999999999997797</v>
      </c>
      <c r="Q431" s="125">
        <f t="shared" si="732"/>
        <v>2.2499999999997522</v>
      </c>
      <c r="R431" s="125">
        <f t="shared" si="732"/>
        <v>0</v>
      </c>
      <c r="S431" s="125">
        <f t="shared" si="732"/>
        <v>2.4999999999997247</v>
      </c>
      <c r="T431" s="125">
        <f t="shared" si="732"/>
        <v>1.9999999999997797</v>
      </c>
      <c r="U431" s="125">
        <f t="shared" si="732"/>
        <v>2.2499999999997522</v>
      </c>
      <c r="V431" s="125">
        <f t="shared" si="732"/>
        <v>0</v>
      </c>
      <c r="W431" s="125">
        <f t="shared" si="732"/>
        <v>2.4999999999997247</v>
      </c>
      <c r="X431" s="125">
        <f t="shared" si="732"/>
        <v>1.9999999999997797</v>
      </c>
      <c r="Y431" s="125">
        <f t="shared" si="732"/>
        <v>2.2499999999997522</v>
      </c>
      <c r="Z431" s="125">
        <f t="shared" si="732"/>
        <v>0</v>
      </c>
      <c r="AA431" s="125">
        <f t="shared" si="732"/>
        <v>2.4999999999997247</v>
      </c>
      <c r="AB431" s="125">
        <f t="shared" si="732"/>
        <v>1.9999999999997797</v>
      </c>
      <c r="AC431" s="125">
        <f t="shared" si="732"/>
        <v>2.2499999999997522</v>
      </c>
      <c r="AD431" s="125">
        <f t="shared" si="732"/>
        <v>0</v>
      </c>
      <c r="AE431" s="125">
        <f t="shared" si="732"/>
        <v>2.4999999999997247</v>
      </c>
      <c r="AF431" s="125">
        <f t="shared" si="732"/>
        <v>1.9999999999997797</v>
      </c>
      <c r="AG431" s="125">
        <f t="shared" si="732"/>
        <v>2.2499999999997522</v>
      </c>
      <c r="AH431" s="125">
        <f t="shared" si="732"/>
        <v>0</v>
      </c>
      <c r="AI431" s="125">
        <f t="shared" ref="AI431:BB431" si="733">AI765*$K12</f>
        <v>2.4999999999997247</v>
      </c>
      <c r="AJ431" s="125">
        <f t="shared" si="733"/>
        <v>1.9999999999997797</v>
      </c>
      <c r="AK431" s="125">
        <f t="shared" si="733"/>
        <v>2.2499999999997522</v>
      </c>
      <c r="AL431" s="125">
        <f t="shared" si="733"/>
        <v>0</v>
      </c>
      <c r="AM431" s="125">
        <f t="shared" si="733"/>
        <v>2.4999999999997247</v>
      </c>
      <c r="AN431" s="125">
        <f t="shared" si="733"/>
        <v>1.9999999999997797</v>
      </c>
      <c r="AO431" s="125">
        <f t="shared" si="733"/>
        <v>2.2499999999997522</v>
      </c>
      <c r="AP431" s="125">
        <f t="shared" si="733"/>
        <v>0</v>
      </c>
      <c r="AQ431" s="125">
        <f t="shared" si="733"/>
        <v>2.4999999999997247</v>
      </c>
      <c r="AR431" s="125">
        <f t="shared" si="733"/>
        <v>1.9999999999997797</v>
      </c>
      <c r="AS431" s="125">
        <f t="shared" si="733"/>
        <v>2.2499999999997522</v>
      </c>
      <c r="AT431" s="125">
        <f t="shared" si="733"/>
        <v>0</v>
      </c>
      <c r="AU431" s="125">
        <f t="shared" si="733"/>
        <v>2.4999999999997247</v>
      </c>
      <c r="AV431" s="125">
        <f t="shared" si="733"/>
        <v>1.9999999999997797</v>
      </c>
      <c r="AW431" s="125">
        <f t="shared" si="733"/>
        <v>2.2499999999997522</v>
      </c>
      <c r="AX431" s="125">
        <f t="shared" si="733"/>
        <v>0</v>
      </c>
      <c r="AY431" s="125">
        <f t="shared" si="733"/>
        <v>2.4999999999997247</v>
      </c>
      <c r="AZ431" s="125">
        <f t="shared" si="733"/>
        <v>1.9999999999997797</v>
      </c>
      <c r="BA431" s="125">
        <f t="shared" si="733"/>
        <v>2.2499999999997522</v>
      </c>
      <c r="BB431" s="125">
        <f t="shared" si="733"/>
        <v>0</v>
      </c>
      <c r="BC431" s="19">
        <f t="shared" si="731"/>
        <v>87.749999999990351</v>
      </c>
    </row>
    <row r="432" spans="2:56" x14ac:dyDescent="0.25">
      <c r="B432" s="125" t="str">
        <f t="shared" si="726"/>
        <v>Product D Allowable Yield Baseline Loss</v>
      </c>
      <c r="C432" s="125">
        <f t="shared" ref="C432:AH432" si="734">C766*$K13</f>
        <v>2.7300000000005653</v>
      </c>
      <c r="D432" s="125">
        <f t="shared" si="734"/>
        <v>2.1000000000004349</v>
      </c>
      <c r="E432" s="125">
        <f t="shared" si="734"/>
        <v>1.6800000000003479</v>
      </c>
      <c r="F432" s="125">
        <f t="shared" si="734"/>
        <v>1.8900000000003914</v>
      </c>
      <c r="G432" s="125">
        <f t="shared" si="734"/>
        <v>1.8900000000003914</v>
      </c>
      <c r="H432" s="125">
        <f t="shared" si="734"/>
        <v>2.1000000000004349</v>
      </c>
      <c r="I432" s="125">
        <f t="shared" si="734"/>
        <v>1.6800000000003479</v>
      </c>
      <c r="J432" s="125">
        <f t="shared" si="734"/>
        <v>1.8900000000003914</v>
      </c>
      <c r="K432" s="125">
        <f t="shared" si="734"/>
        <v>2.7300000000005653</v>
      </c>
      <c r="L432" s="125">
        <f t="shared" si="734"/>
        <v>2.1000000000004349</v>
      </c>
      <c r="M432" s="125">
        <f t="shared" si="734"/>
        <v>1.6800000000003479</v>
      </c>
      <c r="N432" s="125">
        <f t="shared" si="734"/>
        <v>1.8900000000003914</v>
      </c>
      <c r="O432" s="125">
        <f t="shared" si="734"/>
        <v>2.7300000000005653</v>
      </c>
      <c r="P432" s="125">
        <f t="shared" si="734"/>
        <v>2.1000000000004349</v>
      </c>
      <c r="Q432" s="125">
        <f t="shared" si="734"/>
        <v>1.6800000000003479</v>
      </c>
      <c r="R432" s="125">
        <f t="shared" si="734"/>
        <v>1.8900000000003914</v>
      </c>
      <c r="S432" s="125">
        <f t="shared" si="734"/>
        <v>1.8900000000003914</v>
      </c>
      <c r="T432" s="125">
        <f t="shared" si="734"/>
        <v>1.6800000000003479</v>
      </c>
      <c r="U432" s="125">
        <f t="shared" si="734"/>
        <v>1.6800000000003479</v>
      </c>
      <c r="V432" s="125">
        <f t="shared" si="734"/>
        <v>1.8900000000003914</v>
      </c>
      <c r="W432" s="125">
        <f t="shared" si="734"/>
        <v>2.7300000000005653</v>
      </c>
      <c r="X432" s="125">
        <f t="shared" si="734"/>
        <v>2.1000000000004349</v>
      </c>
      <c r="Y432" s="125">
        <f t="shared" si="734"/>
        <v>1.6800000000003479</v>
      </c>
      <c r="Z432" s="125">
        <f t="shared" si="734"/>
        <v>1.4700000000003044</v>
      </c>
      <c r="AA432" s="125">
        <f t="shared" si="734"/>
        <v>2.7300000000005653</v>
      </c>
      <c r="AB432" s="125">
        <f t="shared" si="734"/>
        <v>2.1000000000004349</v>
      </c>
      <c r="AC432" s="125">
        <f t="shared" si="734"/>
        <v>1.6800000000003479</v>
      </c>
      <c r="AD432" s="125">
        <f t="shared" si="734"/>
        <v>1.8900000000003914</v>
      </c>
      <c r="AE432" s="125">
        <f t="shared" si="734"/>
        <v>1.8900000000003914</v>
      </c>
      <c r="AF432" s="125">
        <f t="shared" si="734"/>
        <v>2.1000000000004349</v>
      </c>
      <c r="AG432" s="125">
        <f t="shared" si="734"/>
        <v>1.6800000000003479</v>
      </c>
      <c r="AH432" s="125">
        <f t="shared" si="734"/>
        <v>1.8900000000003914</v>
      </c>
      <c r="AI432" s="125">
        <f t="shared" ref="AI432:BB432" si="735">AI766*$K13</f>
        <v>2.7300000000005653</v>
      </c>
      <c r="AJ432" s="125">
        <f t="shared" si="735"/>
        <v>2.1000000000004349</v>
      </c>
      <c r="AK432" s="125">
        <f t="shared" si="735"/>
        <v>1.6800000000003479</v>
      </c>
      <c r="AL432" s="125">
        <f t="shared" si="735"/>
        <v>1.4700000000003044</v>
      </c>
      <c r="AM432" s="125">
        <f t="shared" si="735"/>
        <v>2.7300000000005653</v>
      </c>
      <c r="AN432" s="125">
        <f t="shared" si="735"/>
        <v>2.1000000000004349</v>
      </c>
      <c r="AO432" s="125">
        <f t="shared" si="735"/>
        <v>1.6800000000003479</v>
      </c>
      <c r="AP432" s="125">
        <f t="shared" si="735"/>
        <v>1.8900000000003914</v>
      </c>
      <c r="AQ432" s="125">
        <f t="shared" si="735"/>
        <v>1.8900000000003914</v>
      </c>
      <c r="AR432" s="125">
        <f t="shared" si="735"/>
        <v>2.1000000000004349</v>
      </c>
      <c r="AS432" s="125">
        <f t="shared" si="735"/>
        <v>1.6800000000003479</v>
      </c>
      <c r="AT432" s="125">
        <f t="shared" si="735"/>
        <v>1.8900000000003914</v>
      </c>
      <c r="AU432" s="125">
        <f t="shared" si="735"/>
        <v>2.7300000000005653</v>
      </c>
      <c r="AV432" s="125">
        <f t="shared" si="735"/>
        <v>2.1000000000004349</v>
      </c>
      <c r="AW432" s="125">
        <f t="shared" si="735"/>
        <v>1.6800000000003479</v>
      </c>
      <c r="AX432" s="125">
        <f t="shared" si="735"/>
        <v>1.8900000000003914</v>
      </c>
      <c r="AY432" s="125">
        <f t="shared" si="735"/>
        <v>2.7300000000005653</v>
      </c>
      <c r="AZ432" s="125">
        <f t="shared" si="735"/>
        <v>2.1000000000004349</v>
      </c>
      <c r="BA432" s="125">
        <f t="shared" si="735"/>
        <v>1.6800000000003479</v>
      </c>
      <c r="BB432" s="125">
        <f t="shared" si="735"/>
        <v>1.4700000000003044</v>
      </c>
      <c r="BC432" s="19">
        <f t="shared" si="731"/>
        <v>104.16000000002154</v>
      </c>
    </row>
    <row r="433" spans="2:55" x14ac:dyDescent="0.25">
      <c r="B433" s="125" t="str">
        <f t="shared" si="726"/>
        <v>Product E Allowable Yield Baseline Loss</v>
      </c>
      <c r="C433" s="125">
        <f t="shared" ref="C433:AH433" si="736">C767*$K14</f>
        <v>1.2000000000000899</v>
      </c>
      <c r="D433" s="125">
        <f t="shared" si="736"/>
        <v>3.1200000000002337</v>
      </c>
      <c r="E433" s="125">
        <f t="shared" si="736"/>
        <v>2.4000000000001798</v>
      </c>
      <c r="F433" s="125">
        <f t="shared" si="736"/>
        <v>1.9200000000001438</v>
      </c>
      <c r="G433" s="125">
        <f t="shared" si="736"/>
        <v>1.2000000000000899</v>
      </c>
      <c r="H433" s="125">
        <f t="shared" si="736"/>
        <v>2.6400000000001977</v>
      </c>
      <c r="I433" s="125">
        <f t="shared" si="736"/>
        <v>2.4000000000001798</v>
      </c>
      <c r="J433" s="125">
        <f t="shared" si="736"/>
        <v>1.9200000000001438</v>
      </c>
      <c r="K433" s="125">
        <f t="shared" si="736"/>
        <v>1.2000000000000899</v>
      </c>
      <c r="L433" s="125">
        <f t="shared" si="736"/>
        <v>1.6800000000001258</v>
      </c>
      <c r="M433" s="125">
        <f t="shared" si="736"/>
        <v>1.4400000000001079</v>
      </c>
      <c r="N433" s="125">
        <f t="shared" si="736"/>
        <v>1.9200000000001438</v>
      </c>
      <c r="O433" s="125">
        <f t="shared" si="736"/>
        <v>1.2000000000000899</v>
      </c>
      <c r="P433" s="125">
        <f t="shared" si="736"/>
        <v>3.1200000000002337</v>
      </c>
      <c r="Q433" s="125">
        <f t="shared" si="736"/>
        <v>2.4000000000001798</v>
      </c>
      <c r="R433" s="125">
        <f t="shared" si="736"/>
        <v>1.9200000000001438</v>
      </c>
      <c r="S433" s="125">
        <f t="shared" si="736"/>
        <v>1.2000000000000899</v>
      </c>
      <c r="T433" s="125">
        <f t="shared" si="736"/>
        <v>3.1200000000002337</v>
      </c>
      <c r="U433" s="125">
        <f t="shared" si="736"/>
        <v>2.4000000000001798</v>
      </c>
      <c r="V433" s="125">
        <f t="shared" si="736"/>
        <v>1.9200000000001438</v>
      </c>
      <c r="W433" s="125">
        <f t="shared" si="736"/>
        <v>1.2000000000000899</v>
      </c>
      <c r="X433" s="125">
        <f t="shared" si="736"/>
        <v>1.6800000000001258</v>
      </c>
      <c r="Y433" s="125">
        <f t="shared" si="736"/>
        <v>2.4000000000001798</v>
      </c>
      <c r="Z433" s="125">
        <f t="shared" si="736"/>
        <v>1.9200000000001438</v>
      </c>
      <c r="AA433" s="125">
        <f t="shared" si="736"/>
        <v>1.2000000000000899</v>
      </c>
      <c r="AB433" s="125">
        <f t="shared" si="736"/>
        <v>3.1200000000002337</v>
      </c>
      <c r="AC433" s="125">
        <f t="shared" si="736"/>
        <v>2.4000000000001798</v>
      </c>
      <c r="AD433" s="125">
        <f t="shared" si="736"/>
        <v>1.9200000000001438</v>
      </c>
      <c r="AE433" s="125">
        <f t="shared" si="736"/>
        <v>1.2000000000000899</v>
      </c>
      <c r="AF433" s="125">
        <f t="shared" si="736"/>
        <v>2.6400000000001977</v>
      </c>
      <c r="AG433" s="125">
        <f t="shared" si="736"/>
        <v>2.4000000000001798</v>
      </c>
      <c r="AH433" s="125">
        <f t="shared" si="736"/>
        <v>1.9200000000001438</v>
      </c>
      <c r="AI433" s="125">
        <f t="shared" ref="AI433:BB433" si="737">AI767*$K14</f>
        <v>1.2000000000000899</v>
      </c>
      <c r="AJ433" s="125">
        <f t="shared" si="737"/>
        <v>1.6800000000001258</v>
      </c>
      <c r="AK433" s="125">
        <f t="shared" si="737"/>
        <v>2.4000000000001798</v>
      </c>
      <c r="AL433" s="125">
        <f t="shared" si="737"/>
        <v>1.9200000000001438</v>
      </c>
      <c r="AM433" s="125">
        <f t="shared" si="737"/>
        <v>1.2000000000000899</v>
      </c>
      <c r="AN433" s="125">
        <f t="shared" si="737"/>
        <v>3.1200000000002337</v>
      </c>
      <c r="AO433" s="125">
        <f t="shared" si="737"/>
        <v>2.4000000000001798</v>
      </c>
      <c r="AP433" s="125">
        <f t="shared" si="737"/>
        <v>1.9200000000001438</v>
      </c>
      <c r="AQ433" s="125">
        <f t="shared" si="737"/>
        <v>1.2000000000000899</v>
      </c>
      <c r="AR433" s="125">
        <f t="shared" si="737"/>
        <v>2.6400000000001977</v>
      </c>
      <c r="AS433" s="125">
        <f t="shared" si="737"/>
        <v>2.4000000000001798</v>
      </c>
      <c r="AT433" s="125">
        <f t="shared" si="737"/>
        <v>1.9200000000001438</v>
      </c>
      <c r="AU433" s="125">
        <f t="shared" si="737"/>
        <v>1.2000000000000899</v>
      </c>
      <c r="AV433" s="125">
        <f t="shared" si="737"/>
        <v>3.1200000000002337</v>
      </c>
      <c r="AW433" s="125">
        <f t="shared" si="737"/>
        <v>2.4000000000001798</v>
      </c>
      <c r="AX433" s="125">
        <f t="shared" si="737"/>
        <v>1.9200000000001438</v>
      </c>
      <c r="AY433" s="125">
        <f t="shared" si="737"/>
        <v>1.2000000000000899</v>
      </c>
      <c r="AZ433" s="125">
        <f t="shared" si="737"/>
        <v>3.1200000000002337</v>
      </c>
      <c r="BA433" s="125">
        <f t="shared" si="737"/>
        <v>2.4000000000001798</v>
      </c>
      <c r="BB433" s="125">
        <f t="shared" si="737"/>
        <v>1.9200000000001438</v>
      </c>
      <c r="BC433" s="19">
        <f t="shared" si="731"/>
        <v>105.60000000000787</v>
      </c>
    </row>
    <row r="434" spans="2:55" x14ac:dyDescent="0.25">
      <c r="B434" s="125" t="str">
        <f t="shared" si="726"/>
        <v>Product F Allowable Yield Baseline Loss</v>
      </c>
      <c r="C434" s="125">
        <f t="shared" ref="C434:AH434" si="738">C768*$K15</f>
        <v>0</v>
      </c>
      <c r="D434" s="125">
        <f t="shared" si="738"/>
        <v>1.3499999999999623</v>
      </c>
      <c r="E434" s="125">
        <f t="shared" si="738"/>
        <v>3.5099999999999021</v>
      </c>
      <c r="F434" s="125">
        <f t="shared" si="738"/>
        <v>0</v>
      </c>
      <c r="G434" s="125">
        <f t="shared" si="738"/>
        <v>0</v>
      </c>
      <c r="H434" s="125">
        <f t="shared" si="738"/>
        <v>1.3499999999999623</v>
      </c>
      <c r="I434" s="125">
        <f t="shared" si="738"/>
        <v>3.5099999999999021</v>
      </c>
      <c r="J434" s="125">
        <f t="shared" si="738"/>
        <v>2.6999999999999247</v>
      </c>
      <c r="K434" s="125">
        <f t="shared" si="738"/>
        <v>1.6199999999999548</v>
      </c>
      <c r="L434" s="125">
        <f t="shared" si="738"/>
        <v>1.3499999999999623</v>
      </c>
      <c r="M434" s="125">
        <f t="shared" si="738"/>
        <v>3.5099999999999021</v>
      </c>
      <c r="N434" s="125">
        <f t="shared" si="738"/>
        <v>2.6999999999999247</v>
      </c>
      <c r="O434" s="125">
        <f t="shared" si="738"/>
        <v>0</v>
      </c>
      <c r="P434" s="125">
        <f t="shared" si="738"/>
        <v>1.3499999999999623</v>
      </c>
      <c r="Q434" s="125">
        <f t="shared" si="738"/>
        <v>3.5099999999999021</v>
      </c>
      <c r="R434" s="125">
        <f t="shared" si="738"/>
        <v>2.6999999999999247</v>
      </c>
      <c r="S434" s="125">
        <f t="shared" si="738"/>
        <v>0</v>
      </c>
      <c r="T434" s="125">
        <f t="shared" si="738"/>
        <v>1.3499999999999623</v>
      </c>
      <c r="U434" s="125">
        <f t="shared" si="738"/>
        <v>3.5099999999999021</v>
      </c>
      <c r="V434" s="125">
        <f t="shared" si="738"/>
        <v>2.6999999999999247</v>
      </c>
      <c r="W434" s="125">
        <f t="shared" si="738"/>
        <v>0</v>
      </c>
      <c r="X434" s="125">
        <f t="shared" si="738"/>
        <v>1.3499999999999623</v>
      </c>
      <c r="Y434" s="125">
        <f t="shared" si="738"/>
        <v>2.4299999999999322</v>
      </c>
      <c r="Z434" s="125">
        <f t="shared" si="738"/>
        <v>2.6999999999999247</v>
      </c>
      <c r="AA434" s="125">
        <f t="shared" si="738"/>
        <v>0</v>
      </c>
      <c r="AB434" s="125">
        <f t="shared" si="738"/>
        <v>1.3499999999999623</v>
      </c>
      <c r="AC434" s="125">
        <f t="shared" si="738"/>
        <v>3.5099999999999021</v>
      </c>
      <c r="AD434" s="125">
        <f t="shared" si="738"/>
        <v>1.0799999999999699</v>
      </c>
      <c r="AE434" s="125">
        <f t="shared" si="738"/>
        <v>0</v>
      </c>
      <c r="AF434" s="125">
        <f t="shared" si="738"/>
        <v>1.3499999999999623</v>
      </c>
      <c r="AG434" s="125">
        <f t="shared" si="738"/>
        <v>3.5099999999999021</v>
      </c>
      <c r="AH434" s="125">
        <f t="shared" si="738"/>
        <v>2.6999999999999247</v>
      </c>
      <c r="AI434" s="125">
        <f t="shared" ref="AI434:BB434" si="739">AI768*$K15</f>
        <v>0</v>
      </c>
      <c r="AJ434" s="125">
        <f t="shared" si="739"/>
        <v>1.3499999999999623</v>
      </c>
      <c r="AK434" s="125">
        <f t="shared" si="739"/>
        <v>2.4299999999999322</v>
      </c>
      <c r="AL434" s="125">
        <f t="shared" si="739"/>
        <v>2.6999999999999247</v>
      </c>
      <c r="AM434" s="125">
        <f t="shared" si="739"/>
        <v>0</v>
      </c>
      <c r="AN434" s="125">
        <f t="shared" si="739"/>
        <v>1.3499999999999623</v>
      </c>
      <c r="AO434" s="125">
        <f t="shared" si="739"/>
        <v>3.5099999999999021</v>
      </c>
      <c r="AP434" s="125">
        <f t="shared" si="739"/>
        <v>1.0799999999999699</v>
      </c>
      <c r="AQ434" s="125">
        <f t="shared" si="739"/>
        <v>0</v>
      </c>
      <c r="AR434" s="125">
        <f t="shared" si="739"/>
        <v>1.3499999999999623</v>
      </c>
      <c r="AS434" s="125">
        <f t="shared" si="739"/>
        <v>3.5099999999999021</v>
      </c>
      <c r="AT434" s="125">
        <f t="shared" si="739"/>
        <v>2.6999999999999247</v>
      </c>
      <c r="AU434" s="125">
        <f t="shared" si="739"/>
        <v>1.3499999999999623</v>
      </c>
      <c r="AV434" s="125">
        <f t="shared" si="739"/>
        <v>1.3499999999999623</v>
      </c>
      <c r="AW434" s="125">
        <f t="shared" si="739"/>
        <v>3.5099999999999021</v>
      </c>
      <c r="AX434" s="125">
        <f t="shared" si="739"/>
        <v>2.6999999999999247</v>
      </c>
      <c r="AY434" s="125">
        <f t="shared" si="739"/>
        <v>1.6199999999999548</v>
      </c>
      <c r="AZ434" s="125">
        <f t="shared" si="739"/>
        <v>1.3499999999999623</v>
      </c>
      <c r="BA434" s="125">
        <f t="shared" si="739"/>
        <v>2.4299999999999322</v>
      </c>
      <c r="BB434" s="125">
        <f t="shared" si="739"/>
        <v>2.6999999999999247</v>
      </c>
      <c r="BC434" s="19">
        <f t="shared" si="731"/>
        <v>93.689999999997411</v>
      </c>
    </row>
    <row r="435" spans="2:55" x14ac:dyDescent="0.25">
      <c r="B435" s="125" t="str">
        <f t="shared" si="726"/>
        <v>Product G Allowable Yield Baseline Loss</v>
      </c>
      <c r="C435" s="125">
        <f t="shared" ref="C435:AH435" si="740">C769*$K16</f>
        <v>0</v>
      </c>
      <c r="D435" s="125">
        <f t="shared" si="740"/>
        <v>0.65999999999999392</v>
      </c>
      <c r="E435" s="125">
        <f t="shared" si="740"/>
        <v>1.3199999999999878</v>
      </c>
      <c r="F435" s="125">
        <f t="shared" si="740"/>
        <v>2.4199999999999777</v>
      </c>
      <c r="G435" s="125">
        <f t="shared" si="740"/>
        <v>0</v>
      </c>
      <c r="H435" s="125">
        <f t="shared" si="740"/>
        <v>0</v>
      </c>
      <c r="I435" s="125">
        <f t="shared" si="740"/>
        <v>1.0999999999999899</v>
      </c>
      <c r="J435" s="125">
        <f t="shared" si="740"/>
        <v>2.8599999999999737</v>
      </c>
      <c r="K435" s="125">
        <f t="shared" si="740"/>
        <v>0</v>
      </c>
      <c r="L435" s="125">
        <f t="shared" si="740"/>
        <v>0</v>
      </c>
      <c r="M435" s="125">
        <f t="shared" si="740"/>
        <v>1.0999999999999899</v>
      </c>
      <c r="N435" s="125">
        <f t="shared" si="740"/>
        <v>2.4199999999999777</v>
      </c>
      <c r="O435" s="125">
        <f t="shared" si="740"/>
        <v>0</v>
      </c>
      <c r="P435" s="125">
        <f t="shared" si="740"/>
        <v>0</v>
      </c>
      <c r="Q435" s="125">
        <f t="shared" si="740"/>
        <v>1.0999999999999899</v>
      </c>
      <c r="R435" s="125">
        <f t="shared" si="740"/>
        <v>1.5399999999999858</v>
      </c>
      <c r="S435" s="125">
        <f t="shared" si="740"/>
        <v>0</v>
      </c>
      <c r="T435" s="125">
        <f t="shared" si="740"/>
        <v>0</v>
      </c>
      <c r="U435" s="125">
        <f t="shared" si="740"/>
        <v>1.0999999999999899</v>
      </c>
      <c r="V435" s="125">
        <f t="shared" si="740"/>
        <v>2.8599999999999737</v>
      </c>
      <c r="W435" s="125">
        <f t="shared" si="740"/>
        <v>0</v>
      </c>
      <c r="X435" s="125">
        <f t="shared" si="740"/>
        <v>0</v>
      </c>
      <c r="Y435" s="125">
        <f t="shared" si="740"/>
        <v>1.0999999999999899</v>
      </c>
      <c r="Z435" s="125">
        <f t="shared" si="740"/>
        <v>2.8599999999999737</v>
      </c>
      <c r="AA435" s="125">
        <f t="shared" si="740"/>
        <v>0</v>
      </c>
      <c r="AB435" s="125">
        <f t="shared" si="740"/>
        <v>0</v>
      </c>
      <c r="AC435" s="125">
        <f t="shared" si="740"/>
        <v>1.0999999999999899</v>
      </c>
      <c r="AD435" s="125">
        <f t="shared" si="740"/>
        <v>2.8599999999999737</v>
      </c>
      <c r="AE435" s="125">
        <f t="shared" si="740"/>
        <v>0</v>
      </c>
      <c r="AF435" s="125">
        <f t="shared" si="740"/>
        <v>0</v>
      </c>
      <c r="AG435" s="125">
        <f t="shared" si="740"/>
        <v>1.0999999999999899</v>
      </c>
      <c r="AH435" s="125">
        <f t="shared" si="740"/>
        <v>2.8599999999999737</v>
      </c>
      <c r="AI435" s="125">
        <f t="shared" ref="AI435:BB435" si="741">AI769*$K16</f>
        <v>0</v>
      </c>
      <c r="AJ435" s="125">
        <f t="shared" si="741"/>
        <v>0</v>
      </c>
      <c r="AK435" s="125">
        <f t="shared" si="741"/>
        <v>1.0999999999999899</v>
      </c>
      <c r="AL435" s="125">
        <f t="shared" si="741"/>
        <v>2.8599999999999737</v>
      </c>
      <c r="AM435" s="125">
        <f t="shared" si="741"/>
        <v>0</v>
      </c>
      <c r="AN435" s="125">
        <f t="shared" si="741"/>
        <v>0</v>
      </c>
      <c r="AO435" s="125">
        <f t="shared" si="741"/>
        <v>1.0999999999999899</v>
      </c>
      <c r="AP435" s="125">
        <f t="shared" si="741"/>
        <v>2.8599999999999737</v>
      </c>
      <c r="AQ435" s="125">
        <f t="shared" si="741"/>
        <v>0</v>
      </c>
      <c r="AR435" s="125">
        <f t="shared" si="741"/>
        <v>0</v>
      </c>
      <c r="AS435" s="125">
        <f t="shared" si="741"/>
        <v>1.0999999999999899</v>
      </c>
      <c r="AT435" s="125">
        <f t="shared" si="741"/>
        <v>2.8599999999999737</v>
      </c>
      <c r="AU435" s="125">
        <f t="shared" si="741"/>
        <v>0</v>
      </c>
      <c r="AV435" s="125">
        <f t="shared" si="741"/>
        <v>0</v>
      </c>
      <c r="AW435" s="125">
        <f t="shared" si="741"/>
        <v>1.0999999999999899</v>
      </c>
      <c r="AX435" s="125">
        <f t="shared" si="741"/>
        <v>2.8599999999999737</v>
      </c>
      <c r="AY435" s="125">
        <f t="shared" si="741"/>
        <v>0</v>
      </c>
      <c r="AZ435" s="125">
        <f t="shared" si="741"/>
        <v>0</v>
      </c>
      <c r="BA435" s="125">
        <f t="shared" si="741"/>
        <v>1.0999999999999899</v>
      </c>
      <c r="BB435" s="125">
        <f t="shared" si="741"/>
        <v>2.8599999999999737</v>
      </c>
      <c r="BC435" s="19">
        <f t="shared" si="731"/>
        <v>50.159999999999521</v>
      </c>
    </row>
    <row r="436" spans="2:55" x14ac:dyDescent="0.25">
      <c r="B436" s="125" t="str">
        <f t="shared" si="726"/>
        <v>Product H Allowable Yield Baseline Loss</v>
      </c>
      <c r="C436" s="125">
        <f t="shared" ref="C436:AH436" si="742">C770*$K17</f>
        <v>0</v>
      </c>
      <c r="D436" s="125">
        <f t="shared" si="742"/>
        <v>0</v>
      </c>
      <c r="E436" s="125">
        <f t="shared" si="742"/>
        <v>0</v>
      </c>
      <c r="F436" s="125">
        <f t="shared" si="742"/>
        <v>1.2000000000000899</v>
      </c>
      <c r="G436" s="125">
        <f t="shared" si="742"/>
        <v>0</v>
      </c>
      <c r="H436" s="125">
        <f t="shared" si="742"/>
        <v>0</v>
      </c>
      <c r="I436" s="125">
        <f t="shared" si="742"/>
        <v>0</v>
      </c>
      <c r="J436" s="125">
        <f t="shared" si="742"/>
        <v>1.2000000000000899</v>
      </c>
      <c r="K436" s="125">
        <f t="shared" si="742"/>
        <v>0</v>
      </c>
      <c r="L436" s="125">
        <f t="shared" si="742"/>
        <v>0</v>
      </c>
      <c r="M436" s="125">
        <f t="shared" si="742"/>
        <v>0</v>
      </c>
      <c r="N436" s="125">
        <f t="shared" si="742"/>
        <v>1.2000000000000899</v>
      </c>
      <c r="O436" s="125">
        <f t="shared" si="742"/>
        <v>0</v>
      </c>
      <c r="P436" s="125">
        <f t="shared" si="742"/>
        <v>0</v>
      </c>
      <c r="Q436" s="125">
        <f t="shared" si="742"/>
        <v>1.4400000000001079</v>
      </c>
      <c r="R436" s="125">
        <f t="shared" si="742"/>
        <v>1.2000000000000899</v>
      </c>
      <c r="S436" s="125">
        <f t="shared" si="742"/>
        <v>0</v>
      </c>
      <c r="T436" s="125">
        <f t="shared" si="742"/>
        <v>0</v>
      </c>
      <c r="U436" s="125">
        <f t="shared" si="742"/>
        <v>0</v>
      </c>
      <c r="V436" s="125">
        <f t="shared" si="742"/>
        <v>1.2000000000000899</v>
      </c>
      <c r="W436" s="125">
        <f t="shared" si="742"/>
        <v>1.4400000000001079</v>
      </c>
      <c r="X436" s="125">
        <f t="shared" si="742"/>
        <v>0</v>
      </c>
      <c r="Y436" s="125">
        <f t="shared" si="742"/>
        <v>0</v>
      </c>
      <c r="Z436" s="125">
        <f t="shared" si="742"/>
        <v>1.2000000000000899</v>
      </c>
      <c r="AA436" s="125">
        <f t="shared" si="742"/>
        <v>0</v>
      </c>
      <c r="AB436" s="125">
        <f t="shared" si="742"/>
        <v>0.72000000000005393</v>
      </c>
      <c r="AC436" s="125">
        <f t="shared" si="742"/>
        <v>0</v>
      </c>
      <c r="AD436" s="125">
        <f t="shared" si="742"/>
        <v>1.2000000000000899</v>
      </c>
      <c r="AE436" s="125">
        <f t="shared" si="742"/>
        <v>0</v>
      </c>
      <c r="AF436" s="125">
        <f t="shared" si="742"/>
        <v>0</v>
      </c>
      <c r="AG436" s="125">
        <f t="shared" si="742"/>
        <v>0</v>
      </c>
      <c r="AH436" s="125">
        <f t="shared" si="742"/>
        <v>1.2000000000000899</v>
      </c>
      <c r="AI436" s="125">
        <f t="shared" ref="AI436:BB436" si="743">AI770*$K17</f>
        <v>1.4400000000001079</v>
      </c>
      <c r="AJ436" s="125">
        <f t="shared" si="743"/>
        <v>0</v>
      </c>
      <c r="AK436" s="125">
        <f t="shared" si="743"/>
        <v>0</v>
      </c>
      <c r="AL436" s="125">
        <f t="shared" si="743"/>
        <v>1.2000000000000899</v>
      </c>
      <c r="AM436" s="125">
        <f t="shared" si="743"/>
        <v>0</v>
      </c>
      <c r="AN436" s="125">
        <f t="shared" si="743"/>
        <v>0</v>
      </c>
      <c r="AO436" s="125">
        <f t="shared" si="743"/>
        <v>1.4400000000001079</v>
      </c>
      <c r="AP436" s="125">
        <f t="shared" si="743"/>
        <v>1.2000000000000899</v>
      </c>
      <c r="AQ436" s="125">
        <f t="shared" si="743"/>
        <v>0</v>
      </c>
      <c r="AR436" s="125">
        <f t="shared" si="743"/>
        <v>0</v>
      </c>
      <c r="AS436" s="125">
        <f t="shared" si="743"/>
        <v>0</v>
      </c>
      <c r="AT436" s="125">
        <f t="shared" si="743"/>
        <v>1.2000000000000899</v>
      </c>
      <c r="AU436" s="125">
        <f t="shared" si="743"/>
        <v>0</v>
      </c>
      <c r="AV436" s="125">
        <f t="shared" si="743"/>
        <v>0</v>
      </c>
      <c r="AW436" s="125">
        <f t="shared" si="743"/>
        <v>0</v>
      </c>
      <c r="AX436" s="125">
        <f t="shared" si="743"/>
        <v>1.2000000000000899</v>
      </c>
      <c r="AY436" s="125">
        <f t="shared" si="743"/>
        <v>0</v>
      </c>
      <c r="AZ436" s="125">
        <f t="shared" si="743"/>
        <v>0</v>
      </c>
      <c r="BA436" s="125">
        <f t="shared" si="743"/>
        <v>0</v>
      </c>
      <c r="BB436" s="125">
        <f t="shared" si="743"/>
        <v>1.2000000000000899</v>
      </c>
      <c r="BC436" s="19">
        <f t="shared" si="731"/>
        <v>22.080000000001647</v>
      </c>
    </row>
    <row r="437" spans="2:55" x14ac:dyDescent="0.25">
      <c r="B437" s="88" t="str">
        <f t="shared" ref="B437:B444" si="744">_xlfn.CONCAT(B322," ","Allowable Yield Baseline VAS")</f>
        <v>Product A Allowable Yield Baseline VAS</v>
      </c>
      <c r="C437" s="88">
        <f t="shared" ref="C437:AH437" si="745">C429*C634</f>
        <v>42.066572944292453</v>
      </c>
      <c r="D437" s="88">
        <f t="shared" si="745"/>
        <v>0</v>
      </c>
      <c r="E437" s="88">
        <f t="shared" si="745"/>
        <v>23.355101370918455</v>
      </c>
      <c r="F437" s="88">
        <f t="shared" si="745"/>
        <v>0</v>
      </c>
      <c r="G437" s="88">
        <f t="shared" si="745"/>
        <v>42.089905974530133</v>
      </c>
      <c r="H437" s="88">
        <f t="shared" si="745"/>
        <v>0</v>
      </c>
      <c r="I437" s="88">
        <f t="shared" si="745"/>
        <v>0</v>
      </c>
      <c r="J437" s="88">
        <f t="shared" si="745"/>
        <v>0</v>
      </c>
      <c r="K437" s="88">
        <f t="shared" si="745"/>
        <v>42.040100116409803</v>
      </c>
      <c r="L437" s="88">
        <f t="shared" si="745"/>
        <v>0</v>
      </c>
      <c r="M437" s="88">
        <f t="shared" si="745"/>
        <v>0</v>
      </c>
      <c r="N437" s="88">
        <f t="shared" si="745"/>
        <v>0</v>
      </c>
      <c r="O437" s="88">
        <f t="shared" si="745"/>
        <v>42.066572944292453</v>
      </c>
      <c r="P437" s="88">
        <f t="shared" si="745"/>
        <v>14.015991513435516</v>
      </c>
      <c r="Q437" s="88">
        <f t="shared" si="745"/>
        <v>0</v>
      </c>
      <c r="R437" s="88">
        <f t="shared" si="745"/>
        <v>0</v>
      </c>
      <c r="S437" s="88">
        <f t="shared" si="745"/>
        <v>42.089905974530133</v>
      </c>
      <c r="T437" s="88">
        <f t="shared" si="745"/>
        <v>0</v>
      </c>
      <c r="U437" s="88">
        <f t="shared" si="745"/>
        <v>0</v>
      </c>
      <c r="V437" s="88">
        <f t="shared" si="745"/>
        <v>14.017983347209114</v>
      </c>
      <c r="W437" s="88">
        <f t="shared" si="745"/>
        <v>42.043021276591112</v>
      </c>
      <c r="X437" s="88">
        <f t="shared" si="745"/>
        <v>0</v>
      </c>
      <c r="Y437" s="88">
        <f t="shared" si="745"/>
        <v>0</v>
      </c>
      <c r="Z437" s="88">
        <f t="shared" si="745"/>
        <v>0</v>
      </c>
      <c r="AA437" s="88">
        <f t="shared" si="745"/>
        <v>42.066572944292453</v>
      </c>
      <c r="AB437" s="88">
        <f t="shared" si="745"/>
        <v>0</v>
      </c>
      <c r="AC437" s="88">
        <f t="shared" si="745"/>
        <v>28.026121645102148</v>
      </c>
      <c r="AD437" s="88">
        <f t="shared" si="745"/>
        <v>0</v>
      </c>
      <c r="AE437" s="88">
        <f t="shared" si="745"/>
        <v>42.089905974530133</v>
      </c>
      <c r="AF437" s="88">
        <f t="shared" si="745"/>
        <v>0</v>
      </c>
      <c r="AG437" s="88">
        <f t="shared" si="745"/>
        <v>0</v>
      </c>
      <c r="AH437" s="88">
        <f t="shared" si="745"/>
        <v>14.017983347209114</v>
      </c>
      <c r="AI437" s="88">
        <f t="shared" ref="AI437:BB437" si="746">AI429*AI634</f>
        <v>42.043021276591112</v>
      </c>
      <c r="AJ437" s="88">
        <f t="shared" si="746"/>
        <v>0</v>
      </c>
      <c r="AK437" s="88">
        <f t="shared" si="746"/>
        <v>0</v>
      </c>
      <c r="AL437" s="88">
        <f t="shared" si="746"/>
        <v>0</v>
      </c>
      <c r="AM437" s="88">
        <f t="shared" si="746"/>
        <v>42.066572944292453</v>
      </c>
      <c r="AN437" s="88">
        <f t="shared" si="746"/>
        <v>14.015991513435516</v>
      </c>
      <c r="AO437" s="88">
        <f t="shared" si="746"/>
        <v>0</v>
      </c>
      <c r="AP437" s="88">
        <f t="shared" si="746"/>
        <v>0</v>
      </c>
      <c r="AQ437" s="88">
        <f t="shared" si="746"/>
        <v>42.089905974530133</v>
      </c>
      <c r="AR437" s="88">
        <f t="shared" si="746"/>
        <v>0</v>
      </c>
      <c r="AS437" s="88">
        <f t="shared" si="746"/>
        <v>23.356960110038695</v>
      </c>
      <c r="AT437" s="88">
        <f t="shared" si="746"/>
        <v>0</v>
      </c>
      <c r="AU437" s="88">
        <f t="shared" si="746"/>
        <v>42.0440534759312</v>
      </c>
      <c r="AV437" s="88">
        <f t="shared" si="746"/>
        <v>23.356125950475104</v>
      </c>
      <c r="AW437" s="88">
        <f t="shared" si="746"/>
        <v>0</v>
      </c>
      <c r="AX437" s="88">
        <f t="shared" si="746"/>
        <v>0</v>
      </c>
      <c r="AY437" s="88">
        <f t="shared" si="746"/>
        <v>42.040100116409803</v>
      </c>
      <c r="AZ437" s="88">
        <f t="shared" si="746"/>
        <v>0</v>
      </c>
      <c r="BA437" s="88">
        <f t="shared" si="746"/>
        <v>0</v>
      </c>
      <c r="BB437" s="88">
        <f t="shared" si="746"/>
        <v>0</v>
      </c>
      <c r="BC437" s="19">
        <f t="shared" si="731"/>
        <v>700.99847073504691</v>
      </c>
    </row>
    <row r="438" spans="2:55" x14ac:dyDescent="0.25">
      <c r="B438" s="88" t="str">
        <f t="shared" si="744"/>
        <v>Product B Allowable Yield Baseline VAS</v>
      </c>
      <c r="C438" s="88">
        <f t="shared" ref="C438:AH438" si="747">C430*C635</f>
        <v>39.410633846155541</v>
      </c>
      <c r="D438" s="88">
        <f t="shared" si="747"/>
        <v>44.31738653465537</v>
      </c>
      <c r="E438" s="88">
        <f t="shared" si="747"/>
        <v>0</v>
      </c>
      <c r="F438" s="88">
        <f t="shared" si="747"/>
        <v>29.582653812950916</v>
      </c>
      <c r="G438" s="88">
        <f t="shared" si="747"/>
        <v>39.432465112636365</v>
      </c>
      <c r="H438" s="88">
        <f t="shared" si="747"/>
        <v>44.340078861754101</v>
      </c>
      <c r="I438" s="88">
        <f t="shared" si="747"/>
        <v>0</v>
      </c>
      <c r="J438" s="88">
        <f t="shared" si="747"/>
        <v>14.774203048882159</v>
      </c>
      <c r="K438" s="88">
        <f t="shared" si="747"/>
        <v>39.38586486612509</v>
      </c>
      <c r="L438" s="88">
        <f t="shared" si="747"/>
        <v>44.364843453239317</v>
      </c>
      <c r="M438" s="88">
        <f t="shared" si="747"/>
        <v>0</v>
      </c>
      <c r="N438" s="88">
        <f t="shared" si="747"/>
        <v>0</v>
      </c>
      <c r="O438" s="88">
        <f t="shared" si="747"/>
        <v>39.410633846155541</v>
      </c>
      <c r="P438" s="88">
        <f t="shared" si="747"/>
        <v>44.31738653465537</v>
      </c>
      <c r="Q438" s="88">
        <f t="shared" si="747"/>
        <v>0</v>
      </c>
      <c r="R438" s="88">
        <f t="shared" si="747"/>
        <v>0</v>
      </c>
      <c r="S438" s="88">
        <f t="shared" si="747"/>
        <v>39.432465112636365</v>
      </c>
      <c r="T438" s="88">
        <f t="shared" si="747"/>
        <v>44.340286153848062</v>
      </c>
      <c r="U438" s="88">
        <f t="shared" si="747"/>
        <v>0</v>
      </c>
      <c r="V438" s="88">
        <f t="shared" si="747"/>
        <v>0</v>
      </c>
      <c r="W438" s="88">
        <f t="shared" si="747"/>
        <v>39.388598014186094</v>
      </c>
      <c r="X438" s="88">
        <f t="shared" si="747"/>
        <v>44.364843453239317</v>
      </c>
      <c r="Y438" s="88">
        <f t="shared" si="747"/>
        <v>0</v>
      </c>
      <c r="Z438" s="88">
        <f t="shared" si="747"/>
        <v>0</v>
      </c>
      <c r="AA438" s="88">
        <f t="shared" si="747"/>
        <v>39.410633846155541</v>
      </c>
      <c r="AB438" s="88">
        <f t="shared" si="747"/>
        <v>44.317134199800087</v>
      </c>
      <c r="AC438" s="88">
        <f t="shared" si="747"/>
        <v>0</v>
      </c>
      <c r="AD438" s="88">
        <f t="shared" si="747"/>
        <v>0</v>
      </c>
      <c r="AE438" s="88">
        <f t="shared" si="747"/>
        <v>39.432465112636365</v>
      </c>
      <c r="AF438" s="88">
        <f t="shared" si="747"/>
        <v>44.340078861754101</v>
      </c>
      <c r="AG438" s="88">
        <f t="shared" si="747"/>
        <v>0</v>
      </c>
      <c r="AH438" s="88">
        <f t="shared" si="747"/>
        <v>0</v>
      </c>
      <c r="AI438" s="88">
        <f t="shared" ref="AI438:BB438" si="748">AI430*AI635</f>
        <v>39.388598014186094</v>
      </c>
      <c r="AJ438" s="88">
        <f t="shared" si="748"/>
        <v>44.364843453239317</v>
      </c>
      <c r="AK438" s="88">
        <f t="shared" si="748"/>
        <v>0</v>
      </c>
      <c r="AL438" s="88">
        <f t="shared" si="748"/>
        <v>0</v>
      </c>
      <c r="AM438" s="88">
        <f t="shared" si="748"/>
        <v>39.410633846155541</v>
      </c>
      <c r="AN438" s="88">
        <f t="shared" si="748"/>
        <v>44.31738653465537</v>
      </c>
      <c r="AO438" s="88">
        <f t="shared" si="748"/>
        <v>0</v>
      </c>
      <c r="AP438" s="88">
        <f t="shared" si="748"/>
        <v>0</v>
      </c>
      <c r="AQ438" s="88">
        <f t="shared" si="748"/>
        <v>39.432465112636365</v>
      </c>
      <c r="AR438" s="88">
        <f t="shared" si="748"/>
        <v>44.340078861754101</v>
      </c>
      <c r="AS438" s="88">
        <f t="shared" si="748"/>
        <v>0</v>
      </c>
      <c r="AT438" s="88">
        <f t="shared" si="748"/>
        <v>24.619042038217625</v>
      </c>
      <c r="AU438" s="88">
        <f t="shared" si="748"/>
        <v>39.389563778967826</v>
      </c>
      <c r="AV438" s="88">
        <f t="shared" si="748"/>
        <v>44.31007330084028</v>
      </c>
      <c r="AW438" s="88">
        <f t="shared" si="748"/>
        <v>0</v>
      </c>
      <c r="AX438" s="88">
        <f t="shared" si="748"/>
        <v>14.774203048882159</v>
      </c>
      <c r="AY438" s="88">
        <f t="shared" si="748"/>
        <v>39.38586486612509</v>
      </c>
      <c r="AZ438" s="88">
        <f t="shared" si="748"/>
        <v>14.787030388658666</v>
      </c>
      <c r="BA438" s="88">
        <f t="shared" si="748"/>
        <v>0</v>
      </c>
      <c r="BB438" s="88">
        <f t="shared" si="748"/>
        <v>0</v>
      </c>
      <c r="BC438" s="19">
        <f t="shared" si="731"/>
        <v>1142.8824379157838</v>
      </c>
    </row>
    <row r="439" spans="2:55" x14ac:dyDescent="0.25">
      <c r="B439" s="88" t="str">
        <f t="shared" si="744"/>
        <v>Product C Allowable Yield Baseline VAS</v>
      </c>
      <c r="C439" s="88">
        <f t="shared" ref="C439:AH439" si="749">C431*C636</f>
        <v>37.71389920423988</v>
      </c>
      <c r="D439" s="88">
        <f t="shared" si="749"/>
        <v>30.156424328143778</v>
      </c>
      <c r="E439" s="88">
        <f t="shared" si="749"/>
        <v>33.918162193469911</v>
      </c>
      <c r="F439" s="88">
        <f t="shared" si="749"/>
        <v>0</v>
      </c>
      <c r="G439" s="88">
        <f t="shared" si="749"/>
        <v>37.736944172375864</v>
      </c>
      <c r="H439" s="88">
        <f t="shared" si="749"/>
        <v>30.173458211961723</v>
      </c>
      <c r="I439" s="88">
        <f t="shared" si="749"/>
        <v>33.937737012283392</v>
      </c>
      <c r="J439" s="88">
        <f t="shared" si="749"/>
        <v>0</v>
      </c>
      <c r="K439" s="88">
        <f t="shared" si="749"/>
        <v>37.687753201392823</v>
      </c>
      <c r="L439" s="88">
        <f t="shared" si="749"/>
        <v>30.192047630857502</v>
      </c>
      <c r="M439" s="88">
        <f t="shared" si="749"/>
        <v>33.957014975037858</v>
      </c>
      <c r="N439" s="88">
        <f t="shared" si="749"/>
        <v>0</v>
      </c>
      <c r="O439" s="88">
        <f t="shared" si="749"/>
        <v>37.71389920423988</v>
      </c>
      <c r="P439" s="88">
        <f t="shared" si="749"/>
        <v>30.156424328143778</v>
      </c>
      <c r="Q439" s="88">
        <f t="shared" si="749"/>
        <v>33.917773454051357</v>
      </c>
      <c r="R439" s="88">
        <f t="shared" si="749"/>
        <v>0</v>
      </c>
      <c r="S439" s="88">
        <f t="shared" si="749"/>
        <v>37.736944172375864</v>
      </c>
      <c r="T439" s="88">
        <f t="shared" si="749"/>
        <v>30.173613814753349</v>
      </c>
      <c r="U439" s="88">
        <f t="shared" si="749"/>
        <v>33.937737012283392</v>
      </c>
      <c r="V439" s="88">
        <f t="shared" si="749"/>
        <v>0</v>
      </c>
      <c r="W439" s="88">
        <f t="shared" si="749"/>
        <v>37.69063829786819</v>
      </c>
      <c r="X439" s="88">
        <f t="shared" si="749"/>
        <v>30.192047630857502</v>
      </c>
      <c r="Y439" s="88">
        <f t="shared" si="749"/>
        <v>33.956426167334492</v>
      </c>
      <c r="Z439" s="88">
        <f t="shared" si="749"/>
        <v>0</v>
      </c>
      <c r="AA439" s="88">
        <f t="shared" si="749"/>
        <v>37.71389920423988</v>
      </c>
      <c r="AB439" s="88">
        <f t="shared" si="749"/>
        <v>30.156234914224729</v>
      </c>
      <c r="AC439" s="88">
        <f t="shared" si="749"/>
        <v>33.918162193469911</v>
      </c>
      <c r="AD439" s="88">
        <f t="shared" si="749"/>
        <v>0</v>
      </c>
      <c r="AE439" s="88">
        <f t="shared" si="749"/>
        <v>37.736944172375864</v>
      </c>
      <c r="AF439" s="88">
        <f t="shared" si="749"/>
        <v>30.173458211961723</v>
      </c>
      <c r="AG439" s="88">
        <f t="shared" si="749"/>
        <v>33.937737012283392</v>
      </c>
      <c r="AH439" s="88">
        <f t="shared" si="749"/>
        <v>0</v>
      </c>
      <c r="AI439" s="88">
        <f t="shared" ref="AI439:BB439" si="750">AI431*AI636</f>
        <v>37.69063829786819</v>
      </c>
      <c r="AJ439" s="88">
        <f t="shared" si="750"/>
        <v>30.192047630857502</v>
      </c>
      <c r="AK439" s="88">
        <f t="shared" si="750"/>
        <v>33.956426167334492</v>
      </c>
      <c r="AL439" s="88">
        <f t="shared" si="750"/>
        <v>0</v>
      </c>
      <c r="AM439" s="88">
        <f t="shared" si="750"/>
        <v>37.71389920423988</v>
      </c>
      <c r="AN439" s="88">
        <f t="shared" si="750"/>
        <v>30.156424328143778</v>
      </c>
      <c r="AO439" s="88">
        <f t="shared" si="750"/>
        <v>33.917773454051357</v>
      </c>
      <c r="AP439" s="88">
        <f t="shared" si="750"/>
        <v>0</v>
      </c>
      <c r="AQ439" s="88">
        <f t="shared" si="750"/>
        <v>37.736944172375864</v>
      </c>
      <c r="AR439" s="88">
        <f t="shared" si="750"/>
        <v>30.173458211961723</v>
      </c>
      <c r="AS439" s="88">
        <f t="shared" si="750"/>
        <v>33.921136176062291</v>
      </c>
      <c r="AT439" s="88">
        <f t="shared" si="750"/>
        <v>0</v>
      </c>
      <c r="AU439" s="88">
        <f t="shared" si="750"/>
        <v>37.691657754006549</v>
      </c>
      <c r="AV439" s="88">
        <f t="shared" si="750"/>
        <v>30.150934685120482</v>
      </c>
      <c r="AW439" s="88">
        <f t="shared" si="750"/>
        <v>33.937737012283392</v>
      </c>
      <c r="AX439" s="88">
        <f t="shared" si="750"/>
        <v>0</v>
      </c>
      <c r="AY439" s="88">
        <f t="shared" si="750"/>
        <v>37.687753201392823</v>
      </c>
      <c r="AZ439" s="88">
        <f t="shared" si="750"/>
        <v>30.189230994863454</v>
      </c>
      <c r="BA439" s="88">
        <f t="shared" si="750"/>
        <v>33.956426167334492</v>
      </c>
      <c r="BB439" s="88">
        <f t="shared" si="750"/>
        <v>0</v>
      </c>
      <c r="BC439" s="19">
        <f t="shared" si="731"/>
        <v>1323.657868178122</v>
      </c>
    </row>
    <row r="440" spans="2:55" x14ac:dyDescent="0.25">
      <c r="B440" s="88" t="str">
        <f t="shared" si="744"/>
        <v>Product D Allowable Yield Baseline VAS</v>
      </c>
      <c r="C440" s="88">
        <f t="shared" ref="C440:AH440" si="751">C432*C637</f>
        <v>45.312641379319736</v>
      </c>
      <c r="D440" s="88">
        <f t="shared" si="751"/>
        <v>34.838198019809191</v>
      </c>
      <c r="E440" s="88">
        <f t="shared" si="751"/>
        <v>27.863872098866551</v>
      </c>
      <c r="F440" s="88">
        <f t="shared" si="751"/>
        <v>31.400378417272687</v>
      </c>
      <c r="G440" s="88">
        <f t="shared" si="751"/>
        <v>31.390252889330696</v>
      </c>
      <c r="H440" s="88">
        <f t="shared" si="751"/>
        <v>34.858691911277667</v>
      </c>
      <c r="I440" s="88">
        <f t="shared" si="751"/>
        <v>27.880619443851433</v>
      </c>
      <c r="J440" s="88">
        <f t="shared" si="751"/>
        <v>31.358623198018091</v>
      </c>
      <c r="K440" s="88">
        <f t="shared" si="751"/>
        <v>45.279926193257339</v>
      </c>
      <c r="L440" s="88">
        <f t="shared" si="751"/>
        <v>34.881057305886664</v>
      </c>
      <c r="M440" s="88">
        <f t="shared" si="751"/>
        <v>27.897112811985807</v>
      </c>
      <c r="N440" s="88">
        <f t="shared" si="751"/>
        <v>31.377524758848946</v>
      </c>
      <c r="O440" s="88">
        <f t="shared" si="751"/>
        <v>45.312641379319736</v>
      </c>
      <c r="P440" s="88">
        <f t="shared" si="751"/>
        <v>34.838198019809191</v>
      </c>
      <c r="Q440" s="88">
        <f t="shared" si="751"/>
        <v>27.86353951069735</v>
      </c>
      <c r="R440" s="88">
        <f t="shared" si="751"/>
        <v>31.394878017032038</v>
      </c>
      <c r="S440" s="88">
        <f t="shared" si="751"/>
        <v>31.390252889330696</v>
      </c>
      <c r="T440" s="88">
        <f t="shared" si="751"/>
        <v>27.887103296709075</v>
      </c>
      <c r="U440" s="88">
        <f t="shared" si="751"/>
        <v>27.880619443851433</v>
      </c>
      <c r="V440" s="88">
        <f t="shared" si="751"/>
        <v>31.359490591180514</v>
      </c>
      <c r="W440" s="88">
        <f t="shared" si="751"/>
        <v>45.283536170222149</v>
      </c>
      <c r="X440" s="88">
        <f t="shared" si="751"/>
        <v>34.881057305886664</v>
      </c>
      <c r="Y440" s="88">
        <f t="shared" si="751"/>
        <v>27.896609054284038</v>
      </c>
      <c r="Z440" s="88">
        <f t="shared" si="751"/>
        <v>24.406129902647614</v>
      </c>
      <c r="AA440" s="88">
        <f t="shared" si="751"/>
        <v>45.312641379319736</v>
      </c>
      <c r="AB440" s="88">
        <f t="shared" si="751"/>
        <v>34.837970131187838</v>
      </c>
      <c r="AC440" s="88">
        <f t="shared" si="751"/>
        <v>27.863872098866551</v>
      </c>
      <c r="AD440" s="88">
        <f t="shared" si="751"/>
        <v>31.399716393449118</v>
      </c>
      <c r="AE440" s="88">
        <f t="shared" si="751"/>
        <v>31.390252889330696</v>
      </c>
      <c r="AF440" s="88">
        <f t="shared" si="751"/>
        <v>34.858691911277667</v>
      </c>
      <c r="AG440" s="88">
        <f t="shared" si="751"/>
        <v>27.880619443851433</v>
      </c>
      <c r="AH440" s="88">
        <f t="shared" si="751"/>
        <v>31.359490591180514</v>
      </c>
      <c r="AI440" s="88">
        <f t="shared" ref="AI440:BB440" si="752">AI432*AI637</f>
        <v>45.283536170222149</v>
      </c>
      <c r="AJ440" s="88">
        <f t="shared" si="752"/>
        <v>34.881057305886664</v>
      </c>
      <c r="AK440" s="88">
        <f t="shared" si="752"/>
        <v>27.896609054284038</v>
      </c>
      <c r="AL440" s="88">
        <f t="shared" si="752"/>
        <v>24.406129902647614</v>
      </c>
      <c r="AM440" s="88">
        <f t="shared" si="752"/>
        <v>45.312641379319736</v>
      </c>
      <c r="AN440" s="88">
        <f t="shared" si="752"/>
        <v>34.838198019809191</v>
      </c>
      <c r="AO440" s="88">
        <f t="shared" si="752"/>
        <v>27.86353951069735</v>
      </c>
      <c r="AP440" s="88">
        <f t="shared" si="752"/>
        <v>31.399716393449118</v>
      </c>
      <c r="AQ440" s="88">
        <f t="shared" si="752"/>
        <v>31.390252889330696</v>
      </c>
      <c r="AR440" s="88">
        <f t="shared" si="752"/>
        <v>34.858691911277667</v>
      </c>
      <c r="AS440" s="88">
        <f t="shared" si="752"/>
        <v>27.866416506195595</v>
      </c>
      <c r="AT440" s="88">
        <f t="shared" si="752"/>
        <v>31.35184968153515</v>
      </c>
      <c r="AU440" s="88">
        <f t="shared" si="752"/>
        <v>45.284811764715258</v>
      </c>
      <c r="AV440" s="88">
        <f t="shared" si="752"/>
        <v>34.831593293046794</v>
      </c>
      <c r="AW440" s="88">
        <f t="shared" si="752"/>
        <v>27.880619443851433</v>
      </c>
      <c r="AX440" s="88">
        <f t="shared" si="752"/>
        <v>31.358623198018091</v>
      </c>
      <c r="AY440" s="88">
        <f t="shared" si="752"/>
        <v>45.279926193257339</v>
      </c>
      <c r="AZ440" s="88">
        <f t="shared" si="752"/>
        <v>34.877668540706317</v>
      </c>
      <c r="BA440" s="88">
        <f t="shared" si="752"/>
        <v>27.896609054284038</v>
      </c>
      <c r="BB440" s="88">
        <f t="shared" si="752"/>
        <v>24.406129902647614</v>
      </c>
      <c r="BC440" s="19">
        <f t="shared" si="731"/>
        <v>1728.8008289623401</v>
      </c>
    </row>
    <row r="441" spans="2:55" x14ac:dyDescent="0.25">
      <c r="B441" s="88" t="str">
        <f t="shared" si="744"/>
        <v>Product E Allowable Yield Baseline VAS</v>
      </c>
      <c r="C441" s="88">
        <f t="shared" ref="C441:AH441" si="753">C433*C638</f>
        <v>19.075505570293206</v>
      </c>
      <c r="D441" s="88">
        <f t="shared" si="753"/>
        <v>49.570524695901874</v>
      </c>
      <c r="E441" s="88">
        <f t="shared" si="753"/>
        <v>38.121794632171223</v>
      </c>
      <c r="F441" s="88">
        <f t="shared" si="753"/>
        <v>30.550818992808043</v>
      </c>
      <c r="G441" s="88">
        <f t="shared" si="753"/>
        <v>19.087949853086641</v>
      </c>
      <c r="H441" s="88">
        <f t="shared" si="753"/>
        <v>41.969585444771234</v>
      </c>
      <c r="I441" s="88">
        <f t="shared" si="753"/>
        <v>38.145284414747415</v>
      </c>
      <c r="J441" s="88">
        <f t="shared" si="753"/>
        <v>30.509172228668398</v>
      </c>
      <c r="K441" s="88">
        <f t="shared" si="753"/>
        <v>19.061386728755792</v>
      </c>
      <c r="L441" s="88">
        <f t="shared" si="753"/>
        <v>26.725485011165485</v>
      </c>
      <c r="M441" s="88">
        <f t="shared" si="753"/>
        <v>22.901050782031664</v>
      </c>
      <c r="N441" s="88">
        <f t="shared" si="753"/>
        <v>30.528024694536047</v>
      </c>
      <c r="O441" s="88">
        <f t="shared" si="753"/>
        <v>19.075505570293206</v>
      </c>
      <c r="P441" s="88">
        <f t="shared" si="753"/>
        <v>49.570524695901874</v>
      </c>
      <c r="Q441" s="88">
        <f t="shared" si="753"/>
        <v>38.121328144868968</v>
      </c>
      <c r="R441" s="88">
        <f t="shared" si="753"/>
        <v>30.545332879321265</v>
      </c>
      <c r="S441" s="88">
        <f t="shared" si="753"/>
        <v>19.087949853086641</v>
      </c>
      <c r="T441" s="88">
        <f t="shared" si="753"/>
        <v>49.600692244901673</v>
      </c>
      <c r="U441" s="88">
        <f t="shared" si="753"/>
        <v>38.145284414747415</v>
      </c>
      <c r="V441" s="88">
        <f t="shared" si="753"/>
        <v>30.510037368861568</v>
      </c>
      <c r="W441" s="88">
        <f t="shared" si="753"/>
        <v>19.062944680852492</v>
      </c>
      <c r="X441" s="88">
        <f t="shared" si="753"/>
        <v>26.725485011165485</v>
      </c>
      <c r="Y441" s="88">
        <f t="shared" si="753"/>
        <v>38.167711400808734</v>
      </c>
      <c r="Z441" s="88">
        <f t="shared" si="753"/>
        <v>30.529805173854857</v>
      </c>
      <c r="AA441" s="88">
        <f t="shared" si="753"/>
        <v>19.075505570293206</v>
      </c>
      <c r="AB441" s="88">
        <f t="shared" si="753"/>
        <v>49.570192274473939</v>
      </c>
      <c r="AC441" s="88">
        <f t="shared" si="753"/>
        <v>38.121794632171223</v>
      </c>
      <c r="AD441" s="88">
        <f t="shared" si="753"/>
        <v>30.550158688526878</v>
      </c>
      <c r="AE441" s="88">
        <f t="shared" si="753"/>
        <v>19.087949853086641</v>
      </c>
      <c r="AF441" s="88">
        <f t="shared" si="753"/>
        <v>41.969585444771234</v>
      </c>
      <c r="AG441" s="88">
        <f t="shared" si="753"/>
        <v>38.145284414747415</v>
      </c>
      <c r="AH441" s="88">
        <f t="shared" si="753"/>
        <v>30.510037368861568</v>
      </c>
      <c r="AI441" s="88">
        <f t="shared" ref="AI441:BB441" si="754">AI433*AI638</f>
        <v>19.062944680852492</v>
      </c>
      <c r="AJ441" s="88">
        <f t="shared" si="754"/>
        <v>26.725485011165485</v>
      </c>
      <c r="AK441" s="88">
        <f t="shared" si="754"/>
        <v>38.167711400808734</v>
      </c>
      <c r="AL441" s="88">
        <f t="shared" si="754"/>
        <v>30.529805173854857</v>
      </c>
      <c r="AM441" s="88">
        <f t="shared" si="754"/>
        <v>19.075505570293206</v>
      </c>
      <c r="AN441" s="88">
        <f t="shared" si="754"/>
        <v>49.570524695901874</v>
      </c>
      <c r="AO441" s="88">
        <f t="shared" si="754"/>
        <v>38.121328144868968</v>
      </c>
      <c r="AP441" s="88">
        <f t="shared" si="754"/>
        <v>30.550158688526878</v>
      </c>
      <c r="AQ441" s="88">
        <f t="shared" si="754"/>
        <v>19.087949853086641</v>
      </c>
      <c r="AR441" s="88">
        <f t="shared" si="754"/>
        <v>41.969585444771234</v>
      </c>
      <c r="AS441" s="88">
        <f t="shared" si="754"/>
        <v>38.125363411282081</v>
      </c>
      <c r="AT441" s="88">
        <f t="shared" si="754"/>
        <v>30.502416305734769</v>
      </c>
      <c r="AU441" s="88">
        <f t="shared" si="754"/>
        <v>19.063495187167202</v>
      </c>
      <c r="AV441" s="88">
        <f t="shared" si="754"/>
        <v>49.560890372395995</v>
      </c>
      <c r="AW441" s="88">
        <f t="shared" si="754"/>
        <v>38.145284414747415</v>
      </c>
      <c r="AX441" s="88">
        <f t="shared" si="754"/>
        <v>30.509172228668398</v>
      </c>
      <c r="AY441" s="88">
        <f t="shared" si="754"/>
        <v>19.061386728755792</v>
      </c>
      <c r="AZ441" s="88">
        <f t="shared" si="754"/>
        <v>49.62810039599492</v>
      </c>
      <c r="BA441" s="88">
        <f t="shared" si="754"/>
        <v>38.167711400808734</v>
      </c>
      <c r="BB441" s="88">
        <f t="shared" si="754"/>
        <v>30.529805173854857</v>
      </c>
      <c r="BC441" s="19">
        <f t="shared" si="731"/>
        <v>1678.574317018074</v>
      </c>
    </row>
    <row r="442" spans="2:55" x14ac:dyDescent="0.25">
      <c r="B442" s="88" t="str">
        <f t="shared" si="744"/>
        <v>Product F Allowable Yield Baseline VAS</v>
      </c>
      <c r="C442" s="88">
        <f t="shared" ref="C442:AH442" si="755">C434*C639</f>
        <v>0</v>
      </c>
      <c r="D442" s="88">
        <f t="shared" si="755"/>
        <v>22.930485148514212</v>
      </c>
      <c r="E442" s="88">
        <f t="shared" si="755"/>
        <v>59.605926742612745</v>
      </c>
      <c r="F442" s="88">
        <f t="shared" si="755"/>
        <v>0</v>
      </c>
      <c r="G442" s="88">
        <f t="shared" si="755"/>
        <v>0</v>
      </c>
      <c r="H442" s="88">
        <f t="shared" si="755"/>
        <v>22.943060945551682</v>
      </c>
      <c r="I442" s="88">
        <f t="shared" si="755"/>
        <v>59.639326277213257</v>
      </c>
      <c r="J442" s="88">
        <f t="shared" si="755"/>
        <v>45.866758906378173</v>
      </c>
      <c r="K442" s="88">
        <f t="shared" si="755"/>
        <v>27.511070081489336</v>
      </c>
      <c r="L442" s="88">
        <f t="shared" si="755"/>
        <v>22.956785164970828</v>
      </c>
      <c r="M442" s="88">
        <f t="shared" si="755"/>
        <v>59.672219301163061</v>
      </c>
      <c r="N442" s="88">
        <f t="shared" si="755"/>
        <v>45.892533762056594</v>
      </c>
      <c r="O442" s="88">
        <f t="shared" si="755"/>
        <v>0</v>
      </c>
      <c r="P442" s="88">
        <f t="shared" si="755"/>
        <v>22.930485148514212</v>
      </c>
      <c r="Q442" s="88">
        <f t="shared" si="755"/>
        <v>59.605263455979838</v>
      </c>
      <c r="R442" s="88">
        <f t="shared" si="755"/>
        <v>45.916197295942631</v>
      </c>
      <c r="S442" s="88">
        <f t="shared" si="755"/>
        <v>0</v>
      </c>
      <c r="T442" s="88">
        <f t="shared" si="755"/>
        <v>22.943175824175185</v>
      </c>
      <c r="U442" s="88">
        <f t="shared" si="755"/>
        <v>59.639326277213257</v>
      </c>
      <c r="V442" s="88">
        <f t="shared" si="755"/>
        <v>45.867941715236029</v>
      </c>
      <c r="W442" s="88">
        <f t="shared" si="755"/>
        <v>0</v>
      </c>
      <c r="X442" s="88">
        <f t="shared" si="755"/>
        <v>22.956785164970828</v>
      </c>
      <c r="Y442" s="88">
        <f t="shared" si="755"/>
        <v>41.31084091016713</v>
      </c>
      <c r="Z442" s="88">
        <f t="shared" si="755"/>
        <v>45.894968011125286</v>
      </c>
      <c r="AA442" s="88">
        <f t="shared" si="755"/>
        <v>0</v>
      </c>
      <c r="AB442" s="88">
        <f t="shared" si="755"/>
        <v>22.930345307769294</v>
      </c>
      <c r="AC442" s="88">
        <f t="shared" si="755"/>
        <v>59.605926742612745</v>
      </c>
      <c r="AD442" s="88">
        <f t="shared" si="755"/>
        <v>18.369118032786375</v>
      </c>
      <c r="AE442" s="88">
        <f t="shared" si="755"/>
        <v>0</v>
      </c>
      <c r="AF442" s="88">
        <f t="shared" si="755"/>
        <v>22.943060945551682</v>
      </c>
      <c r="AG442" s="88">
        <f t="shared" si="755"/>
        <v>59.639326277213257</v>
      </c>
      <c r="AH442" s="88">
        <f t="shared" si="755"/>
        <v>45.867941715236029</v>
      </c>
      <c r="AI442" s="88">
        <f t="shared" ref="AI442:BB442" si="756">AI434*AI639</f>
        <v>0</v>
      </c>
      <c r="AJ442" s="88">
        <f t="shared" si="756"/>
        <v>22.956785164970828</v>
      </c>
      <c r="AK442" s="88">
        <f t="shared" si="756"/>
        <v>41.31084091016713</v>
      </c>
      <c r="AL442" s="88">
        <f t="shared" si="756"/>
        <v>45.894968011125286</v>
      </c>
      <c r="AM442" s="88">
        <f t="shared" si="756"/>
        <v>0</v>
      </c>
      <c r="AN442" s="88">
        <f t="shared" si="756"/>
        <v>22.930485148514212</v>
      </c>
      <c r="AO442" s="88">
        <f t="shared" si="756"/>
        <v>59.605263455979838</v>
      </c>
      <c r="AP442" s="88">
        <f t="shared" si="756"/>
        <v>18.369118032786375</v>
      </c>
      <c r="AQ442" s="88">
        <f t="shared" si="756"/>
        <v>0</v>
      </c>
      <c r="AR442" s="88">
        <f t="shared" si="756"/>
        <v>22.943060945551682</v>
      </c>
      <c r="AS442" s="88">
        <f t="shared" si="756"/>
        <v>59.611001100410988</v>
      </c>
      <c r="AT442" s="88">
        <f t="shared" si="756"/>
        <v>45.85752229299235</v>
      </c>
      <c r="AU442" s="88">
        <f t="shared" si="756"/>
        <v>22.928197860961927</v>
      </c>
      <c r="AV442" s="88">
        <f t="shared" si="756"/>
        <v>22.926432248000921</v>
      </c>
      <c r="AW442" s="88">
        <f t="shared" si="756"/>
        <v>59.639326277213257</v>
      </c>
      <c r="AX442" s="88">
        <f t="shared" si="756"/>
        <v>45.866758906378173</v>
      </c>
      <c r="AY442" s="88">
        <f t="shared" si="756"/>
        <v>27.511070081489336</v>
      </c>
      <c r="AZ442" s="88">
        <f t="shared" si="756"/>
        <v>22.954705695428352</v>
      </c>
      <c r="BA442" s="88">
        <f t="shared" si="756"/>
        <v>41.31084091016713</v>
      </c>
      <c r="BB442" s="88">
        <f t="shared" si="756"/>
        <v>45.894968011125286</v>
      </c>
      <c r="BC442" s="19">
        <f t="shared" si="731"/>
        <v>1591.9502142077069</v>
      </c>
    </row>
    <row r="443" spans="2:55" x14ac:dyDescent="0.25">
      <c r="B443" s="88" t="str">
        <f t="shared" si="744"/>
        <v>Product G Allowable Yield Baseline VAS</v>
      </c>
      <c r="C443" s="88">
        <f t="shared" ref="C443:AH443" si="757">C435*C640</f>
        <v>0</v>
      </c>
      <c r="D443" s="88">
        <f t="shared" si="757"/>
        <v>9.8823937765204182</v>
      </c>
      <c r="E443" s="88">
        <f t="shared" si="757"/>
        <v>19.760489206410323</v>
      </c>
      <c r="F443" s="88">
        <f t="shared" si="757"/>
        <v>36.283634532373767</v>
      </c>
      <c r="G443" s="88">
        <f t="shared" si="757"/>
        <v>0</v>
      </c>
      <c r="H443" s="88">
        <f t="shared" si="757"/>
        <v>0</v>
      </c>
      <c r="I443" s="88">
        <f t="shared" si="757"/>
        <v>16.476046130631449</v>
      </c>
      <c r="J443" s="88">
        <f t="shared" si="757"/>
        <v>42.828962054680638</v>
      </c>
      <c r="K443" s="88">
        <f t="shared" si="757"/>
        <v>0</v>
      </c>
      <c r="L443" s="88">
        <f t="shared" si="757"/>
        <v>0</v>
      </c>
      <c r="M443" s="88">
        <f t="shared" si="757"/>
        <v>16.484881863560581</v>
      </c>
      <c r="N443" s="88">
        <f t="shared" si="757"/>
        <v>36.259692604501275</v>
      </c>
      <c r="O443" s="88">
        <f t="shared" si="757"/>
        <v>0</v>
      </c>
      <c r="P443" s="88">
        <f t="shared" si="757"/>
        <v>0</v>
      </c>
      <c r="Q443" s="88">
        <f t="shared" si="757"/>
        <v>16.466896166441767</v>
      </c>
      <c r="R443" s="88">
        <f t="shared" si="757"/>
        <v>23.085918678016814</v>
      </c>
      <c r="S443" s="88">
        <f t="shared" si="757"/>
        <v>0</v>
      </c>
      <c r="T443" s="88">
        <f t="shared" si="757"/>
        <v>0</v>
      </c>
      <c r="U443" s="88">
        <f t="shared" si="757"/>
        <v>16.476046130631449</v>
      </c>
      <c r="V443" s="88">
        <f t="shared" si="757"/>
        <v>42.830035970024589</v>
      </c>
      <c r="W443" s="88">
        <f t="shared" si="757"/>
        <v>0</v>
      </c>
      <c r="X443" s="88">
        <f t="shared" si="757"/>
        <v>0</v>
      </c>
      <c r="Y443" s="88">
        <f t="shared" si="757"/>
        <v>16.484611993363206</v>
      </c>
      <c r="Z443" s="88">
        <f t="shared" si="757"/>
        <v>42.854574130736736</v>
      </c>
      <c r="AA443" s="88">
        <f t="shared" si="757"/>
        <v>0</v>
      </c>
      <c r="AB443" s="88">
        <f t="shared" si="757"/>
        <v>0</v>
      </c>
      <c r="AC443" s="88">
        <f t="shared" si="757"/>
        <v>16.467074338675271</v>
      </c>
      <c r="AD443" s="88">
        <f t="shared" si="757"/>
        <v>42.879839344261903</v>
      </c>
      <c r="AE443" s="88">
        <f t="shared" si="757"/>
        <v>0</v>
      </c>
      <c r="AF443" s="88">
        <f t="shared" si="757"/>
        <v>0</v>
      </c>
      <c r="AG443" s="88">
        <f t="shared" si="757"/>
        <v>16.476046130631449</v>
      </c>
      <c r="AH443" s="88">
        <f t="shared" si="757"/>
        <v>42.830035970024589</v>
      </c>
      <c r="AI443" s="88">
        <f t="shared" ref="AI443:BB443" si="758">AI435*AI640</f>
        <v>0</v>
      </c>
      <c r="AJ443" s="88">
        <f t="shared" si="758"/>
        <v>0</v>
      </c>
      <c r="AK443" s="88">
        <f t="shared" si="758"/>
        <v>16.484611993363206</v>
      </c>
      <c r="AL443" s="88">
        <f t="shared" si="758"/>
        <v>42.854574130736736</v>
      </c>
      <c r="AM443" s="88">
        <f t="shared" si="758"/>
        <v>0</v>
      </c>
      <c r="AN443" s="88">
        <f t="shared" si="758"/>
        <v>0</v>
      </c>
      <c r="AO443" s="88">
        <f t="shared" si="758"/>
        <v>16.466896166441767</v>
      </c>
      <c r="AP443" s="88">
        <f t="shared" si="758"/>
        <v>42.879839344261903</v>
      </c>
      <c r="AQ443" s="88">
        <f t="shared" si="758"/>
        <v>0</v>
      </c>
      <c r="AR443" s="88">
        <f t="shared" si="758"/>
        <v>0</v>
      </c>
      <c r="AS443" s="88">
        <f t="shared" si="758"/>
        <v>16.46843741403011</v>
      </c>
      <c r="AT443" s="88">
        <f t="shared" si="758"/>
        <v>42.820575796177948</v>
      </c>
      <c r="AU443" s="88">
        <f t="shared" si="758"/>
        <v>0</v>
      </c>
      <c r="AV443" s="88">
        <f t="shared" si="758"/>
        <v>0</v>
      </c>
      <c r="AW443" s="88">
        <f t="shared" si="758"/>
        <v>16.476046130631449</v>
      </c>
      <c r="AX443" s="88">
        <f t="shared" si="758"/>
        <v>42.828962054680638</v>
      </c>
      <c r="AY443" s="88">
        <f t="shared" si="758"/>
        <v>0</v>
      </c>
      <c r="AZ443" s="88">
        <f t="shared" si="758"/>
        <v>0</v>
      </c>
      <c r="BA443" s="88">
        <f t="shared" si="758"/>
        <v>16.484611993363206</v>
      </c>
      <c r="BB443" s="88">
        <f t="shared" si="758"/>
        <v>42.854574130736736</v>
      </c>
      <c r="BC443" s="19">
        <f t="shared" si="731"/>
        <v>751.44630817590985</v>
      </c>
    </row>
    <row r="444" spans="2:55" x14ac:dyDescent="0.25">
      <c r="B444" s="88" t="str">
        <f t="shared" si="744"/>
        <v>Product H Allowable Yield Baseline VAS</v>
      </c>
      <c r="C444" s="88">
        <f t="shared" ref="C444:AH444" si="759">C436*C641</f>
        <v>0</v>
      </c>
      <c r="D444" s="88">
        <f t="shared" si="759"/>
        <v>0</v>
      </c>
      <c r="E444" s="88">
        <f t="shared" si="759"/>
        <v>0</v>
      </c>
      <c r="F444" s="88">
        <f t="shared" si="759"/>
        <v>18.474371223022967</v>
      </c>
      <c r="G444" s="88">
        <f t="shared" si="759"/>
        <v>0</v>
      </c>
      <c r="H444" s="88">
        <f t="shared" si="759"/>
        <v>0</v>
      </c>
      <c r="I444" s="88">
        <f t="shared" si="759"/>
        <v>0</v>
      </c>
      <c r="J444" s="88">
        <f t="shared" si="759"/>
        <v>18.45219817730047</v>
      </c>
      <c r="K444" s="88">
        <f t="shared" si="759"/>
        <v>0</v>
      </c>
      <c r="L444" s="88">
        <f t="shared" si="759"/>
        <v>0</v>
      </c>
      <c r="M444" s="88">
        <f t="shared" si="759"/>
        <v>0</v>
      </c>
      <c r="N444" s="88">
        <f t="shared" si="759"/>
        <v>18.462235369776302</v>
      </c>
      <c r="O444" s="88">
        <f t="shared" si="759"/>
        <v>0</v>
      </c>
      <c r="P444" s="88">
        <f t="shared" si="759"/>
        <v>0</v>
      </c>
      <c r="Q444" s="88">
        <f t="shared" si="759"/>
        <v>22.134901051822116</v>
      </c>
      <c r="R444" s="88">
        <f t="shared" si="759"/>
        <v>18.471450375564729</v>
      </c>
      <c r="S444" s="88">
        <f t="shared" si="759"/>
        <v>0</v>
      </c>
      <c r="T444" s="88">
        <f t="shared" si="759"/>
        <v>0</v>
      </c>
      <c r="U444" s="88">
        <f t="shared" si="759"/>
        <v>0</v>
      </c>
      <c r="V444" s="88">
        <f t="shared" si="759"/>
        <v>18.452658784347758</v>
      </c>
      <c r="W444" s="88">
        <f t="shared" si="759"/>
        <v>22.13723234042719</v>
      </c>
      <c r="X444" s="88">
        <f t="shared" si="759"/>
        <v>0</v>
      </c>
      <c r="Y444" s="88">
        <f t="shared" si="759"/>
        <v>0</v>
      </c>
      <c r="Z444" s="88">
        <f t="shared" si="759"/>
        <v>18.463183310154374</v>
      </c>
      <c r="AA444" s="88">
        <f t="shared" si="759"/>
        <v>0</v>
      </c>
      <c r="AB444" s="88">
        <f t="shared" si="759"/>
        <v>11.069901045409507</v>
      </c>
      <c r="AC444" s="88">
        <f t="shared" si="759"/>
        <v>0</v>
      </c>
      <c r="AD444" s="88">
        <f t="shared" si="759"/>
        <v>18.474019672132531</v>
      </c>
      <c r="AE444" s="88">
        <f t="shared" si="759"/>
        <v>0</v>
      </c>
      <c r="AF444" s="88">
        <f t="shared" si="759"/>
        <v>0</v>
      </c>
      <c r="AG444" s="88">
        <f t="shared" si="759"/>
        <v>0</v>
      </c>
      <c r="AH444" s="88">
        <f t="shared" si="759"/>
        <v>18.452658784347758</v>
      </c>
      <c r="AI444" s="88">
        <f t="shared" ref="AI444:BB444" si="760">AI436*AI641</f>
        <v>22.13723234042719</v>
      </c>
      <c r="AJ444" s="88">
        <f t="shared" si="760"/>
        <v>0</v>
      </c>
      <c r="AK444" s="88">
        <f t="shared" si="760"/>
        <v>0</v>
      </c>
      <c r="AL444" s="88">
        <f t="shared" si="760"/>
        <v>18.463183310154374</v>
      </c>
      <c r="AM444" s="88">
        <f t="shared" si="760"/>
        <v>0</v>
      </c>
      <c r="AN444" s="88">
        <f t="shared" si="760"/>
        <v>0</v>
      </c>
      <c r="AO444" s="88">
        <f t="shared" si="760"/>
        <v>22.134901051822116</v>
      </c>
      <c r="AP444" s="88">
        <f t="shared" si="760"/>
        <v>18.474019672132531</v>
      </c>
      <c r="AQ444" s="88">
        <f t="shared" si="760"/>
        <v>0</v>
      </c>
      <c r="AR444" s="88">
        <f t="shared" si="760"/>
        <v>0</v>
      </c>
      <c r="AS444" s="88">
        <f t="shared" si="760"/>
        <v>0</v>
      </c>
      <c r="AT444" s="88">
        <f t="shared" si="760"/>
        <v>18.44860127388673</v>
      </c>
      <c r="AU444" s="88">
        <f t="shared" si="760"/>
        <v>0</v>
      </c>
      <c r="AV444" s="88">
        <f t="shared" si="760"/>
        <v>0</v>
      </c>
      <c r="AW444" s="88">
        <f t="shared" si="760"/>
        <v>0</v>
      </c>
      <c r="AX444" s="88">
        <f t="shared" si="760"/>
        <v>18.45219817730047</v>
      </c>
      <c r="AY444" s="88">
        <f t="shared" si="760"/>
        <v>0</v>
      </c>
      <c r="AZ444" s="88">
        <f t="shared" si="760"/>
        <v>0</v>
      </c>
      <c r="BA444" s="88">
        <f t="shared" si="760"/>
        <v>0</v>
      </c>
      <c r="BB444" s="88">
        <f t="shared" si="760"/>
        <v>18.463183310154374</v>
      </c>
      <c r="BC444" s="19">
        <f t="shared" si="731"/>
        <v>339.61812927018343</v>
      </c>
    </row>
    <row r="445" spans="2:55" x14ac:dyDescent="0.25">
      <c r="B445" s="125" t="str">
        <f t="shared" ref="B445:B452" si="761">_xlfn.CONCAT(B322," ","Yield Gap Loss")</f>
        <v>Product A Yield Gap Loss</v>
      </c>
      <c r="C445" s="125">
        <f>C419-C437</f>
        <v>35.834488063665113</v>
      </c>
      <c r="D445" s="125">
        <f t="shared" ref="D445:BB445" si="762">D419-D437</f>
        <v>0</v>
      </c>
      <c r="E445" s="125">
        <f t="shared" si="762"/>
        <v>7.7850337903095834</v>
      </c>
      <c r="F445" s="125">
        <f t="shared" si="762"/>
        <v>0</v>
      </c>
      <c r="G445" s="125">
        <f t="shared" si="762"/>
        <v>20.265510284039898</v>
      </c>
      <c r="H445" s="125">
        <f t="shared" si="762"/>
        <v>0</v>
      </c>
      <c r="I445" s="125">
        <f t="shared" si="762"/>
        <v>0</v>
      </c>
      <c r="J445" s="125">
        <f t="shared" si="762"/>
        <v>0</v>
      </c>
      <c r="K445" s="125">
        <f t="shared" si="762"/>
        <v>20.241529685685656</v>
      </c>
      <c r="L445" s="125">
        <f t="shared" si="762"/>
        <v>0</v>
      </c>
      <c r="M445" s="125">
        <f t="shared" si="762"/>
        <v>0</v>
      </c>
      <c r="N445" s="125">
        <f t="shared" si="762"/>
        <v>0</v>
      </c>
      <c r="O445" s="125">
        <f t="shared" si="762"/>
        <v>20.254275862073598</v>
      </c>
      <c r="P445" s="125">
        <f t="shared" si="762"/>
        <v>1.5573323903834382</v>
      </c>
      <c r="Q445" s="125">
        <f t="shared" si="762"/>
        <v>0</v>
      </c>
      <c r="R445" s="125">
        <f t="shared" si="762"/>
        <v>0</v>
      </c>
      <c r="S445" s="125">
        <f t="shared" si="762"/>
        <v>20.265510284039898</v>
      </c>
      <c r="T445" s="125">
        <f t="shared" si="762"/>
        <v>0</v>
      </c>
      <c r="U445" s="125">
        <f t="shared" si="762"/>
        <v>0</v>
      </c>
      <c r="V445" s="125">
        <f t="shared" si="762"/>
        <v>1.5575537052471731</v>
      </c>
      <c r="W445" s="125">
        <f t="shared" si="762"/>
        <v>20.242936170217398</v>
      </c>
      <c r="X445" s="125">
        <f t="shared" si="762"/>
        <v>0</v>
      </c>
      <c r="Y445" s="125">
        <f t="shared" si="762"/>
        <v>0</v>
      </c>
      <c r="Z445" s="125">
        <f t="shared" si="762"/>
        <v>0</v>
      </c>
      <c r="AA445" s="125">
        <f t="shared" si="762"/>
        <v>20.254275862073598</v>
      </c>
      <c r="AB445" s="125">
        <f t="shared" si="762"/>
        <v>0</v>
      </c>
      <c r="AC445" s="125">
        <f t="shared" si="762"/>
        <v>18.684081096739906</v>
      </c>
      <c r="AD445" s="125">
        <f t="shared" si="762"/>
        <v>0</v>
      </c>
      <c r="AE445" s="125">
        <f t="shared" si="762"/>
        <v>20.265510284039898</v>
      </c>
      <c r="AF445" s="125">
        <f t="shared" si="762"/>
        <v>0</v>
      </c>
      <c r="AG445" s="125">
        <f t="shared" si="762"/>
        <v>0</v>
      </c>
      <c r="AH445" s="125">
        <f t="shared" si="762"/>
        <v>1.5575537052471731</v>
      </c>
      <c r="AI445" s="125">
        <f t="shared" si="762"/>
        <v>20.242936170217398</v>
      </c>
      <c r="AJ445" s="125">
        <f t="shared" si="762"/>
        <v>0</v>
      </c>
      <c r="AK445" s="125">
        <f t="shared" si="762"/>
        <v>0</v>
      </c>
      <c r="AL445" s="125">
        <f t="shared" si="762"/>
        <v>0</v>
      </c>
      <c r="AM445" s="125">
        <f t="shared" si="762"/>
        <v>20.254275862073598</v>
      </c>
      <c r="AN445" s="125">
        <f t="shared" si="762"/>
        <v>1.5573323903834382</v>
      </c>
      <c r="AO445" s="125">
        <f t="shared" si="762"/>
        <v>0</v>
      </c>
      <c r="AP445" s="125">
        <f t="shared" si="762"/>
        <v>0</v>
      </c>
      <c r="AQ445" s="125">
        <f t="shared" si="762"/>
        <v>20.265510284039898</v>
      </c>
      <c r="AR445" s="125">
        <f t="shared" si="762"/>
        <v>0</v>
      </c>
      <c r="AS445" s="125">
        <f t="shared" si="762"/>
        <v>7.7856533700163268</v>
      </c>
      <c r="AT445" s="125">
        <f t="shared" si="762"/>
        <v>0</v>
      </c>
      <c r="AU445" s="125">
        <f t="shared" si="762"/>
        <v>20.243433155084844</v>
      </c>
      <c r="AV445" s="125">
        <f t="shared" si="762"/>
        <v>7.7853753168284641</v>
      </c>
      <c r="AW445" s="125">
        <f t="shared" si="762"/>
        <v>0</v>
      </c>
      <c r="AX445" s="125">
        <f t="shared" si="762"/>
        <v>0</v>
      </c>
      <c r="AY445" s="125">
        <f t="shared" si="762"/>
        <v>20.241529685685656</v>
      </c>
      <c r="AZ445" s="125">
        <f t="shared" si="762"/>
        <v>0</v>
      </c>
      <c r="BA445" s="125">
        <f t="shared" si="762"/>
        <v>0</v>
      </c>
      <c r="BB445" s="125">
        <f t="shared" si="762"/>
        <v>0</v>
      </c>
      <c r="BC445" s="19">
        <f t="shared" si="731"/>
        <v>327.14163741809199</v>
      </c>
    </row>
    <row r="446" spans="2:55" x14ac:dyDescent="0.25">
      <c r="B446" s="125" t="str">
        <f t="shared" si="761"/>
        <v>Product B Yield Gap Loss</v>
      </c>
      <c r="C446" s="125">
        <f t="shared" ref="C446:BB446" si="763">C420-C438</f>
        <v>28.538734854109713</v>
      </c>
      <c r="D446" s="125">
        <f t="shared" si="763"/>
        <v>23.601979801978288</v>
      </c>
      <c r="E446" s="125">
        <f t="shared" si="763"/>
        <v>0</v>
      </c>
      <c r="F446" s="125">
        <f t="shared" si="763"/>
        <v>21.421921726617434</v>
      </c>
      <c r="G446" s="125">
        <f t="shared" si="763"/>
        <v>28.554543702250996</v>
      </c>
      <c r="H446" s="125">
        <f t="shared" si="763"/>
        <v>23.614064987674546</v>
      </c>
      <c r="I446" s="125">
        <f t="shared" si="763"/>
        <v>0</v>
      </c>
      <c r="J446" s="125">
        <f t="shared" si="763"/>
        <v>2.2076395360391334</v>
      </c>
      <c r="K446" s="125">
        <f t="shared" si="763"/>
        <v>28.520798696156632</v>
      </c>
      <c r="L446" s="125">
        <f t="shared" si="763"/>
        <v>23.627253793101545</v>
      </c>
      <c r="M446" s="125">
        <f t="shared" si="763"/>
        <v>0</v>
      </c>
      <c r="N446" s="125">
        <f t="shared" si="763"/>
        <v>0</v>
      </c>
      <c r="O446" s="125">
        <f t="shared" si="763"/>
        <v>28.538734854109713</v>
      </c>
      <c r="P446" s="125">
        <f t="shared" si="763"/>
        <v>23.601979801978288</v>
      </c>
      <c r="Q446" s="125">
        <f t="shared" si="763"/>
        <v>0</v>
      </c>
      <c r="R446" s="125">
        <f t="shared" si="763"/>
        <v>0</v>
      </c>
      <c r="S446" s="125">
        <f t="shared" si="763"/>
        <v>28.554543702250996</v>
      </c>
      <c r="T446" s="125">
        <f t="shared" si="763"/>
        <v>23.614175384613482</v>
      </c>
      <c r="U446" s="125">
        <f t="shared" si="763"/>
        <v>0</v>
      </c>
      <c r="V446" s="125">
        <f t="shared" si="763"/>
        <v>0</v>
      </c>
      <c r="W446" s="125">
        <f t="shared" si="763"/>
        <v>28.522777872338729</v>
      </c>
      <c r="X446" s="125">
        <f t="shared" si="763"/>
        <v>23.627253793101545</v>
      </c>
      <c r="Y446" s="125">
        <f t="shared" si="763"/>
        <v>0</v>
      </c>
      <c r="Z446" s="125">
        <f t="shared" si="763"/>
        <v>0</v>
      </c>
      <c r="AA446" s="125">
        <f t="shared" si="763"/>
        <v>28.538734854109713</v>
      </c>
      <c r="AB446" s="125">
        <f t="shared" si="763"/>
        <v>23.601845416748851</v>
      </c>
      <c r="AC446" s="125">
        <f t="shared" si="763"/>
        <v>0</v>
      </c>
      <c r="AD446" s="125">
        <f t="shared" si="763"/>
        <v>0</v>
      </c>
      <c r="AE446" s="125">
        <f t="shared" si="763"/>
        <v>28.554543702250996</v>
      </c>
      <c r="AF446" s="125">
        <f t="shared" si="763"/>
        <v>23.614064987674546</v>
      </c>
      <c r="AG446" s="125">
        <f t="shared" si="763"/>
        <v>0</v>
      </c>
      <c r="AH446" s="125">
        <f t="shared" si="763"/>
        <v>0</v>
      </c>
      <c r="AI446" s="125">
        <f t="shared" si="763"/>
        <v>28.522777872338729</v>
      </c>
      <c r="AJ446" s="125">
        <f t="shared" si="763"/>
        <v>23.627253793101545</v>
      </c>
      <c r="AK446" s="125">
        <f t="shared" si="763"/>
        <v>0</v>
      </c>
      <c r="AL446" s="125">
        <f t="shared" si="763"/>
        <v>0</v>
      </c>
      <c r="AM446" s="125">
        <f t="shared" si="763"/>
        <v>28.538734854109713</v>
      </c>
      <c r="AN446" s="125">
        <f t="shared" si="763"/>
        <v>23.601979801978288</v>
      </c>
      <c r="AO446" s="125">
        <f t="shared" si="763"/>
        <v>0</v>
      </c>
      <c r="AP446" s="125">
        <f t="shared" si="763"/>
        <v>0</v>
      </c>
      <c r="AQ446" s="125">
        <f t="shared" si="763"/>
        <v>28.554543702250996</v>
      </c>
      <c r="AR446" s="125">
        <f t="shared" si="763"/>
        <v>23.614064987674546</v>
      </c>
      <c r="AS446" s="125">
        <f t="shared" si="763"/>
        <v>0</v>
      </c>
      <c r="AT446" s="125">
        <f t="shared" si="763"/>
        <v>9.3382573248397058</v>
      </c>
      <c r="AU446" s="125">
        <f t="shared" si="763"/>
        <v>28.523477219249642</v>
      </c>
      <c r="AV446" s="125">
        <f t="shared" si="763"/>
        <v>23.598085014620828</v>
      </c>
      <c r="AW446" s="125">
        <f t="shared" si="763"/>
        <v>0</v>
      </c>
      <c r="AX446" s="125">
        <f t="shared" si="763"/>
        <v>2.2076395360391334</v>
      </c>
      <c r="AY446" s="125">
        <f t="shared" si="763"/>
        <v>28.520798696156632</v>
      </c>
      <c r="AZ446" s="125">
        <f t="shared" si="763"/>
        <v>2.209556264971253</v>
      </c>
      <c r="BA446" s="125">
        <f t="shared" si="763"/>
        <v>0</v>
      </c>
      <c r="BB446" s="125">
        <f t="shared" si="763"/>
        <v>0</v>
      </c>
      <c r="BC446" s="19">
        <f t="shared" si="731"/>
        <v>691.71276053443603</v>
      </c>
    </row>
    <row r="447" spans="2:55" x14ac:dyDescent="0.25">
      <c r="B447" s="125" t="str">
        <f t="shared" si="761"/>
        <v>Product C Yield Gap Loss</v>
      </c>
      <c r="C447" s="125">
        <f t="shared" ref="C447:BB447" si="764">C421-C439</f>
        <v>37.713899204248179</v>
      </c>
      <c r="D447" s="125">
        <f t="shared" si="764"/>
        <v>30.156424328150422</v>
      </c>
      <c r="E447" s="125">
        <f t="shared" si="764"/>
        <v>26.380792817149903</v>
      </c>
      <c r="F447" s="125">
        <f t="shared" si="764"/>
        <v>0</v>
      </c>
      <c r="G447" s="125">
        <f t="shared" si="764"/>
        <v>37.736944172384177</v>
      </c>
      <c r="H447" s="125">
        <f t="shared" si="764"/>
        <v>30.173458211968367</v>
      </c>
      <c r="I447" s="125">
        <f t="shared" si="764"/>
        <v>26.396017676227061</v>
      </c>
      <c r="J447" s="125">
        <f t="shared" si="764"/>
        <v>0</v>
      </c>
      <c r="K447" s="125">
        <f t="shared" si="764"/>
        <v>7.5375506402835413</v>
      </c>
      <c r="L447" s="125">
        <f t="shared" si="764"/>
        <v>30.192047630864153</v>
      </c>
      <c r="M447" s="125">
        <f t="shared" si="764"/>
        <v>26.411011647258313</v>
      </c>
      <c r="N447" s="125">
        <f t="shared" si="764"/>
        <v>0</v>
      </c>
      <c r="O447" s="125">
        <f t="shared" si="764"/>
        <v>7.5427798408529583</v>
      </c>
      <c r="P447" s="125">
        <f t="shared" si="764"/>
        <v>30.156424328150422</v>
      </c>
      <c r="Q447" s="125">
        <f t="shared" si="764"/>
        <v>26.38049046426881</v>
      </c>
      <c r="R447" s="125">
        <f t="shared" si="764"/>
        <v>0</v>
      </c>
      <c r="S447" s="125">
        <f t="shared" si="764"/>
        <v>37.736944172384177</v>
      </c>
      <c r="T447" s="125">
        <f t="shared" si="764"/>
        <v>30.173613814759992</v>
      </c>
      <c r="U447" s="125">
        <f t="shared" si="764"/>
        <v>26.396017676227061</v>
      </c>
      <c r="V447" s="125">
        <f t="shared" si="764"/>
        <v>0</v>
      </c>
      <c r="W447" s="125">
        <f t="shared" si="764"/>
        <v>37.69063829787649</v>
      </c>
      <c r="X447" s="125">
        <f t="shared" si="764"/>
        <v>30.192047630864153</v>
      </c>
      <c r="Y447" s="125">
        <f t="shared" si="764"/>
        <v>26.410553685711257</v>
      </c>
      <c r="Z447" s="125">
        <f t="shared" si="764"/>
        <v>0</v>
      </c>
      <c r="AA447" s="125">
        <f t="shared" si="764"/>
        <v>37.713899204248179</v>
      </c>
      <c r="AB447" s="125">
        <f t="shared" si="764"/>
        <v>30.156234914231373</v>
      </c>
      <c r="AC447" s="125">
        <f t="shared" si="764"/>
        <v>26.380792817149903</v>
      </c>
      <c r="AD447" s="125">
        <f t="shared" si="764"/>
        <v>0</v>
      </c>
      <c r="AE447" s="125">
        <f t="shared" si="764"/>
        <v>37.736944172384177</v>
      </c>
      <c r="AF447" s="125">
        <f t="shared" si="764"/>
        <v>30.173458211968367</v>
      </c>
      <c r="AG447" s="125">
        <f t="shared" si="764"/>
        <v>26.396017676227061</v>
      </c>
      <c r="AH447" s="125">
        <f t="shared" si="764"/>
        <v>0</v>
      </c>
      <c r="AI447" s="125">
        <f t="shared" si="764"/>
        <v>37.69063829787649</v>
      </c>
      <c r="AJ447" s="125">
        <f t="shared" si="764"/>
        <v>30.192047630864153</v>
      </c>
      <c r="AK447" s="125">
        <f t="shared" si="764"/>
        <v>26.410553685711257</v>
      </c>
      <c r="AL447" s="125">
        <f t="shared" si="764"/>
        <v>0</v>
      </c>
      <c r="AM447" s="125">
        <f t="shared" si="764"/>
        <v>37.713899204248179</v>
      </c>
      <c r="AN447" s="125">
        <f t="shared" si="764"/>
        <v>30.156424328150422</v>
      </c>
      <c r="AO447" s="125">
        <f t="shared" si="764"/>
        <v>26.38049046426881</v>
      </c>
      <c r="AP447" s="125">
        <f t="shared" si="764"/>
        <v>0</v>
      </c>
      <c r="AQ447" s="125">
        <f t="shared" si="764"/>
        <v>37.736944172384177</v>
      </c>
      <c r="AR447" s="125">
        <f t="shared" si="764"/>
        <v>30.173458211968367</v>
      </c>
      <c r="AS447" s="125">
        <f t="shared" si="764"/>
        <v>26.383105914721753</v>
      </c>
      <c r="AT447" s="125">
        <f t="shared" si="764"/>
        <v>0</v>
      </c>
      <c r="AU447" s="125">
        <f t="shared" si="764"/>
        <v>37.691657754014848</v>
      </c>
      <c r="AV447" s="125">
        <f t="shared" si="764"/>
        <v>30.150934685127126</v>
      </c>
      <c r="AW447" s="125">
        <f t="shared" si="764"/>
        <v>26.396017676227061</v>
      </c>
      <c r="AX447" s="125">
        <f t="shared" si="764"/>
        <v>0</v>
      </c>
      <c r="AY447" s="125">
        <f t="shared" si="764"/>
        <v>37.687753201401122</v>
      </c>
      <c r="AZ447" s="125">
        <f t="shared" si="764"/>
        <v>30.189230994870105</v>
      </c>
      <c r="BA447" s="125">
        <f t="shared" si="764"/>
        <v>26.410553685711257</v>
      </c>
      <c r="BB447" s="125">
        <f t="shared" si="764"/>
        <v>0</v>
      </c>
      <c r="BC447" s="19">
        <f t="shared" si="731"/>
        <v>1165.2987131433838</v>
      </c>
    </row>
    <row r="448" spans="2:55" x14ac:dyDescent="0.25">
      <c r="B448" s="125" t="str">
        <f t="shared" si="761"/>
        <v>Product D Yield Gap Loss</v>
      </c>
      <c r="C448" s="125">
        <f t="shared" ref="C448:BB448" si="765">C422-C440</f>
        <v>37.677544297072849</v>
      </c>
      <c r="D448" s="125">
        <f t="shared" si="765"/>
        <v>48.109892503528847</v>
      </c>
      <c r="E448" s="125">
        <f t="shared" si="765"/>
        <v>38.478680517468646</v>
      </c>
      <c r="F448" s="125">
        <f t="shared" si="765"/>
        <v>35.055448920856804</v>
      </c>
      <c r="G448" s="125">
        <f t="shared" si="765"/>
        <v>35.04414476003268</v>
      </c>
      <c r="H448" s="125">
        <f t="shared" si="765"/>
        <v>48.138193591747218</v>
      </c>
      <c r="I448" s="125">
        <f t="shared" si="765"/>
        <v>38.501807803400141</v>
      </c>
      <c r="J448" s="125">
        <f t="shared" si="765"/>
        <v>35.008833305710155</v>
      </c>
      <c r="K448" s="125">
        <f t="shared" si="765"/>
        <v>37.650341559944067</v>
      </c>
      <c r="L448" s="125">
        <f t="shared" si="765"/>
        <v>48.169079136683429</v>
      </c>
      <c r="M448" s="125">
        <f t="shared" si="765"/>
        <v>38.52458435939522</v>
      </c>
      <c r="N448" s="125">
        <f t="shared" si="765"/>
        <v>35.029935048225013</v>
      </c>
      <c r="O448" s="125">
        <f t="shared" si="765"/>
        <v>54.275581432351366</v>
      </c>
      <c r="P448" s="125">
        <f t="shared" si="765"/>
        <v>48.109892503528847</v>
      </c>
      <c r="Q448" s="125">
        <f t="shared" si="765"/>
        <v>38.478221229044507</v>
      </c>
      <c r="R448" s="125">
        <f t="shared" si="765"/>
        <v>35.049308262387086</v>
      </c>
      <c r="S448" s="125">
        <f t="shared" si="765"/>
        <v>35.04414476003268</v>
      </c>
      <c r="T448" s="125">
        <f t="shared" si="765"/>
        <v>38.510761695441644</v>
      </c>
      <c r="U448" s="125">
        <f t="shared" si="765"/>
        <v>38.501807803400141</v>
      </c>
      <c r="V448" s="125">
        <f t="shared" si="765"/>
        <v>35.009801665272434</v>
      </c>
      <c r="W448" s="125">
        <f t="shared" si="765"/>
        <v>54.2407191489268</v>
      </c>
      <c r="X448" s="125">
        <f t="shared" si="765"/>
        <v>48.169079136683429</v>
      </c>
      <c r="Y448" s="125">
        <f t="shared" si="765"/>
        <v>38.523888693997534</v>
      </c>
      <c r="Z448" s="125">
        <f t="shared" si="765"/>
        <v>25.402298470092305</v>
      </c>
      <c r="AA448" s="125">
        <f t="shared" si="765"/>
        <v>54.275581432351366</v>
      </c>
      <c r="AB448" s="125">
        <f t="shared" si="765"/>
        <v>48.109577800194607</v>
      </c>
      <c r="AC448" s="125">
        <f t="shared" si="765"/>
        <v>38.478680517468646</v>
      </c>
      <c r="AD448" s="125">
        <f t="shared" si="765"/>
        <v>18.441103278682021</v>
      </c>
      <c r="AE448" s="125">
        <f t="shared" si="765"/>
        <v>35.04414476003268</v>
      </c>
      <c r="AF448" s="125">
        <f t="shared" si="765"/>
        <v>48.138193591747218</v>
      </c>
      <c r="AG448" s="125">
        <f t="shared" si="765"/>
        <v>38.501807803400141</v>
      </c>
      <c r="AH448" s="125">
        <f t="shared" si="765"/>
        <v>35.009801665272434</v>
      </c>
      <c r="AI448" s="125">
        <f t="shared" si="765"/>
        <v>21.06596737587715</v>
      </c>
      <c r="AJ448" s="125">
        <f t="shared" si="765"/>
        <v>48.169079136683429</v>
      </c>
      <c r="AK448" s="125">
        <f t="shared" si="765"/>
        <v>38.523888693997534</v>
      </c>
      <c r="AL448" s="125">
        <f t="shared" si="765"/>
        <v>25.402298470092305</v>
      </c>
      <c r="AM448" s="125">
        <f t="shared" si="765"/>
        <v>37.677544297072849</v>
      </c>
      <c r="AN448" s="125">
        <f t="shared" si="765"/>
        <v>48.109892503528847</v>
      </c>
      <c r="AO448" s="125">
        <f t="shared" si="765"/>
        <v>38.478221229044507</v>
      </c>
      <c r="AP448" s="125">
        <f t="shared" si="765"/>
        <v>35.054709836059068</v>
      </c>
      <c r="AQ448" s="125">
        <f t="shared" si="765"/>
        <v>35.04414476003268</v>
      </c>
      <c r="AR448" s="125">
        <f t="shared" si="765"/>
        <v>48.138193591747218</v>
      </c>
      <c r="AS448" s="125">
        <f t="shared" si="765"/>
        <v>38.4821942228278</v>
      </c>
      <c r="AT448" s="125">
        <f t="shared" si="765"/>
        <v>35.001271337573122</v>
      </c>
      <c r="AU448" s="125">
        <f t="shared" si="765"/>
        <v>54.242247058814144</v>
      </c>
      <c r="AV448" s="125">
        <f t="shared" si="765"/>
        <v>31.514298693695267</v>
      </c>
      <c r="AW448" s="125">
        <f t="shared" si="765"/>
        <v>38.501807803400141</v>
      </c>
      <c r="AX448" s="125">
        <f t="shared" si="765"/>
        <v>35.008833305710155</v>
      </c>
      <c r="AY448" s="125">
        <f t="shared" si="765"/>
        <v>54.23639511058434</v>
      </c>
      <c r="AZ448" s="125">
        <f t="shared" si="765"/>
        <v>48.164399413339147</v>
      </c>
      <c r="BA448" s="125">
        <f t="shared" si="765"/>
        <v>38.523888693997534</v>
      </c>
      <c r="BB448" s="125">
        <f t="shared" si="765"/>
        <v>25.402298470092305</v>
      </c>
      <c r="BC448" s="19">
        <f t="shared" si="731"/>
        <v>2055.4444554585425</v>
      </c>
    </row>
    <row r="449" spans="1:56" x14ac:dyDescent="0.25">
      <c r="B449" s="125" t="str">
        <f t="shared" si="761"/>
        <v>Product E Yield Gap Loss</v>
      </c>
      <c r="C449" s="125">
        <f t="shared" ref="C449:BB449" si="766">C423-C441</f>
        <v>12.71700371352642</v>
      </c>
      <c r="D449" s="125">
        <f t="shared" si="766"/>
        <v>13.981430042429103</v>
      </c>
      <c r="E449" s="125">
        <f t="shared" si="766"/>
        <v>41.298610851512883</v>
      </c>
      <c r="F449" s="125">
        <f t="shared" si="766"/>
        <v>33.096720575537276</v>
      </c>
      <c r="G449" s="125">
        <f t="shared" si="766"/>
        <v>12.725299902055376</v>
      </c>
      <c r="H449" s="125">
        <f t="shared" si="766"/>
        <v>37.518265776380453</v>
      </c>
      <c r="I449" s="125">
        <f t="shared" si="766"/>
        <v>41.324058115970409</v>
      </c>
      <c r="J449" s="125">
        <f t="shared" si="766"/>
        <v>33.051603247719335</v>
      </c>
      <c r="K449" s="125">
        <f t="shared" si="766"/>
        <v>12.707591152501482</v>
      </c>
      <c r="L449" s="125">
        <f t="shared" si="766"/>
        <v>20.998595365912163</v>
      </c>
      <c r="M449" s="125">
        <f t="shared" si="766"/>
        <v>24.809471680530731</v>
      </c>
      <c r="N449" s="125">
        <f t="shared" si="766"/>
        <v>33.072026752409286</v>
      </c>
      <c r="O449" s="125">
        <f t="shared" si="766"/>
        <v>12.71700371352642</v>
      </c>
      <c r="P449" s="125">
        <f t="shared" si="766"/>
        <v>45.757407411594592</v>
      </c>
      <c r="Q449" s="125">
        <f t="shared" si="766"/>
        <v>41.298105490268767</v>
      </c>
      <c r="R449" s="125">
        <f t="shared" si="766"/>
        <v>33.090777285926606</v>
      </c>
      <c r="S449" s="125">
        <f t="shared" si="766"/>
        <v>12.725299902055376</v>
      </c>
      <c r="T449" s="125">
        <f t="shared" si="766"/>
        <v>13.989938838300837</v>
      </c>
      <c r="U449" s="125">
        <f t="shared" si="766"/>
        <v>41.324058115970409</v>
      </c>
      <c r="V449" s="125">
        <f t="shared" si="766"/>
        <v>33.052540482928606</v>
      </c>
      <c r="W449" s="125">
        <f t="shared" si="766"/>
        <v>12.708629787232613</v>
      </c>
      <c r="X449" s="125">
        <f t="shared" si="766"/>
        <v>20.998595365912163</v>
      </c>
      <c r="Y449" s="125">
        <f t="shared" si="766"/>
        <v>-6.3612852334705039</v>
      </c>
      <c r="Z449" s="125">
        <f t="shared" si="766"/>
        <v>33.07395560500467</v>
      </c>
      <c r="AA449" s="125">
        <f t="shared" si="766"/>
        <v>12.71700371352642</v>
      </c>
      <c r="AB449" s="125">
        <f t="shared" si="766"/>
        <v>13.981336282539175</v>
      </c>
      <c r="AC449" s="125">
        <f t="shared" si="766"/>
        <v>25.414529754776062</v>
      </c>
      <c r="AD449" s="125">
        <f t="shared" si="766"/>
        <v>33.096005245899349</v>
      </c>
      <c r="AE449" s="125">
        <f t="shared" si="766"/>
        <v>12.725299902055376</v>
      </c>
      <c r="AF449" s="125">
        <f t="shared" si="766"/>
        <v>37.518265776380453</v>
      </c>
      <c r="AG449" s="125">
        <f t="shared" si="766"/>
        <v>41.324058115970409</v>
      </c>
      <c r="AH449" s="125">
        <f t="shared" si="766"/>
        <v>33.052540482928606</v>
      </c>
      <c r="AI449" s="125">
        <f t="shared" si="766"/>
        <v>12.708629787232613</v>
      </c>
      <c r="AJ449" s="125">
        <f t="shared" si="766"/>
        <v>20.998595365912163</v>
      </c>
      <c r="AK449" s="125">
        <f t="shared" si="766"/>
        <v>41.348354017536842</v>
      </c>
      <c r="AL449" s="125">
        <f t="shared" si="766"/>
        <v>33.07395560500467</v>
      </c>
      <c r="AM449" s="125">
        <f t="shared" si="766"/>
        <v>12.71700371352642</v>
      </c>
      <c r="AN449" s="125">
        <f t="shared" si="766"/>
        <v>45.757407411594592</v>
      </c>
      <c r="AO449" s="125">
        <f t="shared" si="766"/>
        <v>41.298105490268767</v>
      </c>
      <c r="AP449" s="125">
        <f t="shared" si="766"/>
        <v>33.096005245899349</v>
      </c>
      <c r="AQ449" s="125">
        <f t="shared" si="766"/>
        <v>12.725299902055376</v>
      </c>
      <c r="AR449" s="125">
        <f t="shared" si="766"/>
        <v>37.518265776380453</v>
      </c>
      <c r="AS449" s="125">
        <f t="shared" si="766"/>
        <v>41.302477028882976</v>
      </c>
      <c r="AT449" s="125">
        <f t="shared" si="766"/>
        <v>33.044284331207905</v>
      </c>
      <c r="AU449" s="125">
        <f t="shared" si="766"/>
        <v>12.708996791442424</v>
      </c>
      <c r="AV449" s="125">
        <f t="shared" si="766"/>
        <v>29.863613429514707</v>
      </c>
      <c r="AW449" s="125">
        <f t="shared" si="766"/>
        <v>9.5363211036832851</v>
      </c>
      <c r="AX449" s="125">
        <f t="shared" si="766"/>
        <v>33.051603247719335</v>
      </c>
      <c r="AY449" s="125">
        <f t="shared" si="766"/>
        <v>12.707591152501482</v>
      </c>
      <c r="AZ449" s="125">
        <f t="shared" si="766"/>
        <v>45.810554211680468</v>
      </c>
      <c r="BA449" s="125">
        <f t="shared" si="766"/>
        <v>41.348354017536842</v>
      </c>
      <c r="BB449" s="125">
        <f t="shared" si="766"/>
        <v>33.07395560500467</v>
      </c>
      <c r="BC449" s="19">
        <f t="shared" si="731"/>
        <v>1405.1941164503969</v>
      </c>
    </row>
    <row r="450" spans="1:56" x14ac:dyDescent="0.25">
      <c r="B450" s="125" t="str">
        <f t="shared" si="761"/>
        <v>Product F Yield Gap Loss</v>
      </c>
      <c r="C450" s="125">
        <f t="shared" ref="C450:BB450" si="767">C424-C442</f>
        <v>0</v>
      </c>
      <c r="D450" s="125">
        <f t="shared" si="767"/>
        <v>11.040603960396677</v>
      </c>
      <c r="E450" s="125">
        <f t="shared" si="767"/>
        <v>42.28454632168539</v>
      </c>
      <c r="F450" s="125">
        <f t="shared" si="767"/>
        <v>0</v>
      </c>
      <c r="G450" s="125">
        <f t="shared" si="767"/>
        <v>0</v>
      </c>
      <c r="H450" s="125">
        <f t="shared" si="767"/>
        <v>11.046658973785089</v>
      </c>
      <c r="I450" s="125">
        <f t="shared" si="767"/>
        <v>8.3257179133450592</v>
      </c>
      <c r="J450" s="125">
        <f t="shared" si="767"/>
        <v>39.07168351284303</v>
      </c>
      <c r="K450" s="125">
        <f t="shared" si="767"/>
        <v>23.435355995344189</v>
      </c>
      <c r="L450" s="125">
        <f t="shared" si="767"/>
        <v>11.053266931283201</v>
      </c>
      <c r="M450" s="125">
        <f t="shared" si="767"/>
        <v>42.331574376041594</v>
      </c>
      <c r="N450" s="125">
        <f t="shared" si="767"/>
        <v>39.093639871383921</v>
      </c>
      <c r="O450" s="125">
        <f t="shared" si="767"/>
        <v>0</v>
      </c>
      <c r="P450" s="125">
        <f t="shared" si="767"/>
        <v>11.040603960396677</v>
      </c>
      <c r="Q450" s="125">
        <f t="shared" si="767"/>
        <v>42.284075785014181</v>
      </c>
      <c r="R450" s="125">
        <f t="shared" si="767"/>
        <v>39.113797696546094</v>
      </c>
      <c r="S450" s="125">
        <f t="shared" si="767"/>
        <v>0</v>
      </c>
      <c r="T450" s="125">
        <f t="shared" si="767"/>
        <v>11.046714285714927</v>
      </c>
      <c r="U450" s="125">
        <f t="shared" si="767"/>
        <v>-8.6655431342945235</v>
      </c>
      <c r="V450" s="125">
        <f t="shared" si="767"/>
        <v>39.072691090758994</v>
      </c>
      <c r="W450" s="125">
        <f t="shared" si="767"/>
        <v>0</v>
      </c>
      <c r="X450" s="125">
        <f t="shared" si="767"/>
        <v>11.053266931283201</v>
      </c>
      <c r="Y450" s="125">
        <f t="shared" si="767"/>
        <v>26.690543304101652</v>
      </c>
      <c r="Z450" s="125">
        <f t="shared" si="767"/>
        <v>39.095713490960947</v>
      </c>
      <c r="AA450" s="125">
        <f t="shared" si="767"/>
        <v>0</v>
      </c>
      <c r="AB450" s="125">
        <f t="shared" si="767"/>
        <v>11.040536629667642</v>
      </c>
      <c r="AC450" s="125">
        <f t="shared" si="767"/>
        <v>25.302800810969025</v>
      </c>
      <c r="AD450" s="125">
        <f t="shared" si="767"/>
        <v>15.647767213115266</v>
      </c>
      <c r="AE450" s="125">
        <f t="shared" si="767"/>
        <v>0</v>
      </c>
      <c r="AF450" s="125">
        <f t="shared" si="767"/>
        <v>11.046658973785089</v>
      </c>
      <c r="AG450" s="125">
        <f t="shared" si="767"/>
        <v>42.30824000862421</v>
      </c>
      <c r="AH450" s="125">
        <f t="shared" si="767"/>
        <v>39.072691090758994</v>
      </c>
      <c r="AI450" s="125">
        <f t="shared" si="767"/>
        <v>0</v>
      </c>
      <c r="AJ450" s="125">
        <f t="shared" si="767"/>
        <v>11.053266931283201</v>
      </c>
      <c r="AK450" s="125">
        <f t="shared" si="767"/>
        <v>26.690543304101652</v>
      </c>
      <c r="AL450" s="125">
        <f t="shared" si="767"/>
        <v>39.095713490960947</v>
      </c>
      <c r="AM450" s="125">
        <f t="shared" si="767"/>
        <v>0</v>
      </c>
      <c r="AN450" s="125">
        <f t="shared" si="767"/>
        <v>11.040603960396677</v>
      </c>
      <c r="AO450" s="125">
        <f t="shared" si="767"/>
        <v>42.284075785014181</v>
      </c>
      <c r="AP450" s="125">
        <f t="shared" si="767"/>
        <v>15.647767213115266</v>
      </c>
      <c r="AQ450" s="125">
        <f t="shared" si="767"/>
        <v>0</v>
      </c>
      <c r="AR450" s="125">
        <f t="shared" si="767"/>
        <v>11.046658973785089</v>
      </c>
      <c r="AS450" s="125">
        <f t="shared" si="767"/>
        <v>42.288146079781583</v>
      </c>
      <c r="AT450" s="125">
        <f t="shared" si="767"/>
        <v>39.063815286625477</v>
      </c>
      <c r="AU450" s="125">
        <f t="shared" si="767"/>
        <v>11.039502673797433</v>
      </c>
      <c r="AV450" s="125">
        <f t="shared" si="767"/>
        <v>11.03865256385324</v>
      </c>
      <c r="AW450" s="125">
        <f t="shared" si="767"/>
        <v>25.316978960984642</v>
      </c>
      <c r="AX450" s="125">
        <f t="shared" si="767"/>
        <v>39.07168351284303</v>
      </c>
      <c r="AY450" s="125">
        <f t="shared" si="767"/>
        <v>23.435355995344189</v>
      </c>
      <c r="AZ450" s="125">
        <f t="shared" si="767"/>
        <v>11.052265705207191</v>
      </c>
      <c r="BA450" s="125">
        <f t="shared" si="767"/>
        <v>26.690543304101652</v>
      </c>
      <c r="BB450" s="125">
        <f t="shared" si="767"/>
        <v>39.095713490960947</v>
      </c>
      <c r="BC450" s="19">
        <f t="shared" si="731"/>
        <v>1007.7848932256671</v>
      </c>
    </row>
    <row r="451" spans="1:56" x14ac:dyDescent="0.25">
      <c r="B451" s="125" t="str">
        <f t="shared" si="761"/>
        <v>Product G Yield Gap Loss</v>
      </c>
      <c r="C451" s="125">
        <f t="shared" ref="C451:BB451" si="768">C425-C443</f>
        <v>0</v>
      </c>
      <c r="D451" s="125">
        <f t="shared" si="768"/>
        <v>5.0909301272985363</v>
      </c>
      <c r="E451" s="125">
        <f t="shared" si="768"/>
        <v>25.149713535431733</v>
      </c>
      <c r="F451" s="125">
        <f t="shared" si="768"/>
        <v>38.682552517985954</v>
      </c>
      <c r="G451" s="125">
        <f t="shared" si="768"/>
        <v>0</v>
      </c>
      <c r="H451" s="125">
        <f t="shared" si="768"/>
        <v>0</v>
      </c>
      <c r="I451" s="125">
        <f t="shared" si="768"/>
        <v>13.480401379607827</v>
      </c>
      <c r="J451" s="125">
        <f t="shared" si="768"/>
        <v>47.022007290804048</v>
      </c>
      <c r="K451" s="125">
        <f t="shared" si="768"/>
        <v>0</v>
      </c>
      <c r="L451" s="125">
        <f t="shared" si="768"/>
        <v>0</v>
      </c>
      <c r="M451" s="125">
        <f t="shared" si="768"/>
        <v>13.48763061564075</v>
      </c>
      <c r="N451" s="125">
        <f t="shared" si="768"/>
        <v>38.657027652733454</v>
      </c>
      <c r="O451" s="125">
        <f t="shared" si="768"/>
        <v>0</v>
      </c>
      <c r="P451" s="125">
        <f t="shared" si="768"/>
        <v>0</v>
      </c>
      <c r="Q451" s="125">
        <f t="shared" si="768"/>
        <v>13.472915045270813</v>
      </c>
      <c r="R451" s="125">
        <f t="shared" si="768"/>
        <v>21.886650175263103</v>
      </c>
      <c r="S451" s="125">
        <f t="shared" si="768"/>
        <v>0</v>
      </c>
      <c r="T451" s="125">
        <f t="shared" si="768"/>
        <v>0</v>
      </c>
      <c r="U451" s="125">
        <f t="shared" si="768"/>
        <v>13.480401379607827</v>
      </c>
      <c r="V451" s="125">
        <f t="shared" si="768"/>
        <v>47.023186344713132</v>
      </c>
      <c r="W451" s="125">
        <f t="shared" si="768"/>
        <v>0</v>
      </c>
      <c r="X451" s="125">
        <f t="shared" si="768"/>
        <v>0</v>
      </c>
      <c r="Y451" s="125">
        <f t="shared" si="768"/>
        <v>13.487409812751988</v>
      </c>
      <c r="Z451" s="125">
        <f t="shared" si="768"/>
        <v>47.05012684283767</v>
      </c>
      <c r="AA451" s="125">
        <f t="shared" si="768"/>
        <v>0</v>
      </c>
      <c r="AB451" s="125">
        <f t="shared" si="768"/>
        <v>0</v>
      </c>
      <c r="AC451" s="125">
        <f t="shared" si="768"/>
        <v>13.473060822552767</v>
      </c>
      <c r="AD451" s="125">
        <f t="shared" si="768"/>
        <v>47.077865573770886</v>
      </c>
      <c r="AE451" s="125">
        <f t="shared" si="768"/>
        <v>0</v>
      </c>
      <c r="AF451" s="125">
        <f t="shared" si="768"/>
        <v>0</v>
      </c>
      <c r="AG451" s="125">
        <f t="shared" si="768"/>
        <v>13.480401379607827</v>
      </c>
      <c r="AH451" s="125">
        <f t="shared" si="768"/>
        <v>47.023186344713132</v>
      </c>
      <c r="AI451" s="125">
        <f t="shared" si="768"/>
        <v>0</v>
      </c>
      <c r="AJ451" s="125">
        <f t="shared" si="768"/>
        <v>0</v>
      </c>
      <c r="AK451" s="125">
        <f t="shared" si="768"/>
        <v>13.487409812751988</v>
      </c>
      <c r="AL451" s="125">
        <f t="shared" si="768"/>
        <v>47.05012684283767</v>
      </c>
      <c r="AM451" s="125">
        <f t="shared" si="768"/>
        <v>0</v>
      </c>
      <c r="AN451" s="125">
        <f t="shared" si="768"/>
        <v>0</v>
      </c>
      <c r="AO451" s="125">
        <f t="shared" si="768"/>
        <v>13.472915045270813</v>
      </c>
      <c r="AP451" s="125">
        <f t="shared" si="768"/>
        <v>47.077865573770886</v>
      </c>
      <c r="AQ451" s="125">
        <f t="shared" si="768"/>
        <v>0</v>
      </c>
      <c r="AR451" s="125">
        <f t="shared" si="768"/>
        <v>0</v>
      </c>
      <c r="AS451" s="125">
        <f t="shared" si="768"/>
        <v>13.474176066024913</v>
      </c>
      <c r="AT451" s="125">
        <f t="shared" si="768"/>
        <v>47.012800000000396</v>
      </c>
      <c r="AU451" s="125">
        <f t="shared" si="768"/>
        <v>0</v>
      </c>
      <c r="AV451" s="125">
        <f t="shared" si="768"/>
        <v>0</v>
      </c>
      <c r="AW451" s="125">
        <f t="shared" si="768"/>
        <v>13.480401379607827</v>
      </c>
      <c r="AX451" s="125">
        <f t="shared" si="768"/>
        <v>47.022007290804048</v>
      </c>
      <c r="AY451" s="125">
        <f t="shared" si="768"/>
        <v>0</v>
      </c>
      <c r="AZ451" s="125">
        <f t="shared" si="768"/>
        <v>0</v>
      </c>
      <c r="BA451" s="125">
        <f t="shared" si="768"/>
        <v>13.487409812751988</v>
      </c>
      <c r="BB451" s="125">
        <f t="shared" si="768"/>
        <v>2.097776356050467</v>
      </c>
      <c r="BC451" s="19">
        <f t="shared" si="731"/>
        <v>716.68835502046227</v>
      </c>
    </row>
    <row r="452" spans="1:56" x14ac:dyDescent="0.25">
      <c r="B452" s="125" t="str">
        <f t="shared" si="761"/>
        <v>Product H Yield Gap Loss</v>
      </c>
      <c r="C452" s="125">
        <f t="shared" ref="C452:BB452" si="769">C426-C444</f>
        <v>0</v>
      </c>
      <c r="D452" s="125">
        <f t="shared" si="769"/>
        <v>0</v>
      </c>
      <c r="E452" s="125">
        <f t="shared" si="769"/>
        <v>0</v>
      </c>
      <c r="F452" s="125">
        <f t="shared" si="769"/>
        <v>12.316247482013004</v>
      </c>
      <c r="G452" s="125">
        <f t="shared" si="769"/>
        <v>0</v>
      </c>
      <c r="H452" s="125">
        <f t="shared" si="769"/>
        <v>0</v>
      </c>
      <c r="I452" s="125">
        <f t="shared" si="769"/>
        <v>0</v>
      </c>
      <c r="J452" s="125">
        <f t="shared" si="769"/>
        <v>12.301465451531346</v>
      </c>
      <c r="K452" s="125">
        <f t="shared" si="769"/>
        <v>0</v>
      </c>
      <c r="L452" s="125">
        <f t="shared" si="769"/>
        <v>0</v>
      </c>
      <c r="M452" s="125">
        <f t="shared" si="769"/>
        <v>0</v>
      </c>
      <c r="N452" s="125">
        <f t="shared" si="769"/>
        <v>12.308156913181897</v>
      </c>
      <c r="O452" s="125">
        <f t="shared" si="769"/>
        <v>0</v>
      </c>
      <c r="P452" s="125">
        <f t="shared" si="769"/>
        <v>0</v>
      </c>
      <c r="Q452" s="125">
        <f t="shared" si="769"/>
        <v>23.979476139470503</v>
      </c>
      <c r="R452" s="125">
        <f t="shared" si="769"/>
        <v>12.314300250374181</v>
      </c>
      <c r="S452" s="125">
        <f t="shared" si="769"/>
        <v>0</v>
      </c>
      <c r="T452" s="125">
        <f t="shared" si="769"/>
        <v>0</v>
      </c>
      <c r="U452" s="125">
        <f t="shared" si="769"/>
        <v>0</v>
      </c>
      <c r="V452" s="125">
        <f t="shared" si="769"/>
        <v>12.301772522896204</v>
      </c>
      <c r="W452" s="125">
        <f t="shared" si="769"/>
        <v>23.982001702125999</v>
      </c>
      <c r="X452" s="125">
        <f t="shared" si="769"/>
        <v>0</v>
      </c>
      <c r="Y452" s="125">
        <f t="shared" si="769"/>
        <v>0</v>
      </c>
      <c r="Z452" s="125">
        <f t="shared" si="769"/>
        <v>12.308788873433944</v>
      </c>
      <c r="AA452" s="125">
        <f t="shared" si="769"/>
        <v>0</v>
      </c>
      <c r="AB452" s="125">
        <f t="shared" si="769"/>
        <v>4.3049615176581018</v>
      </c>
      <c r="AC452" s="125">
        <f t="shared" si="769"/>
        <v>0</v>
      </c>
      <c r="AD452" s="125">
        <f t="shared" si="769"/>
        <v>12.316013114752714</v>
      </c>
      <c r="AE452" s="125">
        <f t="shared" si="769"/>
        <v>0</v>
      </c>
      <c r="AF452" s="125">
        <f t="shared" si="769"/>
        <v>0</v>
      </c>
      <c r="AG452" s="125">
        <f t="shared" si="769"/>
        <v>0</v>
      </c>
      <c r="AH452" s="125">
        <f t="shared" si="769"/>
        <v>12.301772522896204</v>
      </c>
      <c r="AI452" s="125">
        <f t="shared" si="769"/>
        <v>23.982001702125999</v>
      </c>
      <c r="AJ452" s="125">
        <f t="shared" si="769"/>
        <v>0</v>
      </c>
      <c r="AK452" s="125">
        <f t="shared" si="769"/>
        <v>0</v>
      </c>
      <c r="AL452" s="125">
        <f t="shared" si="769"/>
        <v>12.308788873433944</v>
      </c>
      <c r="AM452" s="125">
        <f t="shared" si="769"/>
        <v>0</v>
      </c>
      <c r="AN452" s="125">
        <f t="shared" si="769"/>
        <v>0</v>
      </c>
      <c r="AO452" s="125">
        <f t="shared" si="769"/>
        <v>23.979476139470503</v>
      </c>
      <c r="AP452" s="125">
        <f t="shared" si="769"/>
        <v>27.711029508195335</v>
      </c>
      <c r="AQ452" s="125">
        <f t="shared" si="769"/>
        <v>0</v>
      </c>
      <c r="AR452" s="125">
        <f t="shared" si="769"/>
        <v>0</v>
      </c>
      <c r="AS452" s="125">
        <f t="shared" si="769"/>
        <v>0</v>
      </c>
      <c r="AT452" s="125">
        <f t="shared" si="769"/>
        <v>12.299067515922186</v>
      </c>
      <c r="AU452" s="125">
        <f t="shared" si="769"/>
        <v>0</v>
      </c>
      <c r="AV452" s="125">
        <f t="shared" si="769"/>
        <v>0</v>
      </c>
      <c r="AW452" s="125">
        <f t="shared" si="769"/>
        <v>0</v>
      </c>
      <c r="AX452" s="125">
        <f t="shared" si="769"/>
        <v>12.301465451531346</v>
      </c>
      <c r="AY452" s="125">
        <f t="shared" si="769"/>
        <v>0</v>
      </c>
      <c r="AZ452" s="125">
        <f t="shared" si="769"/>
        <v>0</v>
      </c>
      <c r="BA452" s="125">
        <f t="shared" si="769"/>
        <v>0</v>
      </c>
      <c r="BB452" s="125">
        <f t="shared" si="769"/>
        <v>12.308788873433944</v>
      </c>
      <c r="BC452" s="19">
        <f t="shared" si="731"/>
        <v>275.62557455444738</v>
      </c>
      <c r="BD452" s="129"/>
    </row>
    <row r="453" spans="1:56" x14ac:dyDescent="0.25">
      <c r="B453" s="88" t="str">
        <f xml:space="preserve"> "Total Weekly  Gap Loss VAS"</f>
        <v>Total Weekly  Gap Loss VAS</v>
      </c>
      <c r="C453" s="88">
        <f>SUM(C445:C452)</f>
        <v>152.48167013262227</v>
      </c>
      <c r="D453" s="88">
        <f t="shared" ref="D453:BC453" si="770">SUM(D445:D452)</f>
        <v>131.9812607637819</v>
      </c>
      <c r="E453" s="88">
        <f t="shared" si="770"/>
        <v>181.37737783355814</v>
      </c>
      <c r="F453" s="88">
        <f t="shared" si="770"/>
        <v>140.57289122301049</v>
      </c>
      <c r="G453" s="88">
        <f t="shared" si="770"/>
        <v>134.32644282076313</v>
      </c>
      <c r="H453" s="88">
        <f t="shared" si="770"/>
        <v>150.49064154155568</v>
      </c>
      <c r="I453" s="88">
        <f t="shared" si="770"/>
        <v>128.02800288855047</v>
      </c>
      <c r="J453" s="88">
        <f t="shared" si="770"/>
        <v>168.66323234464707</v>
      </c>
      <c r="K453" s="88">
        <f t="shared" si="770"/>
        <v>130.09316772991556</v>
      </c>
      <c r="L453" s="88">
        <f t="shared" si="770"/>
        <v>134.04024285784448</v>
      </c>
      <c r="M453" s="88">
        <f t="shared" si="770"/>
        <v>145.56427267886659</v>
      </c>
      <c r="N453" s="88">
        <f t="shared" si="770"/>
        <v>158.16078623793359</v>
      </c>
      <c r="O453" s="88">
        <f t="shared" si="770"/>
        <v>123.32837570291406</v>
      </c>
      <c r="P453" s="88">
        <f t="shared" si="770"/>
        <v>160.22364039603227</v>
      </c>
      <c r="Q453" s="88">
        <f t="shared" si="770"/>
        <v>185.89328415333759</v>
      </c>
      <c r="R453" s="88">
        <f t="shared" si="770"/>
        <v>141.45483367049707</v>
      </c>
      <c r="S453" s="88">
        <f t="shared" si="770"/>
        <v>134.32644282076313</v>
      </c>
      <c r="T453" s="88">
        <f t="shared" si="770"/>
        <v>117.33520401883089</v>
      </c>
      <c r="U453" s="88">
        <f t="shared" si="770"/>
        <v>111.03674184091091</v>
      </c>
      <c r="V453" s="88">
        <f t="shared" si="770"/>
        <v>168.01754581181655</v>
      </c>
      <c r="W453" s="88">
        <f t="shared" si="770"/>
        <v>177.38770297871804</v>
      </c>
      <c r="X453" s="88">
        <f t="shared" si="770"/>
        <v>134.04024285784448</v>
      </c>
      <c r="Y453" s="88">
        <f t="shared" si="770"/>
        <v>98.751110263091931</v>
      </c>
      <c r="Z453" s="88">
        <f t="shared" si="770"/>
        <v>156.93088328232952</v>
      </c>
      <c r="AA453" s="88">
        <f t="shared" si="770"/>
        <v>153.49949506630929</v>
      </c>
      <c r="AB453" s="88">
        <f t="shared" si="770"/>
        <v>131.19449256103977</v>
      </c>
      <c r="AC453" s="88">
        <f t="shared" si="770"/>
        <v>147.7339458196563</v>
      </c>
      <c r="AD453" s="88">
        <f t="shared" si="770"/>
        <v>126.57875442622023</v>
      </c>
      <c r="AE453" s="88">
        <f t="shared" si="770"/>
        <v>134.32644282076313</v>
      </c>
      <c r="AF453" s="88">
        <f t="shared" si="770"/>
        <v>150.49064154155568</v>
      </c>
      <c r="AG453" s="88">
        <f t="shared" si="770"/>
        <v>162.01052498382964</v>
      </c>
      <c r="AH453" s="88">
        <f t="shared" si="770"/>
        <v>168.01754581181655</v>
      </c>
      <c r="AI453" s="88">
        <f t="shared" si="770"/>
        <v>144.21295120566839</v>
      </c>
      <c r="AJ453" s="88">
        <f t="shared" si="770"/>
        <v>134.04024285784448</v>
      </c>
      <c r="AK453" s="88">
        <f t="shared" si="770"/>
        <v>146.46074951409929</v>
      </c>
      <c r="AL453" s="88">
        <f t="shared" si="770"/>
        <v>156.93088328232952</v>
      </c>
      <c r="AM453" s="88">
        <f t="shared" si="770"/>
        <v>136.90145793103076</v>
      </c>
      <c r="AN453" s="88">
        <f t="shared" si="770"/>
        <v>160.22364039603227</v>
      </c>
      <c r="AO453" s="88">
        <f t="shared" si="770"/>
        <v>185.89328415333759</v>
      </c>
      <c r="AP453" s="88">
        <f t="shared" si="770"/>
        <v>158.5873773770399</v>
      </c>
      <c r="AQ453" s="88">
        <f t="shared" si="770"/>
        <v>134.32644282076313</v>
      </c>
      <c r="AR453" s="88">
        <f t="shared" si="770"/>
        <v>150.49064154155568</v>
      </c>
      <c r="AS453" s="88">
        <f t="shared" si="770"/>
        <v>169.71575268225533</v>
      </c>
      <c r="AT453" s="88">
        <f t="shared" si="770"/>
        <v>175.75949579616881</v>
      </c>
      <c r="AU453" s="88">
        <f t="shared" si="770"/>
        <v>164.44931465240333</v>
      </c>
      <c r="AV453" s="88">
        <f t="shared" si="770"/>
        <v>133.95095970363965</v>
      </c>
      <c r="AW453" s="88">
        <f t="shared" si="770"/>
        <v>113.23152692390295</v>
      </c>
      <c r="AX453" s="88">
        <f t="shared" si="770"/>
        <v>168.66323234464707</v>
      </c>
      <c r="AY453" s="88">
        <f t="shared" si="770"/>
        <v>176.82942384167345</v>
      </c>
      <c r="AZ453" s="88">
        <f t="shared" si="770"/>
        <v>137.42600659006814</v>
      </c>
      <c r="BA453" s="88">
        <f t="shared" si="770"/>
        <v>146.46074951409929</v>
      </c>
      <c r="BB453" s="88">
        <f t="shared" si="770"/>
        <v>111.97853279554232</v>
      </c>
      <c r="BC453" s="88">
        <f t="shared" si="770"/>
        <v>7644.8905058054279</v>
      </c>
      <c r="BD453" s="148"/>
    </row>
    <row r="455" spans="1:56" x14ac:dyDescent="0.25">
      <c r="B455" s="1" t="s">
        <v>270</v>
      </c>
    </row>
    <row r="456" spans="1:56" x14ac:dyDescent="0.25">
      <c r="A456" s="64">
        <f>'Client Data'!A24</f>
        <v>9</v>
      </c>
      <c r="B456" s="19" t="str">
        <f>'Client Data'!B25</f>
        <v>Rework Loss Type A</v>
      </c>
      <c r="C456" s="50">
        <f t="shared" ref="C456:AH456" si="771">IF(C190&gt;0,SUM(C457:C464),0)</f>
        <v>0</v>
      </c>
      <c r="D456" s="50">
        <f t="shared" si="771"/>
        <v>0</v>
      </c>
      <c r="E456" s="50">
        <f t="shared" si="771"/>
        <v>0</v>
      </c>
      <c r="F456" s="50">
        <f t="shared" si="771"/>
        <v>0</v>
      </c>
      <c r="G456" s="50">
        <f t="shared" si="771"/>
        <v>0</v>
      </c>
      <c r="H456" s="50">
        <f t="shared" si="771"/>
        <v>0</v>
      </c>
      <c r="I456" s="50">
        <f t="shared" si="771"/>
        <v>0</v>
      </c>
      <c r="J456" s="50">
        <f t="shared" si="771"/>
        <v>0</v>
      </c>
      <c r="K456" s="50">
        <f t="shared" si="771"/>
        <v>0</v>
      </c>
      <c r="L456" s="50">
        <f t="shared" si="771"/>
        <v>0</v>
      </c>
      <c r="M456" s="50">
        <f t="shared" si="771"/>
        <v>0</v>
      </c>
      <c r="N456" s="50">
        <f t="shared" si="771"/>
        <v>0</v>
      </c>
      <c r="O456" s="50">
        <f t="shared" si="771"/>
        <v>0</v>
      </c>
      <c r="P456" s="50">
        <f t="shared" si="771"/>
        <v>0</v>
      </c>
      <c r="Q456" s="50">
        <f t="shared" si="771"/>
        <v>0</v>
      </c>
      <c r="R456" s="50">
        <f t="shared" si="771"/>
        <v>0</v>
      </c>
      <c r="S456" s="50">
        <f t="shared" si="771"/>
        <v>0</v>
      </c>
      <c r="T456" s="50">
        <f t="shared" si="771"/>
        <v>0</v>
      </c>
      <c r="U456" s="50">
        <f t="shared" si="771"/>
        <v>0</v>
      </c>
      <c r="V456" s="50">
        <f t="shared" si="771"/>
        <v>0</v>
      </c>
      <c r="W456" s="50">
        <f t="shared" si="771"/>
        <v>0</v>
      </c>
      <c r="X456" s="50">
        <f t="shared" si="771"/>
        <v>0</v>
      </c>
      <c r="Y456" s="50">
        <f t="shared" si="771"/>
        <v>0</v>
      </c>
      <c r="Z456" s="50">
        <f t="shared" si="771"/>
        <v>0</v>
      </c>
      <c r="AA456" s="50">
        <f t="shared" si="771"/>
        <v>0</v>
      </c>
      <c r="AB456" s="50">
        <f t="shared" si="771"/>
        <v>0</v>
      </c>
      <c r="AC456" s="50">
        <f t="shared" si="771"/>
        <v>0</v>
      </c>
      <c r="AD456" s="50">
        <f t="shared" si="771"/>
        <v>0</v>
      </c>
      <c r="AE456" s="50">
        <f t="shared" si="771"/>
        <v>0</v>
      </c>
      <c r="AF456" s="50">
        <f t="shared" si="771"/>
        <v>0</v>
      </c>
      <c r="AG456" s="50">
        <f t="shared" si="771"/>
        <v>0</v>
      </c>
      <c r="AH456" s="50">
        <f t="shared" si="771"/>
        <v>0</v>
      </c>
      <c r="AI456" s="50">
        <f t="shared" ref="AI456:BB456" si="772">IF(AI190&gt;0,SUM(AI457:AI464),0)</f>
        <v>0</v>
      </c>
      <c r="AJ456" s="50">
        <f t="shared" si="772"/>
        <v>0</v>
      </c>
      <c r="AK456" s="50">
        <f t="shared" si="772"/>
        <v>0</v>
      </c>
      <c r="AL456" s="50">
        <f t="shared" si="772"/>
        <v>0</v>
      </c>
      <c r="AM456" s="50">
        <f t="shared" si="772"/>
        <v>0</v>
      </c>
      <c r="AN456" s="50">
        <f t="shared" si="772"/>
        <v>0</v>
      </c>
      <c r="AO456" s="50">
        <f t="shared" si="772"/>
        <v>0</v>
      </c>
      <c r="AP456" s="50">
        <f t="shared" si="772"/>
        <v>0</v>
      </c>
      <c r="AQ456" s="50">
        <f t="shared" si="772"/>
        <v>0</v>
      </c>
      <c r="AR456" s="50">
        <f t="shared" si="772"/>
        <v>0</v>
      </c>
      <c r="AS456" s="50">
        <f t="shared" si="772"/>
        <v>0</v>
      </c>
      <c r="AT456" s="50">
        <f t="shared" si="772"/>
        <v>0</v>
      </c>
      <c r="AU456" s="50">
        <f t="shared" si="772"/>
        <v>0</v>
      </c>
      <c r="AV456" s="50">
        <f t="shared" si="772"/>
        <v>0</v>
      </c>
      <c r="AW456" s="50">
        <f t="shared" si="772"/>
        <v>0</v>
      </c>
      <c r="AX456" s="50">
        <f t="shared" si="772"/>
        <v>0</v>
      </c>
      <c r="AY456" s="50">
        <f t="shared" si="772"/>
        <v>0</v>
      </c>
      <c r="AZ456" s="50">
        <f t="shared" si="772"/>
        <v>0</v>
      </c>
      <c r="BA456" s="50">
        <f t="shared" si="772"/>
        <v>0</v>
      </c>
      <c r="BB456" s="50">
        <f t="shared" si="772"/>
        <v>0</v>
      </c>
      <c r="BC456" s="19">
        <f>SUM(C456:BB456)</f>
        <v>0</v>
      </c>
    </row>
    <row r="457" spans="1:56" x14ac:dyDescent="0.25">
      <c r="B457" s="80" t="str">
        <f>'Client Data'!C25</f>
        <v>Product A</v>
      </c>
      <c r="C457" s="35">
        <f>'Client Data'!D25</f>
        <v>0</v>
      </c>
      <c r="D457" s="35">
        <f>'Client Data'!E25</f>
        <v>0</v>
      </c>
      <c r="E457" s="35">
        <f>'Client Data'!F25</f>
        <v>0</v>
      </c>
      <c r="F457" s="35">
        <f>'Client Data'!G25</f>
        <v>0</v>
      </c>
      <c r="G457" s="35">
        <f>'Client Data'!H25</f>
        <v>0</v>
      </c>
      <c r="H457" s="35">
        <f>'Client Data'!I25</f>
        <v>0</v>
      </c>
      <c r="I457" s="35">
        <f>'Client Data'!J25</f>
        <v>0</v>
      </c>
      <c r="J457" s="35">
        <f>'Client Data'!K25</f>
        <v>0</v>
      </c>
      <c r="K457" s="35">
        <f>'Client Data'!L25</f>
        <v>0</v>
      </c>
      <c r="L457" s="35">
        <f>'Client Data'!M25</f>
        <v>0</v>
      </c>
      <c r="M457" s="35">
        <f>'Client Data'!N25</f>
        <v>0</v>
      </c>
      <c r="N457" s="35">
        <f>'Client Data'!O25</f>
        <v>0</v>
      </c>
      <c r="O457" s="35">
        <f>'Client Data'!P25</f>
        <v>0</v>
      </c>
      <c r="P457" s="35">
        <f>'Client Data'!Q25</f>
        <v>0</v>
      </c>
      <c r="Q457" s="35">
        <f>'Client Data'!R25</f>
        <v>0</v>
      </c>
      <c r="R457" s="35">
        <f>'Client Data'!S25</f>
        <v>0</v>
      </c>
      <c r="S457" s="35">
        <f>'Client Data'!T25</f>
        <v>0</v>
      </c>
      <c r="T457" s="35">
        <f>'Client Data'!U25</f>
        <v>0</v>
      </c>
      <c r="U457" s="35">
        <f>'Client Data'!V25</f>
        <v>0</v>
      </c>
      <c r="V457" s="35">
        <f>'Client Data'!W25</f>
        <v>0</v>
      </c>
      <c r="W457" s="35">
        <f>'Client Data'!X25</f>
        <v>0</v>
      </c>
      <c r="X457" s="35">
        <f>'Client Data'!Y25</f>
        <v>0</v>
      </c>
      <c r="Y457" s="35">
        <f>'Client Data'!Z25</f>
        <v>0</v>
      </c>
      <c r="Z457" s="35">
        <f>'Client Data'!AA25</f>
        <v>0</v>
      </c>
      <c r="AA457" s="35">
        <f>'Client Data'!AB25</f>
        <v>0</v>
      </c>
      <c r="AB457" s="35">
        <f>'Client Data'!AC25</f>
        <v>0</v>
      </c>
      <c r="AC457" s="35">
        <f>'Client Data'!AD25</f>
        <v>0</v>
      </c>
      <c r="AD457" s="35">
        <f>'Client Data'!AE25</f>
        <v>0</v>
      </c>
      <c r="AE457" s="35">
        <f>'Client Data'!AF25</f>
        <v>0</v>
      </c>
      <c r="AF457" s="35">
        <f>'Client Data'!AG25</f>
        <v>0</v>
      </c>
      <c r="AG457" s="35">
        <f>'Client Data'!AH25</f>
        <v>0</v>
      </c>
      <c r="AH457" s="35">
        <f>'Client Data'!AI25</f>
        <v>0</v>
      </c>
      <c r="AI457" s="35">
        <f>'Client Data'!AJ25</f>
        <v>0</v>
      </c>
      <c r="AJ457" s="35">
        <f>'Client Data'!AK25</f>
        <v>0</v>
      </c>
      <c r="AK457" s="35">
        <f>'Client Data'!AL25</f>
        <v>0</v>
      </c>
      <c r="AL457" s="35">
        <f>'Client Data'!AM25</f>
        <v>0</v>
      </c>
      <c r="AM457" s="35">
        <f>'Client Data'!AN25</f>
        <v>0</v>
      </c>
      <c r="AN457" s="35">
        <f>'Client Data'!AO25</f>
        <v>0</v>
      </c>
      <c r="AO457" s="35">
        <f>'Client Data'!AP25</f>
        <v>0</v>
      </c>
      <c r="AP457" s="35">
        <f>'Client Data'!AQ25</f>
        <v>0</v>
      </c>
      <c r="AQ457" s="35">
        <f>'Client Data'!AR25</f>
        <v>0</v>
      </c>
      <c r="AR457" s="35">
        <f>'Client Data'!AS25</f>
        <v>0</v>
      </c>
      <c r="AS457" s="35">
        <f>'Client Data'!AT25</f>
        <v>0</v>
      </c>
      <c r="AT457" s="35">
        <f>'Client Data'!AU25</f>
        <v>0</v>
      </c>
      <c r="AU457" s="35">
        <f>'Client Data'!AV25</f>
        <v>0</v>
      </c>
      <c r="AV457" s="35">
        <f>'Client Data'!AW25</f>
        <v>0</v>
      </c>
      <c r="AW457" s="35">
        <f>'Client Data'!AX25</f>
        <v>0</v>
      </c>
      <c r="AX457" s="35">
        <f>'Client Data'!AY25</f>
        <v>0</v>
      </c>
      <c r="AY457" s="35">
        <f>'Client Data'!AZ25</f>
        <v>0</v>
      </c>
      <c r="AZ457" s="35">
        <f>'Client Data'!BA25</f>
        <v>0</v>
      </c>
      <c r="BA457" s="35">
        <f>'Client Data'!BB25</f>
        <v>0</v>
      </c>
      <c r="BB457" s="35">
        <f>'Client Data'!BC25</f>
        <v>0</v>
      </c>
      <c r="BC457" s="19">
        <f t="shared" ref="BC457:BC464" si="773">SUM(C457:BB457)</f>
        <v>0</v>
      </c>
    </row>
    <row r="458" spans="1:56" x14ac:dyDescent="0.25">
      <c r="B458" s="80" t="str">
        <f>'Client Data'!C35</f>
        <v>Product B</v>
      </c>
      <c r="C458" s="35">
        <f>'Client Data'!D35</f>
        <v>0</v>
      </c>
      <c r="D458" s="35">
        <f>'Client Data'!E35</f>
        <v>0</v>
      </c>
      <c r="E458" s="35">
        <f>'Client Data'!F35</f>
        <v>0</v>
      </c>
      <c r="F458" s="35">
        <f>'Client Data'!G35</f>
        <v>0</v>
      </c>
      <c r="G458" s="35">
        <f>'Client Data'!H35</f>
        <v>0</v>
      </c>
      <c r="H458" s="35">
        <f>'Client Data'!I35</f>
        <v>0</v>
      </c>
      <c r="I458" s="35">
        <f>'Client Data'!J35</f>
        <v>0</v>
      </c>
      <c r="J458" s="35">
        <f>'Client Data'!K35</f>
        <v>0</v>
      </c>
      <c r="K458" s="35">
        <f>'Client Data'!L35</f>
        <v>0</v>
      </c>
      <c r="L458" s="35">
        <f>'Client Data'!M35</f>
        <v>0</v>
      </c>
      <c r="M458" s="35">
        <f>'Client Data'!N35</f>
        <v>0</v>
      </c>
      <c r="N458" s="35">
        <f>'Client Data'!O35</f>
        <v>0</v>
      </c>
      <c r="O458" s="35">
        <f>'Client Data'!P35</f>
        <v>0</v>
      </c>
      <c r="P458" s="35">
        <f>'Client Data'!Q35</f>
        <v>0</v>
      </c>
      <c r="Q458" s="35">
        <f>'Client Data'!R35</f>
        <v>0</v>
      </c>
      <c r="R458" s="35">
        <f>'Client Data'!S35</f>
        <v>0</v>
      </c>
      <c r="S458" s="35">
        <f>'Client Data'!T35</f>
        <v>0</v>
      </c>
      <c r="T458" s="35">
        <f>'Client Data'!U35</f>
        <v>0</v>
      </c>
      <c r="U458" s="35">
        <f>'Client Data'!V35</f>
        <v>0</v>
      </c>
      <c r="V458" s="35">
        <f>'Client Data'!W35</f>
        <v>0</v>
      </c>
      <c r="W458" s="35">
        <f>'Client Data'!X35</f>
        <v>0</v>
      </c>
      <c r="X458" s="35">
        <f>'Client Data'!Y35</f>
        <v>0</v>
      </c>
      <c r="Y458" s="35">
        <f>'Client Data'!Z35</f>
        <v>0</v>
      </c>
      <c r="Z458" s="35">
        <f>'Client Data'!AA35</f>
        <v>0</v>
      </c>
      <c r="AA458" s="35">
        <f>'Client Data'!AB35</f>
        <v>0</v>
      </c>
      <c r="AB458" s="35">
        <f>'Client Data'!AC35</f>
        <v>0</v>
      </c>
      <c r="AC458" s="35">
        <f>'Client Data'!AD35</f>
        <v>0</v>
      </c>
      <c r="AD458" s="35">
        <f>'Client Data'!AE35</f>
        <v>0</v>
      </c>
      <c r="AE458" s="35">
        <f>'Client Data'!AF35</f>
        <v>0</v>
      </c>
      <c r="AF458" s="35">
        <f>'Client Data'!AG35</f>
        <v>0</v>
      </c>
      <c r="AG458" s="35">
        <f>'Client Data'!AH35</f>
        <v>0</v>
      </c>
      <c r="AH458" s="35">
        <f>'Client Data'!AI35</f>
        <v>0</v>
      </c>
      <c r="AI458" s="35">
        <f>'Client Data'!AJ35</f>
        <v>0</v>
      </c>
      <c r="AJ458" s="35">
        <f>'Client Data'!AK35</f>
        <v>0</v>
      </c>
      <c r="AK458" s="35">
        <f>'Client Data'!AL35</f>
        <v>0</v>
      </c>
      <c r="AL458" s="35">
        <f>'Client Data'!AM35</f>
        <v>0</v>
      </c>
      <c r="AM458" s="35">
        <f>'Client Data'!AN35</f>
        <v>0</v>
      </c>
      <c r="AN458" s="35">
        <f>'Client Data'!AO35</f>
        <v>0</v>
      </c>
      <c r="AO458" s="35">
        <f>'Client Data'!AP35</f>
        <v>0</v>
      </c>
      <c r="AP458" s="35">
        <f>'Client Data'!AQ35</f>
        <v>0</v>
      </c>
      <c r="AQ458" s="35">
        <f>'Client Data'!AR35</f>
        <v>0</v>
      </c>
      <c r="AR458" s="35">
        <f>'Client Data'!AS35</f>
        <v>0</v>
      </c>
      <c r="AS458" s="35">
        <f>'Client Data'!AT35</f>
        <v>0</v>
      </c>
      <c r="AT458" s="35">
        <f>'Client Data'!AU35</f>
        <v>0</v>
      </c>
      <c r="AU458" s="35">
        <f>'Client Data'!AV35</f>
        <v>0</v>
      </c>
      <c r="AV458" s="35">
        <f>'Client Data'!AW35</f>
        <v>0</v>
      </c>
      <c r="AW458" s="35">
        <f>'Client Data'!AX35</f>
        <v>0</v>
      </c>
      <c r="AX458" s="35">
        <f>'Client Data'!AY35</f>
        <v>0</v>
      </c>
      <c r="AY458" s="35">
        <f>'Client Data'!AZ35</f>
        <v>0</v>
      </c>
      <c r="AZ458" s="35">
        <f>'Client Data'!BA35</f>
        <v>0</v>
      </c>
      <c r="BA458" s="35">
        <f>'Client Data'!BB35</f>
        <v>0</v>
      </c>
      <c r="BB458" s="35">
        <f>'Client Data'!BC35</f>
        <v>0</v>
      </c>
      <c r="BC458" s="19">
        <f t="shared" si="773"/>
        <v>0</v>
      </c>
    </row>
    <row r="459" spans="1:56" x14ac:dyDescent="0.25">
      <c r="B459" s="80" t="str">
        <f>'Client Data'!C45</f>
        <v>Product C</v>
      </c>
      <c r="C459" s="35">
        <f>'Client Data'!D45</f>
        <v>0</v>
      </c>
      <c r="D459" s="35">
        <f>'Client Data'!E45</f>
        <v>0</v>
      </c>
      <c r="E459" s="35">
        <f>'Client Data'!F45</f>
        <v>0</v>
      </c>
      <c r="F459" s="35">
        <f>'Client Data'!G45</f>
        <v>0</v>
      </c>
      <c r="G459" s="35">
        <f>'Client Data'!H45</f>
        <v>0</v>
      </c>
      <c r="H459" s="35">
        <f>'Client Data'!I45</f>
        <v>0</v>
      </c>
      <c r="I459" s="35">
        <f>'Client Data'!J45</f>
        <v>0</v>
      </c>
      <c r="J459" s="35">
        <f>'Client Data'!K45</f>
        <v>0</v>
      </c>
      <c r="K459" s="35">
        <f>'Client Data'!L45</f>
        <v>0</v>
      </c>
      <c r="L459" s="35">
        <f>'Client Data'!M45</f>
        <v>0</v>
      </c>
      <c r="M459" s="35">
        <f>'Client Data'!N45</f>
        <v>0</v>
      </c>
      <c r="N459" s="35">
        <f>'Client Data'!O45</f>
        <v>0</v>
      </c>
      <c r="O459" s="35">
        <f>'Client Data'!P45</f>
        <v>0</v>
      </c>
      <c r="P459" s="35">
        <f>'Client Data'!Q45</f>
        <v>0</v>
      </c>
      <c r="Q459" s="35">
        <f>'Client Data'!R45</f>
        <v>0</v>
      </c>
      <c r="R459" s="35">
        <f>'Client Data'!S45</f>
        <v>0</v>
      </c>
      <c r="S459" s="35">
        <f>'Client Data'!T45</f>
        <v>0</v>
      </c>
      <c r="T459" s="35">
        <f>'Client Data'!U45</f>
        <v>0</v>
      </c>
      <c r="U459" s="35">
        <f>'Client Data'!V45</f>
        <v>0</v>
      </c>
      <c r="V459" s="35">
        <f>'Client Data'!W45</f>
        <v>0</v>
      </c>
      <c r="W459" s="35">
        <f>'Client Data'!X45</f>
        <v>0</v>
      </c>
      <c r="X459" s="35">
        <f>'Client Data'!Y45</f>
        <v>0</v>
      </c>
      <c r="Y459" s="35">
        <f>'Client Data'!Z45</f>
        <v>0</v>
      </c>
      <c r="Z459" s="35">
        <f>'Client Data'!AA45</f>
        <v>0</v>
      </c>
      <c r="AA459" s="35">
        <f>'Client Data'!AB45</f>
        <v>0</v>
      </c>
      <c r="AB459" s="35">
        <f>'Client Data'!AC45</f>
        <v>0</v>
      </c>
      <c r="AC459" s="35">
        <f>'Client Data'!AD45</f>
        <v>0</v>
      </c>
      <c r="AD459" s="35">
        <f>'Client Data'!AE45</f>
        <v>0</v>
      </c>
      <c r="AE459" s="35">
        <f>'Client Data'!AF45</f>
        <v>0</v>
      </c>
      <c r="AF459" s="35">
        <f>'Client Data'!AG45</f>
        <v>0</v>
      </c>
      <c r="AG459" s="35">
        <f>'Client Data'!AH45</f>
        <v>0</v>
      </c>
      <c r="AH459" s="35">
        <f>'Client Data'!AI45</f>
        <v>0</v>
      </c>
      <c r="AI459" s="35">
        <f>'Client Data'!AJ45</f>
        <v>0</v>
      </c>
      <c r="AJ459" s="35">
        <f>'Client Data'!AK45</f>
        <v>0</v>
      </c>
      <c r="AK459" s="35">
        <f>'Client Data'!AL45</f>
        <v>0</v>
      </c>
      <c r="AL459" s="35">
        <f>'Client Data'!AM45</f>
        <v>0</v>
      </c>
      <c r="AM459" s="35">
        <f>'Client Data'!AN45</f>
        <v>0</v>
      </c>
      <c r="AN459" s="35">
        <f>'Client Data'!AO45</f>
        <v>0</v>
      </c>
      <c r="AO459" s="35">
        <f>'Client Data'!AP45</f>
        <v>0</v>
      </c>
      <c r="AP459" s="35">
        <f>'Client Data'!AQ45</f>
        <v>0</v>
      </c>
      <c r="AQ459" s="35">
        <f>'Client Data'!AR45</f>
        <v>0</v>
      </c>
      <c r="AR459" s="35">
        <f>'Client Data'!AS45</f>
        <v>0</v>
      </c>
      <c r="AS459" s="35">
        <f>'Client Data'!AT45</f>
        <v>0</v>
      </c>
      <c r="AT459" s="35">
        <f>'Client Data'!AU45</f>
        <v>0</v>
      </c>
      <c r="AU459" s="35">
        <f>'Client Data'!AV45</f>
        <v>0</v>
      </c>
      <c r="AV459" s="35">
        <f>'Client Data'!AW45</f>
        <v>0</v>
      </c>
      <c r="AW459" s="35">
        <f>'Client Data'!AX45</f>
        <v>0</v>
      </c>
      <c r="AX459" s="35">
        <f>'Client Data'!AY45</f>
        <v>0</v>
      </c>
      <c r="AY459" s="35">
        <f>'Client Data'!AZ45</f>
        <v>0</v>
      </c>
      <c r="AZ459" s="35">
        <f>'Client Data'!BA45</f>
        <v>0</v>
      </c>
      <c r="BA459" s="35">
        <f>'Client Data'!BB45</f>
        <v>0</v>
      </c>
      <c r="BB459" s="35">
        <f>'Client Data'!BC45</f>
        <v>0</v>
      </c>
      <c r="BC459" s="19">
        <f t="shared" si="773"/>
        <v>0</v>
      </c>
    </row>
    <row r="460" spans="1:56" x14ac:dyDescent="0.25">
      <c r="B460" s="80" t="str">
        <f>'Client Data'!C55</f>
        <v>Product D</v>
      </c>
      <c r="C460" s="35">
        <f>'Client Data'!D55</f>
        <v>0</v>
      </c>
      <c r="D460" s="35">
        <f>'Client Data'!E55</f>
        <v>0</v>
      </c>
      <c r="E460" s="35">
        <f>'Client Data'!F55</f>
        <v>0</v>
      </c>
      <c r="F460" s="35">
        <f>'Client Data'!G55</f>
        <v>0</v>
      </c>
      <c r="G460" s="35">
        <f>'Client Data'!H55</f>
        <v>0</v>
      </c>
      <c r="H460" s="35">
        <f>'Client Data'!I55</f>
        <v>0</v>
      </c>
      <c r="I460" s="35">
        <f>'Client Data'!J55</f>
        <v>0</v>
      </c>
      <c r="J460" s="35">
        <f>'Client Data'!K55</f>
        <v>0</v>
      </c>
      <c r="K460" s="35">
        <f>'Client Data'!L55</f>
        <v>0</v>
      </c>
      <c r="L460" s="35">
        <f>'Client Data'!M55</f>
        <v>0</v>
      </c>
      <c r="M460" s="35">
        <f>'Client Data'!N55</f>
        <v>0</v>
      </c>
      <c r="N460" s="35">
        <f>'Client Data'!O55</f>
        <v>0</v>
      </c>
      <c r="O460" s="35">
        <f>'Client Data'!P55</f>
        <v>0</v>
      </c>
      <c r="P460" s="35">
        <f>'Client Data'!Q55</f>
        <v>0</v>
      </c>
      <c r="Q460" s="35">
        <f>'Client Data'!R55</f>
        <v>0</v>
      </c>
      <c r="R460" s="35">
        <f>'Client Data'!S55</f>
        <v>0</v>
      </c>
      <c r="S460" s="35">
        <f>'Client Data'!T55</f>
        <v>0</v>
      </c>
      <c r="T460" s="35">
        <f>'Client Data'!U55</f>
        <v>0</v>
      </c>
      <c r="U460" s="35">
        <f>'Client Data'!V55</f>
        <v>0</v>
      </c>
      <c r="V460" s="35">
        <f>'Client Data'!W55</f>
        <v>0</v>
      </c>
      <c r="W460" s="35">
        <f>'Client Data'!X55</f>
        <v>0</v>
      </c>
      <c r="X460" s="35">
        <f>'Client Data'!Y55</f>
        <v>0</v>
      </c>
      <c r="Y460" s="35">
        <f>'Client Data'!Z55</f>
        <v>0</v>
      </c>
      <c r="Z460" s="35">
        <f>'Client Data'!AA55</f>
        <v>0</v>
      </c>
      <c r="AA460" s="35">
        <f>'Client Data'!AB55</f>
        <v>0</v>
      </c>
      <c r="AB460" s="35">
        <f>'Client Data'!AC55</f>
        <v>0</v>
      </c>
      <c r="AC460" s="35">
        <f>'Client Data'!AD55</f>
        <v>0</v>
      </c>
      <c r="AD460" s="35">
        <f>'Client Data'!AE55</f>
        <v>0</v>
      </c>
      <c r="AE460" s="35">
        <f>'Client Data'!AF55</f>
        <v>0</v>
      </c>
      <c r="AF460" s="35">
        <f>'Client Data'!AG55</f>
        <v>0</v>
      </c>
      <c r="AG460" s="35">
        <f>'Client Data'!AH55</f>
        <v>0</v>
      </c>
      <c r="AH460" s="35">
        <f>'Client Data'!AI55</f>
        <v>0</v>
      </c>
      <c r="AI460" s="35">
        <f>'Client Data'!AJ55</f>
        <v>0</v>
      </c>
      <c r="AJ460" s="35">
        <f>'Client Data'!AK55</f>
        <v>0</v>
      </c>
      <c r="AK460" s="35">
        <f>'Client Data'!AL55</f>
        <v>0</v>
      </c>
      <c r="AL460" s="35">
        <f>'Client Data'!AM55</f>
        <v>0</v>
      </c>
      <c r="AM460" s="35">
        <f>'Client Data'!AN55</f>
        <v>0</v>
      </c>
      <c r="AN460" s="35">
        <f>'Client Data'!AO55</f>
        <v>0</v>
      </c>
      <c r="AO460" s="35">
        <f>'Client Data'!AP55</f>
        <v>0</v>
      </c>
      <c r="AP460" s="35">
        <f>'Client Data'!AQ55</f>
        <v>0</v>
      </c>
      <c r="AQ460" s="35">
        <f>'Client Data'!AR55</f>
        <v>0</v>
      </c>
      <c r="AR460" s="35">
        <f>'Client Data'!AS55</f>
        <v>0</v>
      </c>
      <c r="AS460" s="35">
        <f>'Client Data'!AT55</f>
        <v>0</v>
      </c>
      <c r="AT460" s="35">
        <f>'Client Data'!AU55</f>
        <v>0</v>
      </c>
      <c r="AU460" s="35">
        <f>'Client Data'!AV55</f>
        <v>0</v>
      </c>
      <c r="AV460" s="35">
        <f>'Client Data'!AW55</f>
        <v>0</v>
      </c>
      <c r="AW460" s="35">
        <f>'Client Data'!AX55</f>
        <v>0</v>
      </c>
      <c r="AX460" s="35">
        <f>'Client Data'!AY55</f>
        <v>0</v>
      </c>
      <c r="AY460" s="35">
        <f>'Client Data'!AZ55</f>
        <v>0</v>
      </c>
      <c r="AZ460" s="35">
        <f>'Client Data'!BA55</f>
        <v>0</v>
      </c>
      <c r="BA460" s="35">
        <f>'Client Data'!BB55</f>
        <v>0</v>
      </c>
      <c r="BB460" s="35">
        <f>'Client Data'!BC55</f>
        <v>0</v>
      </c>
      <c r="BC460" s="19">
        <f t="shared" si="773"/>
        <v>0</v>
      </c>
    </row>
    <row r="461" spans="1:56" x14ac:dyDescent="0.25">
      <c r="B461" s="80" t="str">
        <f>'Client Data'!C65</f>
        <v>Product E</v>
      </c>
      <c r="C461" s="35">
        <f>'Client Data'!D65</f>
        <v>0</v>
      </c>
      <c r="D461" s="35">
        <f>'Client Data'!E65</f>
        <v>0</v>
      </c>
      <c r="E461" s="35">
        <f>'Client Data'!F65</f>
        <v>0</v>
      </c>
      <c r="F461" s="35">
        <f>'Client Data'!G65</f>
        <v>0</v>
      </c>
      <c r="G461" s="35">
        <f>'Client Data'!H65</f>
        <v>0</v>
      </c>
      <c r="H461" s="35">
        <f>'Client Data'!I65</f>
        <v>0</v>
      </c>
      <c r="I461" s="35">
        <f>'Client Data'!J65</f>
        <v>0</v>
      </c>
      <c r="J461" s="35">
        <f>'Client Data'!K65</f>
        <v>0</v>
      </c>
      <c r="K461" s="35">
        <f>'Client Data'!L65</f>
        <v>0</v>
      </c>
      <c r="L461" s="35">
        <f>'Client Data'!M65</f>
        <v>0</v>
      </c>
      <c r="M461" s="35">
        <f>'Client Data'!N65</f>
        <v>0</v>
      </c>
      <c r="N461" s="35">
        <f>'Client Data'!O65</f>
        <v>0</v>
      </c>
      <c r="O461" s="35">
        <f>'Client Data'!P65</f>
        <v>0</v>
      </c>
      <c r="P461" s="35">
        <f>'Client Data'!Q65</f>
        <v>0</v>
      </c>
      <c r="Q461" s="35">
        <f>'Client Data'!R65</f>
        <v>0</v>
      </c>
      <c r="R461" s="35">
        <f>'Client Data'!S65</f>
        <v>0</v>
      </c>
      <c r="S461" s="35">
        <f>'Client Data'!T65</f>
        <v>0</v>
      </c>
      <c r="T461" s="35">
        <f>'Client Data'!U65</f>
        <v>0</v>
      </c>
      <c r="U461" s="35">
        <f>'Client Data'!V65</f>
        <v>0</v>
      </c>
      <c r="V461" s="35">
        <f>'Client Data'!W65</f>
        <v>0</v>
      </c>
      <c r="W461" s="35">
        <f>'Client Data'!X65</f>
        <v>0</v>
      </c>
      <c r="X461" s="35">
        <f>'Client Data'!Y65</f>
        <v>0</v>
      </c>
      <c r="Y461" s="35">
        <f>'Client Data'!Z65</f>
        <v>0</v>
      </c>
      <c r="Z461" s="35">
        <f>'Client Data'!AA65</f>
        <v>0</v>
      </c>
      <c r="AA461" s="35">
        <f>'Client Data'!AB65</f>
        <v>0</v>
      </c>
      <c r="AB461" s="35">
        <f>'Client Data'!AC65</f>
        <v>0</v>
      </c>
      <c r="AC461" s="35">
        <f>'Client Data'!AD65</f>
        <v>0</v>
      </c>
      <c r="AD461" s="35">
        <f>'Client Data'!AE65</f>
        <v>0</v>
      </c>
      <c r="AE461" s="35">
        <f>'Client Data'!AF65</f>
        <v>0</v>
      </c>
      <c r="AF461" s="35">
        <f>'Client Data'!AG65</f>
        <v>0</v>
      </c>
      <c r="AG461" s="35">
        <f>'Client Data'!AH65</f>
        <v>0</v>
      </c>
      <c r="AH461" s="35">
        <f>'Client Data'!AI65</f>
        <v>0</v>
      </c>
      <c r="AI461" s="35">
        <f>'Client Data'!AJ65</f>
        <v>0</v>
      </c>
      <c r="AJ461" s="35">
        <f>'Client Data'!AK65</f>
        <v>0</v>
      </c>
      <c r="AK461" s="35">
        <f>'Client Data'!AL65</f>
        <v>0</v>
      </c>
      <c r="AL461" s="35">
        <f>'Client Data'!AM65</f>
        <v>0</v>
      </c>
      <c r="AM461" s="35">
        <f>'Client Data'!AN65</f>
        <v>0</v>
      </c>
      <c r="AN461" s="35">
        <f>'Client Data'!AO65</f>
        <v>0</v>
      </c>
      <c r="AO461" s="35">
        <f>'Client Data'!AP65</f>
        <v>0</v>
      </c>
      <c r="AP461" s="35">
        <f>'Client Data'!AQ65</f>
        <v>0</v>
      </c>
      <c r="AQ461" s="35">
        <f>'Client Data'!AR65</f>
        <v>0</v>
      </c>
      <c r="AR461" s="35">
        <f>'Client Data'!AS65</f>
        <v>0</v>
      </c>
      <c r="AS461" s="35">
        <f>'Client Data'!AT65</f>
        <v>0</v>
      </c>
      <c r="AT461" s="35">
        <f>'Client Data'!AU65</f>
        <v>0</v>
      </c>
      <c r="AU461" s="35">
        <f>'Client Data'!AV65</f>
        <v>0</v>
      </c>
      <c r="AV461" s="35">
        <f>'Client Data'!AW65</f>
        <v>0</v>
      </c>
      <c r="AW461" s="35">
        <f>'Client Data'!AX65</f>
        <v>0</v>
      </c>
      <c r="AX461" s="35">
        <f>'Client Data'!AY65</f>
        <v>0</v>
      </c>
      <c r="AY461" s="35">
        <f>'Client Data'!AZ65</f>
        <v>0</v>
      </c>
      <c r="AZ461" s="35">
        <f>'Client Data'!BA65</f>
        <v>0</v>
      </c>
      <c r="BA461" s="35">
        <f>'Client Data'!BB65</f>
        <v>0</v>
      </c>
      <c r="BB461" s="35">
        <f>'Client Data'!BC65</f>
        <v>0</v>
      </c>
      <c r="BC461" s="19">
        <f t="shared" si="773"/>
        <v>0</v>
      </c>
    </row>
    <row r="462" spans="1:56" x14ac:dyDescent="0.25">
      <c r="B462" s="80" t="str">
        <f>'Client Data'!C75</f>
        <v>Product F</v>
      </c>
      <c r="C462" s="35">
        <f>'Client Data'!D75</f>
        <v>0</v>
      </c>
      <c r="D462" s="35">
        <f>'Client Data'!E75</f>
        <v>0</v>
      </c>
      <c r="E462" s="35">
        <f>'Client Data'!F75</f>
        <v>0</v>
      </c>
      <c r="F462" s="35">
        <f>'Client Data'!G75</f>
        <v>0</v>
      </c>
      <c r="G462" s="35">
        <f>'Client Data'!H75</f>
        <v>0</v>
      </c>
      <c r="H462" s="35">
        <f>'Client Data'!I75</f>
        <v>0</v>
      </c>
      <c r="I462" s="35">
        <f>'Client Data'!J75</f>
        <v>0</v>
      </c>
      <c r="J462" s="35">
        <f>'Client Data'!K75</f>
        <v>0</v>
      </c>
      <c r="K462" s="35">
        <f>'Client Data'!L75</f>
        <v>0</v>
      </c>
      <c r="L462" s="35">
        <f>'Client Data'!M75</f>
        <v>0</v>
      </c>
      <c r="M462" s="35">
        <f>'Client Data'!N75</f>
        <v>0</v>
      </c>
      <c r="N462" s="35">
        <f>'Client Data'!O75</f>
        <v>0</v>
      </c>
      <c r="O462" s="35">
        <f>'Client Data'!P75</f>
        <v>0</v>
      </c>
      <c r="P462" s="35">
        <f>'Client Data'!Q75</f>
        <v>0</v>
      </c>
      <c r="Q462" s="35">
        <f>'Client Data'!R75</f>
        <v>0</v>
      </c>
      <c r="R462" s="35">
        <f>'Client Data'!S75</f>
        <v>0</v>
      </c>
      <c r="S462" s="35">
        <f>'Client Data'!T75</f>
        <v>0</v>
      </c>
      <c r="T462" s="35">
        <f>'Client Data'!U75</f>
        <v>0</v>
      </c>
      <c r="U462" s="35">
        <f>'Client Data'!V75</f>
        <v>0</v>
      </c>
      <c r="V462" s="35">
        <f>'Client Data'!W75</f>
        <v>0</v>
      </c>
      <c r="W462" s="35">
        <f>'Client Data'!X75</f>
        <v>0</v>
      </c>
      <c r="X462" s="35">
        <f>'Client Data'!Y75</f>
        <v>0</v>
      </c>
      <c r="Y462" s="35">
        <f>'Client Data'!Z75</f>
        <v>0</v>
      </c>
      <c r="Z462" s="35">
        <f>'Client Data'!AA75</f>
        <v>0</v>
      </c>
      <c r="AA462" s="35">
        <f>'Client Data'!AB75</f>
        <v>0</v>
      </c>
      <c r="AB462" s="35">
        <f>'Client Data'!AC75</f>
        <v>0</v>
      </c>
      <c r="AC462" s="35">
        <f>'Client Data'!AD75</f>
        <v>0</v>
      </c>
      <c r="AD462" s="35">
        <f>'Client Data'!AE75</f>
        <v>0</v>
      </c>
      <c r="AE462" s="35">
        <f>'Client Data'!AF75</f>
        <v>0</v>
      </c>
      <c r="AF462" s="35">
        <f>'Client Data'!AG75</f>
        <v>0</v>
      </c>
      <c r="AG462" s="35">
        <f>'Client Data'!AH75</f>
        <v>0</v>
      </c>
      <c r="AH462" s="35">
        <f>'Client Data'!AI75</f>
        <v>0</v>
      </c>
      <c r="AI462" s="35">
        <f>'Client Data'!AJ75</f>
        <v>0</v>
      </c>
      <c r="AJ462" s="35">
        <f>'Client Data'!AK75</f>
        <v>0</v>
      </c>
      <c r="AK462" s="35">
        <f>'Client Data'!AL75</f>
        <v>0</v>
      </c>
      <c r="AL462" s="35">
        <f>'Client Data'!AM75</f>
        <v>0</v>
      </c>
      <c r="AM462" s="35">
        <f>'Client Data'!AN75</f>
        <v>0</v>
      </c>
      <c r="AN462" s="35">
        <f>'Client Data'!AO75</f>
        <v>0</v>
      </c>
      <c r="AO462" s="35">
        <f>'Client Data'!AP75</f>
        <v>0</v>
      </c>
      <c r="AP462" s="35">
        <f>'Client Data'!AQ75</f>
        <v>0</v>
      </c>
      <c r="AQ462" s="35">
        <f>'Client Data'!AR75</f>
        <v>0</v>
      </c>
      <c r="AR462" s="35">
        <f>'Client Data'!AS75</f>
        <v>0</v>
      </c>
      <c r="AS462" s="35">
        <f>'Client Data'!AT75</f>
        <v>0</v>
      </c>
      <c r="AT462" s="35">
        <f>'Client Data'!AU75</f>
        <v>0</v>
      </c>
      <c r="AU462" s="35">
        <f>'Client Data'!AV75</f>
        <v>0</v>
      </c>
      <c r="AV462" s="35">
        <f>'Client Data'!AW75</f>
        <v>0</v>
      </c>
      <c r="AW462" s="35">
        <f>'Client Data'!AX75</f>
        <v>0</v>
      </c>
      <c r="AX462" s="35">
        <f>'Client Data'!AY75</f>
        <v>0</v>
      </c>
      <c r="AY462" s="35">
        <f>'Client Data'!AZ75</f>
        <v>0</v>
      </c>
      <c r="AZ462" s="35">
        <f>'Client Data'!BA75</f>
        <v>0</v>
      </c>
      <c r="BA462" s="35">
        <f>'Client Data'!BB75</f>
        <v>0</v>
      </c>
      <c r="BB462" s="35">
        <f>'Client Data'!BC75</f>
        <v>0</v>
      </c>
      <c r="BC462" s="19">
        <f t="shared" si="773"/>
        <v>0</v>
      </c>
    </row>
    <row r="463" spans="1:56" x14ac:dyDescent="0.25">
      <c r="B463" s="80" t="str">
        <f>'Client Data'!C85</f>
        <v>Product G</v>
      </c>
      <c r="C463" s="35">
        <f>'Client Data'!D85</f>
        <v>0</v>
      </c>
      <c r="D463" s="35">
        <f>'Client Data'!E85</f>
        <v>0</v>
      </c>
      <c r="E463" s="35">
        <f>'Client Data'!F85</f>
        <v>0</v>
      </c>
      <c r="F463" s="35">
        <f>'Client Data'!G85</f>
        <v>0</v>
      </c>
      <c r="G463" s="35">
        <f>'Client Data'!H85</f>
        <v>0</v>
      </c>
      <c r="H463" s="35">
        <f>'Client Data'!I85</f>
        <v>0</v>
      </c>
      <c r="I463" s="35">
        <f>'Client Data'!J85</f>
        <v>0</v>
      </c>
      <c r="J463" s="35">
        <f>'Client Data'!K85</f>
        <v>0</v>
      </c>
      <c r="K463" s="35">
        <f>'Client Data'!L85</f>
        <v>0</v>
      </c>
      <c r="L463" s="35">
        <f>'Client Data'!M85</f>
        <v>0</v>
      </c>
      <c r="M463" s="35">
        <f>'Client Data'!N85</f>
        <v>0</v>
      </c>
      <c r="N463" s="35">
        <f>'Client Data'!O85</f>
        <v>0</v>
      </c>
      <c r="O463" s="35">
        <f>'Client Data'!P85</f>
        <v>0</v>
      </c>
      <c r="P463" s="35">
        <f>'Client Data'!Q85</f>
        <v>0</v>
      </c>
      <c r="Q463" s="35">
        <f>'Client Data'!R85</f>
        <v>0</v>
      </c>
      <c r="R463" s="35">
        <f>'Client Data'!S85</f>
        <v>0</v>
      </c>
      <c r="S463" s="35">
        <f>'Client Data'!T85</f>
        <v>0</v>
      </c>
      <c r="T463" s="35">
        <f>'Client Data'!U85</f>
        <v>0</v>
      </c>
      <c r="U463" s="35">
        <f>'Client Data'!V85</f>
        <v>0</v>
      </c>
      <c r="V463" s="35">
        <f>'Client Data'!W85</f>
        <v>0</v>
      </c>
      <c r="W463" s="35">
        <f>'Client Data'!X85</f>
        <v>0</v>
      </c>
      <c r="X463" s="35">
        <f>'Client Data'!Y85</f>
        <v>0</v>
      </c>
      <c r="Y463" s="35">
        <f>'Client Data'!Z85</f>
        <v>0</v>
      </c>
      <c r="Z463" s="35">
        <f>'Client Data'!AA85</f>
        <v>0</v>
      </c>
      <c r="AA463" s="35">
        <f>'Client Data'!AB85</f>
        <v>0</v>
      </c>
      <c r="AB463" s="35">
        <f>'Client Data'!AC85</f>
        <v>0</v>
      </c>
      <c r="AC463" s="35">
        <f>'Client Data'!AD85</f>
        <v>0</v>
      </c>
      <c r="AD463" s="35">
        <f>'Client Data'!AE85</f>
        <v>0</v>
      </c>
      <c r="AE463" s="35">
        <f>'Client Data'!AF85</f>
        <v>0</v>
      </c>
      <c r="AF463" s="35">
        <f>'Client Data'!AG85</f>
        <v>0</v>
      </c>
      <c r="AG463" s="35">
        <f>'Client Data'!AH85</f>
        <v>0</v>
      </c>
      <c r="AH463" s="35">
        <f>'Client Data'!AI85</f>
        <v>0</v>
      </c>
      <c r="AI463" s="35">
        <f>'Client Data'!AJ85</f>
        <v>0</v>
      </c>
      <c r="AJ463" s="35">
        <f>'Client Data'!AK85</f>
        <v>0</v>
      </c>
      <c r="AK463" s="35">
        <f>'Client Data'!AL85</f>
        <v>0</v>
      </c>
      <c r="AL463" s="35">
        <f>'Client Data'!AM85</f>
        <v>0</v>
      </c>
      <c r="AM463" s="35">
        <f>'Client Data'!AN85</f>
        <v>0</v>
      </c>
      <c r="AN463" s="35">
        <f>'Client Data'!AO85</f>
        <v>0</v>
      </c>
      <c r="AO463" s="35">
        <f>'Client Data'!AP85</f>
        <v>0</v>
      </c>
      <c r="AP463" s="35">
        <f>'Client Data'!AQ85</f>
        <v>0</v>
      </c>
      <c r="AQ463" s="35">
        <f>'Client Data'!AR85</f>
        <v>0</v>
      </c>
      <c r="AR463" s="35">
        <f>'Client Data'!AS85</f>
        <v>0</v>
      </c>
      <c r="AS463" s="35">
        <f>'Client Data'!AT85</f>
        <v>0</v>
      </c>
      <c r="AT463" s="35">
        <f>'Client Data'!AU85</f>
        <v>0</v>
      </c>
      <c r="AU463" s="35">
        <f>'Client Data'!AV85</f>
        <v>0</v>
      </c>
      <c r="AV463" s="35">
        <f>'Client Data'!AW85</f>
        <v>0</v>
      </c>
      <c r="AW463" s="35">
        <f>'Client Data'!AX85</f>
        <v>0</v>
      </c>
      <c r="AX463" s="35">
        <f>'Client Data'!AY85</f>
        <v>0</v>
      </c>
      <c r="AY463" s="35">
        <f>'Client Data'!AZ85</f>
        <v>0</v>
      </c>
      <c r="AZ463" s="35">
        <f>'Client Data'!BA85</f>
        <v>0</v>
      </c>
      <c r="BA463" s="35">
        <f>'Client Data'!BB85</f>
        <v>0</v>
      </c>
      <c r="BB463" s="35">
        <f>'Client Data'!BC85</f>
        <v>0</v>
      </c>
      <c r="BC463" s="19">
        <f t="shared" si="773"/>
        <v>0</v>
      </c>
    </row>
    <row r="464" spans="1:56" x14ac:dyDescent="0.25">
      <c r="B464" s="80" t="str">
        <f>'Client Data'!C95</f>
        <v>Product H</v>
      </c>
      <c r="C464" s="35">
        <f>'Client Data'!D95</f>
        <v>0</v>
      </c>
      <c r="D464" s="35">
        <f>'Client Data'!E95</f>
        <v>0</v>
      </c>
      <c r="E464" s="35">
        <f>'Client Data'!F95</f>
        <v>0</v>
      </c>
      <c r="F464" s="35">
        <f>'Client Data'!G95</f>
        <v>0</v>
      </c>
      <c r="G464" s="35">
        <f>'Client Data'!H95</f>
        <v>0</v>
      </c>
      <c r="H464" s="35">
        <f>'Client Data'!I95</f>
        <v>0</v>
      </c>
      <c r="I464" s="35">
        <f>'Client Data'!J95</f>
        <v>0</v>
      </c>
      <c r="J464" s="35">
        <f>'Client Data'!K95</f>
        <v>0</v>
      </c>
      <c r="K464" s="35">
        <f>'Client Data'!L95</f>
        <v>0</v>
      </c>
      <c r="L464" s="35">
        <f>'Client Data'!M95</f>
        <v>0</v>
      </c>
      <c r="M464" s="35">
        <f>'Client Data'!N95</f>
        <v>0</v>
      </c>
      <c r="N464" s="35">
        <f>'Client Data'!O95</f>
        <v>0</v>
      </c>
      <c r="O464" s="35">
        <f>'Client Data'!P95</f>
        <v>0</v>
      </c>
      <c r="P464" s="35">
        <f>'Client Data'!Q95</f>
        <v>0</v>
      </c>
      <c r="Q464" s="35">
        <f>'Client Data'!R95</f>
        <v>0</v>
      </c>
      <c r="R464" s="35">
        <f>'Client Data'!S95</f>
        <v>0</v>
      </c>
      <c r="S464" s="35">
        <f>'Client Data'!T95</f>
        <v>0</v>
      </c>
      <c r="T464" s="35">
        <f>'Client Data'!U95</f>
        <v>0</v>
      </c>
      <c r="U464" s="35">
        <f>'Client Data'!V95</f>
        <v>0</v>
      </c>
      <c r="V464" s="35">
        <f>'Client Data'!W95</f>
        <v>0</v>
      </c>
      <c r="W464" s="35">
        <f>'Client Data'!X95</f>
        <v>0</v>
      </c>
      <c r="X464" s="35">
        <f>'Client Data'!Y95</f>
        <v>0</v>
      </c>
      <c r="Y464" s="35">
        <f>'Client Data'!Z95</f>
        <v>0</v>
      </c>
      <c r="Z464" s="35">
        <f>'Client Data'!AA95</f>
        <v>0</v>
      </c>
      <c r="AA464" s="35">
        <f>'Client Data'!AB95</f>
        <v>0</v>
      </c>
      <c r="AB464" s="35">
        <f>'Client Data'!AC95</f>
        <v>0</v>
      </c>
      <c r="AC464" s="35">
        <f>'Client Data'!AD95</f>
        <v>0</v>
      </c>
      <c r="AD464" s="35">
        <f>'Client Data'!AE95</f>
        <v>0</v>
      </c>
      <c r="AE464" s="35">
        <f>'Client Data'!AF95</f>
        <v>0</v>
      </c>
      <c r="AF464" s="35">
        <f>'Client Data'!AG95</f>
        <v>0</v>
      </c>
      <c r="AG464" s="35">
        <f>'Client Data'!AH95</f>
        <v>0</v>
      </c>
      <c r="AH464" s="35">
        <f>'Client Data'!AI95</f>
        <v>0</v>
      </c>
      <c r="AI464" s="35">
        <f>'Client Data'!AJ95</f>
        <v>0</v>
      </c>
      <c r="AJ464" s="35">
        <f>'Client Data'!AK95</f>
        <v>0</v>
      </c>
      <c r="AK464" s="35">
        <f>'Client Data'!AL95</f>
        <v>0</v>
      </c>
      <c r="AL464" s="35">
        <f>'Client Data'!AM95</f>
        <v>0</v>
      </c>
      <c r="AM464" s="35">
        <f>'Client Data'!AN95</f>
        <v>0</v>
      </c>
      <c r="AN464" s="35">
        <f>'Client Data'!AO95</f>
        <v>0</v>
      </c>
      <c r="AO464" s="35">
        <f>'Client Data'!AP95</f>
        <v>0</v>
      </c>
      <c r="AP464" s="35">
        <f>'Client Data'!AQ95</f>
        <v>0</v>
      </c>
      <c r="AQ464" s="35">
        <f>'Client Data'!AR95</f>
        <v>0</v>
      </c>
      <c r="AR464" s="35">
        <f>'Client Data'!AS95</f>
        <v>0</v>
      </c>
      <c r="AS464" s="35">
        <f>'Client Data'!AT95</f>
        <v>0</v>
      </c>
      <c r="AT464" s="35">
        <f>'Client Data'!AU95</f>
        <v>0</v>
      </c>
      <c r="AU464" s="35">
        <f>'Client Data'!AV95</f>
        <v>0</v>
      </c>
      <c r="AV464" s="35">
        <f>'Client Data'!AW95</f>
        <v>0</v>
      </c>
      <c r="AW464" s="35">
        <f>'Client Data'!AX95</f>
        <v>0</v>
      </c>
      <c r="AX464" s="35">
        <f>'Client Data'!AY95</f>
        <v>0</v>
      </c>
      <c r="AY464" s="35">
        <f>'Client Data'!AZ95</f>
        <v>0</v>
      </c>
      <c r="AZ464" s="35">
        <f>'Client Data'!BA95</f>
        <v>0</v>
      </c>
      <c r="BA464" s="35">
        <f>'Client Data'!BB95</f>
        <v>0</v>
      </c>
      <c r="BB464" s="35">
        <f>'Client Data'!BC95</f>
        <v>0</v>
      </c>
      <c r="BC464" s="19">
        <f t="shared" si="773"/>
        <v>0</v>
      </c>
    </row>
    <row r="465" spans="2:55" x14ac:dyDescent="0.25">
      <c r="B465" s="19" t="str">
        <f>'Client Data'!B26</f>
        <v>Rework Loss Type B</v>
      </c>
      <c r="C465" s="50">
        <f t="shared" ref="C465:AH465" si="774">IF(C190&gt;0,SUM(C466:C473),0)</f>
        <v>19</v>
      </c>
      <c r="D465" s="50">
        <f t="shared" si="774"/>
        <v>0</v>
      </c>
      <c r="E465" s="50">
        <f t="shared" si="774"/>
        <v>11</v>
      </c>
      <c r="F465" s="50">
        <f t="shared" si="774"/>
        <v>0</v>
      </c>
      <c r="G465" s="50">
        <f t="shared" si="774"/>
        <v>19</v>
      </c>
      <c r="H465" s="50">
        <f t="shared" si="774"/>
        <v>0</v>
      </c>
      <c r="I465" s="50">
        <f t="shared" si="774"/>
        <v>0</v>
      </c>
      <c r="J465" s="50">
        <f t="shared" si="774"/>
        <v>0</v>
      </c>
      <c r="K465" s="50">
        <f t="shared" si="774"/>
        <v>19</v>
      </c>
      <c r="L465" s="50">
        <f t="shared" si="774"/>
        <v>0</v>
      </c>
      <c r="M465" s="50">
        <f t="shared" si="774"/>
        <v>0</v>
      </c>
      <c r="N465" s="50">
        <f t="shared" si="774"/>
        <v>0</v>
      </c>
      <c r="O465" s="50">
        <f t="shared" si="774"/>
        <v>19</v>
      </c>
      <c r="P465" s="50">
        <f t="shared" si="774"/>
        <v>8</v>
      </c>
      <c r="Q465" s="50">
        <f t="shared" si="774"/>
        <v>0</v>
      </c>
      <c r="R465" s="50">
        <f t="shared" si="774"/>
        <v>0</v>
      </c>
      <c r="S465" s="50">
        <f t="shared" si="774"/>
        <v>19</v>
      </c>
      <c r="T465" s="50">
        <f t="shared" si="774"/>
        <v>0</v>
      </c>
      <c r="U465" s="50">
        <f t="shared" si="774"/>
        <v>0</v>
      </c>
      <c r="V465" s="50">
        <f t="shared" si="774"/>
        <v>6</v>
      </c>
      <c r="W465" s="50">
        <f t="shared" si="774"/>
        <v>19</v>
      </c>
      <c r="X465" s="50">
        <f t="shared" si="774"/>
        <v>0</v>
      </c>
      <c r="Y465" s="50">
        <f t="shared" si="774"/>
        <v>0</v>
      </c>
      <c r="Z465" s="50">
        <f t="shared" si="774"/>
        <v>0</v>
      </c>
      <c r="AA465" s="50">
        <f t="shared" si="774"/>
        <v>19</v>
      </c>
      <c r="AB465" s="50">
        <f t="shared" si="774"/>
        <v>0</v>
      </c>
      <c r="AC465" s="50">
        <f t="shared" si="774"/>
        <v>13</v>
      </c>
      <c r="AD465" s="50">
        <f t="shared" si="774"/>
        <v>0</v>
      </c>
      <c r="AE465" s="50">
        <f t="shared" si="774"/>
        <v>19</v>
      </c>
      <c r="AF465" s="50">
        <f t="shared" si="774"/>
        <v>0</v>
      </c>
      <c r="AG465" s="50">
        <f t="shared" si="774"/>
        <v>0</v>
      </c>
      <c r="AH465" s="50">
        <f t="shared" si="774"/>
        <v>6</v>
      </c>
      <c r="AI465" s="50">
        <f t="shared" ref="AI465:BB465" si="775">IF(AI190&gt;0,SUM(AI466:AI473),0)</f>
        <v>20</v>
      </c>
      <c r="AJ465" s="50">
        <f t="shared" si="775"/>
        <v>0</v>
      </c>
      <c r="AK465" s="50">
        <f t="shared" si="775"/>
        <v>0</v>
      </c>
      <c r="AL465" s="50">
        <f t="shared" si="775"/>
        <v>0</v>
      </c>
      <c r="AM465" s="50">
        <f t="shared" si="775"/>
        <v>19</v>
      </c>
      <c r="AN465" s="50">
        <f t="shared" si="775"/>
        <v>6</v>
      </c>
      <c r="AO465" s="50">
        <f t="shared" si="775"/>
        <v>0</v>
      </c>
      <c r="AP465" s="50">
        <f t="shared" si="775"/>
        <v>0</v>
      </c>
      <c r="AQ465" s="50">
        <f t="shared" si="775"/>
        <v>19</v>
      </c>
      <c r="AR465" s="50">
        <f t="shared" si="775"/>
        <v>0</v>
      </c>
      <c r="AS465" s="50">
        <f t="shared" si="775"/>
        <v>11</v>
      </c>
      <c r="AT465" s="50">
        <f t="shared" si="775"/>
        <v>0</v>
      </c>
      <c r="AU465" s="50">
        <f t="shared" si="775"/>
        <v>18</v>
      </c>
      <c r="AV465" s="50">
        <f t="shared" si="775"/>
        <v>11</v>
      </c>
      <c r="AW465" s="50">
        <f t="shared" si="775"/>
        <v>0</v>
      </c>
      <c r="AX465" s="50">
        <f t="shared" si="775"/>
        <v>0</v>
      </c>
      <c r="AY465" s="50">
        <f t="shared" si="775"/>
        <v>19</v>
      </c>
      <c r="AZ465" s="50">
        <f t="shared" si="775"/>
        <v>0</v>
      </c>
      <c r="BA465" s="50">
        <f t="shared" si="775"/>
        <v>0</v>
      </c>
      <c r="BB465" s="50">
        <f t="shared" si="775"/>
        <v>0</v>
      </c>
      <c r="BC465" s="19">
        <f t="shared" ref="BC465:BC528" si="776">SUM(C465:BB465)</f>
        <v>319</v>
      </c>
    </row>
    <row r="466" spans="2:55" x14ac:dyDescent="0.25">
      <c r="B466" s="80" t="str">
        <f>'Client Data'!C26</f>
        <v>Product A</v>
      </c>
      <c r="C466" s="35">
        <f>'Client Data'!D26</f>
        <v>19</v>
      </c>
      <c r="D466" s="35">
        <f>'Client Data'!E26</f>
        <v>0</v>
      </c>
      <c r="E466" s="35">
        <f>'Client Data'!F26</f>
        <v>11</v>
      </c>
      <c r="F466" s="35">
        <f>'Client Data'!G26</f>
        <v>0</v>
      </c>
      <c r="G466" s="35">
        <f>'Client Data'!H26</f>
        <v>19</v>
      </c>
      <c r="H466" s="35">
        <f>'Client Data'!I26</f>
        <v>0</v>
      </c>
      <c r="I466" s="35">
        <f>'Client Data'!J26</f>
        <v>0</v>
      </c>
      <c r="J466" s="35">
        <f>'Client Data'!K26</f>
        <v>0</v>
      </c>
      <c r="K466" s="35">
        <f>'Client Data'!L26</f>
        <v>19</v>
      </c>
      <c r="L466" s="35">
        <f>'Client Data'!M26</f>
        <v>0</v>
      </c>
      <c r="M466" s="35">
        <f>'Client Data'!N26</f>
        <v>0</v>
      </c>
      <c r="N466" s="35">
        <f>'Client Data'!O26</f>
        <v>0</v>
      </c>
      <c r="O466" s="35">
        <f>'Client Data'!P26</f>
        <v>19</v>
      </c>
      <c r="P466" s="35">
        <f>'Client Data'!Q26</f>
        <v>8</v>
      </c>
      <c r="Q466" s="35">
        <f>'Client Data'!R26</f>
        <v>0</v>
      </c>
      <c r="R466" s="35">
        <f>'Client Data'!S26</f>
        <v>0</v>
      </c>
      <c r="S466" s="35">
        <f>'Client Data'!T26</f>
        <v>19</v>
      </c>
      <c r="T466" s="35">
        <f>'Client Data'!U26</f>
        <v>0</v>
      </c>
      <c r="U466" s="35">
        <f>'Client Data'!V26</f>
        <v>0</v>
      </c>
      <c r="V466" s="35">
        <f>'Client Data'!W26</f>
        <v>6</v>
      </c>
      <c r="W466" s="35">
        <f>'Client Data'!X26</f>
        <v>19</v>
      </c>
      <c r="X466" s="35">
        <f>'Client Data'!Y26</f>
        <v>0</v>
      </c>
      <c r="Y466" s="35">
        <f>'Client Data'!Z26</f>
        <v>0</v>
      </c>
      <c r="Z466" s="35">
        <f>'Client Data'!AA26</f>
        <v>0</v>
      </c>
      <c r="AA466" s="35">
        <f>'Client Data'!AB26</f>
        <v>19</v>
      </c>
      <c r="AB466" s="35">
        <f>'Client Data'!AC26</f>
        <v>0</v>
      </c>
      <c r="AC466" s="35">
        <f>'Client Data'!AD26</f>
        <v>13</v>
      </c>
      <c r="AD466" s="35">
        <f>'Client Data'!AE26</f>
        <v>0</v>
      </c>
      <c r="AE466" s="35">
        <f>'Client Data'!AF26</f>
        <v>19</v>
      </c>
      <c r="AF466" s="35">
        <f>'Client Data'!AG26</f>
        <v>0</v>
      </c>
      <c r="AG466" s="35">
        <f>'Client Data'!AH26</f>
        <v>0</v>
      </c>
      <c r="AH466" s="35">
        <f>'Client Data'!AI26</f>
        <v>6</v>
      </c>
      <c r="AI466" s="35">
        <f>'Client Data'!AJ26</f>
        <v>20</v>
      </c>
      <c r="AJ466" s="35">
        <f>'Client Data'!AK26</f>
        <v>0</v>
      </c>
      <c r="AK466" s="35">
        <f>'Client Data'!AL26</f>
        <v>0</v>
      </c>
      <c r="AL466" s="35">
        <f>'Client Data'!AM26</f>
        <v>0</v>
      </c>
      <c r="AM466" s="35">
        <f>'Client Data'!AN26</f>
        <v>19</v>
      </c>
      <c r="AN466" s="35">
        <f>'Client Data'!AO26</f>
        <v>6</v>
      </c>
      <c r="AO466" s="35">
        <f>'Client Data'!AP26</f>
        <v>0</v>
      </c>
      <c r="AP466" s="35">
        <f>'Client Data'!AQ26</f>
        <v>0</v>
      </c>
      <c r="AQ466" s="35">
        <f>'Client Data'!AR26</f>
        <v>19</v>
      </c>
      <c r="AR466" s="35">
        <f>'Client Data'!AS26</f>
        <v>0</v>
      </c>
      <c r="AS466" s="35">
        <f>'Client Data'!AT26</f>
        <v>11</v>
      </c>
      <c r="AT466" s="35">
        <f>'Client Data'!AU26</f>
        <v>0</v>
      </c>
      <c r="AU466" s="35">
        <f>'Client Data'!AV26</f>
        <v>18</v>
      </c>
      <c r="AV466" s="35">
        <f>'Client Data'!AW26</f>
        <v>11</v>
      </c>
      <c r="AW466" s="35">
        <f>'Client Data'!AX26</f>
        <v>0</v>
      </c>
      <c r="AX466" s="35">
        <f>'Client Data'!AY26</f>
        <v>0</v>
      </c>
      <c r="AY466" s="35">
        <f>'Client Data'!AZ26</f>
        <v>19</v>
      </c>
      <c r="AZ466" s="35">
        <f>'Client Data'!BA26</f>
        <v>0</v>
      </c>
      <c r="BA466" s="35">
        <f>'Client Data'!BB26</f>
        <v>0</v>
      </c>
      <c r="BB466" s="35">
        <f>'Client Data'!BC26</f>
        <v>0</v>
      </c>
      <c r="BC466" s="19">
        <f t="shared" si="776"/>
        <v>319</v>
      </c>
    </row>
    <row r="467" spans="2:55" x14ac:dyDescent="0.25">
      <c r="B467" s="80" t="str">
        <f>'Client Data'!C36</f>
        <v>Product B</v>
      </c>
      <c r="C467" s="35">
        <f>'Client Data'!D36</f>
        <v>0</v>
      </c>
      <c r="D467" s="35">
        <f>'Client Data'!E36</f>
        <v>0</v>
      </c>
      <c r="E467" s="35">
        <f>'Client Data'!F36</f>
        <v>0</v>
      </c>
      <c r="F467" s="35">
        <f>'Client Data'!G36</f>
        <v>0</v>
      </c>
      <c r="G467" s="35">
        <f>'Client Data'!H36</f>
        <v>0</v>
      </c>
      <c r="H467" s="35">
        <f>'Client Data'!I36</f>
        <v>0</v>
      </c>
      <c r="I467" s="35">
        <f>'Client Data'!J36</f>
        <v>0</v>
      </c>
      <c r="J467" s="35">
        <f>'Client Data'!K36</f>
        <v>0</v>
      </c>
      <c r="K467" s="35">
        <f>'Client Data'!L36</f>
        <v>0</v>
      </c>
      <c r="L467" s="35">
        <f>'Client Data'!M36</f>
        <v>0</v>
      </c>
      <c r="M467" s="35">
        <f>'Client Data'!N36</f>
        <v>0</v>
      </c>
      <c r="N467" s="35">
        <f>'Client Data'!O36</f>
        <v>0</v>
      </c>
      <c r="O467" s="35">
        <f>'Client Data'!P36</f>
        <v>0</v>
      </c>
      <c r="P467" s="35">
        <f>'Client Data'!Q36</f>
        <v>0</v>
      </c>
      <c r="Q467" s="35">
        <f>'Client Data'!R36</f>
        <v>0</v>
      </c>
      <c r="R467" s="35">
        <f>'Client Data'!S36</f>
        <v>0</v>
      </c>
      <c r="S467" s="35">
        <f>'Client Data'!T36</f>
        <v>0</v>
      </c>
      <c r="T467" s="35">
        <f>'Client Data'!U36</f>
        <v>0</v>
      </c>
      <c r="U467" s="35">
        <f>'Client Data'!V36</f>
        <v>0</v>
      </c>
      <c r="V467" s="35">
        <f>'Client Data'!W36</f>
        <v>0</v>
      </c>
      <c r="W467" s="35">
        <f>'Client Data'!X36</f>
        <v>0</v>
      </c>
      <c r="X467" s="35">
        <f>'Client Data'!Y36</f>
        <v>0</v>
      </c>
      <c r="Y467" s="35">
        <f>'Client Data'!Z36</f>
        <v>0</v>
      </c>
      <c r="Z467" s="35">
        <f>'Client Data'!AA36</f>
        <v>0</v>
      </c>
      <c r="AA467" s="35">
        <f>'Client Data'!AB36</f>
        <v>0</v>
      </c>
      <c r="AB467" s="35">
        <f>'Client Data'!AC36</f>
        <v>0</v>
      </c>
      <c r="AC467" s="35">
        <f>'Client Data'!AD36</f>
        <v>0</v>
      </c>
      <c r="AD467" s="35">
        <f>'Client Data'!AE36</f>
        <v>0</v>
      </c>
      <c r="AE467" s="35">
        <f>'Client Data'!AF36</f>
        <v>0</v>
      </c>
      <c r="AF467" s="35">
        <f>'Client Data'!AG36</f>
        <v>0</v>
      </c>
      <c r="AG467" s="35">
        <f>'Client Data'!AH36</f>
        <v>0</v>
      </c>
      <c r="AH467" s="35">
        <f>'Client Data'!AI36</f>
        <v>0</v>
      </c>
      <c r="AI467" s="35">
        <f>'Client Data'!AJ36</f>
        <v>0</v>
      </c>
      <c r="AJ467" s="35">
        <f>'Client Data'!AK36</f>
        <v>0</v>
      </c>
      <c r="AK467" s="35">
        <f>'Client Data'!AL36</f>
        <v>0</v>
      </c>
      <c r="AL467" s="35">
        <f>'Client Data'!AM36</f>
        <v>0</v>
      </c>
      <c r="AM467" s="35">
        <f>'Client Data'!AN36</f>
        <v>0</v>
      </c>
      <c r="AN467" s="35">
        <f>'Client Data'!AO36</f>
        <v>0</v>
      </c>
      <c r="AO467" s="35">
        <f>'Client Data'!AP36</f>
        <v>0</v>
      </c>
      <c r="AP467" s="35">
        <f>'Client Data'!AQ36</f>
        <v>0</v>
      </c>
      <c r="AQ467" s="35">
        <f>'Client Data'!AR36</f>
        <v>0</v>
      </c>
      <c r="AR467" s="35">
        <f>'Client Data'!AS36</f>
        <v>0</v>
      </c>
      <c r="AS467" s="35">
        <f>'Client Data'!AT36</f>
        <v>0</v>
      </c>
      <c r="AT467" s="35">
        <f>'Client Data'!AU36</f>
        <v>0</v>
      </c>
      <c r="AU467" s="35">
        <f>'Client Data'!AV36</f>
        <v>0</v>
      </c>
      <c r="AV467" s="35">
        <f>'Client Data'!AW36</f>
        <v>0</v>
      </c>
      <c r="AW467" s="35">
        <f>'Client Data'!AX36</f>
        <v>0</v>
      </c>
      <c r="AX467" s="35">
        <f>'Client Data'!AY36</f>
        <v>0</v>
      </c>
      <c r="AY467" s="35">
        <f>'Client Data'!AZ36</f>
        <v>0</v>
      </c>
      <c r="AZ467" s="35">
        <f>'Client Data'!BA36</f>
        <v>0</v>
      </c>
      <c r="BA467" s="35">
        <f>'Client Data'!BB36</f>
        <v>0</v>
      </c>
      <c r="BB467" s="35">
        <f>'Client Data'!BC36</f>
        <v>0</v>
      </c>
      <c r="BC467" s="19">
        <f t="shared" si="776"/>
        <v>0</v>
      </c>
    </row>
    <row r="468" spans="2:55" x14ac:dyDescent="0.25">
      <c r="B468" s="80" t="str">
        <f>'Client Data'!C46</f>
        <v>Product C</v>
      </c>
      <c r="C468" s="35">
        <f>'Client Data'!D46</f>
        <v>0</v>
      </c>
      <c r="D468" s="35">
        <f>'Client Data'!E46</f>
        <v>0</v>
      </c>
      <c r="E468" s="35">
        <f>'Client Data'!F46</f>
        <v>0</v>
      </c>
      <c r="F468" s="35">
        <f>'Client Data'!G46</f>
        <v>0</v>
      </c>
      <c r="G468" s="35">
        <f>'Client Data'!H46</f>
        <v>0</v>
      </c>
      <c r="H468" s="35">
        <f>'Client Data'!I46</f>
        <v>0</v>
      </c>
      <c r="I468" s="35">
        <f>'Client Data'!J46</f>
        <v>0</v>
      </c>
      <c r="J468" s="35">
        <f>'Client Data'!K46</f>
        <v>0</v>
      </c>
      <c r="K468" s="35">
        <f>'Client Data'!L46</f>
        <v>0</v>
      </c>
      <c r="L468" s="35">
        <f>'Client Data'!M46</f>
        <v>0</v>
      </c>
      <c r="M468" s="35">
        <f>'Client Data'!N46</f>
        <v>0</v>
      </c>
      <c r="N468" s="35">
        <f>'Client Data'!O46</f>
        <v>0</v>
      </c>
      <c r="O468" s="35">
        <f>'Client Data'!P46</f>
        <v>0</v>
      </c>
      <c r="P468" s="35">
        <f>'Client Data'!Q46</f>
        <v>0</v>
      </c>
      <c r="Q468" s="35">
        <f>'Client Data'!R46</f>
        <v>0</v>
      </c>
      <c r="R468" s="35">
        <f>'Client Data'!S46</f>
        <v>0</v>
      </c>
      <c r="S468" s="35">
        <f>'Client Data'!T46</f>
        <v>0</v>
      </c>
      <c r="T468" s="35">
        <f>'Client Data'!U46</f>
        <v>0</v>
      </c>
      <c r="U468" s="35">
        <f>'Client Data'!V46</f>
        <v>0</v>
      </c>
      <c r="V468" s="35">
        <f>'Client Data'!W46</f>
        <v>0</v>
      </c>
      <c r="W468" s="35">
        <f>'Client Data'!X46</f>
        <v>0</v>
      </c>
      <c r="X468" s="35">
        <f>'Client Data'!Y46</f>
        <v>0</v>
      </c>
      <c r="Y468" s="35">
        <f>'Client Data'!Z46</f>
        <v>0</v>
      </c>
      <c r="Z468" s="35">
        <f>'Client Data'!AA46</f>
        <v>0</v>
      </c>
      <c r="AA468" s="35">
        <f>'Client Data'!AB46</f>
        <v>0</v>
      </c>
      <c r="AB468" s="35">
        <f>'Client Data'!AC46</f>
        <v>0</v>
      </c>
      <c r="AC468" s="35">
        <f>'Client Data'!AD46</f>
        <v>0</v>
      </c>
      <c r="AD468" s="35">
        <f>'Client Data'!AE46</f>
        <v>0</v>
      </c>
      <c r="AE468" s="35">
        <f>'Client Data'!AF46</f>
        <v>0</v>
      </c>
      <c r="AF468" s="35">
        <f>'Client Data'!AG46</f>
        <v>0</v>
      </c>
      <c r="AG468" s="35">
        <f>'Client Data'!AH46</f>
        <v>0</v>
      </c>
      <c r="AH468" s="35">
        <f>'Client Data'!AI46</f>
        <v>0</v>
      </c>
      <c r="AI468" s="35">
        <f>'Client Data'!AJ46</f>
        <v>0</v>
      </c>
      <c r="AJ468" s="35">
        <f>'Client Data'!AK46</f>
        <v>0</v>
      </c>
      <c r="AK468" s="35">
        <f>'Client Data'!AL46</f>
        <v>0</v>
      </c>
      <c r="AL468" s="35">
        <f>'Client Data'!AM46</f>
        <v>0</v>
      </c>
      <c r="AM468" s="35">
        <f>'Client Data'!AN46</f>
        <v>0</v>
      </c>
      <c r="AN468" s="35">
        <f>'Client Data'!AO46</f>
        <v>0</v>
      </c>
      <c r="AO468" s="35">
        <f>'Client Data'!AP46</f>
        <v>0</v>
      </c>
      <c r="AP468" s="35">
        <f>'Client Data'!AQ46</f>
        <v>0</v>
      </c>
      <c r="AQ468" s="35">
        <f>'Client Data'!AR46</f>
        <v>0</v>
      </c>
      <c r="AR468" s="35">
        <f>'Client Data'!AS46</f>
        <v>0</v>
      </c>
      <c r="AS468" s="35">
        <f>'Client Data'!AT46</f>
        <v>0</v>
      </c>
      <c r="AT468" s="35">
        <f>'Client Data'!AU46</f>
        <v>0</v>
      </c>
      <c r="AU468" s="35">
        <f>'Client Data'!AV46</f>
        <v>0</v>
      </c>
      <c r="AV468" s="35">
        <f>'Client Data'!AW46</f>
        <v>0</v>
      </c>
      <c r="AW468" s="35">
        <f>'Client Data'!AX46</f>
        <v>0</v>
      </c>
      <c r="AX468" s="35">
        <f>'Client Data'!AY46</f>
        <v>0</v>
      </c>
      <c r="AY468" s="35">
        <f>'Client Data'!AZ46</f>
        <v>0</v>
      </c>
      <c r="AZ468" s="35">
        <f>'Client Data'!BA46</f>
        <v>0</v>
      </c>
      <c r="BA468" s="35">
        <f>'Client Data'!BB46</f>
        <v>0</v>
      </c>
      <c r="BB468" s="35">
        <f>'Client Data'!BC46</f>
        <v>0</v>
      </c>
      <c r="BC468" s="19">
        <f t="shared" si="776"/>
        <v>0</v>
      </c>
    </row>
    <row r="469" spans="2:55" x14ac:dyDescent="0.25">
      <c r="B469" s="80" t="str">
        <f>'Client Data'!C56</f>
        <v>Product D</v>
      </c>
      <c r="C469" s="35">
        <f>'Client Data'!D56</f>
        <v>0</v>
      </c>
      <c r="D469" s="35">
        <f>'Client Data'!E56</f>
        <v>0</v>
      </c>
      <c r="E469" s="35">
        <f>'Client Data'!F56</f>
        <v>0</v>
      </c>
      <c r="F469" s="35">
        <f>'Client Data'!G56</f>
        <v>0</v>
      </c>
      <c r="G469" s="35">
        <f>'Client Data'!H56</f>
        <v>0</v>
      </c>
      <c r="H469" s="35">
        <f>'Client Data'!I56</f>
        <v>0</v>
      </c>
      <c r="I469" s="35">
        <f>'Client Data'!J56</f>
        <v>0</v>
      </c>
      <c r="J469" s="35">
        <f>'Client Data'!K56</f>
        <v>0</v>
      </c>
      <c r="K469" s="35">
        <f>'Client Data'!L56</f>
        <v>0</v>
      </c>
      <c r="L469" s="35">
        <f>'Client Data'!M56</f>
        <v>0</v>
      </c>
      <c r="M469" s="35">
        <f>'Client Data'!N56</f>
        <v>0</v>
      </c>
      <c r="N469" s="35">
        <f>'Client Data'!O56</f>
        <v>0</v>
      </c>
      <c r="O469" s="35">
        <f>'Client Data'!P56</f>
        <v>0</v>
      </c>
      <c r="P469" s="35">
        <f>'Client Data'!Q56</f>
        <v>0</v>
      </c>
      <c r="Q469" s="35">
        <f>'Client Data'!R56</f>
        <v>0</v>
      </c>
      <c r="R469" s="35">
        <f>'Client Data'!S56</f>
        <v>0</v>
      </c>
      <c r="S469" s="35">
        <f>'Client Data'!T56</f>
        <v>0</v>
      </c>
      <c r="T469" s="35">
        <f>'Client Data'!U56</f>
        <v>0</v>
      </c>
      <c r="U469" s="35">
        <f>'Client Data'!V56</f>
        <v>0</v>
      </c>
      <c r="V469" s="35">
        <f>'Client Data'!W56</f>
        <v>0</v>
      </c>
      <c r="W469" s="35">
        <f>'Client Data'!X56</f>
        <v>0</v>
      </c>
      <c r="X469" s="35">
        <f>'Client Data'!Y56</f>
        <v>0</v>
      </c>
      <c r="Y469" s="35">
        <f>'Client Data'!Z56</f>
        <v>0</v>
      </c>
      <c r="Z469" s="35">
        <f>'Client Data'!AA56</f>
        <v>0</v>
      </c>
      <c r="AA469" s="35">
        <f>'Client Data'!AB56</f>
        <v>0</v>
      </c>
      <c r="AB469" s="35">
        <f>'Client Data'!AC56</f>
        <v>0</v>
      </c>
      <c r="AC469" s="35">
        <f>'Client Data'!AD56</f>
        <v>0</v>
      </c>
      <c r="AD469" s="35">
        <f>'Client Data'!AE56</f>
        <v>0</v>
      </c>
      <c r="AE469" s="35">
        <f>'Client Data'!AF56</f>
        <v>0</v>
      </c>
      <c r="AF469" s="35">
        <f>'Client Data'!AG56</f>
        <v>0</v>
      </c>
      <c r="AG469" s="35">
        <f>'Client Data'!AH56</f>
        <v>0</v>
      </c>
      <c r="AH469" s="35">
        <f>'Client Data'!AI56</f>
        <v>0</v>
      </c>
      <c r="AI469" s="35">
        <f>'Client Data'!AJ56</f>
        <v>0</v>
      </c>
      <c r="AJ469" s="35">
        <f>'Client Data'!AK56</f>
        <v>0</v>
      </c>
      <c r="AK469" s="35">
        <f>'Client Data'!AL56</f>
        <v>0</v>
      </c>
      <c r="AL469" s="35">
        <f>'Client Data'!AM56</f>
        <v>0</v>
      </c>
      <c r="AM469" s="35">
        <f>'Client Data'!AN56</f>
        <v>0</v>
      </c>
      <c r="AN469" s="35">
        <f>'Client Data'!AO56</f>
        <v>0</v>
      </c>
      <c r="AO469" s="35">
        <f>'Client Data'!AP56</f>
        <v>0</v>
      </c>
      <c r="AP469" s="35">
        <f>'Client Data'!AQ56</f>
        <v>0</v>
      </c>
      <c r="AQ469" s="35">
        <f>'Client Data'!AR56</f>
        <v>0</v>
      </c>
      <c r="AR469" s="35">
        <f>'Client Data'!AS56</f>
        <v>0</v>
      </c>
      <c r="AS469" s="35">
        <f>'Client Data'!AT56</f>
        <v>0</v>
      </c>
      <c r="AT469" s="35">
        <f>'Client Data'!AU56</f>
        <v>0</v>
      </c>
      <c r="AU469" s="35">
        <f>'Client Data'!AV56</f>
        <v>0</v>
      </c>
      <c r="AV469" s="35">
        <f>'Client Data'!AW56</f>
        <v>0</v>
      </c>
      <c r="AW469" s="35">
        <f>'Client Data'!AX56</f>
        <v>0</v>
      </c>
      <c r="AX469" s="35">
        <f>'Client Data'!AY56</f>
        <v>0</v>
      </c>
      <c r="AY469" s="35">
        <f>'Client Data'!AZ56</f>
        <v>0</v>
      </c>
      <c r="AZ469" s="35">
        <f>'Client Data'!BA56</f>
        <v>0</v>
      </c>
      <c r="BA469" s="35">
        <f>'Client Data'!BB56</f>
        <v>0</v>
      </c>
      <c r="BB469" s="35">
        <f>'Client Data'!BC56</f>
        <v>0</v>
      </c>
      <c r="BC469" s="19">
        <f t="shared" si="776"/>
        <v>0</v>
      </c>
    </row>
    <row r="470" spans="2:55" x14ac:dyDescent="0.25">
      <c r="B470" s="80" t="str">
        <f>'Client Data'!C66</f>
        <v>Product E</v>
      </c>
      <c r="C470" s="35">
        <f>'Client Data'!D66</f>
        <v>0</v>
      </c>
      <c r="D470" s="35">
        <f>'Client Data'!E66</f>
        <v>0</v>
      </c>
      <c r="E470" s="35">
        <f>'Client Data'!F66</f>
        <v>0</v>
      </c>
      <c r="F470" s="35">
        <f>'Client Data'!G66</f>
        <v>0</v>
      </c>
      <c r="G470" s="35">
        <f>'Client Data'!H66</f>
        <v>0</v>
      </c>
      <c r="H470" s="35">
        <f>'Client Data'!I66</f>
        <v>0</v>
      </c>
      <c r="I470" s="35">
        <f>'Client Data'!J66</f>
        <v>0</v>
      </c>
      <c r="J470" s="35">
        <f>'Client Data'!K66</f>
        <v>0</v>
      </c>
      <c r="K470" s="35">
        <f>'Client Data'!L66</f>
        <v>0</v>
      </c>
      <c r="L470" s="35">
        <f>'Client Data'!M66</f>
        <v>0</v>
      </c>
      <c r="M470" s="35">
        <f>'Client Data'!N66</f>
        <v>0</v>
      </c>
      <c r="N470" s="35">
        <f>'Client Data'!O66</f>
        <v>0</v>
      </c>
      <c r="O470" s="35">
        <f>'Client Data'!P66</f>
        <v>0</v>
      </c>
      <c r="P470" s="35">
        <f>'Client Data'!Q66</f>
        <v>0</v>
      </c>
      <c r="Q470" s="35">
        <f>'Client Data'!R66</f>
        <v>0</v>
      </c>
      <c r="R470" s="35">
        <f>'Client Data'!S66</f>
        <v>0</v>
      </c>
      <c r="S470" s="35">
        <f>'Client Data'!T66</f>
        <v>0</v>
      </c>
      <c r="T470" s="35">
        <f>'Client Data'!U66</f>
        <v>0</v>
      </c>
      <c r="U470" s="35">
        <f>'Client Data'!V66</f>
        <v>0</v>
      </c>
      <c r="V470" s="35">
        <f>'Client Data'!W66</f>
        <v>0</v>
      </c>
      <c r="W470" s="35">
        <f>'Client Data'!X66</f>
        <v>0</v>
      </c>
      <c r="X470" s="35">
        <f>'Client Data'!Y66</f>
        <v>0</v>
      </c>
      <c r="Y470" s="35">
        <f>'Client Data'!Z66</f>
        <v>0</v>
      </c>
      <c r="Z470" s="35">
        <f>'Client Data'!AA66</f>
        <v>0</v>
      </c>
      <c r="AA470" s="35">
        <f>'Client Data'!AB66</f>
        <v>0</v>
      </c>
      <c r="AB470" s="35">
        <f>'Client Data'!AC66</f>
        <v>0</v>
      </c>
      <c r="AC470" s="35">
        <f>'Client Data'!AD66</f>
        <v>0</v>
      </c>
      <c r="AD470" s="35">
        <f>'Client Data'!AE66</f>
        <v>0</v>
      </c>
      <c r="AE470" s="35">
        <f>'Client Data'!AF66</f>
        <v>0</v>
      </c>
      <c r="AF470" s="35">
        <f>'Client Data'!AG66</f>
        <v>0</v>
      </c>
      <c r="AG470" s="35">
        <f>'Client Data'!AH66</f>
        <v>0</v>
      </c>
      <c r="AH470" s="35">
        <f>'Client Data'!AI66</f>
        <v>0</v>
      </c>
      <c r="AI470" s="35">
        <f>'Client Data'!AJ66</f>
        <v>0</v>
      </c>
      <c r="AJ470" s="35">
        <f>'Client Data'!AK66</f>
        <v>0</v>
      </c>
      <c r="AK470" s="35">
        <f>'Client Data'!AL66</f>
        <v>0</v>
      </c>
      <c r="AL470" s="35">
        <f>'Client Data'!AM66</f>
        <v>0</v>
      </c>
      <c r="AM470" s="35">
        <f>'Client Data'!AN66</f>
        <v>0</v>
      </c>
      <c r="AN470" s="35">
        <f>'Client Data'!AO66</f>
        <v>0</v>
      </c>
      <c r="AO470" s="35">
        <f>'Client Data'!AP66</f>
        <v>0</v>
      </c>
      <c r="AP470" s="35">
        <f>'Client Data'!AQ66</f>
        <v>0</v>
      </c>
      <c r="AQ470" s="35">
        <f>'Client Data'!AR66</f>
        <v>0</v>
      </c>
      <c r="AR470" s="35">
        <f>'Client Data'!AS66</f>
        <v>0</v>
      </c>
      <c r="AS470" s="35">
        <f>'Client Data'!AT66</f>
        <v>0</v>
      </c>
      <c r="AT470" s="35">
        <f>'Client Data'!AU66</f>
        <v>0</v>
      </c>
      <c r="AU470" s="35">
        <f>'Client Data'!AV66</f>
        <v>0</v>
      </c>
      <c r="AV470" s="35">
        <f>'Client Data'!AW66</f>
        <v>0</v>
      </c>
      <c r="AW470" s="35">
        <f>'Client Data'!AX66</f>
        <v>0</v>
      </c>
      <c r="AX470" s="35">
        <f>'Client Data'!AY66</f>
        <v>0</v>
      </c>
      <c r="AY470" s="35">
        <f>'Client Data'!AZ66</f>
        <v>0</v>
      </c>
      <c r="AZ470" s="35">
        <f>'Client Data'!BA66</f>
        <v>0</v>
      </c>
      <c r="BA470" s="35">
        <f>'Client Data'!BB66</f>
        <v>0</v>
      </c>
      <c r="BB470" s="35">
        <f>'Client Data'!BC66</f>
        <v>0</v>
      </c>
      <c r="BC470" s="19">
        <f t="shared" si="776"/>
        <v>0</v>
      </c>
    </row>
    <row r="471" spans="2:55" x14ac:dyDescent="0.25">
      <c r="B471" s="80" t="str">
        <f>'Client Data'!C76</f>
        <v>Product F</v>
      </c>
      <c r="C471" s="35">
        <f>'Client Data'!D76</f>
        <v>0</v>
      </c>
      <c r="D471" s="35">
        <f>'Client Data'!E76</f>
        <v>0</v>
      </c>
      <c r="E471" s="35">
        <f>'Client Data'!F76</f>
        <v>0</v>
      </c>
      <c r="F471" s="35">
        <f>'Client Data'!G76</f>
        <v>0</v>
      </c>
      <c r="G471" s="35">
        <f>'Client Data'!H76</f>
        <v>0</v>
      </c>
      <c r="H471" s="35">
        <f>'Client Data'!I76</f>
        <v>0</v>
      </c>
      <c r="I471" s="35">
        <f>'Client Data'!J76</f>
        <v>0</v>
      </c>
      <c r="J471" s="35">
        <f>'Client Data'!K76</f>
        <v>0</v>
      </c>
      <c r="K471" s="35">
        <f>'Client Data'!L76</f>
        <v>0</v>
      </c>
      <c r="L471" s="35">
        <f>'Client Data'!M76</f>
        <v>0</v>
      </c>
      <c r="M471" s="35">
        <f>'Client Data'!N76</f>
        <v>0</v>
      </c>
      <c r="N471" s="35">
        <f>'Client Data'!O76</f>
        <v>0</v>
      </c>
      <c r="O471" s="35">
        <f>'Client Data'!P76</f>
        <v>0</v>
      </c>
      <c r="P471" s="35">
        <f>'Client Data'!Q76</f>
        <v>0</v>
      </c>
      <c r="Q471" s="35">
        <f>'Client Data'!R76</f>
        <v>0</v>
      </c>
      <c r="R471" s="35">
        <f>'Client Data'!S76</f>
        <v>0</v>
      </c>
      <c r="S471" s="35">
        <f>'Client Data'!T76</f>
        <v>0</v>
      </c>
      <c r="T471" s="35">
        <f>'Client Data'!U76</f>
        <v>0</v>
      </c>
      <c r="U471" s="35">
        <f>'Client Data'!V76</f>
        <v>0</v>
      </c>
      <c r="V471" s="35">
        <f>'Client Data'!W76</f>
        <v>0</v>
      </c>
      <c r="W471" s="35">
        <f>'Client Data'!X76</f>
        <v>0</v>
      </c>
      <c r="X471" s="35">
        <f>'Client Data'!Y76</f>
        <v>0</v>
      </c>
      <c r="Y471" s="35">
        <f>'Client Data'!Z76</f>
        <v>0</v>
      </c>
      <c r="Z471" s="35">
        <f>'Client Data'!AA76</f>
        <v>0</v>
      </c>
      <c r="AA471" s="35">
        <f>'Client Data'!AB76</f>
        <v>0</v>
      </c>
      <c r="AB471" s="35">
        <f>'Client Data'!AC76</f>
        <v>0</v>
      </c>
      <c r="AC471" s="35">
        <f>'Client Data'!AD76</f>
        <v>0</v>
      </c>
      <c r="AD471" s="35">
        <f>'Client Data'!AE76</f>
        <v>0</v>
      </c>
      <c r="AE471" s="35">
        <f>'Client Data'!AF76</f>
        <v>0</v>
      </c>
      <c r="AF471" s="35">
        <f>'Client Data'!AG76</f>
        <v>0</v>
      </c>
      <c r="AG471" s="35">
        <f>'Client Data'!AH76</f>
        <v>0</v>
      </c>
      <c r="AH471" s="35">
        <f>'Client Data'!AI76</f>
        <v>0</v>
      </c>
      <c r="AI471" s="35">
        <f>'Client Data'!AJ76</f>
        <v>0</v>
      </c>
      <c r="AJ471" s="35">
        <f>'Client Data'!AK76</f>
        <v>0</v>
      </c>
      <c r="AK471" s="35">
        <f>'Client Data'!AL76</f>
        <v>0</v>
      </c>
      <c r="AL471" s="35">
        <f>'Client Data'!AM76</f>
        <v>0</v>
      </c>
      <c r="AM471" s="35">
        <f>'Client Data'!AN76</f>
        <v>0</v>
      </c>
      <c r="AN471" s="35">
        <f>'Client Data'!AO76</f>
        <v>0</v>
      </c>
      <c r="AO471" s="35">
        <f>'Client Data'!AP76</f>
        <v>0</v>
      </c>
      <c r="AP471" s="35">
        <f>'Client Data'!AQ76</f>
        <v>0</v>
      </c>
      <c r="AQ471" s="35">
        <f>'Client Data'!AR76</f>
        <v>0</v>
      </c>
      <c r="AR471" s="35">
        <f>'Client Data'!AS76</f>
        <v>0</v>
      </c>
      <c r="AS471" s="35">
        <f>'Client Data'!AT76</f>
        <v>0</v>
      </c>
      <c r="AT471" s="35">
        <f>'Client Data'!AU76</f>
        <v>0</v>
      </c>
      <c r="AU471" s="35">
        <f>'Client Data'!AV76</f>
        <v>0</v>
      </c>
      <c r="AV471" s="35">
        <f>'Client Data'!AW76</f>
        <v>0</v>
      </c>
      <c r="AW471" s="35">
        <f>'Client Data'!AX76</f>
        <v>0</v>
      </c>
      <c r="AX471" s="35">
        <f>'Client Data'!AY76</f>
        <v>0</v>
      </c>
      <c r="AY471" s="35">
        <f>'Client Data'!AZ76</f>
        <v>0</v>
      </c>
      <c r="AZ471" s="35">
        <f>'Client Data'!BA76</f>
        <v>0</v>
      </c>
      <c r="BA471" s="35">
        <f>'Client Data'!BB76</f>
        <v>0</v>
      </c>
      <c r="BB471" s="35">
        <f>'Client Data'!BC76</f>
        <v>0</v>
      </c>
      <c r="BC471" s="19">
        <f t="shared" si="776"/>
        <v>0</v>
      </c>
    </row>
    <row r="472" spans="2:55" x14ac:dyDescent="0.25">
      <c r="B472" s="80" t="str">
        <f>'Client Data'!C86</f>
        <v>Product G</v>
      </c>
      <c r="C472" s="35">
        <f>'Client Data'!D86</f>
        <v>0</v>
      </c>
      <c r="D472" s="35">
        <f>'Client Data'!E86</f>
        <v>0</v>
      </c>
      <c r="E472" s="35">
        <f>'Client Data'!F86</f>
        <v>0</v>
      </c>
      <c r="F472" s="35">
        <f>'Client Data'!G86</f>
        <v>0</v>
      </c>
      <c r="G472" s="35">
        <f>'Client Data'!H86</f>
        <v>0</v>
      </c>
      <c r="H472" s="35">
        <f>'Client Data'!I86</f>
        <v>0</v>
      </c>
      <c r="I472" s="35">
        <f>'Client Data'!J86</f>
        <v>0</v>
      </c>
      <c r="J472" s="35">
        <f>'Client Data'!K86</f>
        <v>0</v>
      </c>
      <c r="K472" s="35">
        <f>'Client Data'!L86</f>
        <v>0</v>
      </c>
      <c r="L472" s="35">
        <f>'Client Data'!M86</f>
        <v>0</v>
      </c>
      <c r="M472" s="35">
        <f>'Client Data'!N86</f>
        <v>0</v>
      </c>
      <c r="N472" s="35">
        <f>'Client Data'!O86</f>
        <v>0</v>
      </c>
      <c r="O472" s="35">
        <f>'Client Data'!P86</f>
        <v>0</v>
      </c>
      <c r="P472" s="35">
        <f>'Client Data'!Q86</f>
        <v>0</v>
      </c>
      <c r="Q472" s="35">
        <f>'Client Data'!R86</f>
        <v>0</v>
      </c>
      <c r="R472" s="35">
        <f>'Client Data'!S86</f>
        <v>0</v>
      </c>
      <c r="S472" s="35">
        <f>'Client Data'!T86</f>
        <v>0</v>
      </c>
      <c r="T472" s="35">
        <f>'Client Data'!U86</f>
        <v>0</v>
      </c>
      <c r="U472" s="35">
        <f>'Client Data'!V86</f>
        <v>0</v>
      </c>
      <c r="V472" s="35">
        <f>'Client Data'!W86</f>
        <v>0</v>
      </c>
      <c r="W472" s="35">
        <f>'Client Data'!X86</f>
        <v>0</v>
      </c>
      <c r="X472" s="35">
        <f>'Client Data'!Y86</f>
        <v>0</v>
      </c>
      <c r="Y472" s="35">
        <f>'Client Data'!Z86</f>
        <v>0</v>
      </c>
      <c r="Z472" s="35">
        <f>'Client Data'!AA86</f>
        <v>0</v>
      </c>
      <c r="AA472" s="35">
        <f>'Client Data'!AB86</f>
        <v>0</v>
      </c>
      <c r="AB472" s="35">
        <f>'Client Data'!AC86</f>
        <v>0</v>
      </c>
      <c r="AC472" s="35">
        <f>'Client Data'!AD86</f>
        <v>0</v>
      </c>
      <c r="AD472" s="35">
        <f>'Client Data'!AE86</f>
        <v>0</v>
      </c>
      <c r="AE472" s="35">
        <f>'Client Data'!AF86</f>
        <v>0</v>
      </c>
      <c r="AF472" s="35">
        <f>'Client Data'!AG86</f>
        <v>0</v>
      </c>
      <c r="AG472" s="35">
        <f>'Client Data'!AH86</f>
        <v>0</v>
      </c>
      <c r="AH472" s="35">
        <f>'Client Data'!AI86</f>
        <v>0</v>
      </c>
      <c r="AI472" s="35">
        <f>'Client Data'!AJ86</f>
        <v>0</v>
      </c>
      <c r="AJ472" s="35">
        <f>'Client Data'!AK86</f>
        <v>0</v>
      </c>
      <c r="AK472" s="35">
        <f>'Client Data'!AL86</f>
        <v>0</v>
      </c>
      <c r="AL472" s="35">
        <f>'Client Data'!AM86</f>
        <v>0</v>
      </c>
      <c r="AM472" s="35">
        <f>'Client Data'!AN86</f>
        <v>0</v>
      </c>
      <c r="AN472" s="35">
        <f>'Client Data'!AO86</f>
        <v>0</v>
      </c>
      <c r="AO472" s="35">
        <f>'Client Data'!AP86</f>
        <v>0</v>
      </c>
      <c r="AP472" s="35">
        <f>'Client Data'!AQ86</f>
        <v>0</v>
      </c>
      <c r="AQ472" s="35">
        <f>'Client Data'!AR86</f>
        <v>0</v>
      </c>
      <c r="AR472" s="35">
        <f>'Client Data'!AS86</f>
        <v>0</v>
      </c>
      <c r="AS472" s="35">
        <f>'Client Data'!AT86</f>
        <v>0</v>
      </c>
      <c r="AT472" s="35">
        <f>'Client Data'!AU86</f>
        <v>0</v>
      </c>
      <c r="AU472" s="35">
        <f>'Client Data'!AV86</f>
        <v>0</v>
      </c>
      <c r="AV472" s="35">
        <f>'Client Data'!AW86</f>
        <v>0</v>
      </c>
      <c r="AW472" s="35">
        <f>'Client Data'!AX86</f>
        <v>0</v>
      </c>
      <c r="AX472" s="35">
        <f>'Client Data'!AY86</f>
        <v>0</v>
      </c>
      <c r="AY472" s="35">
        <f>'Client Data'!AZ86</f>
        <v>0</v>
      </c>
      <c r="AZ472" s="35">
        <f>'Client Data'!BA86</f>
        <v>0</v>
      </c>
      <c r="BA472" s="35">
        <f>'Client Data'!BB86</f>
        <v>0</v>
      </c>
      <c r="BB472" s="35">
        <f>'Client Data'!BC86</f>
        <v>0</v>
      </c>
      <c r="BC472" s="19">
        <f t="shared" si="776"/>
        <v>0</v>
      </c>
    </row>
    <row r="473" spans="2:55" x14ac:dyDescent="0.25">
      <c r="B473" s="80" t="str">
        <f>'Client Data'!C96</f>
        <v>Product H</v>
      </c>
      <c r="C473" s="35">
        <f>'Client Data'!D96</f>
        <v>0</v>
      </c>
      <c r="D473" s="35">
        <f>'Client Data'!E96</f>
        <v>0</v>
      </c>
      <c r="E473" s="35">
        <f>'Client Data'!F96</f>
        <v>0</v>
      </c>
      <c r="F473" s="35">
        <f>'Client Data'!G96</f>
        <v>0</v>
      </c>
      <c r="G473" s="35">
        <f>'Client Data'!H96</f>
        <v>0</v>
      </c>
      <c r="H473" s="35">
        <f>'Client Data'!I96</f>
        <v>0</v>
      </c>
      <c r="I473" s="35">
        <f>'Client Data'!J96</f>
        <v>0</v>
      </c>
      <c r="J473" s="35">
        <f>'Client Data'!K96</f>
        <v>0</v>
      </c>
      <c r="K473" s="35">
        <f>'Client Data'!L96</f>
        <v>0</v>
      </c>
      <c r="L473" s="35">
        <f>'Client Data'!M96</f>
        <v>0</v>
      </c>
      <c r="M473" s="35">
        <f>'Client Data'!N96</f>
        <v>0</v>
      </c>
      <c r="N473" s="35">
        <f>'Client Data'!O96</f>
        <v>0</v>
      </c>
      <c r="O473" s="35">
        <f>'Client Data'!P96</f>
        <v>0</v>
      </c>
      <c r="P473" s="35">
        <f>'Client Data'!Q96</f>
        <v>0</v>
      </c>
      <c r="Q473" s="35">
        <f>'Client Data'!R96</f>
        <v>0</v>
      </c>
      <c r="R473" s="35">
        <f>'Client Data'!S96</f>
        <v>0</v>
      </c>
      <c r="S473" s="35">
        <f>'Client Data'!T96</f>
        <v>0</v>
      </c>
      <c r="T473" s="35">
        <f>'Client Data'!U96</f>
        <v>0</v>
      </c>
      <c r="U473" s="35">
        <f>'Client Data'!V96</f>
        <v>0</v>
      </c>
      <c r="V473" s="35">
        <f>'Client Data'!W96</f>
        <v>0</v>
      </c>
      <c r="W473" s="35">
        <f>'Client Data'!X96</f>
        <v>0</v>
      </c>
      <c r="X473" s="35">
        <f>'Client Data'!Y96</f>
        <v>0</v>
      </c>
      <c r="Y473" s="35">
        <f>'Client Data'!Z96</f>
        <v>0</v>
      </c>
      <c r="Z473" s="35">
        <f>'Client Data'!AA96</f>
        <v>0</v>
      </c>
      <c r="AA473" s="35">
        <f>'Client Data'!AB96</f>
        <v>0</v>
      </c>
      <c r="AB473" s="35">
        <f>'Client Data'!AC96</f>
        <v>0</v>
      </c>
      <c r="AC473" s="35">
        <f>'Client Data'!AD96</f>
        <v>0</v>
      </c>
      <c r="AD473" s="35">
        <f>'Client Data'!AE96</f>
        <v>0</v>
      </c>
      <c r="AE473" s="35">
        <f>'Client Data'!AF96</f>
        <v>0</v>
      </c>
      <c r="AF473" s="35">
        <f>'Client Data'!AG96</f>
        <v>0</v>
      </c>
      <c r="AG473" s="35">
        <f>'Client Data'!AH96</f>
        <v>0</v>
      </c>
      <c r="AH473" s="35">
        <f>'Client Data'!AI96</f>
        <v>0</v>
      </c>
      <c r="AI473" s="35">
        <f>'Client Data'!AJ96</f>
        <v>0</v>
      </c>
      <c r="AJ473" s="35">
        <f>'Client Data'!AK96</f>
        <v>0</v>
      </c>
      <c r="AK473" s="35">
        <f>'Client Data'!AL96</f>
        <v>0</v>
      </c>
      <c r="AL473" s="35">
        <f>'Client Data'!AM96</f>
        <v>0</v>
      </c>
      <c r="AM473" s="35">
        <f>'Client Data'!AN96</f>
        <v>0</v>
      </c>
      <c r="AN473" s="35">
        <f>'Client Data'!AO96</f>
        <v>0</v>
      </c>
      <c r="AO473" s="35">
        <f>'Client Data'!AP96</f>
        <v>0</v>
      </c>
      <c r="AP473" s="35">
        <f>'Client Data'!AQ96</f>
        <v>0</v>
      </c>
      <c r="AQ473" s="35">
        <f>'Client Data'!AR96</f>
        <v>0</v>
      </c>
      <c r="AR473" s="35">
        <f>'Client Data'!AS96</f>
        <v>0</v>
      </c>
      <c r="AS473" s="35">
        <f>'Client Data'!AT96</f>
        <v>0</v>
      </c>
      <c r="AT473" s="35">
        <f>'Client Data'!AU96</f>
        <v>0</v>
      </c>
      <c r="AU473" s="35">
        <f>'Client Data'!AV96</f>
        <v>0</v>
      </c>
      <c r="AV473" s="35">
        <f>'Client Data'!AW96</f>
        <v>0</v>
      </c>
      <c r="AW473" s="35">
        <f>'Client Data'!AX96</f>
        <v>0</v>
      </c>
      <c r="AX473" s="35">
        <f>'Client Data'!AY96</f>
        <v>0</v>
      </c>
      <c r="AY473" s="35">
        <f>'Client Data'!AZ96</f>
        <v>0</v>
      </c>
      <c r="AZ473" s="35">
        <f>'Client Data'!BA96</f>
        <v>0</v>
      </c>
      <c r="BA473" s="35">
        <f>'Client Data'!BB96</f>
        <v>0</v>
      </c>
      <c r="BB473" s="35">
        <f>'Client Data'!BC96</f>
        <v>0</v>
      </c>
      <c r="BC473" s="19">
        <f t="shared" si="776"/>
        <v>0</v>
      </c>
    </row>
    <row r="474" spans="2:55" x14ac:dyDescent="0.25">
      <c r="B474" s="19" t="str">
        <f>'Client Data'!B27</f>
        <v>Rework Loss Type C</v>
      </c>
      <c r="C474" s="50">
        <f t="shared" ref="C474:AH474" si="777">IF(C190&gt;0,SUM(C475:C482),0)</f>
        <v>0</v>
      </c>
      <c r="D474" s="50">
        <f t="shared" si="777"/>
        <v>11</v>
      </c>
      <c r="E474" s="50">
        <f t="shared" si="777"/>
        <v>28</v>
      </c>
      <c r="F474" s="50">
        <f t="shared" si="777"/>
        <v>0</v>
      </c>
      <c r="G474" s="50">
        <f t="shared" si="777"/>
        <v>0</v>
      </c>
      <c r="H474" s="50">
        <f t="shared" si="777"/>
        <v>11</v>
      </c>
      <c r="I474" s="50">
        <f t="shared" si="777"/>
        <v>29</v>
      </c>
      <c r="J474" s="50">
        <f t="shared" si="777"/>
        <v>21</v>
      </c>
      <c r="K474" s="50">
        <f t="shared" si="777"/>
        <v>13</v>
      </c>
      <c r="L474" s="50">
        <f t="shared" si="777"/>
        <v>11</v>
      </c>
      <c r="M474" s="50">
        <f t="shared" si="777"/>
        <v>28</v>
      </c>
      <c r="N474" s="50">
        <f t="shared" si="777"/>
        <v>22</v>
      </c>
      <c r="O474" s="50">
        <f t="shared" si="777"/>
        <v>0</v>
      </c>
      <c r="P474" s="50">
        <f t="shared" si="777"/>
        <v>11</v>
      </c>
      <c r="Q474" s="50">
        <f t="shared" si="777"/>
        <v>28</v>
      </c>
      <c r="R474" s="50">
        <f t="shared" si="777"/>
        <v>22</v>
      </c>
      <c r="S474" s="50">
        <f t="shared" si="777"/>
        <v>0</v>
      </c>
      <c r="T474" s="50">
        <f t="shared" si="777"/>
        <v>11</v>
      </c>
      <c r="U474" s="50">
        <f t="shared" si="777"/>
        <v>28</v>
      </c>
      <c r="V474" s="50">
        <f t="shared" si="777"/>
        <v>22</v>
      </c>
      <c r="W474" s="50">
        <f t="shared" si="777"/>
        <v>0</v>
      </c>
      <c r="X474" s="50">
        <f t="shared" si="777"/>
        <v>11</v>
      </c>
      <c r="Y474" s="50">
        <f t="shared" si="777"/>
        <v>20</v>
      </c>
      <c r="Z474" s="50">
        <f t="shared" si="777"/>
        <v>22</v>
      </c>
      <c r="AA474" s="50">
        <f t="shared" si="777"/>
        <v>0</v>
      </c>
      <c r="AB474" s="50">
        <f t="shared" si="777"/>
        <v>11</v>
      </c>
      <c r="AC474" s="50">
        <f t="shared" si="777"/>
        <v>28</v>
      </c>
      <c r="AD474" s="50">
        <f t="shared" si="777"/>
        <v>9</v>
      </c>
      <c r="AE474" s="50">
        <f t="shared" si="777"/>
        <v>0</v>
      </c>
      <c r="AF474" s="50">
        <f t="shared" si="777"/>
        <v>11</v>
      </c>
      <c r="AG474" s="50">
        <f t="shared" si="777"/>
        <v>28</v>
      </c>
      <c r="AH474" s="50">
        <f t="shared" si="777"/>
        <v>22</v>
      </c>
      <c r="AI474" s="50">
        <f t="shared" ref="AI474:BB474" si="778">IF(AI190&gt;0,SUM(AI475:AI482),0)</f>
        <v>0</v>
      </c>
      <c r="AJ474" s="50">
        <f t="shared" si="778"/>
        <v>11</v>
      </c>
      <c r="AK474" s="50">
        <f t="shared" si="778"/>
        <v>19</v>
      </c>
      <c r="AL474" s="50">
        <f t="shared" si="778"/>
        <v>21</v>
      </c>
      <c r="AM474" s="50">
        <f t="shared" si="778"/>
        <v>0</v>
      </c>
      <c r="AN474" s="50">
        <f t="shared" si="778"/>
        <v>11</v>
      </c>
      <c r="AO474" s="50">
        <f t="shared" si="778"/>
        <v>28</v>
      </c>
      <c r="AP474" s="50">
        <f t="shared" si="778"/>
        <v>9</v>
      </c>
      <c r="AQ474" s="50">
        <f t="shared" si="778"/>
        <v>0</v>
      </c>
      <c r="AR474" s="50">
        <f t="shared" si="778"/>
        <v>11</v>
      </c>
      <c r="AS474" s="50">
        <f t="shared" si="778"/>
        <v>28</v>
      </c>
      <c r="AT474" s="50">
        <f t="shared" si="778"/>
        <v>22</v>
      </c>
      <c r="AU474" s="50">
        <f t="shared" si="778"/>
        <v>11</v>
      </c>
      <c r="AV474" s="50">
        <f t="shared" si="778"/>
        <v>11</v>
      </c>
      <c r="AW474" s="50">
        <f t="shared" si="778"/>
        <v>28</v>
      </c>
      <c r="AX474" s="50">
        <f t="shared" si="778"/>
        <v>22</v>
      </c>
      <c r="AY474" s="50">
        <f t="shared" si="778"/>
        <v>13</v>
      </c>
      <c r="AZ474" s="50">
        <f t="shared" si="778"/>
        <v>11</v>
      </c>
      <c r="BA474" s="50">
        <f t="shared" si="778"/>
        <v>19</v>
      </c>
      <c r="BB474" s="50">
        <f t="shared" si="778"/>
        <v>22</v>
      </c>
      <c r="BC474" s="19">
        <f t="shared" si="776"/>
        <v>755</v>
      </c>
    </row>
    <row r="475" spans="2:55" x14ac:dyDescent="0.25">
      <c r="B475" s="80" t="str">
        <f>'Client Data'!C27</f>
        <v>Product A</v>
      </c>
      <c r="C475" s="35">
        <f>'Client Data'!D27</f>
        <v>0</v>
      </c>
      <c r="D475" s="35">
        <f>'Client Data'!E27</f>
        <v>0</v>
      </c>
      <c r="E475" s="35">
        <f>'Client Data'!F27</f>
        <v>0</v>
      </c>
      <c r="F475" s="35">
        <f>'Client Data'!G27</f>
        <v>0</v>
      </c>
      <c r="G475" s="35">
        <f>'Client Data'!H27</f>
        <v>0</v>
      </c>
      <c r="H475" s="35">
        <f>'Client Data'!I27</f>
        <v>0</v>
      </c>
      <c r="I475" s="35">
        <f>'Client Data'!J27</f>
        <v>0</v>
      </c>
      <c r="J475" s="35">
        <f>'Client Data'!K27</f>
        <v>0</v>
      </c>
      <c r="K475" s="35">
        <f>'Client Data'!L27</f>
        <v>0</v>
      </c>
      <c r="L475" s="35">
        <f>'Client Data'!M27</f>
        <v>0</v>
      </c>
      <c r="M475" s="35">
        <f>'Client Data'!N27</f>
        <v>0</v>
      </c>
      <c r="N475" s="35">
        <f>'Client Data'!O27</f>
        <v>0</v>
      </c>
      <c r="O475" s="35">
        <f>'Client Data'!P27</f>
        <v>0</v>
      </c>
      <c r="P475" s="35">
        <f>'Client Data'!Q27</f>
        <v>0</v>
      </c>
      <c r="Q475" s="35">
        <f>'Client Data'!R27</f>
        <v>0</v>
      </c>
      <c r="R475" s="35">
        <f>'Client Data'!S27</f>
        <v>0</v>
      </c>
      <c r="S475" s="35">
        <f>'Client Data'!T27</f>
        <v>0</v>
      </c>
      <c r="T475" s="35">
        <f>'Client Data'!U27</f>
        <v>0</v>
      </c>
      <c r="U475" s="35">
        <f>'Client Data'!V27</f>
        <v>0</v>
      </c>
      <c r="V475" s="35">
        <f>'Client Data'!W27</f>
        <v>0</v>
      </c>
      <c r="W475" s="35">
        <f>'Client Data'!X27</f>
        <v>0</v>
      </c>
      <c r="X475" s="35">
        <f>'Client Data'!Y27</f>
        <v>0</v>
      </c>
      <c r="Y475" s="35">
        <f>'Client Data'!Z27</f>
        <v>0</v>
      </c>
      <c r="Z475" s="35">
        <f>'Client Data'!AA27</f>
        <v>0</v>
      </c>
      <c r="AA475" s="35">
        <f>'Client Data'!AB27</f>
        <v>0</v>
      </c>
      <c r="AB475" s="35">
        <f>'Client Data'!AC27</f>
        <v>0</v>
      </c>
      <c r="AC475" s="35">
        <f>'Client Data'!AD27</f>
        <v>0</v>
      </c>
      <c r="AD475" s="35">
        <f>'Client Data'!AE27</f>
        <v>0</v>
      </c>
      <c r="AE475" s="35">
        <f>'Client Data'!AF27</f>
        <v>0</v>
      </c>
      <c r="AF475" s="35">
        <f>'Client Data'!AG27</f>
        <v>0</v>
      </c>
      <c r="AG475" s="35">
        <f>'Client Data'!AH27</f>
        <v>0</v>
      </c>
      <c r="AH475" s="35">
        <f>'Client Data'!AI27</f>
        <v>0</v>
      </c>
      <c r="AI475" s="35">
        <f>'Client Data'!AJ27</f>
        <v>0</v>
      </c>
      <c r="AJ475" s="35">
        <f>'Client Data'!AK27</f>
        <v>0</v>
      </c>
      <c r="AK475" s="35">
        <f>'Client Data'!AL27</f>
        <v>0</v>
      </c>
      <c r="AL475" s="35">
        <f>'Client Data'!AM27</f>
        <v>0</v>
      </c>
      <c r="AM475" s="35">
        <f>'Client Data'!AN27</f>
        <v>0</v>
      </c>
      <c r="AN475" s="35">
        <f>'Client Data'!AO27</f>
        <v>0</v>
      </c>
      <c r="AO475" s="35">
        <f>'Client Data'!AP27</f>
        <v>0</v>
      </c>
      <c r="AP475" s="35">
        <f>'Client Data'!AQ27</f>
        <v>0</v>
      </c>
      <c r="AQ475" s="35">
        <f>'Client Data'!AR27</f>
        <v>0</v>
      </c>
      <c r="AR475" s="35">
        <f>'Client Data'!AS27</f>
        <v>0</v>
      </c>
      <c r="AS475" s="35">
        <f>'Client Data'!AT27</f>
        <v>0</v>
      </c>
      <c r="AT475" s="35">
        <f>'Client Data'!AU27</f>
        <v>0</v>
      </c>
      <c r="AU475" s="35">
        <f>'Client Data'!AV27</f>
        <v>0</v>
      </c>
      <c r="AV475" s="35">
        <f>'Client Data'!AW27</f>
        <v>0</v>
      </c>
      <c r="AW475" s="35">
        <f>'Client Data'!AX27</f>
        <v>0</v>
      </c>
      <c r="AX475" s="35">
        <f>'Client Data'!AY27</f>
        <v>0</v>
      </c>
      <c r="AY475" s="35">
        <f>'Client Data'!AZ27</f>
        <v>0</v>
      </c>
      <c r="AZ475" s="35">
        <f>'Client Data'!BA27</f>
        <v>0</v>
      </c>
      <c r="BA475" s="35">
        <f>'Client Data'!BB27</f>
        <v>0</v>
      </c>
      <c r="BB475" s="35">
        <f>'Client Data'!BC27</f>
        <v>0</v>
      </c>
      <c r="BC475" s="19">
        <f t="shared" si="776"/>
        <v>0</v>
      </c>
    </row>
    <row r="476" spans="2:55" x14ac:dyDescent="0.25">
      <c r="B476" s="80" t="str">
        <f>'Client Data'!C37</f>
        <v>Product B</v>
      </c>
      <c r="C476" s="35">
        <f>'Client Data'!D37</f>
        <v>0</v>
      </c>
      <c r="D476" s="35">
        <f>'Client Data'!E37</f>
        <v>0</v>
      </c>
      <c r="E476" s="35">
        <f>'Client Data'!F37</f>
        <v>0</v>
      </c>
      <c r="F476" s="35">
        <f>'Client Data'!G37</f>
        <v>0</v>
      </c>
      <c r="G476" s="35">
        <f>'Client Data'!H37</f>
        <v>0</v>
      </c>
      <c r="H476" s="35">
        <f>'Client Data'!I37</f>
        <v>0</v>
      </c>
      <c r="I476" s="35">
        <f>'Client Data'!J37</f>
        <v>0</v>
      </c>
      <c r="J476" s="35">
        <f>'Client Data'!K37</f>
        <v>0</v>
      </c>
      <c r="K476" s="35">
        <f>'Client Data'!L37</f>
        <v>0</v>
      </c>
      <c r="L476" s="35">
        <f>'Client Data'!M37</f>
        <v>0</v>
      </c>
      <c r="M476" s="35">
        <f>'Client Data'!N37</f>
        <v>0</v>
      </c>
      <c r="N476" s="35">
        <f>'Client Data'!O37</f>
        <v>0</v>
      </c>
      <c r="O476" s="35">
        <f>'Client Data'!P37</f>
        <v>0</v>
      </c>
      <c r="P476" s="35">
        <f>'Client Data'!Q37</f>
        <v>0</v>
      </c>
      <c r="Q476" s="35">
        <f>'Client Data'!R37</f>
        <v>0</v>
      </c>
      <c r="R476" s="35">
        <f>'Client Data'!S37</f>
        <v>0</v>
      </c>
      <c r="S476" s="35">
        <f>'Client Data'!T37</f>
        <v>0</v>
      </c>
      <c r="T476" s="35">
        <f>'Client Data'!U37</f>
        <v>0</v>
      </c>
      <c r="U476" s="35">
        <f>'Client Data'!V37</f>
        <v>0</v>
      </c>
      <c r="V476" s="35">
        <f>'Client Data'!W37</f>
        <v>0</v>
      </c>
      <c r="W476" s="35">
        <f>'Client Data'!X37</f>
        <v>0</v>
      </c>
      <c r="X476" s="35">
        <f>'Client Data'!Y37</f>
        <v>0</v>
      </c>
      <c r="Y476" s="35">
        <f>'Client Data'!Z37</f>
        <v>0</v>
      </c>
      <c r="Z476" s="35">
        <f>'Client Data'!AA37</f>
        <v>0</v>
      </c>
      <c r="AA476" s="35">
        <f>'Client Data'!AB37</f>
        <v>0</v>
      </c>
      <c r="AB476" s="35">
        <f>'Client Data'!AC37</f>
        <v>0</v>
      </c>
      <c r="AC476" s="35">
        <f>'Client Data'!AD37</f>
        <v>0</v>
      </c>
      <c r="AD476" s="35">
        <f>'Client Data'!AE37</f>
        <v>0</v>
      </c>
      <c r="AE476" s="35">
        <f>'Client Data'!AF37</f>
        <v>0</v>
      </c>
      <c r="AF476" s="35">
        <f>'Client Data'!AG37</f>
        <v>0</v>
      </c>
      <c r="AG476" s="35">
        <f>'Client Data'!AH37</f>
        <v>0</v>
      </c>
      <c r="AH476" s="35">
        <f>'Client Data'!AI37</f>
        <v>0</v>
      </c>
      <c r="AI476" s="35">
        <f>'Client Data'!AJ37</f>
        <v>0</v>
      </c>
      <c r="AJ476" s="35">
        <f>'Client Data'!AK37</f>
        <v>0</v>
      </c>
      <c r="AK476" s="35">
        <f>'Client Data'!AL37</f>
        <v>0</v>
      </c>
      <c r="AL476" s="35">
        <f>'Client Data'!AM37</f>
        <v>0</v>
      </c>
      <c r="AM476" s="35">
        <f>'Client Data'!AN37</f>
        <v>0</v>
      </c>
      <c r="AN476" s="35">
        <f>'Client Data'!AO37</f>
        <v>0</v>
      </c>
      <c r="AO476" s="35">
        <f>'Client Data'!AP37</f>
        <v>0</v>
      </c>
      <c r="AP476" s="35">
        <f>'Client Data'!AQ37</f>
        <v>0</v>
      </c>
      <c r="AQ476" s="35">
        <f>'Client Data'!AR37</f>
        <v>0</v>
      </c>
      <c r="AR476" s="35">
        <f>'Client Data'!AS37</f>
        <v>0</v>
      </c>
      <c r="AS476" s="35">
        <f>'Client Data'!AT37</f>
        <v>0</v>
      </c>
      <c r="AT476" s="35">
        <f>'Client Data'!AU37</f>
        <v>0</v>
      </c>
      <c r="AU476" s="35">
        <f>'Client Data'!AV37</f>
        <v>0</v>
      </c>
      <c r="AV476" s="35">
        <f>'Client Data'!AW37</f>
        <v>0</v>
      </c>
      <c r="AW476" s="35">
        <f>'Client Data'!AX37</f>
        <v>0</v>
      </c>
      <c r="AX476" s="35">
        <f>'Client Data'!AY37</f>
        <v>0</v>
      </c>
      <c r="AY476" s="35">
        <f>'Client Data'!AZ37</f>
        <v>0</v>
      </c>
      <c r="AZ476" s="35">
        <f>'Client Data'!BA37</f>
        <v>0</v>
      </c>
      <c r="BA476" s="35">
        <f>'Client Data'!BB37</f>
        <v>0</v>
      </c>
      <c r="BB476" s="35">
        <f>'Client Data'!BC37</f>
        <v>0</v>
      </c>
      <c r="BC476" s="19">
        <f t="shared" si="776"/>
        <v>0</v>
      </c>
    </row>
    <row r="477" spans="2:55" x14ac:dyDescent="0.25">
      <c r="B477" s="80" t="str">
        <f>'Client Data'!C47</f>
        <v>Product C</v>
      </c>
      <c r="C477" s="35">
        <f>'Client Data'!D47</f>
        <v>0</v>
      </c>
      <c r="D477" s="35">
        <f>'Client Data'!E47</f>
        <v>0</v>
      </c>
      <c r="E477" s="35">
        <f>'Client Data'!F47</f>
        <v>0</v>
      </c>
      <c r="F477" s="35">
        <f>'Client Data'!G47</f>
        <v>0</v>
      </c>
      <c r="G477" s="35">
        <f>'Client Data'!H47</f>
        <v>0</v>
      </c>
      <c r="H477" s="35">
        <f>'Client Data'!I47</f>
        <v>0</v>
      </c>
      <c r="I477" s="35">
        <f>'Client Data'!J47</f>
        <v>0</v>
      </c>
      <c r="J477" s="35">
        <f>'Client Data'!K47</f>
        <v>0</v>
      </c>
      <c r="K477" s="35">
        <f>'Client Data'!L47</f>
        <v>0</v>
      </c>
      <c r="L477" s="35">
        <f>'Client Data'!M47</f>
        <v>0</v>
      </c>
      <c r="M477" s="35">
        <f>'Client Data'!N47</f>
        <v>0</v>
      </c>
      <c r="N477" s="35">
        <f>'Client Data'!O47</f>
        <v>0</v>
      </c>
      <c r="O477" s="35">
        <f>'Client Data'!P47</f>
        <v>0</v>
      </c>
      <c r="P477" s="35">
        <f>'Client Data'!Q47</f>
        <v>0</v>
      </c>
      <c r="Q477" s="35">
        <f>'Client Data'!R47</f>
        <v>0</v>
      </c>
      <c r="R477" s="35">
        <f>'Client Data'!S47</f>
        <v>0</v>
      </c>
      <c r="S477" s="35">
        <f>'Client Data'!T47</f>
        <v>0</v>
      </c>
      <c r="T477" s="35">
        <f>'Client Data'!U47</f>
        <v>0</v>
      </c>
      <c r="U477" s="35">
        <f>'Client Data'!V47</f>
        <v>0</v>
      </c>
      <c r="V477" s="35">
        <f>'Client Data'!W47</f>
        <v>0</v>
      </c>
      <c r="W477" s="35">
        <f>'Client Data'!X47</f>
        <v>0</v>
      </c>
      <c r="X477" s="35">
        <f>'Client Data'!Y47</f>
        <v>0</v>
      </c>
      <c r="Y477" s="35">
        <f>'Client Data'!Z47</f>
        <v>0</v>
      </c>
      <c r="Z477" s="35">
        <f>'Client Data'!AA47</f>
        <v>0</v>
      </c>
      <c r="AA477" s="35">
        <f>'Client Data'!AB47</f>
        <v>0</v>
      </c>
      <c r="AB477" s="35">
        <f>'Client Data'!AC47</f>
        <v>0</v>
      </c>
      <c r="AC477" s="35">
        <f>'Client Data'!AD47</f>
        <v>0</v>
      </c>
      <c r="AD477" s="35">
        <f>'Client Data'!AE47</f>
        <v>0</v>
      </c>
      <c r="AE477" s="35">
        <f>'Client Data'!AF47</f>
        <v>0</v>
      </c>
      <c r="AF477" s="35">
        <f>'Client Data'!AG47</f>
        <v>0</v>
      </c>
      <c r="AG477" s="35">
        <f>'Client Data'!AH47</f>
        <v>0</v>
      </c>
      <c r="AH477" s="35">
        <f>'Client Data'!AI47</f>
        <v>0</v>
      </c>
      <c r="AI477" s="35">
        <f>'Client Data'!AJ47</f>
        <v>0</v>
      </c>
      <c r="AJ477" s="35">
        <f>'Client Data'!AK47</f>
        <v>0</v>
      </c>
      <c r="AK477" s="35">
        <f>'Client Data'!AL47</f>
        <v>0</v>
      </c>
      <c r="AL477" s="35">
        <f>'Client Data'!AM47</f>
        <v>0</v>
      </c>
      <c r="AM477" s="35">
        <f>'Client Data'!AN47</f>
        <v>0</v>
      </c>
      <c r="AN477" s="35">
        <f>'Client Data'!AO47</f>
        <v>0</v>
      </c>
      <c r="AO477" s="35">
        <f>'Client Data'!AP47</f>
        <v>0</v>
      </c>
      <c r="AP477" s="35">
        <f>'Client Data'!AQ47</f>
        <v>0</v>
      </c>
      <c r="AQ477" s="35">
        <f>'Client Data'!AR47</f>
        <v>0</v>
      </c>
      <c r="AR477" s="35">
        <f>'Client Data'!AS47</f>
        <v>0</v>
      </c>
      <c r="AS477" s="35">
        <f>'Client Data'!AT47</f>
        <v>0</v>
      </c>
      <c r="AT477" s="35">
        <f>'Client Data'!AU47</f>
        <v>0</v>
      </c>
      <c r="AU477" s="35">
        <f>'Client Data'!AV47</f>
        <v>0</v>
      </c>
      <c r="AV477" s="35">
        <f>'Client Data'!AW47</f>
        <v>0</v>
      </c>
      <c r="AW477" s="35">
        <f>'Client Data'!AX47</f>
        <v>0</v>
      </c>
      <c r="AX477" s="35">
        <f>'Client Data'!AY47</f>
        <v>0</v>
      </c>
      <c r="AY477" s="35">
        <f>'Client Data'!AZ47</f>
        <v>0</v>
      </c>
      <c r="AZ477" s="35">
        <f>'Client Data'!BA47</f>
        <v>0</v>
      </c>
      <c r="BA477" s="35">
        <f>'Client Data'!BB47</f>
        <v>0</v>
      </c>
      <c r="BB477" s="35">
        <f>'Client Data'!BC47</f>
        <v>0</v>
      </c>
      <c r="BC477" s="19">
        <f t="shared" si="776"/>
        <v>0</v>
      </c>
    </row>
    <row r="478" spans="2:55" x14ac:dyDescent="0.25">
      <c r="B478" s="80" t="str">
        <f>'Client Data'!C57</f>
        <v>Product D</v>
      </c>
      <c r="C478" s="35">
        <f>'Client Data'!D57</f>
        <v>0</v>
      </c>
      <c r="D478" s="35">
        <f>'Client Data'!E57</f>
        <v>0</v>
      </c>
      <c r="E478" s="35">
        <f>'Client Data'!F57</f>
        <v>0</v>
      </c>
      <c r="F478" s="35">
        <f>'Client Data'!G57</f>
        <v>0</v>
      </c>
      <c r="G478" s="35">
        <f>'Client Data'!H57</f>
        <v>0</v>
      </c>
      <c r="H478" s="35">
        <f>'Client Data'!I57</f>
        <v>0</v>
      </c>
      <c r="I478" s="35">
        <f>'Client Data'!J57</f>
        <v>0</v>
      </c>
      <c r="J478" s="35">
        <f>'Client Data'!K57</f>
        <v>0</v>
      </c>
      <c r="K478" s="35">
        <f>'Client Data'!L57</f>
        <v>0</v>
      </c>
      <c r="L478" s="35">
        <f>'Client Data'!M57</f>
        <v>0</v>
      </c>
      <c r="M478" s="35">
        <f>'Client Data'!N57</f>
        <v>0</v>
      </c>
      <c r="N478" s="35">
        <f>'Client Data'!O57</f>
        <v>0</v>
      </c>
      <c r="O478" s="35">
        <f>'Client Data'!P57</f>
        <v>0</v>
      </c>
      <c r="P478" s="35">
        <f>'Client Data'!Q57</f>
        <v>0</v>
      </c>
      <c r="Q478" s="35">
        <f>'Client Data'!R57</f>
        <v>0</v>
      </c>
      <c r="R478" s="35">
        <f>'Client Data'!S57</f>
        <v>0</v>
      </c>
      <c r="S478" s="35">
        <f>'Client Data'!T57</f>
        <v>0</v>
      </c>
      <c r="T478" s="35">
        <f>'Client Data'!U57</f>
        <v>0</v>
      </c>
      <c r="U478" s="35">
        <f>'Client Data'!V57</f>
        <v>0</v>
      </c>
      <c r="V478" s="35">
        <f>'Client Data'!W57</f>
        <v>0</v>
      </c>
      <c r="W478" s="35">
        <f>'Client Data'!X57</f>
        <v>0</v>
      </c>
      <c r="X478" s="35">
        <f>'Client Data'!Y57</f>
        <v>0</v>
      </c>
      <c r="Y478" s="35">
        <f>'Client Data'!Z57</f>
        <v>0</v>
      </c>
      <c r="Z478" s="35">
        <f>'Client Data'!AA57</f>
        <v>0</v>
      </c>
      <c r="AA478" s="35">
        <f>'Client Data'!AB57</f>
        <v>0</v>
      </c>
      <c r="AB478" s="35">
        <f>'Client Data'!AC57</f>
        <v>0</v>
      </c>
      <c r="AC478" s="35">
        <f>'Client Data'!AD57</f>
        <v>0</v>
      </c>
      <c r="AD478" s="35">
        <f>'Client Data'!AE57</f>
        <v>0</v>
      </c>
      <c r="AE478" s="35">
        <f>'Client Data'!AF57</f>
        <v>0</v>
      </c>
      <c r="AF478" s="35">
        <f>'Client Data'!AG57</f>
        <v>0</v>
      </c>
      <c r="AG478" s="35">
        <f>'Client Data'!AH57</f>
        <v>0</v>
      </c>
      <c r="AH478" s="35">
        <f>'Client Data'!AI57</f>
        <v>0</v>
      </c>
      <c r="AI478" s="35">
        <f>'Client Data'!AJ57</f>
        <v>0</v>
      </c>
      <c r="AJ478" s="35">
        <f>'Client Data'!AK57</f>
        <v>0</v>
      </c>
      <c r="AK478" s="35">
        <f>'Client Data'!AL57</f>
        <v>0</v>
      </c>
      <c r="AL478" s="35">
        <f>'Client Data'!AM57</f>
        <v>0</v>
      </c>
      <c r="AM478" s="35">
        <f>'Client Data'!AN57</f>
        <v>0</v>
      </c>
      <c r="AN478" s="35">
        <f>'Client Data'!AO57</f>
        <v>0</v>
      </c>
      <c r="AO478" s="35">
        <f>'Client Data'!AP57</f>
        <v>0</v>
      </c>
      <c r="AP478" s="35">
        <f>'Client Data'!AQ57</f>
        <v>0</v>
      </c>
      <c r="AQ478" s="35">
        <f>'Client Data'!AR57</f>
        <v>0</v>
      </c>
      <c r="AR478" s="35">
        <f>'Client Data'!AS57</f>
        <v>0</v>
      </c>
      <c r="AS478" s="35">
        <f>'Client Data'!AT57</f>
        <v>0</v>
      </c>
      <c r="AT478" s="35">
        <f>'Client Data'!AU57</f>
        <v>0</v>
      </c>
      <c r="AU478" s="35">
        <f>'Client Data'!AV57</f>
        <v>0</v>
      </c>
      <c r="AV478" s="35">
        <f>'Client Data'!AW57</f>
        <v>0</v>
      </c>
      <c r="AW478" s="35">
        <f>'Client Data'!AX57</f>
        <v>0</v>
      </c>
      <c r="AX478" s="35">
        <f>'Client Data'!AY57</f>
        <v>0</v>
      </c>
      <c r="AY478" s="35">
        <f>'Client Data'!AZ57</f>
        <v>0</v>
      </c>
      <c r="AZ478" s="35">
        <f>'Client Data'!BA57</f>
        <v>0</v>
      </c>
      <c r="BA478" s="35">
        <f>'Client Data'!BB57</f>
        <v>0</v>
      </c>
      <c r="BB478" s="35">
        <f>'Client Data'!BC57</f>
        <v>0</v>
      </c>
      <c r="BC478" s="19">
        <f t="shared" si="776"/>
        <v>0</v>
      </c>
    </row>
    <row r="479" spans="2:55" x14ac:dyDescent="0.25">
      <c r="B479" s="80" t="str">
        <f>'Client Data'!C67</f>
        <v>Product E</v>
      </c>
      <c r="C479" s="35">
        <f>'Client Data'!D67</f>
        <v>0</v>
      </c>
      <c r="D479" s="35">
        <f>'Client Data'!E67</f>
        <v>0</v>
      </c>
      <c r="E479" s="35">
        <f>'Client Data'!F67</f>
        <v>0</v>
      </c>
      <c r="F479" s="35">
        <f>'Client Data'!G67</f>
        <v>0</v>
      </c>
      <c r="G479" s="35">
        <f>'Client Data'!H67</f>
        <v>0</v>
      </c>
      <c r="H479" s="35">
        <f>'Client Data'!I67</f>
        <v>0</v>
      </c>
      <c r="I479" s="35">
        <f>'Client Data'!J67</f>
        <v>0</v>
      </c>
      <c r="J479" s="35">
        <f>'Client Data'!K67</f>
        <v>0</v>
      </c>
      <c r="K479" s="35">
        <f>'Client Data'!L67</f>
        <v>0</v>
      </c>
      <c r="L479" s="35">
        <f>'Client Data'!M67</f>
        <v>0</v>
      </c>
      <c r="M479" s="35">
        <f>'Client Data'!N67</f>
        <v>0</v>
      </c>
      <c r="N479" s="35">
        <f>'Client Data'!O67</f>
        <v>0</v>
      </c>
      <c r="O479" s="35">
        <f>'Client Data'!P67</f>
        <v>0</v>
      </c>
      <c r="P479" s="35">
        <f>'Client Data'!Q67</f>
        <v>0</v>
      </c>
      <c r="Q479" s="35">
        <f>'Client Data'!R67</f>
        <v>0</v>
      </c>
      <c r="R479" s="35">
        <f>'Client Data'!S67</f>
        <v>0</v>
      </c>
      <c r="S479" s="35">
        <f>'Client Data'!T67</f>
        <v>0</v>
      </c>
      <c r="T479" s="35">
        <f>'Client Data'!U67</f>
        <v>0</v>
      </c>
      <c r="U479" s="35">
        <f>'Client Data'!V67</f>
        <v>0</v>
      </c>
      <c r="V479" s="35">
        <f>'Client Data'!W67</f>
        <v>0</v>
      </c>
      <c r="W479" s="35">
        <f>'Client Data'!X67</f>
        <v>0</v>
      </c>
      <c r="X479" s="35">
        <f>'Client Data'!Y67</f>
        <v>0</v>
      </c>
      <c r="Y479" s="35">
        <f>'Client Data'!Z67</f>
        <v>0</v>
      </c>
      <c r="Z479" s="35">
        <f>'Client Data'!AA67</f>
        <v>0</v>
      </c>
      <c r="AA479" s="35">
        <f>'Client Data'!AB67</f>
        <v>0</v>
      </c>
      <c r="AB479" s="35">
        <f>'Client Data'!AC67</f>
        <v>0</v>
      </c>
      <c r="AC479" s="35">
        <f>'Client Data'!AD67</f>
        <v>0</v>
      </c>
      <c r="AD479" s="35">
        <f>'Client Data'!AE67</f>
        <v>0</v>
      </c>
      <c r="AE479" s="35">
        <f>'Client Data'!AF67</f>
        <v>0</v>
      </c>
      <c r="AF479" s="35">
        <f>'Client Data'!AG67</f>
        <v>0</v>
      </c>
      <c r="AG479" s="35">
        <f>'Client Data'!AH67</f>
        <v>0</v>
      </c>
      <c r="AH479" s="35">
        <f>'Client Data'!AI67</f>
        <v>0</v>
      </c>
      <c r="AI479" s="35">
        <f>'Client Data'!AJ67</f>
        <v>0</v>
      </c>
      <c r="AJ479" s="35">
        <f>'Client Data'!AK67</f>
        <v>0</v>
      </c>
      <c r="AK479" s="35">
        <f>'Client Data'!AL67</f>
        <v>0</v>
      </c>
      <c r="AL479" s="35">
        <f>'Client Data'!AM67</f>
        <v>0</v>
      </c>
      <c r="AM479" s="35">
        <f>'Client Data'!AN67</f>
        <v>0</v>
      </c>
      <c r="AN479" s="35">
        <f>'Client Data'!AO67</f>
        <v>0</v>
      </c>
      <c r="AO479" s="35">
        <f>'Client Data'!AP67</f>
        <v>0</v>
      </c>
      <c r="AP479" s="35">
        <f>'Client Data'!AQ67</f>
        <v>0</v>
      </c>
      <c r="AQ479" s="35">
        <f>'Client Data'!AR67</f>
        <v>0</v>
      </c>
      <c r="AR479" s="35">
        <f>'Client Data'!AS67</f>
        <v>0</v>
      </c>
      <c r="AS479" s="35">
        <f>'Client Data'!AT67</f>
        <v>0</v>
      </c>
      <c r="AT479" s="35">
        <f>'Client Data'!AU67</f>
        <v>0</v>
      </c>
      <c r="AU479" s="35">
        <f>'Client Data'!AV67</f>
        <v>0</v>
      </c>
      <c r="AV479" s="35">
        <f>'Client Data'!AW67</f>
        <v>0</v>
      </c>
      <c r="AW479" s="35">
        <f>'Client Data'!AX67</f>
        <v>0</v>
      </c>
      <c r="AX479" s="35">
        <f>'Client Data'!AY67</f>
        <v>0</v>
      </c>
      <c r="AY479" s="35">
        <f>'Client Data'!AZ67</f>
        <v>0</v>
      </c>
      <c r="AZ479" s="35">
        <f>'Client Data'!BA67</f>
        <v>0</v>
      </c>
      <c r="BA479" s="35">
        <f>'Client Data'!BB67</f>
        <v>0</v>
      </c>
      <c r="BB479" s="35">
        <f>'Client Data'!BC67</f>
        <v>0</v>
      </c>
      <c r="BC479" s="19">
        <f t="shared" si="776"/>
        <v>0</v>
      </c>
    </row>
    <row r="480" spans="2:55" x14ac:dyDescent="0.25">
      <c r="B480" s="80" t="str">
        <f>'Client Data'!C77</f>
        <v>Product F</v>
      </c>
      <c r="C480" s="35">
        <f>'Client Data'!D77</f>
        <v>0</v>
      </c>
      <c r="D480" s="35">
        <f>'Client Data'!E77</f>
        <v>11</v>
      </c>
      <c r="E480" s="35">
        <f>'Client Data'!F77</f>
        <v>28</v>
      </c>
      <c r="F480" s="35">
        <f>'Client Data'!G77</f>
        <v>0</v>
      </c>
      <c r="G480" s="35">
        <f>'Client Data'!H77</f>
        <v>0</v>
      </c>
      <c r="H480" s="35">
        <f>'Client Data'!I77</f>
        <v>11</v>
      </c>
      <c r="I480" s="35">
        <f>'Client Data'!J77</f>
        <v>29</v>
      </c>
      <c r="J480" s="35">
        <f>'Client Data'!K77</f>
        <v>21</v>
      </c>
      <c r="K480" s="35">
        <f>'Client Data'!L77</f>
        <v>13</v>
      </c>
      <c r="L480" s="35">
        <f>'Client Data'!M77</f>
        <v>11</v>
      </c>
      <c r="M480" s="35">
        <f>'Client Data'!N77</f>
        <v>28</v>
      </c>
      <c r="N480" s="35">
        <f>'Client Data'!O77</f>
        <v>22</v>
      </c>
      <c r="O480" s="35">
        <f>'Client Data'!P77</f>
        <v>0</v>
      </c>
      <c r="P480" s="35">
        <f>'Client Data'!Q77</f>
        <v>11</v>
      </c>
      <c r="Q480" s="35">
        <f>'Client Data'!R77</f>
        <v>28</v>
      </c>
      <c r="R480" s="35">
        <f>'Client Data'!S77</f>
        <v>22</v>
      </c>
      <c r="S480" s="35">
        <f>'Client Data'!T77</f>
        <v>0</v>
      </c>
      <c r="T480" s="35">
        <f>'Client Data'!U77</f>
        <v>11</v>
      </c>
      <c r="U480" s="35">
        <f>'Client Data'!V77</f>
        <v>28</v>
      </c>
      <c r="V480" s="35">
        <f>'Client Data'!W77</f>
        <v>22</v>
      </c>
      <c r="W480" s="35">
        <f>'Client Data'!X77</f>
        <v>0</v>
      </c>
      <c r="X480" s="35">
        <f>'Client Data'!Y77</f>
        <v>11</v>
      </c>
      <c r="Y480" s="35">
        <f>'Client Data'!Z77</f>
        <v>20</v>
      </c>
      <c r="Z480" s="35">
        <f>'Client Data'!AA77</f>
        <v>22</v>
      </c>
      <c r="AA480" s="35">
        <f>'Client Data'!AB77</f>
        <v>0</v>
      </c>
      <c r="AB480" s="35">
        <f>'Client Data'!AC77</f>
        <v>11</v>
      </c>
      <c r="AC480" s="35">
        <f>'Client Data'!AD77</f>
        <v>28</v>
      </c>
      <c r="AD480" s="35">
        <f>'Client Data'!AE77</f>
        <v>9</v>
      </c>
      <c r="AE480" s="35">
        <f>'Client Data'!AF77</f>
        <v>0</v>
      </c>
      <c r="AF480" s="35">
        <f>'Client Data'!AG77</f>
        <v>11</v>
      </c>
      <c r="AG480" s="35">
        <f>'Client Data'!AH77</f>
        <v>28</v>
      </c>
      <c r="AH480" s="35">
        <f>'Client Data'!AI77</f>
        <v>22</v>
      </c>
      <c r="AI480" s="35">
        <f>'Client Data'!AJ77</f>
        <v>0</v>
      </c>
      <c r="AJ480" s="35">
        <f>'Client Data'!AK77</f>
        <v>11</v>
      </c>
      <c r="AK480" s="35">
        <f>'Client Data'!AL77</f>
        <v>19</v>
      </c>
      <c r="AL480" s="35">
        <f>'Client Data'!AM77</f>
        <v>21</v>
      </c>
      <c r="AM480" s="35">
        <f>'Client Data'!AN77</f>
        <v>0</v>
      </c>
      <c r="AN480" s="35">
        <f>'Client Data'!AO77</f>
        <v>11</v>
      </c>
      <c r="AO480" s="35">
        <f>'Client Data'!AP77</f>
        <v>28</v>
      </c>
      <c r="AP480" s="35">
        <f>'Client Data'!AQ77</f>
        <v>9</v>
      </c>
      <c r="AQ480" s="35">
        <f>'Client Data'!AR77</f>
        <v>0</v>
      </c>
      <c r="AR480" s="35">
        <f>'Client Data'!AS77</f>
        <v>11</v>
      </c>
      <c r="AS480" s="35">
        <f>'Client Data'!AT77</f>
        <v>28</v>
      </c>
      <c r="AT480" s="35">
        <f>'Client Data'!AU77</f>
        <v>22</v>
      </c>
      <c r="AU480" s="35">
        <f>'Client Data'!AV77</f>
        <v>11</v>
      </c>
      <c r="AV480" s="35">
        <f>'Client Data'!AW77</f>
        <v>11</v>
      </c>
      <c r="AW480" s="35">
        <f>'Client Data'!AX77</f>
        <v>28</v>
      </c>
      <c r="AX480" s="35">
        <f>'Client Data'!AY77</f>
        <v>22</v>
      </c>
      <c r="AY480" s="35">
        <f>'Client Data'!AZ77</f>
        <v>13</v>
      </c>
      <c r="AZ480" s="35">
        <f>'Client Data'!BA77</f>
        <v>11</v>
      </c>
      <c r="BA480" s="35">
        <f>'Client Data'!BB77</f>
        <v>19</v>
      </c>
      <c r="BB480" s="35">
        <f>'Client Data'!BC77</f>
        <v>22</v>
      </c>
      <c r="BC480" s="19">
        <f t="shared" si="776"/>
        <v>755</v>
      </c>
    </row>
    <row r="481" spans="2:55" x14ac:dyDescent="0.25">
      <c r="B481" s="80" t="str">
        <f>'Client Data'!C87</f>
        <v>Product G</v>
      </c>
      <c r="C481" s="35">
        <f>'Client Data'!D87</f>
        <v>0</v>
      </c>
      <c r="D481" s="35">
        <f>'Client Data'!E87</f>
        <v>0</v>
      </c>
      <c r="E481" s="35">
        <f>'Client Data'!F87</f>
        <v>0</v>
      </c>
      <c r="F481" s="35">
        <f>'Client Data'!G87</f>
        <v>0</v>
      </c>
      <c r="G481" s="35">
        <f>'Client Data'!H87</f>
        <v>0</v>
      </c>
      <c r="H481" s="35">
        <f>'Client Data'!I87</f>
        <v>0</v>
      </c>
      <c r="I481" s="35">
        <f>'Client Data'!J87</f>
        <v>0</v>
      </c>
      <c r="J481" s="35">
        <f>'Client Data'!K87</f>
        <v>0</v>
      </c>
      <c r="K481" s="35">
        <f>'Client Data'!L87</f>
        <v>0</v>
      </c>
      <c r="L481" s="35">
        <f>'Client Data'!M87</f>
        <v>0</v>
      </c>
      <c r="M481" s="35">
        <f>'Client Data'!N87</f>
        <v>0</v>
      </c>
      <c r="N481" s="35">
        <f>'Client Data'!O87</f>
        <v>0</v>
      </c>
      <c r="O481" s="35">
        <f>'Client Data'!P87</f>
        <v>0</v>
      </c>
      <c r="P481" s="35">
        <f>'Client Data'!Q87</f>
        <v>0</v>
      </c>
      <c r="Q481" s="35">
        <f>'Client Data'!R87</f>
        <v>0</v>
      </c>
      <c r="R481" s="35">
        <f>'Client Data'!S87</f>
        <v>0</v>
      </c>
      <c r="S481" s="35">
        <f>'Client Data'!T87</f>
        <v>0</v>
      </c>
      <c r="T481" s="35">
        <f>'Client Data'!U87</f>
        <v>0</v>
      </c>
      <c r="U481" s="35">
        <f>'Client Data'!V87</f>
        <v>0</v>
      </c>
      <c r="V481" s="35">
        <f>'Client Data'!W87</f>
        <v>0</v>
      </c>
      <c r="W481" s="35">
        <f>'Client Data'!X87</f>
        <v>0</v>
      </c>
      <c r="X481" s="35">
        <f>'Client Data'!Y87</f>
        <v>0</v>
      </c>
      <c r="Y481" s="35">
        <f>'Client Data'!Z87</f>
        <v>0</v>
      </c>
      <c r="Z481" s="35">
        <f>'Client Data'!AA87</f>
        <v>0</v>
      </c>
      <c r="AA481" s="35">
        <f>'Client Data'!AB87</f>
        <v>0</v>
      </c>
      <c r="AB481" s="35">
        <f>'Client Data'!AC87</f>
        <v>0</v>
      </c>
      <c r="AC481" s="35">
        <f>'Client Data'!AD87</f>
        <v>0</v>
      </c>
      <c r="AD481" s="35">
        <f>'Client Data'!AE87</f>
        <v>0</v>
      </c>
      <c r="AE481" s="35">
        <f>'Client Data'!AF87</f>
        <v>0</v>
      </c>
      <c r="AF481" s="35">
        <f>'Client Data'!AG87</f>
        <v>0</v>
      </c>
      <c r="AG481" s="35">
        <f>'Client Data'!AH87</f>
        <v>0</v>
      </c>
      <c r="AH481" s="35">
        <f>'Client Data'!AI87</f>
        <v>0</v>
      </c>
      <c r="AI481" s="35">
        <f>'Client Data'!AJ87</f>
        <v>0</v>
      </c>
      <c r="AJ481" s="35">
        <f>'Client Data'!AK87</f>
        <v>0</v>
      </c>
      <c r="AK481" s="35">
        <f>'Client Data'!AL87</f>
        <v>0</v>
      </c>
      <c r="AL481" s="35">
        <f>'Client Data'!AM87</f>
        <v>0</v>
      </c>
      <c r="AM481" s="35">
        <f>'Client Data'!AN87</f>
        <v>0</v>
      </c>
      <c r="AN481" s="35">
        <f>'Client Data'!AO87</f>
        <v>0</v>
      </c>
      <c r="AO481" s="35">
        <f>'Client Data'!AP87</f>
        <v>0</v>
      </c>
      <c r="AP481" s="35">
        <f>'Client Data'!AQ87</f>
        <v>0</v>
      </c>
      <c r="AQ481" s="35">
        <f>'Client Data'!AR87</f>
        <v>0</v>
      </c>
      <c r="AR481" s="35">
        <f>'Client Data'!AS87</f>
        <v>0</v>
      </c>
      <c r="AS481" s="35">
        <f>'Client Data'!AT87</f>
        <v>0</v>
      </c>
      <c r="AT481" s="35">
        <f>'Client Data'!AU87</f>
        <v>0</v>
      </c>
      <c r="AU481" s="35">
        <f>'Client Data'!AV87</f>
        <v>0</v>
      </c>
      <c r="AV481" s="35">
        <f>'Client Data'!AW87</f>
        <v>0</v>
      </c>
      <c r="AW481" s="35">
        <f>'Client Data'!AX87</f>
        <v>0</v>
      </c>
      <c r="AX481" s="35">
        <f>'Client Data'!AY87</f>
        <v>0</v>
      </c>
      <c r="AY481" s="35">
        <f>'Client Data'!AZ87</f>
        <v>0</v>
      </c>
      <c r="AZ481" s="35">
        <f>'Client Data'!BA87</f>
        <v>0</v>
      </c>
      <c r="BA481" s="35">
        <f>'Client Data'!BB87</f>
        <v>0</v>
      </c>
      <c r="BB481" s="35">
        <f>'Client Data'!BC87</f>
        <v>0</v>
      </c>
      <c r="BC481" s="19">
        <f t="shared" si="776"/>
        <v>0</v>
      </c>
    </row>
    <row r="482" spans="2:55" x14ac:dyDescent="0.25">
      <c r="B482" s="80" t="str">
        <f>'Client Data'!C97</f>
        <v>Product H</v>
      </c>
      <c r="C482" s="35">
        <f>'Client Data'!D97</f>
        <v>0</v>
      </c>
      <c r="D482" s="35">
        <f>'Client Data'!E97</f>
        <v>0</v>
      </c>
      <c r="E482" s="35">
        <f>'Client Data'!F97</f>
        <v>0</v>
      </c>
      <c r="F482" s="35">
        <f>'Client Data'!G97</f>
        <v>0</v>
      </c>
      <c r="G482" s="35">
        <f>'Client Data'!H97</f>
        <v>0</v>
      </c>
      <c r="H482" s="35">
        <f>'Client Data'!I97</f>
        <v>0</v>
      </c>
      <c r="I482" s="35">
        <f>'Client Data'!J97</f>
        <v>0</v>
      </c>
      <c r="J482" s="35">
        <f>'Client Data'!K97</f>
        <v>0</v>
      </c>
      <c r="K482" s="35">
        <f>'Client Data'!L97</f>
        <v>0</v>
      </c>
      <c r="L482" s="35">
        <f>'Client Data'!M97</f>
        <v>0</v>
      </c>
      <c r="M482" s="35">
        <f>'Client Data'!N97</f>
        <v>0</v>
      </c>
      <c r="N482" s="35">
        <f>'Client Data'!O97</f>
        <v>0</v>
      </c>
      <c r="O482" s="35">
        <f>'Client Data'!P97</f>
        <v>0</v>
      </c>
      <c r="P482" s="35">
        <f>'Client Data'!Q97</f>
        <v>0</v>
      </c>
      <c r="Q482" s="35">
        <f>'Client Data'!R97</f>
        <v>0</v>
      </c>
      <c r="R482" s="35">
        <f>'Client Data'!S97</f>
        <v>0</v>
      </c>
      <c r="S482" s="35">
        <f>'Client Data'!T97</f>
        <v>0</v>
      </c>
      <c r="T482" s="35">
        <f>'Client Data'!U97</f>
        <v>0</v>
      </c>
      <c r="U482" s="35">
        <f>'Client Data'!V97</f>
        <v>0</v>
      </c>
      <c r="V482" s="35">
        <f>'Client Data'!W97</f>
        <v>0</v>
      </c>
      <c r="W482" s="35">
        <f>'Client Data'!X97</f>
        <v>0</v>
      </c>
      <c r="X482" s="35">
        <f>'Client Data'!Y97</f>
        <v>0</v>
      </c>
      <c r="Y482" s="35">
        <f>'Client Data'!Z97</f>
        <v>0</v>
      </c>
      <c r="Z482" s="35">
        <f>'Client Data'!AA97</f>
        <v>0</v>
      </c>
      <c r="AA482" s="35">
        <f>'Client Data'!AB97</f>
        <v>0</v>
      </c>
      <c r="AB482" s="35">
        <f>'Client Data'!AC97</f>
        <v>0</v>
      </c>
      <c r="AC482" s="35">
        <f>'Client Data'!AD97</f>
        <v>0</v>
      </c>
      <c r="AD482" s="35">
        <f>'Client Data'!AE97</f>
        <v>0</v>
      </c>
      <c r="AE482" s="35">
        <f>'Client Data'!AF97</f>
        <v>0</v>
      </c>
      <c r="AF482" s="35">
        <f>'Client Data'!AG97</f>
        <v>0</v>
      </c>
      <c r="AG482" s="35">
        <f>'Client Data'!AH97</f>
        <v>0</v>
      </c>
      <c r="AH482" s="35">
        <f>'Client Data'!AI97</f>
        <v>0</v>
      </c>
      <c r="AI482" s="35">
        <f>'Client Data'!AJ97</f>
        <v>0</v>
      </c>
      <c r="AJ482" s="35">
        <f>'Client Data'!AK97</f>
        <v>0</v>
      </c>
      <c r="AK482" s="35">
        <f>'Client Data'!AL97</f>
        <v>0</v>
      </c>
      <c r="AL482" s="35">
        <f>'Client Data'!AM97</f>
        <v>0</v>
      </c>
      <c r="AM482" s="35">
        <f>'Client Data'!AN97</f>
        <v>0</v>
      </c>
      <c r="AN482" s="35">
        <f>'Client Data'!AO97</f>
        <v>0</v>
      </c>
      <c r="AO482" s="35">
        <f>'Client Data'!AP97</f>
        <v>0</v>
      </c>
      <c r="AP482" s="35">
        <f>'Client Data'!AQ97</f>
        <v>0</v>
      </c>
      <c r="AQ482" s="35">
        <f>'Client Data'!AR97</f>
        <v>0</v>
      </c>
      <c r="AR482" s="35">
        <f>'Client Data'!AS97</f>
        <v>0</v>
      </c>
      <c r="AS482" s="35">
        <f>'Client Data'!AT97</f>
        <v>0</v>
      </c>
      <c r="AT482" s="35">
        <f>'Client Data'!AU97</f>
        <v>0</v>
      </c>
      <c r="AU482" s="35">
        <f>'Client Data'!AV97</f>
        <v>0</v>
      </c>
      <c r="AV482" s="35">
        <f>'Client Data'!AW97</f>
        <v>0</v>
      </c>
      <c r="AW482" s="35">
        <f>'Client Data'!AX97</f>
        <v>0</v>
      </c>
      <c r="AX482" s="35">
        <f>'Client Data'!AY97</f>
        <v>0</v>
      </c>
      <c r="AY482" s="35">
        <f>'Client Data'!AZ97</f>
        <v>0</v>
      </c>
      <c r="AZ482" s="35">
        <f>'Client Data'!BA97</f>
        <v>0</v>
      </c>
      <c r="BA482" s="35">
        <f>'Client Data'!BB97</f>
        <v>0</v>
      </c>
      <c r="BB482" s="35">
        <f>'Client Data'!BC97</f>
        <v>0</v>
      </c>
      <c r="BC482" s="19">
        <f t="shared" si="776"/>
        <v>0</v>
      </c>
    </row>
    <row r="483" spans="2:55" x14ac:dyDescent="0.25">
      <c r="B483" s="19" t="str">
        <f>'Client Data'!B28</f>
        <v>Rework Loss Type D</v>
      </c>
      <c r="C483" s="50">
        <f t="shared" ref="C483:AH483" si="779">IF(C190&gt;0,SUM(C484:C491),0)</f>
        <v>28</v>
      </c>
      <c r="D483" s="50">
        <f t="shared" si="779"/>
        <v>21</v>
      </c>
      <c r="E483" s="50">
        <f t="shared" si="779"/>
        <v>17</v>
      </c>
      <c r="F483" s="50">
        <f t="shared" si="779"/>
        <v>19</v>
      </c>
      <c r="G483" s="50">
        <f t="shared" si="779"/>
        <v>19</v>
      </c>
      <c r="H483" s="50">
        <f t="shared" si="779"/>
        <v>22</v>
      </c>
      <c r="I483" s="50">
        <f t="shared" si="779"/>
        <v>18</v>
      </c>
      <c r="J483" s="50">
        <f t="shared" si="779"/>
        <v>19</v>
      </c>
      <c r="K483" s="50">
        <f t="shared" si="779"/>
        <v>28</v>
      </c>
      <c r="L483" s="50">
        <f t="shared" si="779"/>
        <v>22</v>
      </c>
      <c r="M483" s="50">
        <f t="shared" si="779"/>
        <v>17</v>
      </c>
      <c r="N483" s="50">
        <f t="shared" si="779"/>
        <v>20</v>
      </c>
      <c r="O483" s="50">
        <f t="shared" si="779"/>
        <v>28</v>
      </c>
      <c r="P483" s="50">
        <f t="shared" si="779"/>
        <v>22</v>
      </c>
      <c r="Q483" s="50">
        <f t="shared" si="779"/>
        <v>17</v>
      </c>
      <c r="R483" s="50">
        <f t="shared" si="779"/>
        <v>19</v>
      </c>
      <c r="S483" s="50">
        <f t="shared" si="779"/>
        <v>19</v>
      </c>
      <c r="T483" s="50">
        <f t="shared" si="779"/>
        <v>17</v>
      </c>
      <c r="U483" s="50">
        <f t="shared" si="779"/>
        <v>17</v>
      </c>
      <c r="V483" s="50">
        <f t="shared" si="779"/>
        <v>19</v>
      </c>
      <c r="W483" s="50">
        <f t="shared" si="779"/>
        <v>28</v>
      </c>
      <c r="X483" s="50">
        <f t="shared" si="779"/>
        <v>22</v>
      </c>
      <c r="Y483" s="50">
        <f t="shared" si="779"/>
        <v>17</v>
      </c>
      <c r="Z483" s="50">
        <f t="shared" si="779"/>
        <v>15</v>
      </c>
      <c r="AA483" s="50">
        <f t="shared" si="779"/>
        <v>28</v>
      </c>
      <c r="AB483" s="50">
        <f t="shared" si="779"/>
        <v>22</v>
      </c>
      <c r="AC483" s="50">
        <f t="shared" si="779"/>
        <v>17</v>
      </c>
      <c r="AD483" s="50">
        <f t="shared" si="779"/>
        <v>19</v>
      </c>
      <c r="AE483" s="50">
        <f t="shared" si="779"/>
        <v>19</v>
      </c>
      <c r="AF483" s="50">
        <f t="shared" si="779"/>
        <v>21</v>
      </c>
      <c r="AG483" s="50">
        <f t="shared" si="779"/>
        <v>17</v>
      </c>
      <c r="AH483" s="50">
        <f t="shared" si="779"/>
        <v>19</v>
      </c>
      <c r="AI483" s="50">
        <f t="shared" ref="AI483:BB483" si="780">IF(AI190&gt;0,SUM(AI484:AI491),0)</f>
        <v>28</v>
      </c>
      <c r="AJ483" s="50">
        <f t="shared" si="780"/>
        <v>22</v>
      </c>
      <c r="AK483" s="50">
        <f t="shared" si="780"/>
        <v>17</v>
      </c>
      <c r="AL483" s="50">
        <f t="shared" si="780"/>
        <v>15</v>
      </c>
      <c r="AM483" s="50">
        <f t="shared" si="780"/>
        <v>28</v>
      </c>
      <c r="AN483" s="50">
        <f t="shared" si="780"/>
        <v>22</v>
      </c>
      <c r="AO483" s="50">
        <f t="shared" si="780"/>
        <v>17</v>
      </c>
      <c r="AP483" s="50">
        <f t="shared" si="780"/>
        <v>19</v>
      </c>
      <c r="AQ483" s="50">
        <f t="shared" si="780"/>
        <v>20</v>
      </c>
      <c r="AR483" s="50">
        <f t="shared" si="780"/>
        <v>22</v>
      </c>
      <c r="AS483" s="50">
        <f t="shared" si="780"/>
        <v>17</v>
      </c>
      <c r="AT483" s="50">
        <f t="shared" si="780"/>
        <v>19</v>
      </c>
      <c r="AU483" s="50">
        <f t="shared" si="780"/>
        <v>28</v>
      </c>
      <c r="AV483" s="50">
        <f t="shared" si="780"/>
        <v>22</v>
      </c>
      <c r="AW483" s="50">
        <f t="shared" si="780"/>
        <v>17</v>
      </c>
      <c r="AX483" s="50">
        <f t="shared" si="780"/>
        <v>18</v>
      </c>
      <c r="AY483" s="50">
        <f t="shared" si="780"/>
        <v>28</v>
      </c>
      <c r="AZ483" s="50">
        <f t="shared" si="780"/>
        <v>22</v>
      </c>
      <c r="BA483" s="50">
        <f t="shared" si="780"/>
        <v>17</v>
      </c>
      <c r="BB483" s="50">
        <f t="shared" si="780"/>
        <v>15</v>
      </c>
      <c r="BC483" s="19">
        <f t="shared" si="776"/>
        <v>1065</v>
      </c>
    </row>
    <row r="484" spans="2:55" x14ac:dyDescent="0.25">
      <c r="B484" s="80" t="str">
        <f>'Client Data'!C28</f>
        <v>Product A</v>
      </c>
      <c r="C484" s="35">
        <f>'Client Data'!D28</f>
        <v>0</v>
      </c>
      <c r="D484" s="35">
        <f>'Client Data'!E28</f>
        <v>0</v>
      </c>
      <c r="E484" s="35">
        <f>'Client Data'!F28</f>
        <v>0</v>
      </c>
      <c r="F484" s="35">
        <f>'Client Data'!G28</f>
        <v>0</v>
      </c>
      <c r="G484" s="35">
        <f>'Client Data'!H28</f>
        <v>0</v>
      </c>
      <c r="H484" s="35">
        <f>'Client Data'!I28</f>
        <v>0</v>
      </c>
      <c r="I484" s="35">
        <f>'Client Data'!J28</f>
        <v>0</v>
      </c>
      <c r="J484" s="35">
        <f>'Client Data'!K28</f>
        <v>0</v>
      </c>
      <c r="K484" s="35">
        <f>'Client Data'!L28</f>
        <v>0</v>
      </c>
      <c r="L484" s="35">
        <f>'Client Data'!M28</f>
        <v>0</v>
      </c>
      <c r="M484" s="35">
        <f>'Client Data'!N28</f>
        <v>0</v>
      </c>
      <c r="N484" s="35">
        <f>'Client Data'!O28</f>
        <v>0</v>
      </c>
      <c r="O484" s="35">
        <f>'Client Data'!P28</f>
        <v>0</v>
      </c>
      <c r="P484" s="35">
        <f>'Client Data'!Q28</f>
        <v>0</v>
      </c>
      <c r="Q484" s="35">
        <f>'Client Data'!R28</f>
        <v>0</v>
      </c>
      <c r="R484" s="35">
        <f>'Client Data'!S28</f>
        <v>0</v>
      </c>
      <c r="S484" s="35">
        <f>'Client Data'!T28</f>
        <v>0</v>
      </c>
      <c r="T484" s="35">
        <f>'Client Data'!U28</f>
        <v>0</v>
      </c>
      <c r="U484" s="35">
        <f>'Client Data'!V28</f>
        <v>0</v>
      </c>
      <c r="V484" s="35">
        <f>'Client Data'!W28</f>
        <v>0</v>
      </c>
      <c r="W484" s="35">
        <f>'Client Data'!X28</f>
        <v>0</v>
      </c>
      <c r="X484" s="35">
        <f>'Client Data'!Y28</f>
        <v>0</v>
      </c>
      <c r="Y484" s="35">
        <f>'Client Data'!Z28</f>
        <v>0</v>
      </c>
      <c r="Z484" s="35">
        <f>'Client Data'!AA28</f>
        <v>0</v>
      </c>
      <c r="AA484" s="35">
        <f>'Client Data'!AB28</f>
        <v>0</v>
      </c>
      <c r="AB484" s="35">
        <f>'Client Data'!AC28</f>
        <v>0</v>
      </c>
      <c r="AC484" s="35">
        <f>'Client Data'!AD28</f>
        <v>0</v>
      </c>
      <c r="AD484" s="35">
        <f>'Client Data'!AE28</f>
        <v>0</v>
      </c>
      <c r="AE484" s="35">
        <f>'Client Data'!AF28</f>
        <v>0</v>
      </c>
      <c r="AF484" s="35">
        <f>'Client Data'!AG28</f>
        <v>0</v>
      </c>
      <c r="AG484" s="35">
        <f>'Client Data'!AH28</f>
        <v>0</v>
      </c>
      <c r="AH484" s="35">
        <f>'Client Data'!AI28</f>
        <v>0</v>
      </c>
      <c r="AI484" s="35">
        <f>'Client Data'!AJ28</f>
        <v>0</v>
      </c>
      <c r="AJ484" s="35">
        <f>'Client Data'!AK28</f>
        <v>0</v>
      </c>
      <c r="AK484" s="35">
        <f>'Client Data'!AL28</f>
        <v>0</v>
      </c>
      <c r="AL484" s="35">
        <f>'Client Data'!AM28</f>
        <v>0</v>
      </c>
      <c r="AM484" s="35">
        <f>'Client Data'!AN28</f>
        <v>0</v>
      </c>
      <c r="AN484" s="35">
        <f>'Client Data'!AO28</f>
        <v>0</v>
      </c>
      <c r="AO484" s="35">
        <f>'Client Data'!AP28</f>
        <v>0</v>
      </c>
      <c r="AP484" s="35">
        <f>'Client Data'!AQ28</f>
        <v>0</v>
      </c>
      <c r="AQ484" s="35">
        <f>'Client Data'!AR28</f>
        <v>0</v>
      </c>
      <c r="AR484" s="35">
        <f>'Client Data'!AS28</f>
        <v>0</v>
      </c>
      <c r="AS484" s="35">
        <f>'Client Data'!AT28</f>
        <v>0</v>
      </c>
      <c r="AT484" s="35">
        <f>'Client Data'!AU28</f>
        <v>0</v>
      </c>
      <c r="AU484" s="35">
        <f>'Client Data'!AV28</f>
        <v>0</v>
      </c>
      <c r="AV484" s="35">
        <f>'Client Data'!AW28</f>
        <v>0</v>
      </c>
      <c r="AW484" s="35">
        <f>'Client Data'!AX28</f>
        <v>0</v>
      </c>
      <c r="AX484" s="35">
        <f>'Client Data'!AY28</f>
        <v>0</v>
      </c>
      <c r="AY484" s="35">
        <f>'Client Data'!AZ28</f>
        <v>0</v>
      </c>
      <c r="AZ484" s="35">
        <f>'Client Data'!BA28</f>
        <v>0</v>
      </c>
      <c r="BA484" s="35">
        <f>'Client Data'!BB28</f>
        <v>0</v>
      </c>
      <c r="BB484" s="35">
        <f>'Client Data'!BC28</f>
        <v>0</v>
      </c>
      <c r="BC484" s="19">
        <f t="shared" si="776"/>
        <v>0</v>
      </c>
    </row>
    <row r="485" spans="2:55" x14ac:dyDescent="0.25">
      <c r="B485" s="80" t="str">
        <f>'Client Data'!C38</f>
        <v>Product B</v>
      </c>
      <c r="C485" s="35">
        <f>'Client Data'!D38</f>
        <v>0</v>
      </c>
      <c r="D485" s="35">
        <f>'Client Data'!E38</f>
        <v>0</v>
      </c>
      <c r="E485" s="35">
        <f>'Client Data'!F38</f>
        <v>0</v>
      </c>
      <c r="F485" s="35">
        <f>'Client Data'!G38</f>
        <v>0</v>
      </c>
      <c r="G485" s="35">
        <f>'Client Data'!H38</f>
        <v>0</v>
      </c>
      <c r="H485" s="35">
        <f>'Client Data'!I38</f>
        <v>0</v>
      </c>
      <c r="I485" s="35">
        <f>'Client Data'!J38</f>
        <v>0</v>
      </c>
      <c r="J485" s="35">
        <f>'Client Data'!K38</f>
        <v>0</v>
      </c>
      <c r="K485" s="35">
        <f>'Client Data'!L38</f>
        <v>0</v>
      </c>
      <c r="L485" s="35">
        <f>'Client Data'!M38</f>
        <v>0</v>
      </c>
      <c r="M485" s="35">
        <f>'Client Data'!N38</f>
        <v>0</v>
      </c>
      <c r="N485" s="35">
        <f>'Client Data'!O38</f>
        <v>0</v>
      </c>
      <c r="O485" s="35">
        <f>'Client Data'!P38</f>
        <v>0</v>
      </c>
      <c r="P485" s="35">
        <f>'Client Data'!Q38</f>
        <v>0</v>
      </c>
      <c r="Q485" s="35">
        <f>'Client Data'!R38</f>
        <v>0</v>
      </c>
      <c r="R485" s="35">
        <f>'Client Data'!S38</f>
        <v>0</v>
      </c>
      <c r="S485" s="35">
        <f>'Client Data'!T38</f>
        <v>0</v>
      </c>
      <c r="T485" s="35">
        <f>'Client Data'!U38</f>
        <v>0</v>
      </c>
      <c r="U485" s="35">
        <f>'Client Data'!V38</f>
        <v>0</v>
      </c>
      <c r="V485" s="35">
        <f>'Client Data'!W38</f>
        <v>0</v>
      </c>
      <c r="W485" s="35">
        <f>'Client Data'!X38</f>
        <v>0</v>
      </c>
      <c r="X485" s="35">
        <f>'Client Data'!Y38</f>
        <v>0</v>
      </c>
      <c r="Y485" s="35">
        <f>'Client Data'!Z38</f>
        <v>0</v>
      </c>
      <c r="Z485" s="35">
        <f>'Client Data'!AA38</f>
        <v>0</v>
      </c>
      <c r="AA485" s="35">
        <f>'Client Data'!AB38</f>
        <v>0</v>
      </c>
      <c r="AB485" s="35">
        <f>'Client Data'!AC38</f>
        <v>0</v>
      </c>
      <c r="AC485" s="35">
        <f>'Client Data'!AD38</f>
        <v>0</v>
      </c>
      <c r="AD485" s="35">
        <f>'Client Data'!AE38</f>
        <v>0</v>
      </c>
      <c r="AE485" s="35">
        <f>'Client Data'!AF38</f>
        <v>0</v>
      </c>
      <c r="AF485" s="35">
        <f>'Client Data'!AG38</f>
        <v>0</v>
      </c>
      <c r="AG485" s="35">
        <f>'Client Data'!AH38</f>
        <v>0</v>
      </c>
      <c r="AH485" s="35">
        <f>'Client Data'!AI38</f>
        <v>0</v>
      </c>
      <c r="AI485" s="35">
        <f>'Client Data'!AJ38</f>
        <v>0</v>
      </c>
      <c r="AJ485" s="35">
        <f>'Client Data'!AK38</f>
        <v>0</v>
      </c>
      <c r="AK485" s="35">
        <f>'Client Data'!AL38</f>
        <v>0</v>
      </c>
      <c r="AL485" s="35">
        <f>'Client Data'!AM38</f>
        <v>0</v>
      </c>
      <c r="AM485" s="35">
        <f>'Client Data'!AN38</f>
        <v>0</v>
      </c>
      <c r="AN485" s="35">
        <f>'Client Data'!AO38</f>
        <v>0</v>
      </c>
      <c r="AO485" s="35">
        <f>'Client Data'!AP38</f>
        <v>0</v>
      </c>
      <c r="AP485" s="35">
        <f>'Client Data'!AQ38</f>
        <v>0</v>
      </c>
      <c r="AQ485" s="35">
        <f>'Client Data'!AR38</f>
        <v>0</v>
      </c>
      <c r="AR485" s="35">
        <f>'Client Data'!AS38</f>
        <v>0</v>
      </c>
      <c r="AS485" s="35">
        <f>'Client Data'!AT38</f>
        <v>0</v>
      </c>
      <c r="AT485" s="35">
        <f>'Client Data'!AU38</f>
        <v>0</v>
      </c>
      <c r="AU485" s="35">
        <f>'Client Data'!AV38</f>
        <v>0</v>
      </c>
      <c r="AV485" s="35">
        <f>'Client Data'!AW38</f>
        <v>0</v>
      </c>
      <c r="AW485" s="35">
        <f>'Client Data'!AX38</f>
        <v>0</v>
      </c>
      <c r="AX485" s="35">
        <f>'Client Data'!AY38</f>
        <v>0</v>
      </c>
      <c r="AY485" s="35">
        <f>'Client Data'!AZ38</f>
        <v>0</v>
      </c>
      <c r="AZ485" s="35">
        <f>'Client Data'!BA38</f>
        <v>0</v>
      </c>
      <c r="BA485" s="35">
        <f>'Client Data'!BB38</f>
        <v>0</v>
      </c>
      <c r="BB485" s="35">
        <f>'Client Data'!BC38</f>
        <v>0</v>
      </c>
      <c r="BC485" s="19">
        <f t="shared" si="776"/>
        <v>0</v>
      </c>
    </row>
    <row r="486" spans="2:55" x14ac:dyDescent="0.25">
      <c r="B486" s="80" t="str">
        <f>'Client Data'!C48</f>
        <v>Product C</v>
      </c>
      <c r="C486" s="35">
        <f>'Client Data'!D48</f>
        <v>0</v>
      </c>
      <c r="D486" s="35">
        <f>'Client Data'!E48</f>
        <v>0</v>
      </c>
      <c r="E486" s="35">
        <f>'Client Data'!F48</f>
        <v>0</v>
      </c>
      <c r="F486" s="35">
        <f>'Client Data'!G48</f>
        <v>0</v>
      </c>
      <c r="G486" s="35">
        <f>'Client Data'!H48</f>
        <v>0</v>
      </c>
      <c r="H486" s="35">
        <f>'Client Data'!I48</f>
        <v>0</v>
      </c>
      <c r="I486" s="35">
        <f>'Client Data'!J48</f>
        <v>0</v>
      </c>
      <c r="J486" s="35">
        <f>'Client Data'!K48</f>
        <v>0</v>
      </c>
      <c r="K486" s="35">
        <f>'Client Data'!L48</f>
        <v>0</v>
      </c>
      <c r="L486" s="35">
        <f>'Client Data'!M48</f>
        <v>0</v>
      </c>
      <c r="M486" s="35">
        <f>'Client Data'!N48</f>
        <v>0</v>
      </c>
      <c r="N486" s="35">
        <f>'Client Data'!O48</f>
        <v>0</v>
      </c>
      <c r="O486" s="35">
        <f>'Client Data'!P48</f>
        <v>0</v>
      </c>
      <c r="P486" s="35">
        <f>'Client Data'!Q48</f>
        <v>0</v>
      </c>
      <c r="Q486" s="35">
        <f>'Client Data'!R48</f>
        <v>0</v>
      </c>
      <c r="R486" s="35">
        <f>'Client Data'!S48</f>
        <v>0</v>
      </c>
      <c r="S486" s="35">
        <f>'Client Data'!T48</f>
        <v>0</v>
      </c>
      <c r="T486" s="35">
        <f>'Client Data'!U48</f>
        <v>0</v>
      </c>
      <c r="U486" s="35">
        <f>'Client Data'!V48</f>
        <v>0</v>
      </c>
      <c r="V486" s="35">
        <f>'Client Data'!W48</f>
        <v>0</v>
      </c>
      <c r="W486" s="35">
        <f>'Client Data'!X48</f>
        <v>0</v>
      </c>
      <c r="X486" s="35">
        <f>'Client Data'!Y48</f>
        <v>0</v>
      </c>
      <c r="Y486" s="35">
        <f>'Client Data'!Z48</f>
        <v>0</v>
      </c>
      <c r="Z486" s="35">
        <f>'Client Data'!AA48</f>
        <v>0</v>
      </c>
      <c r="AA486" s="35">
        <f>'Client Data'!AB48</f>
        <v>0</v>
      </c>
      <c r="AB486" s="35">
        <f>'Client Data'!AC48</f>
        <v>0</v>
      </c>
      <c r="AC486" s="35">
        <f>'Client Data'!AD48</f>
        <v>0</v>
      </c>
      <c r="AD486" s="35">
        <f>'Client Data'!AE48</f>
        <v>0</v>
      </c>
      <c r="AE486" s="35">
        <f>'Client Data'!AF48</f>
        <v>0</v>
      </c>
      <c r="AF486" s="35">
        <f>'Client Data'!AG48</f>
        <v>0</v>
      </c>
      <c r="AG486" s="35">
        <f>'Client Data'!AH48</f>
        <v>0</v>
      </c>
      <c r="AH486" s="35">
        <f>'Client Data'!AI48</f>
        <v>0</v>
      </c>
      <c r="AI486" s="35">
        <f>'Client Data'!AJ48</f>
        <v>0</v>
      </c>
      <c r="AJ486" s="35">
        <f>'Client Data'!AK48</f>
        <v>0</v>
      </c>
      <c r="AK486" s="35">
        <f>'Client Data'!AL48</f>
        <v>0</v>
      </c>
      <c r="AL486" s="35">
        <f>'Client Data'!AM48</f>
        <v>0</v>
      </c>
      <c r="AM486" s="35">
        <f>'Client Data'!AN48</f>
        <v>0</v>
      </c>
      <c r="AN486" s="35">
        <f>'Client Data'!AO48</f>
        <v>0</v>
      </c>
      <c r="AO486" s="35">
        <f>'Client Data'!AP48</f>
        <v>0</v>
      </c>
      <c r="AP486" s="35">
        <f>'Client Data'!AQ48</f>
        <v>0</v>
      </c>
      <c r="AQ486" s="35">
        <f>'Client Data'!AR48</f>
        <v>0</v>
      </c>
      <c r="AR486" s="35">
        <f>'Client Data'!AS48</f>
        <v>0</v>
      </c>
      <c r="AS486" s="35">
        <f>'Client Data'!AT48</f>
        <v>0</v>
      </c>
      <c r="AT486" s="35">
        <f>'Client Data'!AU48</f>
        <v>0</v>
      </c>
      <c r="AU486" s="35">
        <f>'Client Data'!AV48</f>
        <v>0</v>
      </c>
      <c r="AV486" s="35">
        <f>'Client Data'!AW48</f>
        <v>0</v>
      </c>
      <c r="AW486" s="35">
        <f>'Client Data'!AX48</f>
        <v>0</v>
      </c>
      <c r="AX486" s="35">
        <f>'Client Data'!AY48</f>
        <v>0</v>
      </c>
      <c r="AY486" s="35">
        <f>'Client Data'!AZ48</f>
        <v>0</v>
      </c>
      <c r="AZ486" s="35">
        <f>'Client Data'!BA48</f>
        <v>0</v>
      </c>
      <c r="BA486" s="35">
        <f>'Client Data'!BB48</f>
        <v>0</v>
      </c>
      <c r="BB486" s="35">
        <f>'Client Data'!BC48</f>
        <v>0</v>
      </c>
      <c r="BC486" s="19">
        <f t="shared" si="776"/>
        <v>0</v>
      </c>
    </row>
    <row r="487" spans="2:55" x14ac:dyDescent="0.25">
      <c r="B487" s="80" t="str">
        <f>'Client Data'!C58</f>
        <v>Product D</v>
      </c>
      <c r="C487" s="35">
        <f>'Client Data'!D58</f>
        <v>28</v>
      </c>
      <c r="D487" s="35">
        <f>'Client Data'!E58</f>
        <v>21</v>
      </c>
      <c r="E487" s="35">
        <f>'Client Data'!F58</f>
        <v>17</v>
      </c>
      <c r="F487" s="35">
        <f>'Client Data'!G58</f>
        <v>19</v>
      </c>
      <c r="G487" s="35">
        <f>'Client Data'!H58</f>
        <v>19</v>
      </c>
      <c r="H487" s="35">
        <f>'Client Data'!I58</f>
        <v>22</v>
      </c>
      <c r="I487" s="35">
        <f>'Client Data'!J58</f>
        <v>18</v>
      </c>
      <c r="J487" s="35">
        <f>'Client Data'!K58</f>
        <v>19</v>
      </c>
      <c r="K487" s="35">
        <f>'Client Data'!L58</f>
        <v>28</v>
      </c>
      <c r="L487" s="35">
        <f>'Client Data'!M58</f>
        <v>22</v>
      </c>
      <c r="M487" s="35">
        <f>'Client Data'!N58</f>
        <v>17</v>
      </c>
      <c r="N487" s="35">
        <f>'Client Data'!O58</f>
        <v>20</v>
      </c>
      <c r="O487" s="35">
        <f>'Client Data'!P58</f>
        <v>28</v>
      </c>
      <c r="P487" s="35">
        <f>'Client Data'!Q58</f>
        <v>22</v>
      </c>
      <c r="Q487" s="35">
        <f>'Client Data'!R58</f>
        <v>17</v>
      </c>
      <c r="R487" s="35">
        <f>'Client Data'!S58</f>
        <v>19</v>
      </c>
      <c r="S487" s="35">
        <f>'Client Data'!T58</f>
        <v>19</v>
      </c>
      <c r="T487" s="35">
        <f>'Client Data'!U58</f>
        <v>17</v>
      </c>
      <c r="U487" s="35">
        <f>'Client Data'!V58</f>
        <v>17</v>
      </c>
      <c r="V487" s="35">
        <f>'Client Data'!W58</f>
        <v>19</v>
      </c>
      <c r="W487" s="35">
        <f>'Client Data'!X58</f>
        <v>28</v>
      </c>
      <c r="X487" s="35">
        <f>'Client Data'!Y58</f>
        <v>22</v>
      </c>
      <c r="Y487" s="35">
        <f>'Client Data'!Z58</f>
        <v>17</v>
      </c>
      <c r="Z487" s="35">
        <f>'Client Data'!AA58</f>
        <v>15</v>
      </c>
      <c r="AA487" s="35">
        <f>'Client Data'!AB58</f>
        <v>28</v>
      </c>
      <c r="AB487" s="35">
        <f>'Client Data'!AC58</f>
        <v>22</v>
      </c>
      <c r="AC487" s="35">
        <f>'Client Data'!AD58</f>
        <v>17</v>
      </c>
      <c r="AD487" s="35">
        <f>'Client Data'!AE58</f>
        <v>19</v>
      </c>
      <c r="AE487" s="35">
        <f>'Client Data'!AF58</f>
        <v>19</v>
      </c>
      <c r="AF487" s="35">
        <f>'Client Data'!AG58</f>
        <v>21</v>
      </c>
      <c r="AG487" s="35">
        <f>'Client Data'!AH58</f>
        <v>17</v>
      </c>
      <c r="AH487" s="35">
        <f>'Client Data'!AI58</f>
        <v>19</v>
      </c>
      <c r="AI487" s="35">
        <f>'Client Data'!AJ58</f>
        <v>28</v>
      </c>
      <c r="AJ487" s="35">
        <f>'Client Data'!AK58</f>
        <v>22</v>
      </c>
      <c r="AK487" s="35">
        <f>'Client Data'!AL58</f>
        <v>17</v>
      </c>
      <c r="AL487" s="35">
        <f>'Client Data'!AM58</f>
        <v>15</v>
      </c>
      <c r="AM487" s="35">
        <f>'Client Data'!AN58</f>
        <v>28</v>
      </c>
      <c r="AN487" s="35">
        <f>'Client Data'!AO58</f>
        <v>22</v>
      </c>
      <c r="AO487" s="35">
        <f>'Client Data'!AP58</f>
        <v>17</v>
      </c>
      <c r="AP487" s="35">
        <f>'Client Data'!AQ58</f>
        <v>19</v>
      </c>
      <c r="AQ487" s="35">
        <f>'Client Data'!AR58</f>
        <v>20</v>
      </c>
      <c r="AR487" s="35">
        <f>'Client Data'!AS58</f>
        <v>22</v>
      </c>
      <c r="AS487" s="35">
        <f>'Client Data'!AT58</f>
        <v>17</v>
      </c>
      <c r="AT487" s="35">
        <f>'Client Data'!AU58</f>
        <v>19</v>
      </c>
      <c r="AU487" s="35">
        <f>'Client Data'!AV58</f>
        <v>28</v>
      </c>
      <c r="AV487" s="35">
        <f>'Client Data'!AW58</f>
        <v>22</v>
      </c>
      <c r="AW487" s="35">
        <f>'Client Data'!AX58</f>
        <v>17</v>
      </c>
      <c r="AX487" s="35">
        <f>'Client Data'!AY58</f>
        <v>18</v>
      </c>
      <c r="AY487" s="35">
        <f>'Client Data'!AZ58</f>
        <v>28</v>
      </c>
      <c r="AZ487" s="35">
        <f>'Client Data'!BA58</f>
        <v>22</v>
      </c>
      <c r="BA487" s="35">
        <f>'Client Data'!BB58</f>
        <v>17</v>
      </c>
      <c r="BB487" s="35">
        <f>'Client Data'!BC58</f>
        <v>15</v>
      </c>
      <c r="BC487" s="19">
        <f t="shared" si="776"/>
        <v>1065</v>
      </c>
    </row>
    <row r="488" spans="2:55" x14ac:dyDescent="0.25">
      <c r="B488" s="80" t="str">
        <f>'Client Data'!C68</f>
        <v>Product E</v>
      </c>
      <c r="C488" s="35">
        <f>'Client Data'!D68</f>
        <v>0</v>
      </c>
      <c r="D488" s="35">
        <f>'Client Data'!E68</f>
        <v>0</v>
      </c>
      <c r="E488" s="35">
        <f>'Client Data'!F68</f>
        <v>0</v>
      </c>
      <c r="F488" s="35">
        <f>'Client Data'!G68</f>
        <v>0</v>
      </c>
      <c r="G488" s="35">
        <f>'Client Data'!H68</f>
        <v>0</v>
      </c>
      <c r="H488" s="35">
        <f>'Client Data'!I68</f>
        <v>0</v>
      </c>
      <c r="I488" s="35">
        <f>'Client Data'!J68</f>
        <v>0</v>
      </c>
      <c r="J488" s="35">
        <f>'Client Data'!K68</f>
        <v>0</v>
      </c>
      <c r="K488" s="35">
        <f>'Client Data'!L68</f>
        <v>0</v>
      </c>
      <c r="L488" s="35">
        <f>'Client Data'!M68</f>
        <v>0</v>
      </c>
      <c r="M488" s="35">
        <f>'Client Data'!N68</f>
        <v>0</v>
      </c>
      <c r="N488" s="35">
        <f>'Client Data'!O68</f>
        <v>0</v>
      </c>
      <c r="O488" s="35">
        <f>'Client Data'!P68</f>
        <v>0</v>
      </c>
      <c r="P488" s="35">
        <f>'Client Data'!Q68</f>
        <v>0</v>
      </c>
      <c r="Q488" s="35">
        <f>'Client Data'!R68</f>
        <v>0</v>
      </c>
      <c r="R488" s="35">
        <f>'Client Data'!S68</f>
        <v>0</v>
      </c>
      <c r="S488" s="35">
        <f>'Client Data'!T68</f>
        <v>0</v>
      </c>
      <c r="T488" s="35">
        <f>'Client Data'!U68</f>
        <v>0</v>
      </c>
      <c r="U488" s="35">
        <f>'Client Data'!V68</f>
        <v>0</v>
      </c>
      <c r="V488" s="35">
        <f>'Client Data'!W68</f>
        <v>0</v>
      </c>
      <c r="W488" s="35">
        <f>'Client Data'!X68</f>
        <v>0</v>
      </c>
      <c r="X488" s="35">
        <f>'Client Data'!Y68</f>
        <v>0</v>
      </c>
      <c r="Y488" s="35">
        <f>'Client Data'!Z68</f>
        <v>0</v>
      </c>
      <c r="Z488" s="35">
        <f>'Client Data'!AA68</f>
        <v>0</v>
      </c>
      <c r="AA488" s="35">
        <f>'Client Data'!AB68</f>
        <v>0</v>
      </c>
      <c r="AB488" s="35">
        <f>'Client Data'!AC68</f>
        <v>0</v>
      </c>
      <c r="AC488" s="35">
        <f>'Client Data'!AD68</f>
        <v>0</v>
      </c>
      <c r="AD488" s="35">
        <f>'Client Data'!AE68</f>
        <v>0</v>
      </c>
      <c r="AE488" s="35">
        <f>'Client Data'!AF68</f>
        <v>0</v>
      </c>
      <c r="AF488" s="35">
        <f>'Client Data'!AG68</f>
        <v>0</v>
      </c>
      <c r="AG488" s="35">
        <f>'Client Data'!AH68</f>
        <v>0</v>
      </c>
      <c r="AH488" s="35">
        <f>'Client Data'!AI68</f>
        <v>0</v>
      </c>
      <c r="AI488" s="35">
        <f>'Client Data'!AJ68</f>
        <v>0</v>
      </c>
      <c r="AJ488" s="35">
        <f>'Client Data'!AK68</f>
        <v>0</v>
      </c>
      <c r="AK488" s="35">
        <f>'Client Data'!AL68</f>
        <v>0</v>
      </c>
      <c r="AL488" s="35">
        <f>'Client Data'!AM68</f>
        <v>0</v>
      </c>
      <c r="AM488" s="35">
        <f>'Client Data'!AN68</f>
        <v>0</v>
      </c>
      <c r="AN488" s="35">
        <f>'Client Data'!AO68</f>
        <v>0</v>
      </c>
      <c r="AO488" s="35">
        <f>'Client Data'!AP68</f>
        <v>0</v>
      </c>
      <c r="AP488" s="35">
        <f>'Client Data'!AQ68</f>
        <v>0</v>
      </c>
      <c r="AQ488" s="35">
        <f>'Client Data'!AR68</f>
        <v>0</v>
      </c>
      <c r="AR488" s="35">
        <f>'Client Data'!AS68</f>
        <v>0</v>
      </c>
      <c r="AS488" s="35">
        <f>'Client Data'!AT68</f>
        <v>0</v>
      </c>
      <c r="AT488" s="35">
        <f>'Client Data'!AU68</f>
        <v>0</v>
      </c>
      <c r="AU488" s="35">
        <f>'Client Data'!AV68</f>
        <v>0</v>
      </c>
      <c r="AV488" s="35">
        <f>'Client Data'!AW68</f>
        <v>0</v>
      </c>
      <c r="AW488" s="35">
        <f>'Client Data'!AX68</f>
        <v>0</v>
      </c>
      <c r="AX488" s="35">
        <f>'Client Data'!AY68</f>
        <v>0</v>
      </c>
      <c r="AY488" s="35">
        <f>'Client Data'!AZ68</f>
        <v>0</v>
      </c>
      <c r="AZ488" s="35">
        <f>'Client Data'!BA68</f>
        <v>0</v>
      </c>
      <c r="BA488" s="35">
        <f>'Client Data'!BB68</f>
        <v>0</v>
      </c>
      <c r="BB488" s="35">
        <f>'Client Data'!BC68</f>
        <v>0</v>
      </c>
      <c r="BC488" s="19">
        <f t="shared" si="776"/>
        <v>0</v>
      </c>
    </row>
    <row r="489" spans="2:55" x14ac:dyDescent="0.25">
      <c r="B489" s="80" t="str">
        <f>'Client Data'!C78</f>
        <v>Product F</v>
      </c>
      <c r="C489" s="35">
        <f>'Client Data'!D78</f>
        <v>0</v>
      </c>
      <c r="D489" s="35">
        <f>'Client Data'!E78</f>
        <v>0</v>
      </c>
      <c r="E489" s="35">
        <f>'Client Data'!F78</f>
        <v>0</v>
      </c>
      <c r="F489" s="35">
        <f>'Client Data'!G78</f>
        <v>0</v>
      </c>
      <c r="G489" s="35">
        <f>'Client Data'!H78</f>
        <v>0</v>
      </c>
      <c r="H489" s="35">
        <f>'Client Data'!I78</f>
        <v>0</v>
      </c>
      <c r="I489" s="35">
        <f>'Client Data'!J78</f>
        <v>0</v>
      </c>
      <c r="J489" s="35">
        <f>'Client Data'!K78</f>
        <v>0</v>
      </c>
      <c r="K489" s="35">
        <f>'Client Data'!L78</f>
        <v>0</v>
      </c>
      <c r="L489" s="35">
        <f>'Client Data'!M78</f>
        <v>0</v>
      </c>
      <c r="M489" s="35">
        <f>'Client Data'!N78</f>
        <v>0</v>
      </c>
      <c r="N489" s="35">
        <f>'Client Data'!O78</f>
        <v>0</v>
      </c>
      <c r="O489" s="35">
        <f>'Client Data'!P78</f>
        <v>0</v>
      </c>
      <c r="P489" s="35">
        <f>'Client Data'!Q78</f>
        <v>0</v>
      </c>
      <c r="Q489" s="35">
        <f>'Client Data'!R78</f>
        <v>0</v>
      </c>
      <c r="R489" s="35">
        <f>'Client Data'!S78</f>
        <v>0</v>
      </c>
      <c r="S489" s="35">
        <f>'Client Data'!T78</f>
        <v>0</v>
      </c>
      <c r="T489" s="35">
        <f>'Client Data'!U78</f>
        <v>0</v>
      </c>
      <c r="U489" s="35">
        <f>'Client Data'!V78</f>
        <v>0</v>
      </c>
      <c r="V489" s="35">
        <f>'Client Data'!W78</f>
        <v>0</v>
      </c>
      <c r="W489" s="35">
        <f>'Client Data'!X78</f>
        <v>0</v>
      </c>
      <c r="X489" s="35">
        <f>'Client Data'!Y78</f>
        <v>0</v>
      </c>
      <c r="Y489" s="35">
        <f>'Client Data'!Z78</f>
        <v>0</v>
      </c>
      <c r="Z489" s="35">
        <f>'Client Data'!AA78</f>
        <v>0</v>
      </c>
      <c r="AA489" s="35">
        <f>'Client Data'!AB78</f>
        <v>0</v>
      </c>
      <c r="AB489" s="35">
        <f>'Client Data'!AC78</f>
        <v>0</v>
      </c>
      <c r="AC489" s="35">
        <f>'Client Data'!AD78</f>
        <v>0</v>
      </c>
      <c r="AD489" s="35">
        <f>'Client Data'!AE78</f>
        <v>0</v>
      </c>
      <c r="AE489" s="35">
        <f>'Client Data'!AF78</f>
        <v>0</v>
      </c>
      <c r="AF489" s="35">
        <f>'Client Data'!AG78</f>
        <v>0</v>
      </c>
      <c r="AG489" s="35">
        <f>'Client Data'!AH78</f>
        <v>0</v>
      </c>
      <c r="AH489" s="35">
        <f>'Client Data'!AI78</f>
        <v>0</v>
      </c>
      <c r="AI489" s="35">
        <f>'Client Data'!AJ78</f>
        <v>0</v>
      </c>
      <c r="AJ489" s="35">
        <f>'Client Data'!AK78</f>
        <v>0</v>
      </c>
      <c r="AK489" s="35">
        <f>'Client Data'!AL78</f>
        <v>0</v>
      </c>
      <c r="AL489" s="35">
        <f>'Client Data'!AM78</f>
        <v>0</v>
      </c>
      <c r="AM489" s="35">
        <f>'Client Data'!AN78</f>
        <v>0</v>
      </c>
      <c r="AN489" s="35">
        <f>'Client Data'!AO78</f>
        <v>0</v>
      </c>
      <c r="AO489" s="35">
        <f>'Client Data'!AP78</f>
        <v>0</v>
      </c>
      <c r="AP489" s="35">
        <f>'Client Data'!AQ78</f>
        <v>0</v>
      </c>
      <c r="AQ489" s="35">
        <f>'Client Data'!AR78</f>
        <v>0</v>
      </c>
      <c r="AR489" s="35">
        <f>'Client Data'!AS78</f>
        <v>0</v>
      </c>
      <c r="AS489" s="35">
        <f>'Client Data'!AT78</f>
        <v>0</v>
      </c>
      <c r="AT489" s="35">
        <f>'Client Data'!AU78</f>
        <v>0</v>
      </c>
      <c r="AU489" s="35">
        <f>'Client Data'!AV78</f>
        <v>0</v>
      </c>
      <c r="AV489" s="35">
        <f>'Client Data'!AW78</f>
        <v>0</v>
      </c>
      <c r="AW489" s="35">
        <f>'Client Data'!AX78</f>
        <v>0</v>
      </c>
      <c r="AX489" s="35">
        <f>'Client Data'!AY78</f>
        <v>0</v>
      </c>
      <c r="AY489" s="35">
        <f>'Client Data'!AZ78</f>
        <v>0</v>
      </c>
      <c r="AZ489" s="35">
        <f>'Client Data'!BA78</f>
        <v>0</v>
      </c>
      <c r="BA489" s="35">
        <f>'Client Data'!BB78</f>
        <v>0</v>
      </c>
      <c r="BB489" s="35">
        <f>'Client Data'!BC78</f>
        <v>0</v>
      </c>
      <c r="BC489" s="19">
        <f t="shared" si="776"/>
        <v>0</v>
      </c>
    </row>
    <row r="490" spans="2:55" x14ac:dyDescent="0.25">
      <c r="B490" s="80" t="str">
        <f>'Client Data'!C88</f>
        <v>Product G</v>
      </c>
      <c r="C490" s="35">
        <f>'Client Data'!D88</f>
        <v>0</v>
      </c>
      <c r="D490" s="35">
        <f>'Client Data'!E88</f>
        <v>0</v>
      </c>
      <c r="E490" s="35">
        <f>'Client Data'!F88</f>
        <v>0</v>
      </c>
      <c r="F490" s="35">
        <f>'Client Data'!G88</f>
        <v>0</v>
      </c>
      <c r="G490" s="35">
        <f>'Client Data'!H88</f>
        <v>0</v>
      </c>
      <c r="H490" s="35">
        <f>'Client Data'!I88</f>
        <v>0</v>
      </c>
      <c r="I490" s="35">
        <f>'Client Data'!J88</f>
        <v>0</v>
      </c>
      <c r="J490" s="35">
        <f>'Client Data'!K88</f>
        <v>0</v>
      </c>
      <c r="K490" s="35">
        <f>'Client Data'!L88</f>
        <v>0</v>
      </c>
      <c r="L490" s="35">
        <f>'Client Data'!M88</f>
        <v>0</v>
      </c>
      <c r="M490" s="35">
        <f>'Client Data'!N88</f>
        <v>0</v>
      </c>
      <c r="N490" s="35">
        <f>'Client Data'!O88</f>
        <v>0</v>
      </c>
      <c r="O490" s="35">
        <f>'Client Data'!P88</f>
        <v>0</v>
      </c>
      <c r="P490" s="35">
        <f>'Client Data'!Q88</f>
        <v>0</v>
      </c>
      <c r="Q490" s="35">
        <f>'Client Data'!R88</f>
        <v>0</v>
      </c>
      <c r="R490" s="35">
        <f>'Client Data'!S88</f>
        <v>0</v>
      </c>
      <c r="S490" s="35">
        <f>'Client Data'!T88</f>
        <v>0</v>
      </c>
      <c r="T490" s="35">
        <f>'Client Data'!U88</f>
        <v>0</v>
      </c>
      <c r="U490" s="35">
        <f>'Client Data'!V88</f>
        <v>0</v>
      </c>
      <c r="V490" s="35">
        <f>'Client Data'!W88</f>
        <v>0</v>
      </c>
      <c r="W490" s="35">
        <f>'Client Data'!X88</f>
        <v>0</v>
      </c>
      <c r="X490" s="35">
        <f>'Client Data'!Y88</f>
        <v>0</v>
      </c>
      <c r="Y490" s="35">
        <f>'Client Data'!Z88</f>
        <v>0</v>
      </c>
      <c r="Z490" s="35">
        <f>'Client Data'!AA88</f>
        <v>0</v>
      </c>
      <c r="AA490" s="35">
        <f>'Client Data'!AB88</f>
        <v>0</v>
      </c>
      <c r="AB490" s="35">
        <f>'Client Data'!AC88</f>
        <v>0</v>
      </c>
      <c r="AC490" s="35">
        <f>'Client Data'!AD88</f>
        <v>0</v>
      </c>
      <c r="AD490" s="35">
        <f>'Client Data'!AE88</f>
        <v>0</v>
      </c>
      <c r="AE490" s="35">
        <f>'Client Data'!AF88</f>
        <v>0</v>
      </c>
      <c r="AF490" s="35">
        <f>'Client Data'!AG88</f>
        <v>0</v>
      </c>
      <c r="AG490" s="35">
        <f>'Client Data'!AH88</f>
        <v>0</v>
      </c>
      <c r="AH490" s="35">
        <f>'Client Data'!AI88</f>
        <v>0</v>
      </c>
      <c r="AI490" s="35">
        <f>'Client Data'!AJ88</f>
        <v>0</v>
      </c>
      <c r="AJ490" s="35">
        <f>'Client Data'!AK88</f>
        <v>0</v>
      </c>
      <c r="AK490" s="35">
        <f>'Client Data'!AL88</f>
        <v>0</v>
      </c>
      <c r="AL490" s="35">
        <f>'Client Data'!AM88</f>
        <v>0</v>
      </c>
      <c r="AM490" s="35">
        <f>'Client Data'!AN88</f>
        <v>0</v>
      </c>
      <c r="AN490" s="35">
        <f>'Client Data'!AO88</f>
        <v>0</v>
      </c>
      <c r="AO490" s="35">
        <f>'Client Data'!AP88</f>
        <v>0</v>
      </c>
      <c r="AP490" s="35">
        <f>'Client Data'!AQ88</f>
        <v>0</v>
      </c>
      <c r="AQ490" s="35">
        <f>'Client Data'!AR88</f>
        <v>0</v>
      </c>
      <c r="AR490" s="35">
        <f>'Client Data'!AS88</f>
        <v>0</v>
      </c>
      <c r="AS490" s="35">
        <f>'Client Data'!AT88</f>
        <v>0</v>
      </c>
      <c r="AT490" s="35">
        <f>'Client Data'!AU88</f>
        <v>0</v>
      </c>
      <c r="AU490" s="35">
        <f>'Client Data'!AV88</f>
        <v>0</v>
      </c>
      <c r="AV490" s="35">
        <f>'Client Data'!AW88</f>
        <v>0</v>
      </c>
      <c r="AW490" s="35">
        <f>'Client Data'!AX88</f>
        <v>0</v>
      </c>
      <c r="AX490" s="35">
        <f>'Client Data'!AY88</f>
        <v>0</v>
      </c>
      <c r="AY490" s="35">
        <f>'Client Data'!AZ88</f>
        <v>0</v>
      </c>
      <c r="AZ490" s="35">
        <f>'Client Data'!BA88</f>
        <v>0</v>
      </c>
      <c r="BA490" s="35">
        <f>'Client Data'!BB88</f>
        <v>0</v>
      </c>
      <c r="BB490" s="35">
        <f>'Client Data'!BC88</f>
        <v>0</v>
      </c>
      <c r="BC490" s="19">
        <f t="shared" si="776"/>
        <v>0</v>
      </c>
    </row>
    <row r="491" spans="2:55" x14ac:dyDescent="0.25">
      <c r="B491" s="80" t="str">
        <f>'Client Data'!C98</f>
        <v>Product H</v>
      </c>
      <c r="C491" s="35">
        <f>'Client Data'!D98</f>
        <v>0</v>
      </c>
      <c r="D491" s="35">
        <f>'Client Data'!E98</f>
        <v>0</v>
      </c>
      <c r="E491" s="35">
        <f>'Client Data'!F98</f>
        <v>0</v>
      </c>
      <c r="F491" s="35">
        <f>'Client Data'!G98</f>
        <v>0</v>
      </c>
      <c r="G491" s="35">
        <f>'Client Data'!H98</f>
        <v>0</v>
      </c>
      <c r="H491" s="35">
        <f>'Client Data'!I98</f>
        <v>0</v>
      </c>
      <c r="I491" s="35">
        <f>'Client Data'!J98</f>
        <v>0</v>
      </c>
      <c r="J491" s="35">
        <f>'Client Data'!K98</f>
        <v>0</v>
      </c>
      <c r="K491" s="35">
        <f>'Client Data'!L98</f>
        <v>0</v>
      </c>
      <c r="L491" s="35">
        <f>'Client Data'!M98</f>
        <v>0</v>
      </c>
      <c r="M491" s="35">
        <f>'Client Data'!N98</f>
        <v>0</v>
      </c>
      <c r="N491" s="35">
        <f>'Client Data'!O98</f>
        <v>0</v>
      </c>
      <c r="O491" s="35">
        <f>'Client Data'!P98</f>
        <v>0</v>
      </c>
      <c r="P491" s="35">
        <f>'Client Data'!Q98</f>
        <v>0</v>
      </c>
      <c r="Q491" s="35">
        <f>'Client Data'!R98</f>
        <v>0</v>
      </c>
      <c r="R491" s="35">
        <f>'Client Data'!S98</f>
        <v>0</v>
      </c>
      <c r="S491" s="35">
        <f>'Client Data'!T98</f>
        <v>0</v>
      </c>
      <c r="T491" s="35">
        <f>'Client Data'!U98</f>
        <v>0</v>
      </c>
      <c r="U491" s="35">
        <f>'Client Data'!V98</f>
        <v>0</v>
      </c>
      <c r="V491" s="35">
        <f>'Client Data'!W98</f>
        <v>0</v>
      </c>
      <c r="W491" s="35">
        <f>'Client Data'!X98</f>
        <v>0</v>
      </c>
      <c r="X491" s="35">
        <f>'Client Data'!Y98</f>
        <v>0</v>
      </c>
      <c r="Y491" s="35">
        <f>'Client Data'!Z98</f>
        <v>0</v>
      </c>
      <c r="Z491" s="35">
        <f>'Client Data'!AA98</f>
        <v>0</v>
      </c>
      <c r="AA491" s="35">
        <f>'Client Data'!AB98</f>
        <v>0</v>
      </c>
      <c r="AB491" s="35">
        <f>'Client Data'!AC98</f>
        <v>0</v>
      </c>
      <c r="AC491" s="35">
        <f>'Client Data'!AD98</f>
        <v>0</v>
      </c>
      <c r="AD491" s="35">
        <f>'Client Data'!AE98</f>
        <v>0</v>
      </c>
      <c r="AE491" s="35">
        <f>'Client Data'!AF98</f>
        <v>0</v>
      </c>
      <c r="AF491" s="35">
        <f>'Client Data'!AG98</f>
        <v>0</v>
      </c>
      <c r="AG491" s="35">
        <f>'Client Data'!AH98</f>
        <v>0</v>
      </c>
      <c r="AH491" s="35">
        <f>'Client Data'!AI98</f>
        <v>0</v>
      </c>
      <c r="AI491" s="35">
        <f>'Client Data'!AJ98</f>
        <v>0</v>
      </c>
      <c r="AJ491" s="35">
        <f>'Client Data'!AK98</f>
        <v>0</v>
      </c>
      <c r="AK491" s="35">
        <f>'Client Data'!AL98</f>
        <v>0</v>
      </c>
      <c r="AL491" s="35">
        <f>'Client Data'!AM98</f>
        <v>0</v>
      </c>
      <c r="AM491" s="35">
        <f>'Client Data'!AN98</f>
        <v>0</v>
      </c>
      <c r="AN491" s="35">
        <f>'Client Data'!AO98</f>
        <v>0</v>
      </c>
      <c r="AO491" s="35">
        <f>'Client Data'!AP98</f>
        <v>0</v>
      </c>
      <c r="AP491" s="35">
        <f>'Client Data'!AQ98</f>
        <v>0</v>
      </c>
      <c r="AQ491" s="35">
        <f>'Client Data'!AR98</f>
        <v>0</v>
      </c>
      <c r="AR491" s="35">
        <f>'Client Data'!AS98</f>
        <v>0</v>
      </c>
      <c r="AS491" s="35">
        <f>'Client Data'!AT98</f>
        <v>0</v>
      </c>
      <c r="AT491" s="35">
        <f>'Client Data'!AU98</f>
        <v>0</v>
      </c>
      <c r="AU491" s="35">
        <f>'Client Data'!AV98</f>
        <v>0</v>
      </c>
      <c r="AV491" s="35">
        <f>'Client Data'!AW98</f>
        <v>0</v>
      </c>
      <c r="AW491" s="35">
        <f>'Client Data'!AX98</f>
        <v>0</v>
      </c>
      <c r="AX491" s="35">
        <f>'Client Data'!AY98</f>
        <v>0</v>
      </c>
      <c r="AY491" s="35">
        <f>'Client Data'!AZ98</f>
        <v>0</v>
      </c>
      <c r="AZ491" s="35">
        <f>'Client Data'!BA98</f>
        <v>0</v>
      </c>
      <c r="BA491" s="35">
        <f>'Client Data'!BB98</f>
        <v>0</v>
      </c>
      <c r="BB491" s="35">
        <f>'Client Data'!BC98</f>
        <v>0</v>
      </c>
      <c r="BC491" s="19">
        <f t="shared" si="776"/>
        <v>0</v>
      </c>
    </row>
    <row r="492" spans="2:55" x14ac:dyDescent="0.25">
      <c r="B492" s="19" t="str">
        <f>'Client Data'!B29</f>
        <v>Rework Loss Type E</v>
      </c>
      <c r="C492" s="50">
        <f t="shared" ref="C492:AH492" si="781">IF(C190&gt;0,SUM(C493:C500),0)</f>
        <v>17</v>
      </c>
      <c r="D492" s="50">
        <f t="shared" si="781"/>
        <v>19</v>
      </c>
      <c r="E492" s="50">
        <f t="shared" si="781"/>
        <v>0</v>
      </c>
      <c r="F492" s="50">
        <f t="shared" si="781"/>
        <v>13</v>
      </c>
      <c r="G492" s="50">
        <f t="shared" si="781"/>
        <v>17</v>
      </c>
      <c r="H492" s="50">
        <f t="shared" si="781"/>
        <v>19</v>
      </c>
      <c r="I492" s="50">
        <f t="shared" si="781"/>
        <v>0</v>
      </c>
      <c r="J492" s="50">
        <f t="shared" si="781"/>
        <v>7</v>
      </c>
      <c r="K492" s="50">
        <f t="shared" si="781"/>
        <v>17</v>
      </c>
      <c r="L492" s="50">
        <f t="shared" si="781"/>
        <v>19</v>
      </c>
      <c r="M492" s="50">
        <f t="shared" si="781"/>
        <v>0</v>
      </c>
      <c r="N492" s="50">
        <f t="shared" si="781"/>
        <v>0</v>
      </c>
      <c r="O492" s="50">
        <f t="shared" si="781"/>
        <v>18</v>
      </c>
      <c r="P492" s="50">
        <f t="shared" si="781"/>
        <v>19</v>
      </c>
      <c r="Q492" s="50">
        <f t="shared" si="781"/>
        <v>0</v>
      </c>
      <c r="R492" s="50">
        <f t="shared" si="781"/>
        <v>0</v>
      </c>
      <c r="S492" s="50">
        <f t="shared" si="781"/>
        <v>17</v>
      </c>
      <c r="T492" s="50">
        <f t="shared" si="781"/>
        <v>19</v>
      </c>
      <c r="U492" s="50">
        <f t="shared" si="781"/>
        <v>0</v>
      </c>
      <c r="V492" s="50">
        <f t="shared" si="781"/>
        <v>0</v>
      </c>
      <c r="W492" s="50">
        <f t="shared" si="781"/>
        <v>17</v>
      </c>
      <c r="X492" s="50">
        <f t="shared" si="781"/>
        <v>19</v>
      </c>
      <c r="Y492" s="50">
        <f t="shared" si="781"/>
        <v>0</v>
      </c>
      <c r="Z492" s="50">
        <f t="shared" si="781"/>
        <v>0</v>
      </c>
      <c r="AA492" s="50">
        <f t="shared" si="781"/>
        <v>17</v>
      </c>
      <c r="AB492" s="50">
        <f t="shared" si="781"/>
        <v>19</v>
      </c>
      <c r="AC492" s="50">
        <f t="shared" si="781"/>
        <v>0</v>
      </c>
      <c r="AD492" s="50">
        <f t="shared" si="781"/>
        <v>0</v>
      </c>
      <c r="AE492" s="50">
        <f t="shared" si="781"/>
        <v>17</v>
      </c>
      <c r="AF492" s="50">
        <f t="shared" si="781"/>
        <v>19</v>
      </c>
      <c r="AG492" s="50">
        <f t="shared" si="781"/>
        <v>0</v>
      </c>
      <c r="AH492" s="50">
        <f t="shared" si="781"/>
        <v>0</v>
      </c>
      <c r="AI492" s="50">
        <f t="shared" ref="AI492:BB492" si="782">IF(AI190&gt;0,SUM(AI493:AI500),0)</f>
        <v>18</v>
      </c>
      <c r="AJ492" s="50">
        <f t="shared" si="782"/>
        <v>19</v>
      </c>
      <c r="AK492" s="50">
        <f t="shared" si="782"/>
        <v>0</v>
      </c>
      <c r="AL492" s="50">
        <f t="shared" si="782"/>
        <v>0</v>
      </c>
      <c r="AM492" s="50">
        <f t="shared" si="782"/>
        <v>17</v>
      </c>
      <c r="AN492" s="50">
        <f t="shared" si="782"/>
        <v>19</v>
      </c>
      <c r="AO492" s="50">
        <f t="shared" si="782"/>
        <v>0</v>
      </c>
      <c r="AP492" s="50">
        <f t="shared" si="782"/>
        <v>0</v>
      </c>
      <c r="AQ492" s="50">
        <f t="shared" si="782"/>
        <v>17</v>
      </c>
      <c r="AR492" s="50">
        <f t="shared" si="782"/>
        <v>19</v>
      </c>
      <c r="AS492" s="50">
        <f t="shared" si="782"/>
        <v>0</v>
      </c>
      <c r="AT492" s="50">
        <f t="shared" si="782"/>
        <v>10</v>
      </c>
      <c r="AU492" s="50">
        <f t="shared" si="782"/>
        <v>18</v>
      </c>
      <c r="AV492" s="50">
        <f t="shared" si="782"/>
        <v>20</v>
      </c>
      <c r="AW492" s="50">
        <f t="shared" si="782"/>
        <v>0</v>
      </c>
      <c r="AX492" s="50">
        <f t="shared" si="782"/>
        <v>9</v>
      </c>
      <c r="AY492" s="50">
        <f t="shared" si="782"/>
        <v>17</v>
      </c>
      <c r="AZ492" s="50">
        <f t="shared" si="782"/>
        <v>8</v>
      </c>
      <c r="BA492" s="50">
        <f t="shared" si="782"/>
        <v>0</v>
      </c>
      <c r="BB492" s="50">
        <f t="shared" si="782"/>
        <v>0</v>
      </c>
      <c r="BC492" s="19">
        <f t="shared" si="776"/>
        <v>500</v>
      </c>
    </row>
    <row r="493" spans="2:55" x14ac:dyDescent="0.25">
      <c r="B493" s="80" t="str">
        <f>'Client Data'!C29</f>
        <v>Product A</v>
      </c>
      <c r="C493" s="35">
        <f>'Client Data'!D29</f>
        <v>0</v>
      </c>
      <c r="D493" s="35">
        <f>'Client Data'!E29</f>
        <v>0</v>
      </c>
      <c r="E493" s="35">
        <f>'Client Data'!F29</f>
        <v>0</v>
      </c>
      <c r="F493" s="35">
        <f>'Client Data'!G29</f>
        <v>0</v>
      </c>
      <c r="G493" s="35">
        <f>'Client Data'!H29</f>
        <v>0</v>
      </c>
      <c r="H493" s="35">
        <f>'Client Data'!I29</f>
        <v>0</v>
      </c>
      <c r="I493" s="35">
        <f>'Client Data'!J29</f>
        <v>0</v>
      </c>
      <c r="J493" s="35">
        <f>'Client Data'!K29</f>
        <v>0</v>
      </c>
      <c r="K493" s="35">
        <f>'Client Data'!L29</f>
        <v>0</v>
      </c>
      <c r="L493" s="35">
        <f>'Client Data'!M29</f>
        <v>0</v>
      </c>
      <c r="M493" s="35">
        <f>'Client Data'!N29</f>
        <v>0</v>
      </c>
      <c r="N493" s="35">
        <f>'Client Data'!O29</f>
        <v>0</v>
      </c>
      <c r="O493" s="35">
        <f>'Client Data'!P29</f>
        <v>0</v>
      </c>
      <c r="P493" s="35">
        <f>'Client Data'!Q29</f>
        <v>0</v>
      </c>
      <c r="Q493" s="35">
        <f>'Client Data'!R29</f>
        <v>0</v>
      </c>
      <c r="R493" s="35">
        <f>'Client Data'!S29</f>
        <v>0</v>
      </c>
      <c r="S493" s="35">
        <f>'Client Data'!T29</f>
        <v>0</v>
      </c>
      <c r="T493" s="35">
        <f>'Client Data'!U29</f>
        <v>0</v>
      </c>
      <c r="U493" s="35">
        <f>'Client Data'!V29</f>
        <v>0</v>
      </c>
      <c r="V493" s="35">
        <f>'Client Data'!W29</f>
        <v>0</v>
      </c>
      <c r="W493" s="35">
        <f>'Client Data'!X29</f>
        <v>0</v>
      </c>
      <c r="X493" s="35">
        <f>'Client Data'!Y29</f>
        <v>0</v>
      </c>
      <c r="Y493" s="35">
        <f>'Client Data'!Z29</f>
        <v>0</v>
      </c>
      <c r="Z493" s="35">
        <f>'Client Data'!AA29</f>
        <v>0</v>
      </c>
      <c r="AA493" s="35">
        <f>'Client Data'!AB29</f>
        <v>0</v>
      </c>
      <c r="AB493" s="35">
        <f>'Client Data'!AC29</f>
        <v>0</v>
      </c>
      <c r="AC493" s="35">
        <f>'Client Data'!AD29</f>
        <v>0</v>
      </c>
      <c r="AD493" s="35">
        <f>'Client Data'!AE29</f>
        <v>0</v>
      </c>
      <c r="AE493" s="35">
        <f>'Client Data'!AF29</f>
        <v>0</v>
      </c>
      <c r="AF493" s="35">
        <f>'Client Data'!AG29</f>
        <v>0</v>
      </c>
      <c r="AG493" s="35">
        <f>'Client Data'!AH29</f>
        <v>0</v>
      </c>
      <c r="AH493" s="35">
        <f>'Client Data'!AI29</f>
        <v>0</v>
      </c>
      <c r="AI493" s="35">
        <f>'Client Data'!AJ29</f>
        <v>0</v>
      </c>
      <c r="AJ493" s="35">
        <f>'Client Data'!AK29</f>
        <v>0</v>
      </c>
      <c r="AK493" s="35">
        <f>'Client Data'!AL29</f>
        <v>0</v>
      </c>
      <c r="AL493" s="35">
        <f>'Client Data'!AM29</f>
        <v>0</v>
      </c>
      <c r="AM493" s="35">
        <f>'Client Data'!AN29</f>
        <v>0</v>
      </c>
      <c r="AN493" s="35">
        <f>'Client Data'!AO29</f>
        <v>0</v>
      </c>
      <c r="AO493" s="35">
        <f>'Client Data'!AP29</f>
        <v>0</v>
      </c>
      <c r="AP493" s="35">
        <f>'Client Data'!AQ29</f>
        <v>0</v>
      </c>
      <c r="AQ493" s="35">
        <f>'Client Data'!AR29</f>
        <v>0</v>
      </c>
      <c r="AR493" s="35">
        <f>'Client Data'!AS29</f>
        <v>0</v>
      </c>
      <c r="AS493" s="35">
        <f>'Client Data'!AT29</f>
        <v>0</v>
      </c>
      <c r="AT493" s="35">
        <f>'Client Data'!AU29</f>
        <v>0</v>
      </c>
      <c r="AU493" s="35">
        <f>'Client Data'!AV29</f>
        <v>0</v>
      </c>
      <c r="AV493" s="35">
        <f>'Client Data'!AW29</f>
        <v>0</v>
      </c>
      <c r="AW493" s="35">
        <f>'Client Data'!AX29</f>
        <v>0</v>
      </c>
      <c r="AX493" s="35">
        <f>'Client Data'!AY29</f>
        <v>0</v>
      </c>
      <c r="AY493" s="35">
        <f>'Client Data'!AZ29</f>
        <v>0</v>
      </c>
      <c r="AZ493" s="35">
        <f>'Client Data'!BA29</f>
        <v>0</v>
      </c>
      <c r="BA493" s="35">
        <f>'Client Data'!BB29</f>
        <v>0</v>
      </c>
      <c r="BB493" s="35">
        <f>'Client Data'!BC29</f>
        <v>0</v>
      </c>
      <c r="BC493" s="19">
        <f t="shared" si="776"/>
        <v>0</v>
      </c>
    </row>
    <row r="494" spans="2:55" x14ac:dyDescent="0.25">
      <c r="B494" s="80" t="str">
        <f>'Client Data'!C39</f>
        <v>Product B</v>
      </c>
      <c r="C494" s="35">
        <f>'Client Data'!D39</f>
        <v>17</v>
      </c>
      <c r="D494" s="35">
        <f>'Client Data'!E39</f>
        <v>19</v>
      </c>
      <c r="E494" s="35">
        <f>'Client Data'!F39</f>
        <v>0</v>
      </c>
      <c r="F494" s="35">
        <f>'Client Data'!G39</f>
        <v>13</v>
      </c>
      <c r="G494" s="35">
        <f>'Client Data'!H39</f>
        <v>17</v>
      </c>
      <c r="H494" s="35">
        <f>'Client Data'!I39</f>
        <v>19</v>
      </c>
      <c r="I494" s="35">
        <f>'Client Data'!J39</f>
        <v>0</v>
      </c>
      <c r="J494" s="35">
        <f>'Client Data'!K39</f>
        <v>7</v>
      </c>
      <c r="K494" s="35">
        <f>'Client Data'!L39</f>
        <v>17</v>
      </c>
      <c r="L494" s="35">
        <f>'Client Data'!M39</f>
        <v>19</v>
      </c>
      <c r="M494" s="35">
        <f>'Client Data'!N39</f>
        <v>0</v>
      </c>
      <c r="N494" s="35">
        <f>'Client Data'!O39</f>
        <v>0</v>
      </c>
      <c r="O494" s="35">
        <f>'Client Data'!P39</f>
        <v>18</v>
      </c>
      <c r="P494" s="35">
        <f>'Client Data'!Q39</f>
        <v>19</v>
      </c>
      <c r="Q494" s="35">
        <f>'Client Data'!R39</f>
        <v>0</v>
      </c>
      <c r="R494" s="35">
        <f>'Client Data'!S39</f>
        <v>0</v>
      </c>
      <c r="S494" s="35">
        <f>'Client Data'!T39</f>
        <v>17</v>
      </c>
      <c r="T494" s="35">
        <f>'Client Data'!U39</f>
        <v>19</v>
      </c>
      <c r="U494" s="35">
        <f>'Client Data'!V39</f>
        <v>0</v>
      </c>
      <c r="V494" s="35">
        <f>'Client Data'!W39</f>
        <v>0</v>
      </c>
      <c r="W494" s="35">
        <f>'Client Data'!X39</f>
        <v>17</v>
      </c>
      <c r="X494" s="35">
        <f>'Client Data'!Y39</f>
        <v>19</v>
      </c>
      <c r="Y494" s="35">
        <f>'Client Data'!Z39</f>
        <v>0</v>
      </c>
      <c r="Z494" s="35">
        <f>'Client Data'!AA39</f>
        <v>0</v>
      </c>
      <c r="AA494" s="35">
        <f>'Client Data'!AB39</f>
        <v>17</v>
      </c>
      <c r="AB494" s="35">
        <f>'Client Data'!AC39</f>
        <v>19</v>
      </c>
      <c r="AC494" s="35">
        <f>'Client Data'!AD39</f>
        <v>0</v>
      </c>
      <c r="AD494" s="35">
        <f>'Client Data'!AE39</f>
        <v>0</v>
      </c>
      <c r="AE494" s="35">
        <f>'Client Data'!AF39</f>
        <v>17</v>
      </c>
      <c r="AF494" s="35">
        <f>'Client Data'!AG39</f>
        <v>19</v>
      </c>
      <c r="AG494" s="35">
        <f>'Client Data'!AH39</f>
        <v>0</v>
      </c>
      <c r="AH494" s="35">
        <f>'Client Data'!AI39</f>
        <v>0</v>
      </c>
      <c r="AI494" s="35">
        <f>'Client Data'!AJ39</f>
        <v>18</v>
      </c>
      <c r="AJ494" s="35">
        <f>'Client Data'!AK39</f>
        <v>19</v>
      </c>
      <c r="AK494" s="35">
        <f>'Client Data'!AL39</f>
        <v>0</v>
      </c>
      <c r="AL494" s="35">
        <f>'Client Data'!AM39</f>
        <v>0</v>
      </c>
      <c r="AM494" s="35">
        <f>'Client Data'!AN39</f>
        <v>17</v>
      </c>
      <c r="AN494" s="35">
        <f>'Client Data'!AO39</f>
        <v>19</v>
      </c>
      <c r="AO494" s="35">
        <f>'Client Data'!AP39</f>
        <v>0</v>
      </c>
      <c r="AP494" s="35">
        <f>'Client Data'!AQ39</f>
        <v>0</v>
      </c>
      <c r="AQ494" s="35">
        <f>'Client Data'!AR39</f>
        <v>17</v>
      </c>
      <c r="AR494" s="35">
        <f>'Client Data'!AS39</f>
        <v>19</v>
      </c>
      <c r="AS494" s="35">
        <f>'Client Data'!AT39</f>
        <v>0</v>
      </c>
      <c r="AT494" s="35">
        <f>'Client Data'!AU39</f>
        <v>10</v>
      </c>
      <c r="AU494" s="35">
        <f>'Client Data'!AV39</f>
        <v>18</v>
      </c>
      <c r="AV494" s="35">
        <f>'Client Data'!AW39</f>
        <v>20</v>
      </c>
      <c r="AW494" s="35">
        <f>'Client Data'!AX39</f>
        <v>0</v>
      </c>
      <c r="AX494" s="35">
        <f>'Client Data'!AY39</f>
        <v>9</v>
      </c>
      <c r="AY494" s="35">
        <f>'Client Data'!AZ39</f>
        <v>17</v>
      </c>
      <c r="AZ494" s="35">
        <f>'Client Data'!BA39</f>
        <v>8</v>
      </c>
      <c r="BA494" s="35">
        <f>'Client Data'!BB39</f>
        <v>0</v>
      </c>
      <c r="BB494" s="35">
        <f>'Client Data'!BC39</f>
        <v>0</v>
      </c>
      <c r="BC494" s="19">
        <f t="shared" si="776"/>
        <v>500</v>
      </c>
    </row>
    <row r="495" spans="2:55" x14ac:dyDescent="0.25">
      <c r="B495" s="80" t="str">
        <f>'Client Data'!C49</f>
        <v>Product C</v>
      </c>
      <c r="C495" s="35">
        <f>'Client Data'!D49</f>
        <v>0</v>
      </c>
      <c r="D495" s="35">
        <f>'Client Data'!E49</f>
        <v>0</v>
      </c>
      <c r="E495" s="35">
        <f>'Client Data'!F49</f>
        <v>0</v>
      </c>
      <c r="F495" s="35">
        <f>'Client Data'!G49</f>
        <v>0</v>
      </c>
      <c r="G495" s="35">
        <f>'Client Data'!H49</f>
        <v>0</v>
      </c>
      <c r="H495" s="35">
        <f>'Client Data'!I49</f>
        <v>0</v>
      </c>
      <c r="I495" s="35">
        <f>'Client Data'!J49</f>
        <v>0</v>
      </c>
      <c r="J495" s="35">
        <f>'Client Data'!K49</f>
        <v>0</v>
      </c>
      <c r="K495" s="35">
        <f>'Client Data'!L49</f>
        <v>0</v>
      </c>
      <c r="L495" s="35">
        <f>'Client Data'!M49</f>
        <v>0</v>
      </c>
      <c r="M495" s="35">
        <f>'Client Data'!N49</f>
        <v>0</v>
      </c>
      <c r="N495" s="35">
        <f>'Client Data'!O49</f>
        <v>0</v>
      </c>
      <c r="O495" s="35">
        <f>'Client Data'!P49</f>
        <v>0</v>
      </c>
      <c r="P495" s="35">
        <f>'Client Data'!Q49</f>
        <v>0</v>
      </c>
      <c r="Q495" s="35">
        <f>'Client Data'!R49</f>
        <v>0</v>
      </c>
      <c r="R495" s="35">
        <f>'Client Data'!S49</f>
        <v>0</v>
      </c>
      <c r="S495" s="35">
        <f>'Client Data'!T49</f>
        <v>0</v>
      </c>
      <c r="T495" s="35">
        <f>'Client Data'!U49</f>
        <v>0</v>
      </c>
      <c r="U495" s="35">
        <f>'Client Data'!V49</f>
        <v>0</v>
      </c>
      <c r="V495" s="35">
        <f>'Client Data'!W49</f>
        <v>0</v>
      </c>
      <c r="W495" s="35">
        <f>'Client Data'!X49</f>
        <v>0</v>
      </c>
      <c r="X495" s="35">
        <f>'Client Data'!Y49</f>
        <v>0</v>
      </c>
      <c r="Y495" s="35">
        <f>'Client Data'!Z49</f>
        <v>0</v>
      </c>
      <c r="Z495" s="35">
        <f>'Client Data'!AA49</f>
        <v>0</v>
      </c>
      <c r="AA495" s="35">
        <f>'Client Data'!AB49</f>
        <v>0</v>
      </c>
      <c r="AB495" s="35">
        <f>'Client Data'!AC49</f>
        <v>0</v>
      </c>
      <c r="AC495" s="35">
        <f>'Client Data'!AD49</f>
        <v>0</v>
      </c>
      <c r="AD495" s="35">
        <f>'Client Data'!AE49</f>
        <v>0</v>
      </c>
      <c r="AE495" s="35">
        <f>'Client Data'!AF49</f>
        <v>0</v>
      </c>
      <c r="AF495" s="35">
        <f>'Client Data'!AG49</f>
        <v>0</v>
      </c>
      <c r="AG495" s="35">
        <f>'Client Data'!AH49</f>
        <v>0</v>
      </c>
      <c r="AH495" s="35">
        <f>'Client Data'!AI49</f>
        <v>0</v>
      </c>
      <c r="AI495" s="35">
        <f>'Client Data'!AJ49</f>
        <v>0</v>
      </c>
      <c r="AJ495" s="35">
        <f>'Client Data'!AK49</f>
        <v>0</v>
      </c>
      <c r="AK495" s="35">
        <f>'Client Data'!AL49</f>
        <v>0</v>
      </c>
      <c r="AL495" s="35">
        <f>'Client Data'!AM49</f>
        <v>0</v>
      </c>
      <c r="AM495" s="35">
        <f>'Client Data'!AN49</f>
        <v>0</v>
      </c>
      <c r="AN495" s="35">
        <f>'Client Data'!AO49</f>
        <v>0</v>
      </c>
      <c r="AO495" s="35">
        <f>'Client Data'!AP49</f>
        <v>0</v>
      </c>
      <c r="AP495" s="35">
        <f>'Client Data'!AQ49</f>
        <v>0</v>
      </c>
      <c r="AQ495" s="35">
        <f>'Client Data'!AR49</f>
        <v>0</v>
      </c>
      <c r="AR495" s="35">
        <f>'Client Data'!AS49</f>
        <v>0</v>
      </c>
      <c r="AS495" s="35">
        <f>'Client Data'!AT49</f>
        <v>0</v>
      </c>
      <c r="AT495" s="35">
        <f>'Client Data'!AU49</f>
        <v>0</v>
      </c>
      <c r="AU495" s="35">
        <f>'Client Data'!AV49</f>
        <v>0</v>
      </c>
      <c r="AV495" s="35">
        <f>'Client Data'!AW49</f>
        <v>0</v>
      </c>
      <c r="AW495" s="35">
        <f>'Client Data'!AX49</f>
        <v>0</v>
      </c>
      <c r="AX495" s="35">
        <f>'Client Data'!AY49</f>
        <v>0</v>
      </c>
      <c r="AY495" s="35">
        <f>'Client Data'!AZ49</f>
        <v>0</v>
      </c>
      <c r="AZ495" s="35">
        <f>'Client Data'!BA49</f>
        <v>0</v>
      </c>
      <c r="BA495" s="35">
        <f>'Client Data'!BB49</f>
        <v>0</v>
      </c>
      <c r="BB495" s="35">
        <f>'Client Data'!BC49</f>
        <v>0</v>
      </c>
      <c r="BC495" s="19">
        <f t="shared" si="776"/>
        <v>0</v>
      </c>
    </row>
    <row r="496" spans="2:55" x14ac:dyDescent="0.25">
      <c r="B496" s="80" t="str">
        <f>'Client Data'!C59</f>
        <v>Product D</v>
      </c>
      <c r="C496" s="35">
        <f>'Client Data'!D59</f>
        <v>0</v>
      </c>
      <c r="D496" s="35">
        <f>'Client Data'!E59</f>
        <v>0</v>
      </c>
      <c r="E496" s="35">
        <f>'Client Data'!F59</f>
        <v>0</v>
      </c>
      <c r="F496" s="35">
        <f>'Client Data'!G59</f>
        <v>0</v>
      </c>
      <c r="G496" s="35">
        <f>'Client Data'!H59</f>
        <v>0</v>
      </c>
      <c r="H496" s="35">
        <f>'Client Data'!I59</f>
        <v>0</v>
      </c>
      <c r="I496" s="35">
        <f>'Client Data'!J59</f>
        <v>0</v>
      </c>
      <c r="J496" s="35">
        <f>'Client Data'!K59</f>
        <v>0</v>
      </c>
      <c r="K496" s="35">
        <f>'Client Data'!L59</f>
        <v>0</v>
      </c>
      <c r="L496" s="35">
        <f>'Client Data'!M59</f>
        <v>0</v>
      </c>
      <c r="M496" s="35">
        <f>'Client Data'!N59</f>
        <v>0</v>
      </c>
      <c r="N496" s="35">
        <f>'Client Data'!O59</f>
        <v>0</v>
      </c>
      <c r="O496" s="35">
        <f>'Client Data'!P59</f>
        <v>0</v>
      </c>
      <c r="P496" s="35">
        <f>'Client Data'!Q59</f>
        <v>0</v>
      </c>
      <c r="Q496" s="35">
        <f>'Client Data'!R59</f>
        <v>0</v>
      </c>
      <c r="R496" s="35">
        <f>'Client Data'!S59</f>
        <v>0</v>
      </c>
      <c r="S496" s="35">
        <f>'Client Data'!T59</f>
        <v>0</v>
      </c>
      <c r="T496" s="35">
        <f>'Client Data'!U59</f>
        <v>0</v>
      </c>
      <c r="U496" s="35">
        <f>'Client Data'!V59</f>
        <v>0</v>
      </c>
      <c r="V496" s="35">
        <f>'Client Data'!W59</f>
        <v>0</v>
      </c>
      <c r="W496" s="35">
        <f>'Client Data'!X59</f>
        <v>0</v>
      </c>
      <c r="X496" s="35">
        <f>'Client Data'!Y59</f>
        <v>0</v>
      </c>
      <c r="Y496" s="35">
        <f>'Client Data'!Z59</f>
        <v>0</v>
      </c>
      <c r="Z496" s="35">
        <f>'Client Data'!AA59</f>
        <v>0</v>
      </c>
      <c r="AA496" s="35">
        <f>'Client Data'!AB59</f>
        <v>0</v>
      </c>
      <c r="AB496" s="35">
        <f>'Client Data'!AC59</f>
        <v>0</v>
      </c>
      <c r="AC496" s="35">
        <f>'Client Data'!AD59</f>
        <v>0</v>
      </c>
      <c r="AD496" s="35">
        <f>'Client Data'!AE59</f>
        <v>0</v>
      </c>
      <c r="AE496" s="35">
        <f>'Client Data'!AF59</f>
        <v>0</v>
      </c>
      <c r="AF496" s="35">
        <f>'Client Data'!AG59</f>
        <v>0</v>
      </c>
      <c r="AG496" s="35">
        <f>'Client Data'!AH59</f>
        <v>0</v>
      </c>
      <c r="AH496" s="35">
        <f>'Client Data'!AI59</f>
        <v>0</v>
      </c>
      <c r="AI496" s="35">
        <f>'Client Data'!AJ59</f>
        <v>0</v>
      </c>
      <c r="AJ496" s="35">
        <f>'Client Data'!AK59</f>
        <v>0</v>
      </c>
      <c r="AK496" s="35">
        <f>'Client Data'!AL59</f>
        <v>0</v>
      </c>
      <c r="AL496" s="35">
        <f>'Client Data'!AM59</f>
        <v>0</v>
      </c>
      <c r="AM496" s="35">
        <f>'Client Data'!AN59</f>
        <v>0</v>
      </c>
      <c r="AN496" s="35">
        <f>'Client Data'!AO59</f>
        <v>0</v>
      </c>
      <c r="AO496" s="35">
        <f>'Client Data'!AP59</f>
        <v>0</v>
      </c>
      <c r="AP496" s="35">
        <f>'Client Data'!AQ59</f>
        <v>0</v>
      </c>
      <c r="AQ496" s="35">
        <f>'Client Data'!AR59</f>
        <v>0</v>
      </c>
      <c r="AR496" s="35">
        <f>'Client Data'!AS59</f>
        <v>0</v>
      </c>
      <c r="AS496" s="35">
        <f>'Client Data'!AT59</f>
        <v>0</v>
      </c>
      <c r="AT496" s="35">
        <f>'Client Data'!AU59</f>
        <v>0</v>
      </c>
      <c r="AU496" s="35">
        <f>'Client Data'!AV59</f>
        <v>0</v>
      </c>
      <c r="AV496" s="35">
        <f>'Client Data'!AW59</f>
        <v>0</v>
      </c>
      <c r="AW496" s="35">
        <f>'Client Data'!AX59</f>
        <v>0</v>
      </c>
      <c r="AX496" s="35">
        <f>'Client Data'!AY59</f>
        <v>0</v>
      </c>
      <c r="AY496" s="35">
        <f>'Client Data'!AZ59</f>
        <v>0</v>
      </c>
      <c r="AZ496" s="35">
        <f>'Client Data'!BA59</f>
        <v>0</v>
      </c>
      <c r="BA496" s="35">
        <f>'Client Data'!BB59</f>
        <v>0</v>
      </c>
      <c r="BB496" s="35">
        <f>'Client Data'!BC59</f>
        <v>0</v>
      </c>
      <c r="BC496" s="19">
        <f t="shared" si="776"/>
        <v>0</v>
      </c>
    </row>
    <row r="497" spans="2:55" x14ac:dyDescent="0.25">
      <c r="B497" s="80" t="str">
        <f>'Client Data'!C69</f>
        <v>Product E</v>
      </c>
      <c r="C497" s="35">
        <f>'Client Data'!D69</f>
        <v>0</v>
      </c>
      <c r="D497" s="35">
        <f>'Client Data'!E69</f>
        <v>0</v>
      </c>
      <c r="E497" s="35">
        <f>'Client Data'!F69</f>
        <v>0</v>
      </c>
      <c r="F497" s="35">
        <f>'Client Data'!G69</f>
        <v>0</v>
      </c>
      <c r="G497" s="35">
        <f>'Client Data'!H69</f>
        <v>0</v>
      </c>
      <c r="H497" s="35">
        <f>'Client Data'!I69</f>
        <v>0</v>
      </c>
      <c r="I497" s="35">
        <f>'Client Data'!J69</f>
        <v>0</v>
      </c>
      <c r="J497" s="35">
        <f>'Client Data'!K69</f>
        <v>0</v>
      </c>
      <c r="K497" s="35">
        <f>'Client Data'!L69</f>
        <v>0</v>
      </c>
      <c r="L497" s="35">
        <f>'Client Data'!M69</f>
        <v>0</v>
      </c>
      <c r="M497" s="35">
        <f>'Client Data'!N69</f>
        <v>0</v>
      </c>
      <c r="N497" s="35">
        <f>'Client Data'!O69</f>
        <v>0</v>
      </c>
      <c r="O497" s="35">
        <f>'Client Data'!P69</f>
        <v>0</v>
      </c>
      <c r="P497" s="35">
        <f>'Client Data'!Q69</f>
        <v>0</v>
      </c>
      <c r="Q497" s="35">
        <f>'Client Data'!R69</f>
        <v>0</v>
      </c>
      <c r="R497" s="35">
        <f>'Client Data'!S69</f>
        <v>0</v>
      </c>
      <c r="S497" s="35">
        <f>'Client Data'!T69</f>
        <v>0</v>
      </c>
      <c r="T497" s="35">
        <f>'Client Data'!U69</f>
        <v>0</v>
      </c>
      <c r="U497" s="35">
        <f>'Client Data'!V69</f>
        <v>0</v>
      </c>
      <c r="V497" s="35">
        <f>'Client Data'!W69</f>
        <v>0</v>
      </c>
      <c r="W497" s="35">
        <f>'Client Data'!X69</f>
        <v>0</v>
      </c>
      <c r="X497" s="35">
        <f>'Client Data'!Y69</f>
        <v>0</v>
      </c>
      <c r="Y497" s="35">
        <f>'Client Data'!Z69</f>
        <v>0</v>
      </c>
      <c r="Z497" s="35">
        <f>'Client Data'!AA69</f>
        <v>0</v>
      </c>
      <c r="AA497" s="35">
        <f>'Client Data'!AB69</f>
        <v>0</v>
      </c>
      <c r="AB497" s="35">
        <f>'Client Data'!AC69</f>
        <v>0</v>
      </c>
      <c r="AC497" s="35">
        <f>'Client Data'!AD69</f>
        <v>0</v>
      </c>
      <c r="AD497" s="35">
        <f>'Client Data'!AE69</f>
        <v>0</v>
      </c>
      <c r="AE497" s="35">
        <f>'Client Data'!AF69</f>
        <v>0</v>
      </c>
      <c r="AF497" s="35">
        <f>'Client Data'!AG69</f>
        <v>0</v>
      </c>
      <c r="AG497" s="35">
        <f>'Client Data'!AH69</f>
        <v>0</v>
      </c>
      <c r="AH497" s="35">
        <f>'Client Data'!AI69</f>
        <v>0</v>
      </c>
      <c r="AI497" s="35">
        <f>'Client Data'!AJ69</f>
        <v>0</v>
      </c>
      <c r="AJ497" s="35">
        <f>'Client Data'!AK69</f>
        <v>0</v>
      </c>
      <c r="AK497" s="35">
        <f>'Client Data'!AL69</f>
        <v>0</v>
      </c>
      <c r="AL497" s="35">
        <f>'Client Data'!AM69</f>
        <v>0</v>
      </c>
      <c r="AM497" s="35">
        <f>'Client Data'!AN69</f>
        <v>0</v>
      </c>
      <c r="AN497" s="35">
        <f>'Client Data'!AO69</f>
        <v>0</v>
      </c>
      <c r="AO497" s="35">
        <f>'Client Data'!AP69</f>
        <v>0</v>
      </c>
      <c r="AP497" s="35">
        <f>'Client Data'!AQ69</f>
        <v>0</v>
      </c>
      <c r="AQ497" s="35">
        <f>'Client Data'!AR69</f>
        <v>0</v>
      </c>
      <c r="AR497" s="35">
        <f>'Client Data'!AS69</f>
        <v>0</v>
      </c>
      <c r="AS497" s="35">
        <f>'Client Data'!AT69</f>
        <v>0</v>
      </c>
      <c r="AT497" s="35">
        <f>'Client Data'!AU69</f>
        <v>0</v>
      </c>
      <c r="AU497" s="35">
        <f>'Client Data'!AV69</f>
        <v>0</v>
      </c>
      <c r="AV497" s="35">
        <f>'Client Data'!AW69</f>
        <v>0</v>
      </c>
      <c r="AW497" s="35">
        <f>'Client Data'!AX69</f>
        <v>0</v>
      </c>
      <c r="AX497" s="35">
        <f>'Client Data'!AY69</f>
        <v>0</v>
      </c>
      <c r="AY497" s="35">
        <f>'Client Data'!AZ69</f>
        <v>0</v>
      </c>
      <c r="AZ497" s="35">
        <f>'Client Data'!BA69</f>
        <v>0</v>
      </c>
      <c r="BA497" s="35">
        <f>'Client Data'!BB69</f>
        <v>0</v>
      </c>
      <c r="BB497" s="35">
        <f>'Client Data'!BC69</f>
        <v>0</v>
      </c>
      <c r="BC497" s="19">
        <f t="shared" si="776"/>
        <v>0</v>
      </c>
    </row>
    <row r="498" spans="2:55" x14ac:dyDescent="0.25">
      <c r="B498" s="80" t="str">
        <f>'Client Data'!C79</f>
        <v>Product F</v>
      </c>
      <c r="C498" s="35">
        <f>'Client Data'!D79</f>
        <v>0</v>
      </c>
      <c r="D498" s="35">
        <f>'Client Data'!E79</f>
        <v>0</v>
      </c>
      <c r="E498" s="35">
        <f>'Client Data'!F79</f>
        <v>0</v>
      </c>
      <c r="F498" s="35">
        <f>'Client Data'!G79</f>
        <v>0</v>
      </c>
      <c r="G498" s="35">
        <f>'Client Data'!H79</f>
        <v>0</v>
      </c>
      <c r="H498" s="35">
        <f>'Client Data'!I79</f>
        <v>0</v>
      </c>
      <c r="I498" s="35">
        <f>'Client Data'!J79</f>
        <v>0</v>
      </c>
      <c r="J498" s="35">
        <f>'Client Data'!K79</f>
        <v>0</v>
      </c>
      <c r="K498" s="35">
        <f>'Client Data'!L79</f>
        <v>0</v>
      </c>
      <c r="L498" s="35">
        <f>'Client Data'!M79</f>
        <v>0</v>
      </c>
      <c r="M498" s="35">
        <f>'Client Data'!N79</f>
        <v>0</v>
      </c>
      <c r="N498" s="35">
        <f>'Client Data'!O79</f>
        <v>0</v>
      </c>
      <c r="O498" s="35">
        <f>'Client Data'!P79</f>
        <v>0</v>
      </c>
      <c r="P498" s="35">
        <f>'Client Data'!Q79</f>
        <v>0</v>
      </c>
      <c r="Q498" s="35">
        <f>'Client Data'!R79</f>
        <v>0</v>
      </c>
      <c r="R498" s="35">
        <f>'Client Data'!S79</f>
        <v>0</v>
      </c>
      <c r="S498" s="35">
        <f>'Client Data'!T79</f>
        <v>0</v>
      </c>
      <c r="T498" s="35">
        <f>'Client Data'!U79</f>
        <v>0</v>
      </c>
      <c r="U498" s="35">
        <f>'Client Data'!V79</f>
        <v>0</v>
      </c>
      <c r="V498" s="35">
        <f>'Client Data'!W79</f>
        <v>0</v>
      </c>
      <c r="W498" s="35">
        <f>'Client Data'!X79</f>
        <v>0</v>
      </c>
      <c r="X498" s="35">
        <f>'Client Data'!Y79</f>
        <v>0</v>
      </c>
      <c r="Y498" s="35">
        <f>'Client Data'!Z79</f>
        <v>0</v>
      </c>
      <c r="Z498" s="35">
        <f>'Client Data'!AA79</f>
        <v>0</v>
      </c>
      <c r="AA498" s="35">
        <f>'Client Data'!AB79</f>
        <v>0</v>
      </c>
      <c r="AB498" s="35">
        <f>'Client Data'!AC79</f>
        <v>0</v>
      </c>
      <c r="AC498" s="35">
        <f>'Client Data'!AD79</f>
        <v>0</v>
      </c>
      <c r="AD498" s="35">
        <f>'Client Data'!AE79</f>
        <v>0</v>
      </c>
      <c r="AE498" s="35">
        <f>'Client Data'!AF79</f>
        <v>0</v>
      </c>
      <c r="AF498" s="35">
        <f>'Client Data'!AG79</f>
        <v>0</v>
      </c>
      <c r="AG498" s="35">
        <f>'Client Data'!AH79</f>
        <v>0</v>
      </c>
      <c r="AH498" s="35">
        <f>'Client Data'!AI79</f>
        <v>0</v>
      </c>
      <c r="AI498" s="35">
        <f>'Client Data'!AJ79</f>
        <v>0</v>
      </c>
      <c r="AJ498" s="35">
        <f>'Client Data'!AK79</f>
        <v>0</v>
      </c>
      <c r="AK498" s="35">
        <f>'Client Data'!AL79</f>
        <v>0</v>
      </c>
      <c r="AL498" s="35">
        <f>'Client Data'!AM79</f>
        <v>0</v>
      </c>
      <c r="AM498" s="35">
        <f>'Client Data'!AN79</f>
        <v>0</v>
      </c>
      <c r="AN498" s="35">
        <f>'Client Data'!AO79</f>
        <v>0</v>
      </c>
      <c r="AO498" s="35">
        <f>'Client Data'!AP79</f>
        <v>0</v>
      </c>
      <c r="AP498" s="35">
        <f>'Client Data'!AQ79</f>
        <v>0</v>
      </c>
      <c r="AQ498" s="35">
        <f>'Client Data'!AR79</f>
        <v>0</v>
      </c>
      <c r="AR498" s="35">
        <f>'Client Data'!AS79</f>
        <v>0</v>
      </c>
      <c r="AS498" s="35">
        <f>'Client Data'!AT79</f>
        <v>0</v>
      </c>
      <c r="AT498" s="35">
        <f>'Client Data'!AU79</f>
        <v>0</v>
      </c>
      <c r="AU498" s="35">
        <f>'Client Data'!AV79</f>
        <v>0</v>
      </c>
      <c r="AV498" s="35">
        <f>'Client Data'!AW79</f>
        <v>0</v>
      </c>
      <c r="AW498" s="35">
        <f>'Client Data'!AX79</f>
        <v>0</v>
      </c>
      <c r="AX498" s="35">
        <f>'Client Data'!AY79</f>
        <v>0</v>
      </c>
      <c r="AY498" s="35">
        <f>'Client Data'!AZ79</f>
        <v>0</v>
      </c>
      <c r="AZ498" s="35">
        <f>'Client Data'!BA79</f>
        <v>0</v>
      </c>
      <c r="BA498" s="35">
        <f>'Client Data'!BB79</f>
        <v>0</v>
      </c>
      <c r="BB498" s="35">
        <f>'Client Data'!BC79</f>
        <v>0</v>
      </c>
      <c r="BC498" s="19">
        <f t="shared" si="776"/>
        <v>0</v>
      </c>
    </row>
    <row r="499" spans="2:55" x14ac:dyDescent="0.25">
      <c r="B499" s="80" t="str">
        <f>'Client Data'!C89</f>
        <v>Product G</v>
      </c>
      <c r="C499" s="35">
        <f>'Client Data'!D89</f>
        <v>0</v>
      </c>
      <c r="D499" s="35">
        <f>'Client Data'!E89</f>
        <v>0</v>
      </c>
      <c r="E499" s="35">
        <f>'Client Data'!F89</f>
        <v>0</v>
      </c>
      <c r="F499" s="35">
        <f>'Client Data'!G89</f>
        <v>0</v>
      </c>
      <c r="G499" s="35">
        <f>'Client Data'!H89</f>
        <v>0</v>
      </c>
      <c r="H499" s="35">
        <f>'Client Data'!I89</f>
        <v>0</v>
      </c>
      <c r="I499" s="35">
        <f>'Client Data'!J89</f>
        <v>0</v>
      </c>
      <c r="J499" s="35">
        <f>'Client Data'!K89</f>
        <v>0</v>
      </c>
      <c r="K499" s="35">
        <f>'Client Data'!L89</f>
        <v>0</v>
      </c>
      <c r="L499" s="35">
        <f>'Client Data'!M89</f>
        <v>0</v>
      </c>
      <c r="M499" s="35">
        <f>'Client Data'!N89</f>
        <v>0</v>
      </c>
      <c r="N499" s="35">
        <f>'Client Data'!O89</f>
        <v>0</v>
      </c>
      <c r="O499" s="35">
        <f>'Client Data'!P89</f>
        <v>0</v>
      </c>
      <c r="P499" s="35">
        <f>'Client Data'!Q89</f>
        <v>0</v>
      </c>
      <c r="Q499" s="35">
        <f>'Client Data'!R89</f>
        <v>0</v>
      </c>
      <c r="R499" s="35">
        <f>'Client Data'!S89</f>
        <v>0</v>
      </c>
      <c r="S499" s="35">
        <f>'Client Data'!T89</f>
        <v>0</v>
      </c>
      <c r="T499" s="35">
        <f>'Client Data'!U89</f>
        <v>0</v>
      </c>
      <c r="U499" s="35">
        <f>'Client Data'!V89</f>
        <v>0</v>
      </c>
      <c r="V499" s="35">
        <f>'Client Data'!W89</f>
        <v>0</v>
      </c>
      <c r="W499" s="35">
        <f>'Client Data'!X89</f>
        <v>0</v>
      </c>
      <c r="X499" s="35">
        <f>'Client Data'!Y89</f>
        <v>0</v>
      </c>
      <c r="Y499" s="35">
        <f>'Client Data'!Z89</f>
        <v>0</v>
      </c>
      <c r="Z499" s="35">
        <f>'Client Data'!AA89</f>
        <v>0</v>
      </c>
      <c r="AA499" s="35">
        <f>'Client Data'!AB89</f>
        <v>0</v>
      </c>
      <c r="AB499" s="35">
        <f>'Client Data'!AC89</f>
        <v>0</v>
      </c>
      <c r="AC499" s="35">
        <f>'Client Data'!AD89</f>
        <v>0</v>
      </c>
      <c r="AD499" s="35">
        <f>'Client Data'!AE89</f>
        <v>0</v>
      </c>
      <c r="AE499" s="35">
        <f>'Client Data'!AF89</f>
        <v>0</v>
      </c>
      <c r="AF499" s="35">
        <f>'Client Data'!AG89</f>
        <v>0</v>
      </c>
      <c r="AG499" s="35">
        <f>'Client Data'!AH89</f>
        <v>0</v>
      </c>
      <c r="AH499" s="35">
        <f>'Client Data'!AI89</f>
        <v>0</v>
      </c>
      <c r="AI499" s="35">
        <f>'Client Data'!AJ89</f>
        <v>0</v>
      </c>
      <c r="AJ499" s="35">
        <f>'Client Data'!AK89</f>
        <v>0</v>
      </c>
      <c r="AK499" s="35">
        <f>'Client Data'!AL89</f>
        <v>0</v>
      </c>
      <c r="AL499" s="35">
        <f>'Client Data'!AM89</f>
        <v>0</v>
      </c>
      <c r="AM499" s="35">
        <f>'Client Data'!AN89</f>
        <v>0</v>
      </c>
      <c r="AN499" s="35">
        <f>'Client Data'!AO89</f>
        <v>0</v>
      </c>
      <c r="AO499" s="35">
        <f>'Client Data'!AP89</f>
        <v>0</v>
      </c>
      <c r="AP499" s="35">
        <f>'Client Data'!AQ89</f>
        <v>0</v>
      </c>
      <c r="AQ499" s="35">
        <f>'Client Data'!AR89</f>
        <v>0</v>
      </c>
      <c r="AR499" s="35">
        <f>'Client Data'!AS89</f>
        <v>0</v>
      </c>
      <c r="AS499" s="35">
        <f>'Client Data'!AT89</f>
        <v>0</v>
      </c>
      <c r="AT499" s="35">
        <f>'Client Data'!AU89</f>
        <v>0</v>
      </c>
      <c r="AU499" s="35">
        <f>'Client Data'!AV89</f>
        <v>0</v>
      </c>
      <c r="AV499" s="35">
        <f>'Client Data'!AW89</f>
        <v>0</v>
      </c>
      <c r="AW499" s="35">
        <f>'Client Data'!AX89</f>
        <v>0</v>
      </c>
      <c r="AX499" s="35">
        <f>'Client Data'!AY89</f>
        <v>0</v>
      </c>
      <c r="AY499" s="35">
        <f>'Client Data'!AZ89</f>
        <v>0</v>
      </c>
      <c r="AZ499" s="35">
        <f>'Client Data'!BA89</f>
        <v>0</v>
      </c>
      <c r="BA499" s="35">
        <f>'Client Data'!BB89</f>
        <v>0</v>
      </c>
      <c r="BB499" s="35">
        <f>'Client Data'!BC89</f>
        <v>0</v>
      </c>
      <c r="BC499" s="19">
        <f t="shared" si="776"/>
        <v>0</v>
      </c>
    </row>
    <row r="500" spans="2:55" x14ac:dyDescent="0.25">
      <c r="B500" s="80" t="str">
        <f>'Client Data'!C99</f>
        <v>Product H</v>
      </c>
      <c r="C500" s="35">
        <f>'Client Data'!D99</f>
        <v>0</v>
      </c>
      <c r="D500" s="35">
        <f>'Client Data'!E99</f>
        <v>0</v>
      </c>
      <c r="E500" s="35">
        <f>'Client Data'!F99</f>
        <v>0</v>
      </c>
      <c r="F500" s="35">
        <f>'Client Data'!G99</f>
        <v>0</v>
      </c>
      <c r="G500" s="35">
        <f>'Client Data'!H99</f>
        <v>0</v>
      </c>
      <c r="H500" s="35">
        <f>'Client Data'!I99</f>
        <v>0</v>
      </c>
      <c r="I500" s="35">
        <f>'Client Data'!J99</f>
        <v>0</v>
      </c>
      <c r="J500" s="35">
        <f>'Client Data'!K99</f>
        <v>0</v>
      </c>
      <c r="K500" s="35">
        <f>'Client Data'!L99</f>
        <v>0</v>
      </c>
      <c r="L500" s="35">
        <f>'Client Data'!M99</f>
        <v>0</v>
      </c>
      <c r="M500" s="35">
        <f>'Client Data'!N99</f>
        <v>0</v>
      </c>
      <c r="N500" s="35">
        <f>'Client Data'!O99</f>
        <v>0</v>
      </c>
      <c r="O500" s="35">
        <f>'Client Data'!P99</f>
        <v>0</v>
      </c>
      <c r="P500" s="35">
        <f>'Client Data'!Q99</f>
        <v>0</v>
      </c>
      <c r="Q500" s="35">
        <f>'Client Data'!R99</f>
        <v>0</v>
      </c>
      <c r="R500" s="35">
        <f>'Client Data'!S99</f>
        <v>0</v>
      </c>
      <c r="S500" s="35">
        <f>'Client Data'!T99</f>
        <v>0</v>
      </c>
      <c r="T500" s="35">
        <f>'Client Data'!U99</f>
        <v>0</v>
      </c>
      <c r="U500" s="35">
        <f>'Client Data'!V99</f>
        <v>0</v>
      </c>
      <c r="V500" s="35">
        <f>'Client Data'!W99</f>
        <v>0</v>
      </c>
      <c r="W500" s="35">
        <f>'Client Data'!X99</f>
        <v>0</v>
      </c>
      <c r="X500" s="35">
        <f>'Client Data'!Y99</f>
        <v>0</v>
      </c>
      <c r="Y500" s="35">
        <f>'Client Data'!Z99</f>
        <v>0</v>
      </c>
      <c r="Z500" s="35">
        <f>'Client Data'!AA99</f>
        <v>0</v>
      </c>
      <c r="AA500" s="35">
        <f>'Client Data'!AB99</f>
        <v>0</v>
      </c>
      <c r="AB500" s="35">
        <f>'Client Data'!AC99</f>
        <v>0</v>
      </c>
      <c r="AC500" s="35">
        <f>'Client Data'!AD99</f>
        <v>0</v>
      </c>
      <c r="AD500" s="35">
        <f>'Client Data'!AE99</f>
        <v>0</v>
      </c>
      <c r="AE500" s="35">
        <f>'Client Data'!AF99</f>
        <v>0</v>
      </c>
      <c r="AF500" s="35">
        <f>'Client Data'!AG99</f>
        <v>0</v>
      </c>
      <c r="AG500" s="35">
        <f>'Client Data'!AH99</f>
        <v>0</v>
      </c>
      <c r="AH500" s="35">
        <f>'Client Data'!AI99</f>
        <v>0</v>
      </c>
      <c r="AI500" s="35">
        <f>'Client Data'!AJ99</f>
        <v>0</v>
      </c>
      <c r="AJ500" s="35">
        <f>'Client Data'!AK99</f>
        <v>0</v>
      </c>
      <c r="AK500" s="35">
        <f>'Client Data'!AL99</f>
        <v>0</v>
      </c>
      <c r="AL500" s="35">
        <f>'Client Data'!AM99</f>
        <v>0</v>
      </c>
      <c r="AM500" s="35">
        <f>'Client Data'!AN99</f>
        <v>0</v>
      </c>
      <c r="AN500" s="35">
        <f>'Client Data'!AO99</f>
        <v>0</v>
      </c>
      <c r="AO500" s="35">
        <f>'Client Data'!AP99</f>
        <v>0</v>
      </c>
      <c r="AP500" s="35">
        <f>'Client Data'!AQ99</f>
        <v>0</v>
      </c>
      <c r="AQ500" s="35">
        <f>'Client Data'!AR99</f>
        <v>0</v>
      </c>
      <c r="AR500" s="35">
        <f>'Client Data'!AS99</f>
        <v>0</v>
      </c>
      <c r="AS500" s="35">
        <f>'Client Data'!AT99</f>
        <v>0</v>
      </c>
      <c r="AT500" s="35">
        <f>'Client Data'!AU99</f>
        <v>0</v>
      </c>
      <c r="AU500" s="35">
        <f>'Client Data'!AV99</f>
        <v>0</v>
      </c>
      <c r="AV500" s="35">
        <f>'Client Data'!AW99</f>
        <v>0</v>
      </c>
      <c r="AW500" s="35">
        <f>'Client Data'!AX99</f>
        <v>0</v>
      </c>
      <c r="AX500" s="35">
        <f>'Client Data'!AY99</f>
        <v>0</v>
      </c>
      <c r="AY500" s="35">
        <f>'Client Data'!AZ99</f>
        <v>0</v>
      </c>
      <c r="AZ500" s="35">
        <f>'Client Data'!BA99</f>
        <v>0</v>
      </c>
      <c r="BA500" s="35">
        <f>'Client Data'!BB99</f>
        <v>0</v>
      </c>
      <c r="BB500" s="35">
        <f>'Client Data'!BC99</f>
        <v>0</v>
      </c>
      <c r="BC500" s="19">
        <f t="shared" si="776"/>
        <v>0</v>
      </c>
    </row>
    <row r="501" spans="2:55" x14ac:dyDescent="0.25">
      <c r="B501" s="19" t="str">
        <f>'Client Data'!B30</f>
        <v>Rework Loss Type F</v>
      </c>
      <c r="C501" s="50">
        <f t="shared" ref="C501:AH501" si="783">IF(C190&gt;0,SUM(C502:C509),0)</f>
        <v>0</v>
      </c>
      <c r="D501" s="50">
        <f t="shared" si="783"/>
        <v>8</v>
      </c>
      <c r="E501" s="50">
        <f t="shared" si="783"/>
        <v>13</v>
      </c>
      <c r="F501" s="50">
        <f t="shared" si="783"/>
        <v>35</v>
      </c>
      <c r="G501" s="50">
        <f t="shared" si="783"/>
        <v>0</v>
      </c>
      <c r="H501" s="50">
        <f t="shared" si="783"/>
        <v>0</v>
      </c>
      <c r="I501" s="50">
        <f t="shared" si="783"/>
        <v>11</v>
      </c>
      <c r="J501" s="50">
        <f t="shared" si="783"/>
        <v>39</v>
      </c>
      <c r="K501" s="50">
        <f t="shared" si="783"/>
        <v>0</v>
      </c>
      <c r="L501" s="50">
        <f t="shared" si="783"/>
        <v>0</v>
      </c>
      <c r="M501" s="50">
        <f t="shared" si="783"/>
        <v>11</v>
      </c>
      <c r="N501" s="50">
        <f t="shared" si="783"/>
        <v>34</v>
      </c>
      <c r="O501" s="50">
        <f t="shared" si="783"/>
        <v>0</v>
      </c>
      <c r="P501" s="50">
        <f t="shared" si="783"/>
        <v>0</v>
      </c>
      <c r="Q501" s="50">
        <f t="shared" si="783"/>
        <v>24</v>
      </c>
      <c r="R501" s="50">
        <f t="shared" si="783"/>
        <v>26</v>
      </c>
      <c r="S501" s="50">
        <f t="shared" si="783"/>
        <v>0</v>
      </c>
      <c r="T501" s="50">
        <f t="shared" si="783"/>
        <v>0</v>
      </c>
      <c r="U501" s="50">
        <f t="shared" si="783"/>
        <v>11</v>
      </c>
      <c r="V501" s="50">
        <f t="shared" si="783"/>
        <v>39</v>
      </c>
      <c r="W501" s="50">
        <f t="shared" si="783"/>
        <v>13</v>
      </c>
      <c r="X501" s="50">
        <f t="shared" si="783"/>
        <v>0</v>
      </c>
      <c r="Y501" s="50">
        <f t="shared" si="783"/>
        <v>11</v>
      </c>
      <c r="Z501" s="50">
        <f t="shared" si="783"/>
        <v>39</v>
      </c>
      <c r="AA501" s="50">
        <f t="shared" si="783"/>
        <v>0</v>
      </c>
      <c r="AB501" s="50">
        <f t="shared" si="783"/>
        <v>8</v>
      </c>
      <c r="AC501" s="50">
        <f t="shared" si="783"/>
        <v>11</v>
      </c>
      <c r="AD501" s="50">
        <f t="shared" si="783"/>
        <v>39</v>
      </c>
      <c r="AE501" s="50">
        <f t="shared" si="783"/>
        <v>0</v>
      </c>
      <c r="AF501" s="50">
        <f t="shared" si="783"/>
        <v>0</v>
      </c>
      <c r="AG501" s="50">
        <f t="shared" si="783"/>
        <v>11</v>
      </c>
      <c r="AH501" s="50">
        <f t="shared" si="783"/>
        <v>39</v>
      </c>
      <c r="AI501" s="50">
        <f t="shared" ref="AI501:BB501" si="784">IF(AI190&gt;0,SUM(AI502:AI509),0)</f>
        <v>13</v>
      </c>
      <c r="AJ501" s="50">
        <f t="shared" si="784"/>
        <v>0</v>
      </c>
      <c r="AK501" s="50">
        <f t="shared" si="784"/>
        <v>10</v>
      </c>
      <c r="AL501" s="50">
        <f t="shared" si="784"/>
        <v>39</v>
      </c>
      <c r="AM501" s="50">
        <f t="shared" si="784"/>
        <v>0</v>
      </c>
      <c r="AN501" s="50">
        <f t="shared" si="784"/>
        <v>0</v>
      </c>
      <c r="AO501" s="50">
        <f t="shared" si="784"/>
        <v>24</v>
      </c>
      <c r="AP501" s="50">
        <f t="shared" si="784"/>
        <v>39</v>
      </c>
      <c r="AQ501" s="50">
        <f t="shared" si="784"/>
        <v>0</v>
      </c>
      <c r="AR501" s="50">
        <f t="shared" si="784"/>
        <v>0</v>
      </c>
      <c r="AS501" s="50">
        <f t="shared" si="784"/>
        <v>11</v>
      </c>
      <c r="AT501" s="50">
        <f t="shared" si="784"/>
        <v>38</v>
      </c>
      <c r="AU501" s="50">
        <f t="shared" si="784"/>
        <v>0</v>
      </c>
      <c r="AV501" s="50">
        <f t="shared" si="784"/>
        <v>0</v>
      </c>
      <c r="AW501" s="50">
        <f t="shared" si="784"/>
        <v>11</v>
      </c>
      <c r="AX501" s="50">
        <f t="shared" si="784"/>
        <v>39</v>
      </c>
      <c r="AY501" s="50">
        <f t="shared" si="784"/>
        <v>0</v>
      </c>
      <c r="AZ501" s="50">
        <f t="shared" si="784"/>
        <v>0</v>
      </c>
      <c r="BA501" s="50">
        <f t="shared" si="784"/>
        <v>11</v>
      </c>
      <c r="BB501" s="50">
        <f t="shared" si="784"/>
        <v>39</v>
      </c>
      <c r="BC501" s="19">
        <f t="shared" si="776"/>
        <v>696</v>
      </c>
    </row>
    <row r="502" spans="2:55" x14ac:dyDescent="0.25">
      <c r="B502" s="80" t="str">
        <f>'Client Data'!C30</f>
        <v>Product A</v>
      </c>
      <c r="C502" s="35">
        <f>'Client Data'!D30</f>
        <v>0</v>
      </c>
      <c r="D502" s="35">
        <f>'Client Data'!E30</f>
        <v>0</v>
      </c>
      <c r="E502" s="35">
        <f>'Client Data'!F30</f>
        <v>0</v>
      </c>
      <c r="F502" s="35">
        <f>'Client Data'!G30</f>
        <v>0</v>
      </c>
      <c r="G502" s="35">
        <f>'Client Data'!H30</f>
        <v>0</v>
      </c>
      <c r="H502" s="35">
        <f>'Client Data'!I30</f>
        <v>0</v>
      </c>
      <c r="I502" s="35">
        <f>'Client Data'!J30</f>
        <v>0</v>
      </c>
      <c r="J502" s="35">
        <f>'Client Data'!K30</f>
        <v>0</v>
      </c>
      <c r="K502" s="35">
        <f>'Client Data'!L30</f>
        <v>0</v>
      </c>
      <c r="L502" s="35">
        <f>'Client Data'!M30</f>
        <v>0</v>
      </c>
      <c r="M502" s="35">
        <f>'Client Data'!N30</f>
        <v>0</v>
      </c>
      <c r="N502" s="35">
        <f>'Client Data'!O30</f>
        <v>0</v>
      </c>
      <c r="O502" s="35">
        <f>'Client Data'!P30</f>
        <v>0</v>
      </c>
      <c r="P502" s="35">
        <f>'Client Data'!Q30</f>
        <v>0</v>
      </c>
      <c r="Q502" s="35">
        <f>'Client Data'!R30</f>
        <v>0</v>
      </c>
      <c r="R502" s="35">
        <f>'Client Data'!S30</f>
        <v>0</v>
      </c>
      <c r="S502" s="35">
        <f>'Client Data'!T30</f>
        <v>0</v>
      </c>
      <c r="T502" s="35">
        <f>'Client Data'!U30</f>
        <v>0</v>
      </c>
      <c r="U502" s="35">
        <f>'Client Data'!V30</f>
        <v>0</v>
      </c>
      <c r="V502" s="35">
        <f>'Client Data'!W30</f>
        <v>0</v>
      </c>
      <c r="W502" s="35">
        <f>'Client Data'!X30</f>
        <v>0</v>
      </c>
      <c r="X502" s="35">
        <f>'Client Data'!Y30</f>
        <v>0</v>
      </c>
      <c r="Y502" s="35">
        <f>'Client Data'!Z30</f>
        <v>0</v>
      </c>
      <c r="Z502" s="35">
        <f>'Client Data'!AA30</f>
        <v>0</v>
      </c>
      <c r="AA502" s="35">
        <f>'Client Data'!AB30</f>
        <v>0</v>
      </c>
      <c r="AB502" s="35">
        <f>'Client Data'!AC30</f>
        <v>0</v>
      </c>
      <c r="AC502" s="35">
        <f>'Client Data'!AD30</f>
        <v>0</v>
      </c>
      <c r="AD502" s="35">
        <f>'Client Data'!AE30</f>
        <v>0</v>
      </c>
      <c r="AE502" s="35">
        <f>'Client Data'!AF30</f>
        <v>0</v>
      </c>
      <c r="AF502" s="35">
        <f>'Client Data'!AG30</f>
        <v>0</v>
      </c>
      <c r="AG502" s="35">
        <f>'Client Data'!AH30</f>
        <v>0</v>
      </c>
      <c r="AH502" s="35">
        <f>'Client Data'!AI30</f>
        <v>0</v>
      </c>
      <c r="AI502" s="35">
        <f>'Client Data'!AJ30</f>
        <v>0</v>
      </c>
      <c r="AJ502" s="35">
        <f>'Client Data'!AK30</f>
        <v>0</v>
      </c>
      <c r="AK502" s="35">
        <f>'Client Data'!AL30</f>
        <v>0</v>
      </c>
      <c r="AL502" s="35">
        <f>'Client Data'!AM30</f>
        <v>0</v>
      </c>
      <c r="AM502" s="35">
        <f>'Client Data'!AN30</f>
        <v>0</v>
      </c>
      <c r="AN502" s="35">
        <f>'Client Data'!AO30</f>
        <v>0</v>
      </c>
      <c r="AO502" s="35">
        <f>'Client Data'!AP30</f>
        <v>0</v>
      </c>
      <c r="AP502" s="35">
        <f>'Client Data'!AQ30</f>
        <v>0</v>
      </c>
      <c r="AQ502" s="35">
        <f>'Client Data'!AR30</f>
        <v>0</v>
      </c>
      <c r="AR502" s="35">
        <f>'Client Data'!AS30</f>
        <v>0</v>
      </c>
      <c r="AS502" s="35">
        <f>'Client Data'!AT30</f>
        <v>0</v>
      </c>
      <c r="AT502" s="35">
        <f>'Client Data'!AU30</f>
        <v>0</v>
      </c>
      <c r="AU502" s="35">
        <f>'Client Data'!AV30</f>
        <v>0</v>
      </c>
      <c r="AV502" s="35">
        <f>'Client Data'!AW30</f>
        <v>0</v>
      </c>
      <c r="AW502" s="35">
        <f>'Client Data'!AX30</f>
        <v>0</v>
      </c>
      <c r="AX502" s="35">
        <f>'Client Data'!AY30</f>
        <v>0</v>
      </c>
      <c r="AY502" s="35">
        <f>'Client Data'!AZ30</f>
        <v>0</v>
      </c>
      <c r="AZ502" s="35">
        <f>'Client Data'!BA30</f>
        <v>0</v>
      </c>
      <c r="BA502" s="35">
        <f>'Client Data'!BB30</f>
        <v>0</v>
      </c>
      <c r="BB502" s="35">
        <f>'Client Data'!BC30</f>
        <v>0</v>
      </c>
      <c r="BC502" s="19">
        <f t="shared" si="776"/>
        <v>0</v>
      </c>
    </row>
    <row r="503" spans="2:55" x14ac:dyDescent="0.25">
      <c r="B503" s="80" t="str">
        <f>'Client Data'!C40</f>
        <v>Product B</v>
      </c>
      <c r="C503" s="35">
        <f>'Client Data'!D40</f>
        <v>0</v>
      </c>
      <c r="D503" s="35">
        <f>'Client Data'!E40</f>
        <v>0</v>
      </c>
      <c r="E503" s="35">
        <f>'Client Data'!F40</f>
        <v>0</v>
      </c>
      <c r="F503" s="35">
        <f>'Client Data'!G40</f>
        <v>0</v>
      </c>
      <c r="G503" s="35">
        <f>'Client Data'!H40</f>
        <v>0</v>
      </c>
      <c r="H503" s="35">
        <f>'Client Data'!I40</f>
        <v>0</v>
      </c>
      <c r="I503" s="35">
        <f>'Client Data'!J40</f>
        <v>0</v>
      </c>
      <c r="J503" s="35">
        <f>'Client Data'!K40</f>
        <v>0</v>
      </c>
      <c r="K503" s="35">
        <f>'Client Data'!L40</f>
        <v>0</v>
      </c>
      <c r="L503" s="35">
        <f>'Client Data'!M40</f>
        <v>0</v>
      </c>
      <c r="M503" s="35">
        <f>'Client Data'!N40</f>
        <v>0</v>
      </c>
      <c r="N503" s="35">
        <f>'Client Data'!O40</f>
        <v>0</v>
      </c>
      <c r="O503" s="35">
        <f>'Client Data'!P40</f>
        <v>0</v>
      </c>
      <c r="P503" s="35">
        <f>'Client Data'!Q40</f>
        <v>0</v>
      </c>
      <c r="Q503" s="35">
        <f>'Client Data'!R40</f>
        <v>0</v>
      </c>
      <c r="R503" s="35">
        <f>'Client Data'!S40</f>
        <v>0</v>
      </c>
      <c r="S503" s="35">
        <f>'Client Data'!T40</f>
        <v>0</v>
      </c>
      <c r="T503" s="35">
        <f>'Client Data'!U40</f>
        <v>0</v>
      </c>
      <c r="U503" s="35">
        <f>'Client Data'!V40</f>
        <v>0</v>
      </c>
      <c r="V503" s="35">
        <f>'Client Data'!W40</f>
        <v>0</v>
      </c>
      <c r="W503" s="35">
        <f>'Client Data'!X40</f>
        <v>0</v>
      </c>
      <c r="X503" s="35">
        <f>'Client Data'!Y40</f>
        <v>0</v>
      </c>
      <c r="Y503" s="35">
        <f>'Client Data'!Z40</f>
        <v>0</v>
      </c>
      <c r="Z503" s="35">
        <f>'Client Data'!AA40</f>
        <v>0</v>
      </c>
      <c r="AA503" s="35">
        <f>'Client Data'!AB40</f>
        <v>0</v>
      </c>
      <c r="AB503" s="35">
        <f>'Client Data'!AC40</f>
        <v>0</v>
      </c>
      <c r="AC503" s="35">
        <f>'Client Data'!AD40</f>
        <v>0</v>
      </c>
      <c r="AD503" s="35">
        <f>'Client Data'!AE40</f>
        <v>0</v>
      </c>
      <c r="AE503" s="35">
        <f>'Client Data'!AF40</f>
        <v>0</v>
      </c>
      <c r="AF503" s="35">
        <f>'Client Data'!AG40</f>
        <v>0</v>
      </c>
      <c r="AG503" s="35">
        <f>'Client Data'!AH40</f>
        <v>0</v>
      </c>
      <c r="AH503" s="35">
        <f>'Client Data'!AI40</f>
        <v>0</v>
      </c>
      <c r="AI503" s="35">
        <f>'Client Data'!AJ40</f>
        <v>0</v>
      </c>
      <c r="AJ503" s="35">
        <f>'Client Data'!AK40</f>
        <v>0</v>
      </c>
      <c r="AK503" s="35">
        <f>'Client Data'!AL40</f>
        <v>0</v>
      </c>
      <c r="AL503" s="35">
        <f>'Client Data'!AM40</f>
        <v>0</v>
      </c>
      <c r="AM503" s="35">
        <f>'Client Data'!AN40</f>
        <v>0</v>
      </c>
      <c r="AN503" s="35">
        <f>'Client Data'!AO40</f>
        <v>0</v>
      </c>
      <c r="AO503" s="35">
        <f>'Client Data'!AP40</f>
        <v>0</v>
      </c>
      <c r="AP503" s="35">
        <f>'Client Data'!AQ40</f>
        <v>0</v>
      </c>
      <c r="AQ503" s="35">
        <f>'Client Data'!AR40</f>
        <v>0</v>
      </c>
      <c r="AR503" s="35">
        <f>'Client Data'!AS40</f>
        <v>0</v>
      </c>
      <c r="AS503" s="35">
        <f>'Client Data'!AT40</f>
        <v>0</v>
      </c>
      <c r="AT503" s="35">
        <f>'Client Data'!AU40</f>
        <v>0</v>
      </c>
      <c r="AU503" s="35">
        <f>'Client Data'!AV40</f>
        <v>0</v>
      </c>
      <c r="AV503" s="35">
        <f>'Client Data'!AW40</f>
        <v>0</v>
      </c>
      <c r="AW503" s="35">
        <f>'Client Data'!AX40</f>
        <v>0</v>
      </c>
      <c r="AX503" s="35">
        <f>'Client Data'!AY40</f>
        <v>0</v>
      </c>
      <c r="AY503" s="35">
        <f>'Client Data'!AZ40</f>
        <v>0</v>
      </c>
      <c r="AZ503" s="35">
        <f>'Client Data'!BA40</f>
        <v>0</v>
      </c>
      <c r="BA503" s="35">
        <f>'Client Data'!BB40</f>
        <v>0</v>
      </c>
      <c r="BB503" s="35">
        <f>'Client Data'!BC40</f>
        <v>0</v>
      </c>
      <c r="BC503" s="19">
        <f t="shared" si="776"/>
        <v>0</v>
      </c>
    </row>
    <row r="504" spans="2:55" x14ac:dyDescent="0.25">
      <c r="B504" s="80" t="str">
        <f>'Client Data'!C50</f>
        <v>Product C</v>
      </c>
      <c r="C504" s="35">
        <f>'Client Data'!D50</f>
        <v>0</v>
      </c>
      <c r="D504" s="35">
        <f>'Client Data'!E50</f>
        <v>0</v>
      </c>
      <c r="E504" s="35">
        <f>'Client Data'!F50</f>
        <v>0</v>
      </c>
      <c r="F504" s="35">
        <f>'Client Data'!G50</f>
        <v>0</v>
      </c>
      <c r="G504" s="35">
        <f>'Client Data'!H50</f>
        <v>0</v>
      </c>
      <c r="H504" s="35">
        <f>'Client Data'!I50</f>
        <v>0</v>
      </c>
      <c r="I504" s="35">
        <f>'Client Data'!J50</f>
        <v>0</v>
      </c>
      <c r="J504" s="35">
        <f>'Client Data'!K50</f>
        <v>0</v>
      </c>
      <c r="K504" s="35">
        <f>'Client Data'!L50</f>
        <v>0</v>
      </c>
      <c r="L504" s="35">
        <f>'Client Data'!M50</f>
        <v>0</v>
      </c>
      <c r="M504" s="35">
        <f>'Client Data'!N50</f>
        <v>0</v>
      </c>
      <c r="N504" s="35">
        <f>'Client Data'!O50</f>
        <v>0</v>
      </c>
      <c r="O504" s="35">
        <f>'Client Data'!P50</f>
        <v>0</v>
      </c>
      <c r="P504" s="35">
        <f>'Client Data'!Q50</f>
        <v>0</v>
      </c>
      <c r="Q504" s="35">
        <f>'Client Data'!R50</f>
        <v>0</v>
      </c>
      <c r="R504" s="35">
        <f>'Client Data'!S50</f>
        <v>0</v>
      </c>
      <c r="S504" s="35">
        <f>'Client Data'!T50</f>
        <v>0</v>
      </c>
      <c r="T504" s="35">
        <f>'Client Data'!U50</f>
        <v>0</v>
      </c>
      <c r="U504" s="35">
        <f>'Client Data'!V50</f>
        <v>0</v>
      </c>
      <c r="V504" s="35">
        <f>'Client Data'!W50</f>
        <v>0</v>
      </c>
      <c r="W504" s="35">
        <f>'Client Data'!X50</f>
        <v>0</v>
      </c>
      <c r="X504" s="35">
        <f>'Client Data'!Y50</f>
        <v>0</v>
      </c>
      <c r="Y504" s="35">
        <f>'Client Data'!Z50</f>
        <v>0</v>
      </c>
      <c r="Z504" s="35">
        <f>'Client Data'!AA50</f>
        <v>0</v>
      </c>
      <c r="AA504" s="35">
        <f>'Client Data'!AB50</f>
        <v>0</v>
      </c>
      <c r="AB504" s="35">
        <f>'Client Data'!AC50</f>
        <v>0</v>
      </c>
      <c r="AC504" s="35">
        <f>'Client Data'!AD50</f>
        <v>0</v>
      </c>
      <c r="AD504" s="35">
        <f>'Client Data'!AE50</f>
        <v>0</v>
      </c>
      <c r="AE504" s="35">
        <f>'Client Data'!AF50</f>
        <v>0</v>
      </c>
      <c r="AF504" s="35">
        <f>'Client Data'!AG50</f>
        <v>0</v>
      </c>
      <c r="AG504" s="35">
        <f>'Client Data'!AH50</f>
        <v>0</v>
      </c>
      <c r="AH504" s="35">
        <f>'Client Data'!AI50</f>
        <v>0</v>
      </c>
      <c r="AI504" s="35">
        <f>'Client Data'!AJ50</f>
        <v>0</v>
      </c>
      <c r="AJ504" s="35">
        <f>'Client Data'!AK50</f>
        <v>0</v>
      </c>
      <c r="AK504" s="35">
        <f>'Client Data'!AL50</f>
        <v>0</v>
      </c>
      <c r="AL504" s="35">
        <f>'Client Data'!AM50</f>
        <v>0</v>
      </c>
      <c r="AM504" s="35">
        <f>'Client Data'!AN50</f>
        <v>0</v>
      </c>
      <c r="AN504" s="35">
        <f>'Client Data'!AO50</f>
        <v>0</v>
      </c>
      <c r="AO504" s="35">
        <f>'Client Data'!AP50</f>
        <v>0</v>
      </c>
      <c r="AP504" s="35">
        <f>'Client Data'!AQ50</f>
        <v>0</v>
      </c>
      <c r="AQ504" s="35">
        <f>'Client Data'!AR50</f>
        <v>0</v>
      </c>
      <c r="AR504" s="35">
        <f>'Client Data'!AS50</f>
        <v>0</v>
      </c>
      <c r="AS504" s="35">
        <f>'Client Data'!AT50</f>
        <v>0</v>
      </c>
      <c r="AT504" s="35">
        <f>'Client Data'!AU50</f>
        <v>0</v>
      </c>
      <c r="AU504" s="35">
        <f>'Client Data'!AV50</f>
        <v>0</v>
      </c>
      <c r="AV504" s="35">
        <f>'Client Data'!AW50</f>
        <v>0</v>
      </c>
      <c r="AW504" s="35">
        <f>'Client Data'!AX50</f>
        <v>0</v>
      </c>
      <c r="AX504" s="35">
        <f>'Client Data'!AY50</f>
        <v>0</v>
      </c>
      <c r="AY504" s="35">
        <f>'Client Data'!AZ50</f>
        <v>0</v>
      </c>
      <c r="AZ504" s="35">
        <f>'Client Data'!BA50</f>
        <v>0</v>
      </c>
      <c r="BA504" s="35">
        <f>'Client Data'!BB50</f>
        <v>0</v>
      </c>
      <c r="BB504" s="35">
        <f>'Client Data'!BC50</f>
        <v>0</v>
      </c>
      <c r="BC504" s="19">
        <f t="shared" si="776"/>
        <v>0</v>
      </c>
    </row>
    <row r="505" spans="2:55" x14ac:dyDescent="0.25">
      <c r="B505" s="80" t="str">
        <f>'Client Data'!C60</f>
        <v>Product D</v>
      </c>
      <c r="C505" s="35">
        <f>'Client Data'!D60</f>
        <v>0</v>
      </c>
      <c r="D505" s="35">
        <f>'Client Data'!E60</f>
        <v>0</v>
      </c>
      <c r="E505" s="35">
        <f>'Client Data'!F60</f>
        <v>0</v>
      </c>
      <c r="F505" s="35">
        <f>'Client Data'!G60</f>
        <v>0</v>
      </c>
      <c r="G505" s="35">
        <f>'Client Data'!H60</f>
        <v>0</v>
      </c>
      <c r="H505" s="35">
        <f>'Client Data'!I60</f>
        <v>0</v>
      </c>
      <c r="I505" s="35">
        <f>'Client Data'!J60</f>
        <v>0</v>
      </c>
      <c r="J505" s="35">
        <f>'Client Data'!K60</f>
        <v>0</v>
      </c>
      <c r="K505" s="35">
        <f>'Client Data'!L60</f>
        <v>0</v>
      </c>
      <c r="L505" s="35">
        <f>'Client Data'!M60</f>
        <v>0</v>
      </c>
      <c r="M505" s="35">
        <f>'Client Data'!N60</f>
        <v>0</v>
      </c>
      <c r="N505" s="35">
        <f>'Client Data'!O60</f>
        <v>0</v>
      </c>
      <c r="O505" s="35">
        <f>'Client Data'!P60</f>
        <v>0</v>
      </c>
      <c r="P505" s="35">
        <f>'Client Data'!Q60</f>
        <v>0</v>
      </c>
      <c r="Q505" s="35">
        <f>'Client Data'!R60</f>
        <v>0</v>
      </c>
      <c r="R505" s="35">
        <f>'Client Data'!S60</f>
        <v>0</v>
      </c>
      <c r="S505" s="35">
        <f>'Client Data'!T60</f>
        <v>0</v>
      </c>
      <c r="T505" s="35">
        <f>'Client Data'!U60</f>
        <v>0</v>
      </c>
      <c r="U505" s="35">
        <f>'Client Data'!V60</f>
        <v>0</v>
      </c>
      <c r="V505" s="35">
        <f>'Client Data'!W60</f>
        <v>0</v>
      </c>
      <c r="W505" s="35">
        <f>'Client Data'!X60</f>
        <v>0</v>
      </c>
      <c r="X505" s="35">
        <f>'Client Data'!Y60</f>
        <v>0</v>
      </c>
      <c r="Y505" s="35">
        <f>'Client Data'!Z60</f>
        <v>0</v>
      </c>
      <c r="Z505" s="35">
        <f>'Client Data'!AA60</f>
        <v>0</v>
      </c>
      <c r="AA505" s="35">
        <f>'Client Data'!AB60</f>
        <v>0</v>
      </c>
      <c r="AB505" s="35">
        <f>'Client Data'!AC60</f>
        <v>0</v>
      </c>
      <c r="AC505" s="35">
        <f>'Client Data'!AD60</f>
        <v>0</v>
      </c>
      <c r="AD505" s="35">
        <f>'Client Data'!AE60</f>
        <v>0</v>
      </c>
      <c r="AE505" s="35">
        <f>'Client Data'!AF60</f>
        <v>0</v>
      </c>
      <c r="AF505" s="35">
        <f>'Client Data'!AG60</f>
        <v>0</v>
      </c>
      <c r="AG505" s="35">
        <f>'Client Data'!AH60</f>
        <v>0</v>
      </c>
      <c r="AH505" s="35">
        <f>'Client Data'!AI60</f>
        <v>0</v>
      </c>
      <c r="AI505" s="35">
        <f>'Client Data'!AJ60</f>
        <v>0</v>
      </c>
      <c r="AJ505" s="35">
        <f>'Client Data'!AK60</f>
        <v>0</v>
      </c>
      <c r="AK505" s="35">
        <f>'Client Data'!AL60</f>
        <v>0</v>
      </c>
      <c r="AL505" s="35">
        <f>'Client Data'!AM60</f>
        <v>0</v>
      </c>
      <c r="AM505" s="35">
        <f>'Client Data'!AN60</f>
        <v>0</v>
      </c>
      <c r="AN505" s="35">
        <f>'Client Data'!AO60</f>
        <v>0</v>
      </c>
      <c r="AO505" s="35">
        <f>'Client Data'!AP60</f>
        <v>0</v>
      </c>
      <c r="AP505" s="35">
        <f>'Client Data'!AQ60</f>
        <v>0</v>
      </c>
      <c r="AQ505" s="35">
        <f>'Client Data'!AR60</f>
        <v>0</v>
      </c>
      <c r="AR505" s="35">
        <f>'Client Data'!AS60</f>
        <v>0</v>
      </c>
      <c r="AS505" s="35">
        <f>'Client Data'!AT60</f>
        <v>0</v>
      </c>
      <c r="AT505" s="35">
        <f>'Client Data'!AU60</f>
        <v>0</v>
      </c>
      <c r="AU505" s="35">
        <f>'Client Data'!AV60</f>
        <v>0</v>
      </c>
      <c r="AV505" s="35">
        <f>'Client Data'!AW60</f>
        <v>0</v>
      </c>
      <c r="AW505" s="35">
        <f>'Client Data'!AX60</f>
        <v>0</v>
      </c>
      <c r="AX505" s="35">
        <f>'Client Data'!AY60</f>
        <v>0</v>
      </c>
      <c r="AY505" s="35">
        <f>'Client Data'!AZ60</f>
        <v>0</v>
      </c>
      <c r="AZ505" s="35">
        <f>'Client Data'!BA60</f>
        <v>0</v>
      </c>
      <c r="BA505" s="35">
        <f>'Client Data'!BB60</f>
        <v>0</v>
      </c>
      <c r="BB505" s="35">
        <f>'Client Data'!BC60</f>
        <v>0</v>
      </c>
      <c r="BC505" s="19">
        <f t="shared" si="776"/>
        <v>0</v>
      </c>
    </row>
    <row r="506" spans="2:55" x14ac:dyDescent="0.25">
      <c r="B506" s="80" t="str">
        <f>'Client Data'!C70</f>
        <v>Product E</v>
      </c>
      <c r="C506" s="35">
        <f>'Client Data'!D70</f>
        <v>0</v>
      </c>
      <c r="D506" s="35">
        <f>'Client Data'!E70</f>
        <v>0</v>
      </c>
      <c r="E506" s="35">
        <f>'Client Data'!F70</f>
        <v>0</v>
      </c>
      <c r="F506" s="35">
        <f>'Client Data'!G70</f>
        <v>0</v>
      </c>
      <c r="G506" s="35">
        <f>'Client Data'!H70</f>
        <v>0</v>
      </c>
      <c r="H506" s="35">
        <f>'Client Data'!I70</f>
        <v>0</v>
      </c>
      <c r="I506" s="35">
        <f>'Client Data'!J70</f>
        <v>0</v>
      </c>
      <c r="J506" s="35">
        <f>'Client Data'!K70</f>
        <v>0</v>
      </c>
      <c r="K506" s="35">
        <f>'Client Data'!L70</f>
        <v>0</v>
      </c>
      <c r="L506" s="35">
        <f>'Client Data'!M70</f>
        <v>0</v>
      </c>
      <c r="M506" s="35">
        <f>'Client Data'!N70</f>
        <v>0</v>
      </c>
      <c r="N506" s="35">
        <f>'Client Data'!O70</f>
        <v>0</v>
      </c>
      <c r="O506" s="35">
        <f>'Client Data'!P70</f>
        <v>0</v>
      </c>
      <c r="P506" s="35">
        <f>'Client Data'!Q70</f>
        <v>0</v>
      </c>
      <c r="Q506" s="35">
        <f>'Client Data'!R70</f>
        <v>0</v>
      </c>
      <c r="R506" s="35">
        <f>'Client Data'!S70</f>
        <v>0</v>
      </c>
      <c r="S506" s="35">
        <f>'Client Data'!T70</f>
        <v>0</v>
      </c>
      <c r="T506" s="35">
        <f>'Client Data'!U70</f>
        <v>0</v>
      </c>
      <c r="U506" s="35">
        <f>'Client Data'!V70</f>
        <v>0</v>
      </c>
      <c r="V506" s="35">
        <f>'Client Data'!W70</f>
        <v>0</v>
      </c>
      <c r="W506" s="35">
        <f>'Client Data'!X70</f>
        <v>0</v>
      </c>
      <c r="X506" s="35">
        <f>'Client Data'!Y70</f>
        <v>0</v>
      </c>
      <c r="Y506" s="35">
        <f>'Client Data'!Z70</f>
        <v>0</v>
      </c>
      <c r="Z506" s="35">
        <f>'Client Data'!AA70</f>
        <v>0</v>
      </c>
      <c r="AA506" s="35">
        <f>'Client Data'!AB70</f>
        <v>0</v>
      </c>
      <c r="AB506" s="35">
        <f>'Client Data'!AC70</f>
        <v>0</v>
      </c>
      <c r="AC506" s="35">
        <f>'Client Data'!AD70</f>
        <v>0</v>
      </c>
      <c r="AD506" s="35">
        <f>'Client Data'!AE70</f>
        <v>0</v>
      </c>
      <c r="AE506" s="35">
        <f>'Client Data'!AF70</f>
        <v>0</v>
      </c>
      <c r="AF506" s="35">
        <f>'Client Data'!AG70</f>
        <v>0</v>
      </c>
      <c r="AG506" s="35">
        <f>'Client Data'!AH70</f>
        <v>0</v>
      </c>
      <c r="AH506" s="35">
        <f>'Client Data'!AI70</f>
        <v>0</v>
      </c>
      <c r="AI506" s="35">
        <f>'Client Data'!AJ70</f>
        <v>0</v>
      </c>
      <c r="AJ506" s="35">
        <f>'Client Data'!AK70</f>
        <v>0</v>
      </c>
      <c r="AK506" s="35">
        <f>'Client Data'!AL70</f>
        <v>0</v>
      </c>
      <c r="AL506" s="35">
        <f>'Client Data'!AM70</f>
        <v>0</v>
      </c>
      <c r="AM506" s="35">
        <f>'Client Data'!AN70</f>
        <v>0</v>
      </c>
      <c r="AN506" s="35">
        <f>'Client Data'!AO70</f>
        <v>0</v>
      </c>
      <c r="AO506" s="35">
        <f>'Client Data'!AP70</f>
        <v>0</v>
      </c>
      <c r="AP506" s="35">
        <f>'Client Data'!AQ70</f>
        <v>0</v>
      </c>
      <c r="AQ506" s="35">
        <f>'Client Data'!AR70</f>
        <v>0</v>
      </c>
      <c r="AR506" s="35">
        <f>'Client Data'!AS70</f>
        <v>0</v>
      </c>
      <c r="AS506" s="35">
        <f>'Client Data'!AT70</f>
        <v>0</v>
      </c>
      <c r="AT506" s="35">
        <f>'Client Data'!AU70</f>
        <v>0</v>
      </c>
      <c r="AU506" s="35">
        <f>'Client Data'!AV70</f>
        <v>0</v>
      </c>
      <c r="AV506" s="35">
        <f>'Client Data'!AW70</f>
        <v>0</v>
      </c>
      <c r="AW506" s="35">
        <f>'Client Data'!AX70</f>
        <v>0</v>
      </c>
      <c r="AX506" s="35">
        <f>'Client Data'!AY70</f>
        <v>0</v>
      </c>
      <c r="AY506" s="35">
        <f>'Client Data'!AZ70</f>
        <v>0</v>
      </c>
      <c r="AZ506" s="35">
        <f>'Client Data'!BA70</f>
        <v>0</v>
      </c>
      <c r="BA506" s="35">
        <f>'Client Data'!BB70</f>
        <v>0</v>
      </c>
      <c r="BB506" s="35">
        <f>'Client Data'!BC70</f>
        <v>0</v>
      </c>
      <c r="BC506" s="19">
        <f t="shared" si="776"/>
        <v>0</v>
      </c>
    </row>
    <row r="507" spans="2:55" x14ac:dyDescent="0.25">
      <c r="B507" s="80" t="str">
        <f>'Client Data'!C80</f>
        <v>Product F</v>
      </c>
      <c r="C507" s="35">
        <f>'Client Data'!D80</f>
        <v>0</v>
      </c>
      <c r="D507" s="35">
        <f>'Client Data'!E80</f>
        <v>0</v>
      </c>
      <c r="E507" s="35">
        <f>'Client Data'!F80</f>
        <v>0</v>
      </c>
      <c r="F507" s="35">
        <f>'Client Data'!G80</f>
        <v>0</v>
      </c>
      <c r="G507" s="35">
        <f>'Client Data'!H80</f>
        <v>0</v>
      </c>
      <c r="H507" s="35">
        <f>'Client Data'!I80</f>
        <v>0</v>
      </c>
      <c r="I507" s="35">
        <f>'Client Data'!J80</f>
        <v>0</v>
      </c>
      <c r="J507" s="35">
        <f>'Client Data'!K80</f>
        <v>0</v>
      </c>
      <c r="K507" s="35">
        <f>'Client Data'!L80</f>
        <v>0</v>
      </c>
      <c r="L507" s="35">
        <f>'Client Data'!M80</f>
        <v>0</v>
      </c>
      <c r="M507" s="35">
        <f>'Client Data'!N80</f>
        <v>0</v>
      </c>
      <c r="N507" s="35">
        <f>'Client Data'!O80</f>
        <v>0</v>
      </c>
      <c r="O507" s="35">
        <f>'Client Data'!P80</f>
        <v>0</v>
      </c>
      <c r="P507" s="35">
        <f>'Client Data'!Q80</f>
        <v>0</v>
      </c>
      <c r="Q507" s="35">
        <f>'Client Data'!R80</f>
        <v>0</v>
      </c>
      <c r="R507" s="35">
        <f>'Client Data'!S80</f>
        <v>0</v>
      </c>
      <c r="S507" s="35">
        <f>'Client Data'!T80</f>
        <v>0</v>
      </c>
      <c r="T507" s="35">
        <f>'Client Data'!U80</f>
        <v>0</v>
      </c>
      <c r="U507" s="35">
        <f>'Client Data'!V80</f>
        <v>0</v>
      </c>
      <c r="V507" s="35">
        <f>'Client Data'!W80</f>
        <v>0</v>
      </c>
      <c r="W507" s="35">
        <f>'Client Data'!X80</f>
        <v>0</v>
      </c>
      <c r="X507" s="35">
        <f>'Client Data'!Y80</f>
        <v>0</v>
      </c>
      <c r="Y507" s="35">
        <f>'Client Data'!Z80</f>
        <v>0</v>
      </c>
      <c r="Z507" s="35">
        <f>'Client Data'!AA80</f>
        <v>0</v>
      </c>
      <c r="AA507" s="35">
        <f>'Client Data'!AB80</f>
        <v>0</v>
      </c>
      <c r="AB507" s="35">
        <f>'Client Data'!AC80</f>
        <v>0</v>
      </c>
      <c r="AC507" s="35">
        <f>'Client Data'!AD80</f>
        <v>0</v>
      </c>
      <c r="AD507" s="35">
        <f>'Client Data'!AE80</f>
        <v>0</v>
      </c>
      <c r="AE507" s="35">
        <f>'Client Data'!AF80</f>
        <v>0</v>
      </c>
      <c r="AF507" s="35">
        <f>'Client Data'!AG80</f>
        <v>0</v>
      </c>
      <c r="AG507" s="35">
        <f>'Client Data'!AH80</f>
        <v>0</v>
      </c>
      <c r="AH507" s="35">
        <f>'Client Data'!AI80</f>
        <v>0</v>
      </c>
      <c r="AI507" s="35">
        <f>'Client Data'!AJ80</f>
        <v>0</v>
      </c>
      <c r="AJ507" s="35">
        <f>'Client Data'!AK80</f>
        <v>0</v>
      </c>
      <c r="AK507" s="35">
        <f>'Client Data'!AL80</f>
        <v>0</v>
      </c>
      <c r="AL507" s="35">
        <f>'Client Data'!AM80</f>
        <v>0</v>
      </c>
      <c r="AM507" s="35">
        <f>'Client Data'!AN80</f>
        <v>0</v>
      </c>
      <c r="AN507" s="35">
        <f>'Client Data'!AO80</f>
        <v>0</v>
      </c>
      <c r="AO507" s="35">
        <f>'Client Data'!AP80</f>
        <v>0</v>
      </c>
      <c r="AP507" s="35">
        <f>'Client Data'!AQ80</f>
        <v>0</v>
      </c>
      <c r="AQ507" s="35">
        <f>'Client Data'!AR80</f>
        <v>0</v>
      </c>
      <c r="AR507" s="35">
        <f>'Client Data'!AS80</f>
        <v>0</v>
      </c>
      <c r="AS507" s="35">
        <f>'Client Data'!AT80</f>
        <v>0</v>
      </c>
      <c r="AT507" s="35">
        <f>'Client Data'!AU80</f>
        <v>0</v>
      </c>
      <c r="AU507" s="35">
        <f>'Client Data'!AV80</f>
        <v>0</v>
      </c>
      <c r="AV507" s="35">
        <f>'Client Data'!AW80</f>
        <v>0</v>
      </c>
      <c r="AW507" s="35">
        <f>'Client Data'!AX80</f>
        <v>0</v>
      </c>
      <c r="AX507" s="35">
        <f>'Client Data'!AY80</f>
        <v>0</v>
      </c>
      <c r="AY507" s="35">
        <f>'Client Data'!AZ80</f>
        <v>0</v>
      </c>
      <c r="AZ507" s="35">
        <f>'Client Data'!BA80</f>
        <v>0</v>
      </c>
      <c r="BA507" s="35">
        <f>'Client Data'!BB80</f>
        <v>0</v>
      </c>
      <c r="BB507" s="35">
        <f>'Client Data'!BC80</f>
        <v>0</v>
      </c>
      <c r="BC507" s="19">
        <f t="shared" si="776"/>
        <v>0</v>
      </c>
    </row>
    <row r="508" spans="2:55" x14ac:dyDescent="0.25">
      <c r="B508" s="80" t="str">
        <f>'Client Data'!C90</f>
        <v>Product G</v>
      </c>
      <c r="C508" s="35">
        <f>'Client Data'!D90</f>
        <v>0</v>
      </c>
      <c r="D508" s="35">
        <f>'Client Data'!E90</f>
        <v>8</v>
      </c>
      <c r="E508" s="35">
        <f>'Client Data'!F90</f>
        <v>13</v>
      </c>
      <c r="F508" s="35">
        <f>'Client Data'!G90</f>
        <v>24</v>
      </c>
      <c r="G508" s="35">
        <f>'Client Data'!H90</f>
        <v>0</v>
      </c>
      <c r="H508" s="35">
        <f>'Client Data'!I90</f>
        <v>0</v>
      </c>
      <c r="I508" s="35">
        <f>'Client Data'!J90</f>
        <v>11</v>
      </c>
      <c r="J508" s="35">
        <f>'Client Data'!K90</f>
        <v>28</v>
      </c>
      <c r="K508" s="35">
        <f>'Client Data'!L90</f>
        <v>0</v>
      </c>
      <c r="L508" s="35">
        <f>'Client Data'!M90</f>
        <v>0</v>
      </c>
      <c r="M508" s="35">
        <f>'Client Data'!N90</f>
        <v>11</v>
      </c>
      <c r="N508" s="35">
        <f>'Client Data'!O90</f>
        <v>24</v>
      </c>
      <c r="O508" s="35">
        <f>'Client Data'!P90</f>
        <v>0</v>
      </c>
      <c r="P508" s="35">
        <f>'Client Data'!Q90</f>
        <v>0</v>
      </c>
      <c r="Q508" s="35">
        <f>'Client Data'!R90</f>
        <v>11</v>
      </c>
      <c r="R508" s="35">
        <f>'Client Data'!S90</f>
        <v>15</v>
      </c>
      <c r="S508" s="35">
        <f>'Client Data'!T90</f>
        <v>0</v>
      </c>
      <c r="T508" s="35">
        <f>'Client Data'!U90</f>
        <v>0</v>
      </c>
      <c r="U508" s="35">
        <f>'Client Data'!V90</f>
        <v>11</v>
      </c>
      <c r="V508" s="35">
        <f>'Client Data'!W90</f>
        <v>28</v>
      </c>
      <c r="W508" s="35">
        <f>'Client Data'!X90</f>
        <v>0</v>
      </c>
      <c r="X508" s="35">
        <f>'Client Data'!Y90</f>
        <v>0</v>
      </c>
      <c r="Y508" s="35">
        <f>'Client Data'!Z90</f>
        <v>11</v>
      </c>
      <c r="Z508" s="35">
        <f>'Client Data'!AA90</f>
        <v>28</v>
      </c>
      <c r="AA508" s="35">
        <f>'Client Data'!AB90</f>
        <v>0</v>
      </c>
      <c r="AB508" s="35">
        <f>'Client Data'!AC90</f>
        <v>0</v>
      </c>
      <c r="AC508" s="35">
        <f>'Client Data'!AD90</f>
        <v>11</v>
      </c>
      <c r="AD508" s="35">
        <f>'Client Data'!AE90</f>
        <v>28</v>
      </c>
      <c r="AE508" s="35">
        <f>'Client Data'!AF90</f>
        <v>0</v>
      </c>
      <c r="AF508" s="35">
        <f>'Client Data'!AG90</f>
        <v>0</v>
      </c>
      <c r="AG508" s="35">
        <f>'Client Data'!AH90</f>
        <v>11</v>
      </c>
      <c r="AH508" s="35">
        <f>'Client Data'!AI90</f>
        <v>28</v>
      </c>
      <c r="AI508" s="35">
        <f>'Client Data'!AJ90</f>
        <v>0</v>
      </c>
      <c r="AJ508" s="35">
        <f>'Client Data'!AK90</f>
        <v>0</v>
      </c>
      <c r="AK508" s="35">
        <f>'Client Data'!AL90</f>
        <v>10</v>
      </c>
      <c r="AL508" s="35">
        <f>'Client Data'!AM90</f>
        <v>28</v>
      </c>
      <c r="AM508" s="35">
        <f>'Client Data'!AN90</f>
        <v>0</v>
      </c>
      <c r="AN508" s="35">
        <f>'Client Data'!AO90</f>
        <v>0</v>
      </c>
      <c r="AO508" s="35">
        <f>'Client Data'!AP90</f>
        <v>11</v>
      </c>
      <c r="AP508" s="35">
        <f>'Client Data'!AQ90</f>
        <v>28</v>
      </c>
      <c r="AQ508" s="35">
        <f>'Client Data'!AR90</f>
        <v>0</v>
      </c>
      <c r="AR508" s="35">
        <f>'Client Data'!AS90</f>
        <v>0</v>
      </c>
      <c r="AS508" s="35">
        <f>'Client Data'!AT90</f>
        <v>11</v>
      </c>
      <c r="AT508" s="35">
        <f>'Client Data'!AU90</f>
        <v>28</v>
      </c>
      <c r="AU508" s="35">
        <f>'Client Data'!AV90</f>
        <v>0</v>
      </c>
      <c r="AV508" s="35">
        <f>'Client Data'!AW90</f>
        <v>0</v>
      </c>
      <c r="AW508" s="35">
        <f>'Client Data'!AX90</f>
        <v>11</v>
      </c>
      <c r="AX508" s="35">
        <f>'Client Data'!AY90</f>
        <v>28</v>
      </c>
      <c r="AY508" s="35">
        <f>'Client Data'!AZ90</f>
        <v>0</v>
      </c>
      <c r="AZ508" s="35">
        <f>'Client Data'!BA90</f>
        <v>0</v>
      </c>
      <c r="BA508" s="35">
        <f>'Client Data'!BB90</f>
        <v>11</v>
      </c>
      <c r="BB508" s="35">
        <f>'Client Data'!BC90</f>
        <v>28</v>
      </c>
      <c r="BC508" s="19">
        <f t="shared" si="776"/>
        <v>495</v>
      </c>
    </row>
    <row r="509" spans="2:55" x14ac:dyDescent="0.25">
      <c r="B509" s="80" t="str">
        <f>'Client Data'!C100</f>
        <v>Product H</v>
      </c>
      <c r="C509" s="35">
        <f>'Client Data'!D100</f>
        <v>0</v>
      </c>
      <c r="D509" s="35">
        <f>'Client Data'!E100</f>
        <v>0</v>
      </c>
      <c r="E509" s="35">
        <f>'Client Data'!F100</f>
        <v>0</v>
      </c>
      <c r="F509" s="35">
        <f>'Client Data'!G100</f>
        <v>11</v>
      </c>
      <c r="G509" s="35">
        <f>'Client Data'!H100</f>
        <v>0</v>
      </c>
      <c r="H509" s="35">
        <f>'Client Data'!I100</f>
        <v>0</v>
      </c>
      <c r="I509" s="35">
        <f>'Client Data'!J100</f>
        <v>0</v>
      </c>
      <c r="J509" s="35">
        <f>'Client Data'!K100</f>
        <v>11</v>
      </c>
      <c r="K509" s="35">
        <f>'Client Data'!L100</f>
        <v>0</v>
      </c>
      <c r="L509" s="35">
        <f>'Client Data'!M100</f>
        <v>0</v>
      </c>
      <c r="M509" s="35">
        <f>'Client Data'!N100</f>
        <v>0</v>
      </c>
      <c r="N509" s="35">
        <f>'Client Data'!O100</f>
        <v>10</v>
      </c>
      <c r="O509" s="35">
        <f>'Client Data'!P100</f>
        <v>0</v>
      </c>
      <c r="P509" s="35">
        <f>'Client Data'!Q100</f>
        <v>0</v>
      </c>
      <c r="Q509" s="35">
        <f>'Client Data'!R100</f>
        <v>13</v>
      </c>
      <c r="R509" s="35">
        <f>'Client Data'!S100</f>
        <v>11</v>
      </c>
      <c r="S509" s="35">
        <f>'Client Data'!T100</f>
        <v>0</v>
      </c>
      <c r="T509" s="35">
        <f>'Client Data'!U100</f>
        <v>0</v>
      </c>
      <c r="U509" s="35">
        <f>'Client Data'!V100</f>
        <v>0</v>
      </c>
      <c r="V509" s="35">
        <f>'Client Data'!W100</f>
        <v>11</v>
      </c>
      <c r="W509" s="35">
        <f>'Client Data'!X100</f>
        <v>13</v>
      </c>
      <c r="X509" s="35">
        <f>'Client Data'!Y100</f>
        <v>0</v>
      </c>
      <c r="Y509" s="35">
        <f>'Client Data'!Z100</f>
        <v>0</v>
      </c>
      <c r="Z509" s="35">
        <f>'Client Data'!AA100</f>
        <v>11</v>
      </c>
      <c r="AA509" s="35">
        <f>'Client Data'!AB100</f>
        <v>0</v>
      </c>
      <c r="AB509" s="35">
        <f>'Client Data'!AC100</f>
        <v>8</v>
      </c>
      <c r="AC509" s="35">
        <f>'Client Data'!AD100</f>
        <v>0</v>
      </c>
      <c r="AD509" s="35">
        <f>'Client Data'!AE100</f>
        <v>11</v>
      </c>
      <c r="AE509" s="35">
        <f>'Client Data'!AF100</f>
        <v>0</v>
      </c>
      <c r="AF509" s="35">
        <f>'Client Data'!AG100</f>
        <v>0</v>
      </c>
      <c r="AG509" s="35">
        <f>'Client Data'!AH100</f>
        <v>0</v>
      </c>
      <c r="AH509" s="35">
        <f>'Client Data'!AI100</f>
        <v>11</v>
      </c>
      <c r="AI509" s="35">
        <f>'Client Data'!AJ100</f>
        <v>13</v>
      </c>
      <c r="AJ509" s="35">
        <f>'Client Data'!AK100</f>
        <v>0</v>
      </c>
      <c r="AK509" s="35">
        <f>'Client Data'!AL100</f>
        <v>0</v>
      </c>
      <c r="AL509" s="35">
        <f>'Client Data'!AM100</f>
        <v>11</v>
      </c>
      <c r="AM509" s="35">
        <f>'Client Data'!AN100</f>
        <v>0</v>
      </c>
      <c r="AN509" s="35">
        <f>'Client Data'!AO100</f>
        <v>0</v>
      </c>
      <c r="AO509" s="35">
        <f>'Client Data'!AP100</f>
        <v>13</v>
      </c>
      <c r="AP509" s="35">
        <f>'Client Data'!AQ100</f>
        <v>11</v>
      </c>
      <c r="AQ509" s="35">
        <f>'Client Data'!AR100</f>
        <v>0</v>
      </c>
      <c r="AR509" s="35">
        <f>'Client Data'!AS100</f>
        <v>0</v>
      </c>
      <c r="AS509" s="35">
        <f>'Client Data'!AT100</f>
        <v>0</v>
      </c>
      <c r="AT509" s="35">
        <f>'Client Data'!AU100</f>
        <v>10</v>
      </c>
      <c r="AU509" s="35">
        <f>'Client Data'!AV100</f>
        <v>0</v>
      </c>
      <c r="AV509" s="35">
        <f>'Client Data'!AW100</f>
        <v>0</v>
      </c>
      <c r="AW509" s="35">
        <f>'Client Data'!AX100</f>
        <v>0</v>
      </c>
      <c r="AX509" s="35">
        <f>'Client Data'!AY100</f>
        <v>11</v>
      </c>
      <c r="AY509" s="35">
        <f>'Client Data'!AZ100</f>
        <v>0</v>
      </c>
      <c r="AZ509" s="35">
        <f>'Client Data'!BA100</f>
        <v>0</v>
      </c>
      <c r="BA509" s="35">
        <f>'Client Data'!BB100</f>
        <v>0</v>
      </c>
      <c r="BB509" s="35">
        <f>'Client Data'!BC100</f>
        <v>11</v>
      </c>
      <c r="BC509" s="19">
        <f t="shared" si="776"/>
        <v>201</v>
      </c>
    </row>
    <row r="510" spans="2:55" x14ac:dyDescent="0.25">
      <c r="B510" s="19" t="str">
        <f>'Client Data'!B31</f>
        <v>Rework Loss Type G</v>
      </c>
      <c r="C510" s="50">
        <f t="shared" ref="C510:AH510" si="785">IF(C190&gt;0,SUM(C511:C518),0)</f>
        <v>22</v>
      </c>
      <c r="D510" s="50">
        <f t="shared" si="785"/>
        <v>17</v>
      </c>
      <c r="E510" s="50">
        <f t="shared" si="785"/>
        <v>19</v>
      </c>
      <c r="F510" s="50">
        <f t="shared" si="785"/>
        <v>0</v>
      </c>
      <c r="G510" s="50">
        <f t="shared" si="785"/>
        <v>22</v>
      </c>
      <c r="H510" s="50">
        <f t="shared" si="785"/>
        <v>17</v>
      </c>
      <c r="I510" s="50">
        <f t="shared" si="785"/>
        <v>19</v>
      </c>
      <c r="J510" s="50">
        <f t="shared" si="785"/>
        <v>0</v>
      </c>
      <c r="K510" s="50">
        <f t="shared" si="785"/>
        <v>22</v>
      </c>
      <c r="L510" s="50">
        <f t="shared" si="785"/>
        <v>17</v>
      </c>
      <c r="M510" s="50">
        <f t="shared" si="785"/>
        <v>19</v>
      </c>
      <c r="N510" s="50">
        <f t="shared" si="785"/>
        <v>0</v>
      </c>
      <c r="O510" s="50">
        <f t="shared" si="785"/>
        <v>21</v>
      </c>
      <c r="P510" s="50">
        <f t="shared" si="785"/>
        <v>17</v>
      </c>
      <c r="Q510" s="50">
        <f t="shared" si="785"/>
        <v>19</v>
      </c>
      <c r="R510" s="50">
        <f t="shared" si="785"/>
        <v>0</v>
      </c>
      <c r="S510" s="50">
        <f t="shared" si="785"/>
        <v>22</v>
      </c>
      <c r="T510" s="50">
        <f t="shared" si="785"/>
        <v>17</v>
      </c>
      <c r="U510" s="50">
        <f t="shared" si="785"/>
        <v>20</v>
      </c>
      <c r="V510" s="50">
        <f t="shared" si="785"/>
        <v>0</v>
      </c>
      <c r="W510" s="50">
        <f t="shared" si="785"/>
        <v>22</v>
      </c>
      <c r="X510" s="50">
        <f t="shared" si="785"/>
        <v>17</v>
      </c>
      <c r="Y510" s="50">
        <f t="shared" si="785"/>
        <v>20</v>
      </c>
      <c r="Z510" s="50">
        <f t="shared" si="785"/>
        <v>0</v>
      </c>
      <c r="AA510" s="50">
        <f t="shared" si="785"/>
        <v>22</v>
      </c>
      <c r="AB510" s="50">
        <f t="shared" si="785"/>
        <v>17</v>
      </c>
      <c r="AC510" s="50">
        <f t="shared" si="785"/>
        <v>19</v>
      </c>
      <c r="AD510" s="50">
        <f t="shared" si="785"/>
        <v>0</v>
      </c>
      <c r="AE510" s="50">
        <f t="shared" si="785"/>
        <v>22</v>
      </c>
      <c r="AF510" s="50">
        <f t="shared" si="785"/>
        <v>18</v>
      </c>
      <c r="AG510" s="50">
        <f t="shared" si="785"/>
        <v>19</v>
      </c>
      <c r="AH510" s="50">
        <f t="shared" si="785"/>
        <v>0</v>
      </c>
      <c r="AI510" s="50">
        <f t="shared" ref="AI510:BB510" si="786">IF(AI190&gt;0,SUM(AI511:AI518),0)</f>
        <v>21</v>
      </c>
      <c r="AJ510" s="50">
        <f t="shared" si="786"/>
        <v>17</v>
      </c>
      <c r="AK510" s="50">
        <f t="shared" si="786"/>
        <v>20</v>
      </c>
      <c r="AL510" s="50">
        <f t="shared" si="786"/>
        <v>0</v>
      </c>
      <c r="AM510" s="50">
        <f t="shared" si="786"/>
        <v>22</v>
      </c>
      <c r="AN510" s="50">
        <f t="shared" si="786"/>
        <v>17</v>
      </c>
      <c r="AO510" s="50">
        <f t="shared" si="786"/>
        <v>20</v>
      </c>
      <c r="AP510" s="50">
        <f t="shared" si="786"/>
        <v>0</v>
      </c>
      <c r="AQ510" s="50">
        <f t="shared" si="786"/>
        <v>22</v>
      </c>
      <c r="AR510" s="50">
        <f t="shared" si="786"/>
        <v>17</v>
      </c>
      <c r="AS510" s="50">
        <f t="shared" si="786"/>
        <v>19</v>
      </c>
      <c r="AT510" s="50">
        <f t="shared" si="786"/>
        <v>0</v>
      </c>
      <c r="AU510" s="50">
        <f t="shared" si="786"/>
        <v>22</v>
      </c>
      <c r="AV510" s="50">
        <f t="shared" si="786"/>
        <v>17</v>
      </c>
      <c r="AW510" s="50">
        <f t="shared" si="786"/>
        <v>19</v>
      </c>
      <c r="AX510" s="50">
        <f t="shared" si="786"/>
        <v>0</v>
      </c>
      <c r="AY510" s="50">
        <f t="shared" si="786"/>
        <v>22</v>
      </c>
      <c r="AZ510" s="50">
        <f t="shared" si="786"/>
        <v>17</v>
      </c>
      <c r="BA510" s="50">
        <f t="shared" si="786"/>
        <v>20</v>
      </c>
      <c r="BB510" s="50">
        <f t="shared" si="786"/>
        <v>0</v>
      </c>
      <c r="BC510" s="19">
        <f t="shared" si="776"/>
        <v>758</v>
      </c>
    </row>
    <row r="511" spans="2:55" x14ac:dyDescent="0.25">
      <c r="B511" s="80" t="str">
        <f>'Client Data'!C31</f>
        <v>Product A</v>
      </c>
      <c r="C511" s="35">
        <f>'Client Data'!D31</f>
        <v>0</v>
      </c>
      <c r="D511" s="35">
        <f>'Client Data'!E31</f>
        <v>0</v>
      </c>
      <c r="E511" s="35">
        <f>'Client Data'!F31</f>
        <v>0</v>
      </c>
      <c r="F511" s="35">
        <f>'Client Data'!G31</f>
        <v>0</v>
      </c>
      <c r="G511" s="35">
        <f>'Client Data'!H31</f>
        <v>0</v>
      </c>
      <c r="H511" s="35">
        <f>'Client Data'!I31</f>
        <v>0</v>
      </c>
      <c r="I511" s="35">
        <f>'Client Data'!J31</f>
        <v>0</v>
      </c>
      <c r="J511" s="35">
        <f>'Client Data'!K31</f>
        <v>0</v>
      </c>
      <c r="K511" s="35">
        <f>'Client Data'!L31</f>
        <v>0</v>
      </c>
      <c r="L511" s="35">
        <f>'Client Data'!M31</f>
        <v>0</v>
      </c>
      <c r="M511" s="35">
        <f>'Client Data'!N31</f>
        <v>0</v>
      </c>
      <c r="N511" s="35">
        <f>'Client Data'!O31</f>
        <v>0</v>
      </c>
      <c r="O511" s="35">
        <f>'Client Data'!P31</f>
        <v>0</v>
      </c>
      <c r="P511" s="35">
        <f>'Client Data'!Q31</f>
        <v>0</v>
      </c>
      <c r="Q511" s="35">
        <f>'Client Data'!R31</f>
        <v>0</v>
      </c>
      <c r="R511" s="35">
        <f>'Client Data'!S31</f>
        <v>0</v>
      </c>
      <c r="S511" s="35">
        <f>'Client Data'!T31</f>
        <v>0</v>
      </c>
      <c r="T511" s="35">
        <f>'Client Data'!U31</f>
        <v>0</v>
      </c>
      <c r="U511" s="35">
        <f>'Client Data'!V31</f>
        <v>0</v>
      </c>
      <c r="V511" s="35">
        <f>'Client Data'!W31</f>
        <v>0</v>
      </c>
      <c r="W511" s="35">
        <f>'Client Data'!X31</f>
        <v>0</v>
      </c>
      <c r="X511" s="35">
        <f>'Client Data'!Y31</f>
        <v>0</v>
      </c>
      <c r="Y511" s="35">
        <f>'Client Data'!Z31</f>
        <v>0</v>
      </c>
      <c r="Z511" s="35">
        <f>'Client Data'!AA31</f>
        <v>0</v>
      </c>
      <c r="AA511" s="35">
        <f>'Client Data'!AB31</f>
        <v>0</v>
      </c>
      <c r="AB511" s="35">
        <f>'Client Data'!AC31</f>
        <v>0</v>
      </c>
      <c r="AC511" s="35">
        <f>'Client Data'!AD31</f>
        <v>0</v>
      </c>
      <c r="AD511" s="35">
        <f>'Client Data'!AE31</f>
        <v>0</v>
      </c>
      <c r="AE511" s="35">
        <f>'Client Data'!AF31</f>
        <v>0</v>
      </c>
      <c r="AF511" s="35">
        <f>'Client Data'!AG31</f>
        <v>0</v>
      </c>
      <c r="AG511" s="35">
        <f>'Client Data'!AH31</f>
        <v>0</v>
      </c>
      <c r="AH511" s="35">
        <f>'Client Data'!AI31</f>
        <v>0</v>
      </c>
      <c r="AI511" s="35">
        <f>'Client Data'!AJ31</f>
        <v>0</v>
      </c>
      <c r="AJ511" s="35">
        <f>'Client Data'!AK31</f>
        <v>0</v>
      </c>
      <c r="AK511" s="35">
        <f>'Client Data'!AL31</f>
        <v>0</v>
      </c>
      <c r="AL511" s="35">
        <f>'Client Data'!AM31</f>
        <v>0</v>
      </c>
      <c r="AM511" s="35">
        <f>'Client Data'!AN31</f>
        <v>0</v>
      </c>
      <c r="AN511" s="35">
        <f>'Client Data'!AO31</f>
        <v>0</v>
      </c>
      <c r="AO511" s="35">
        <f>'Client Data'!AP31</f>
        <v>0</v>
      </c>
      <c r="AP511" s="35">
        <f>'Client Data'!AQ31</f>
        <v>0</v>
      </c>
      <c r="AQ511" s="35">
        <f>'Client Data'!AR31</f>
        <v>0</v>
      </c>
      <c r="AR511" s="35">
        <f>'Client Data'!AS31</f>
        <v>0</v>
      </c>
      <c r="AS511" s="35">
        <f>'Client Data'!AT31</f>
        <v>0</v>
      </c>
      <c r="AT511" s="35">
        <f>'Client Data'!AU31</f>
        <v>0</v>
      </c>
      <c r="AU511" s="35">
        <f>'Client Data'!AV31</f>
        <v>0</v>
      </c>
      <c r="AV511" s="35">
        <f>'Client Data'!AW31</f>
        <v>0</v>
      </c>
      <c r="AW511" s="35">
        <f>'Client Data'!AX31</f>
        <v>0</v>
      </c>
      <c r="AX511" s="35">
        <f>'Client Data'!AY31</f>
        <v>0</v>
      </c>
      <c r="AY511" s="35">
        <f>'Client Data'!AZ31</f>
        <v>0</v>
      </c>
      <c r="AZ511" s="35">
        <f>'Client Data'!BA31</f>
        <v>0</v>
      </c>
      <c r="BA511" s="35">
        <f>'Client Data'!BB31</f>
        <v>0</v>
      </c>
      <c r="BB511" s="35">
        <f>'Client Data'!BC31</f>
        <v>0</v>
      </c>
      <c r="BC511" s="19">
        <f t="shared" si="776"/>
        <v>0</v>
      </c>
    </row>
    <row r="512" spans="2:55" x14ac:dyDescent="0.25">
      <c r="B512" s="80" t="str">
        <f>'Client Data'!C41</f>
        <v>Product B</v>
      </c>
      <c r="C512" s="35">
        <f>'Client Data'!D41</f>
        <v>0</v>
      </c>
      <c r="D512" s="35">
        <f>'Client Data'!E41</f>
        <v>0</v>
      </c>
      <c r="E512" s="35">
        <f>'Client Data'!F41</f>
        <v>0</v>
      </c>
      <c r="F512" s="35">
        <f>'Client Data'!G41</f>
        <v>0</v>
      </c>
      <c r="G512" s="35">
        <f>'Client Data'!H41</f>
        <v>0</v>
      </c>
      <c r="H512" s="35">
        <f>'Client Data'!I41</f>
        <v>0</v>
      </c>
      <c r="I512" s="35">
        <f>'Client Data'!J41</f>
        <v>0</v>
      </c>
      <c r="J512" s="35">
        <f>'Client Data'!K41</f>
        <v>0</v>
      </c>
      <c r="K512" s="35">
        <f>'Client Data'!L41</f>
        <v>0</v>
      </c>
      <c r="L512" s="35">
        <f>'Client Data'!M41</f>
        <v>0</v>
      </c>
      <c r="M512" s="35">
        <f>'Client Data'!N41</f>
        <v>0</v>
      </c>
      <c r="N512" s="35">
        <f>'Client Data'!O41</f>
        <v>0</v>
      </c>
      <c r="O512" s="35">
        <f>'Client Data'!P41</f>
        <v>0</v>
      </c>
      <c r="P512" s="35">
        <f>'Client Data'!Q41</f>
        <v>0</v>
      </c>
      <c r="Q512" s="35">
        <f>'Client Data'!R41</f>
        <v>0</v>
      </c>
      <c r="R512" s="35">
        <f>'Client Data'!S41</f>
        <v>0</v>
      </c>
      <c r="S512" s="35">
        <f>'Client Data'!T41</f>
        <v>0</v>
      </c>
      <c r="T512" s="35">
        <f>'Client Data'!U41</f>
        <v>0</v>
      </c>
      <c r="U512" s="35">
        <f>'Client Data'!V41</f>
        <v>0</v>
      </c>
      <c r="V512" s="35">
        <f>'Client Data'!W41</f>
        <v>0</v>
      </c>
      <c r="W512" s="35">
        <f>'Client Data'!X41</f>
        <v>0</v>
      </c>
      <c r="X512" s="35">
        <f>'Client Data'!Y41</f>
        <v>0</v>
      </c>
      <c r="Y512" s="35">
        <f>'Client Data'!Z41</f>
        <v>0</v>
      </c>
      <c r="Z512" s="35">
        <f>'Client Data'!AA41</f>
        <v>0</v>
      </c>
      <c r="AA512" s="35">
        <f>'Client Data'!AB41</f>
        <v>0</v>
      </c>
      <c r="AB512" s="35">
        <f>'Client Data'!AC41</f>
        <v>0</v>
      </c>
      <c r="AC512" s="35">
        <f>'Client Data'!AD41</f>
        <v>0</v>
      </c>
      <c r="AD512" s="35">
        <f>'Client Data'!AE41</f>
        <v>0</v>
      </c>
      <c r="AE512" s="35">
        <f>'Client Data'!AF41</f>
        <v>0</v>
      </c>
      <c r="AF512" s="35">
        <f>'Client Data'!AG41</f>
        <v>0</v>
      </c>
      <c r="AG512" s="35">
        <f>'Client Data'!AH41</f>
        <v>0</v>
      </c>
      <c r="AH512" s="35">
        <f>'Client Data'!AI41</f>
        <v>0</v>
      </c>
      <c r="AI512" s="35">
        <f>'Client Data'!AJ41</f>
        <v>0</v>
      </c>
      <c r="AJ512" s="35">
        <f>'Client Data'!AK41</f>
        <v>0</v>
      </c>
      <c r="AK512" s="35">
        <f>'Client Data'!AL41</f>
        <v>0</v>
      </c>
      <c r="AL512" s="35">
        <f>'Client Data'!AM41</f>
        <v>0</v>
      </c>
      <c r="AM512" s="35">
        <f>'Client Data'!AN41</f>
        <v>0</v>
      </c>
      <c r="AN512" s="35">
        <f>'Client Data'!AO41</f>
        <v>0</v>
      </c>
      <c r="AO512" s="35">
        <f>'Client Data'!AP41</f>
        <v>0</v>
      </c>
      <c r="AP512" s="35">
        <f>'Client Data'!AQ41</f>
        <v>0</v>
      </c>
      <c r="AQ512" s="35">
        <f>'Client Data'!AR41</f>
        <v>0</v>
      </c>
      <c r="AR512" s="35">
        <f>'Client Data'!AS41</f>
        <v>0</v>
      </c>
      <c r="AS512" s="35">
        <f>'Client Data'!AT41</f>
        <v>0</v>
      </c>
      <c r="AT512" s="35">
        <f>'Client Data'!AU41</f>
        <v>0</v>
      </c>
      <c r="AU512" s="35">
        <f>'Client Data'!AV41</f>
        <v>0</v>
      </c>
      <c r="AV512" s="35">
        <f>'Client Data'!AW41</f>
        <v>0</v>
      </c>
      <c r="AW512" s="35">
        <f>'Client Data'!AX41</f>
        <v>0</v>
      </c>
      <c r="AX512" s="35">
        <f>'Client Data'!AY41</f>
        <v>0</v>
      </c>
      <c r="AY512" s="35">
        <f>'Client Data'!AZ41</f>
        <v>0</v>
      </c>
      <c r="AZ512" s="35">
        <f>'Client Data'!BA41</f>
        <v>0</v>
      </c>
      <c r="BA512" s="35">
        <f>'Client Data'!BB41</f>
        <v>0</v>
      </c>
      <c r="BB512" s="35">
        <f>'Client Data'!BC41</f>
        <v>0</v>
      </c>
      <c r="BC512" s="19">
        <f t="shared" si="776"/>
        <v>0</v>
      </c>
    </row>
    <row r="513" spans="2:55" x14ac:dyDescent="0.25">
      <c r="B513" s="80" t="str">
        <f>'Client Data'!C51</f>
        <v>Product C</v>
      </c>
      <c r="C513" s="35">
        <f>'Client Data'!D51</f>
        <v>22</v>
      </c>
      <c r="D513" s="35">
        <f>'Client Data'!E51</f>
        <v>17</v>
      </c>
      <c r="E513" s="35">
        <f>'Client Data'!F51</f>
        <v>19</v>
      </c>
      <c r="F513" s="35">
        <f>'Client Data'!G51</f>
        <v>0</v>
      </c>
      <c r="G513" s="35">
        <f>'Client Data'!H51</f>
        <v>22</v>
      </c>
      <c r="H513" s="35">
        <f>'Client Data'!I51</f>
        <v>17</v>
      </c>
      <c r="I513" s="35">
        <f>'Client Data'!J51</f>
        <v>19</v>
      </c>
      <c r="J513" s="35">
        <f>'Client Data'!K51</f>
        <v>0</v>
      </c>
      <c r="K513" s="35">
        <f>'Client Data'!L51</f>
        <v>22</v>
      </c>
      <c r="L513" s="35">
        <f>'Client Data'!M51</f>
        <v>17</v>
      </c>
      <c r="M513" s="35">
        <f>'Client Data'!N51</f>
        <v>19</v>
      </c>
      <c r="N513" s="35">
        <f>'Client Data'!O51</f>
        <v>0</v>
      </c>
      <c r="O513" s="35">
        <f>'Client Data'!P51</f>
        <v>21</v>
      </c>
      <c r="P513" s="35">
        <f>'Client Data'!Q51</f>
        <v>17</v>
      </c>
      <c r="Q513" s="35">
        <f>'Client Data'!R51</f>
        <v>19</v>
      </c>
      <c r="R513" s="35">
        <f>'Client Data'!S51</f>
        <v>0</v>
      </c>
      <c r="S513" s="35">
        <f>'Client Data'!T51</f>
        <v>22</v>
      </c>
      <c r="T513" s="35">
        <f>'Client Data'!U51</f>
        <v>17</v>
      </c>
      <c r="U513" s="35">
        <f>'Client Data'!V51</f>
        <v>20</v>
      </c>
      <c r="V513" s="35">
        <f>'Client Data'!W51</f>
        <v>0</v>
      </c>
      <c r="W513" s="35">
        <f>'Client Data'!X51</f>
        <v>22</v>
      </c>
      <c r="X513" s="35">
        <f>'Client Data'!Y51</f>
        <v>17</v>
      </c>
      <c r="Y513" s="35">
        <f>'Client Data'!Z51</f>
        <v>20</v>
      </c>
      <c r="Z513" s="35">
        <f>'Client Data'!AA51</f>
        <v>0</v>
      </c>
      <c r="AA513" s="35">
        <f>'Client Data'!AB51</f>
        <v>22</v>
      </c>
      <c r="AB513" s="35">
        <f>'Client Data'!AC51</f>
        <v>17</v>
      </c>
      <c r="AC513" s="35">
        <f>'Client Data'!AD51</f>
        <v>19</v>
      </c>
      <c r="AD513" s="35">
        <f>'Client Data'!AE51</f>
        <v>0</v>
      </c>
      <c r="AE513" s="35">
        <f>'Client Data'!AF51</f>
        <v>22</v>
      </c>
      <c r="AF513" s="35">
        <f>'Client Data'!AG51</f>
        <v>18</v>
      </c>
      <c r="AG513" s="35">
        <f>'Client Data'!AH51</f>
        <v>19</v>
      </c>
      <c r="AH513" s="35">
        <f>'Client Data'!AI51</f>
        <v>0</v>
      </c>
      <c r="AI513" s="35">
        <f>'Client Data'!AJ51</f>
        <v>21</v>
      </c>
      <c r="AJ513" s="35">
        <f>'Client Data'!AK51</f>
        <v>17</v>
      </c>
      <c r="AK513" s="35">
        <f>'Client Data'!AL51</f>
        <v>20</v>
      </c>
      <c r="AL513" s="35">
        <f>'Client Data'!AM51</f>
        <v>0</v>
      </c>
      <c r="AM513" s="35">
        <f>'Client Data'!AN51</f>
        <v>22</v>
      </c>
      <c r="AN513" s="35">
        <f>'Client Data'!AO51</f>
        <v>17</v>
      </c>
      <c r="AO513" s="35">
        <f>'Client Data'!AP51</f>
        <v>20</v>
      </c>
      <c r="AP513" s="35">
        <f>'Client Data'!AQ51</f>
        <v>0</v>
      </c>
      <c r="AQ513" s="35">
        <f>'Client Data'!AR51</f>
        <v>22</v>
      </c>
      <c r="AR513" s="35">
        <f>'Client Data'!AS51</f>
        <v>17</v>
      </c>
      <c r="AS513" s="35">
        <f>'Client Data'!AT51</f>
        <v>19</v>
      </c>
      <c r="AT513" s="35">
        <f>'Client Data'!AU51</f>
        <v>0</v>
      </c>
      <c r="AU513" s="35">
        <f>'Client Data'!AV51</f>
        <v>22</v>
      </c>
      <c r="AV513" s="35">
        <f>'Client Data'!AW51</f>
        <v>17</v>
      </c>
      <c r="AW513" s="35">
        <f>'Client Data'!AX51</f>
        <v>19</v>
      </c>
      <c r="AX513" s="35">
        <f>'Client Data'!AY51</f>
        <v>0</v>
      </c>
      <c r="AY513" s="35">
        <f>'Client Data'!AZ51</f>
        <v>22</v>
      </c>
      <c r="AZ513" s="35">
        <f>'Client Data'!BA51</f>
        <v>17</v>
      </c>
      <c r="BA513" s="35">
        <f>'Client Data'!BB51</f>
        <v>20</v>
      </c>
      <c r="BB513" s="35">
        <f>'Client Data'!BC51</f>
        <v>0</v>
      </c>
      <c r="BC513" s="19">
        <f t="shared" si="776"/>
        <v>758</v>
      </c>
    </row>
    <row r="514" spans="2:55" x14ac:dyDescent="0.25">
      <c r="B514" s="80" t="str">
        <f>'Client Data'!C61</f>
        <v>Product D</v>
      </c>
      <c r="C514" s="35">
        <f>'Client Data'!D61</f>
        <v>0</v>
      </c>
      <c r="D514" s="35">
        <f>'Client Data'!E61</f>
        <v>0</v>
      </c>
      <c r="E514" s="35">
        <f>'Client Data'!F61</f>
        <v>0</v>
      </c>
      <c r="F514" s="35">
        <f>'Client Data'!G61</f>
        <v>0</v>
      </c>
      <c r="G514" s="35">
        <f>'Client Data'!H61</f>
        <v>0</v>
      </c>
      <c r="H514" s="35">
        <f>'Client Data'!I61</f>
        <v>0</v>
      </c>
      <c r="I514" s="35">
        <f>'Client Data'!J61</f>
        <v>0</v>
      </c>
      <c r="J514" s="35">
        <f>'Client Data'!K61</f>
        <v>0</v>
      </c>
      <c r="K514" s="35">
        <f>'Client Data'!L61</f>
        <v>0</v>
      </c>
      <c r="L514" s="35">
        <f>'Client Data'!M61</f>
        <v>0</v>
      </c>
      <c r="M514" s="35">
        <f>'Client Data'!N61</f>
        <v>0</v>
      </c>
      <c r="N514" s="35">
        <f>'Client Data'!O61</f>
        <v>0</v>
      </c>
      <c r="O514" s="35">
        <f>'Client Data'!P61</f>
        <v>0</v>
      </c>
      <c r="P514" s="35">
        <f>'Client Data'!Q61</f>
        <v>0</v>
      </c>
      <c r="Q514" s="35">
        <f>'Client Data'!R61</f>
        <v>0</v>
      </c>
      <c r="R514" s="35">
        <f>'Client Data'!S61</f>
        <v>0</v>
      </c>
      <c r="S514" s="35">
        <f>'Client Data'!T61</f>
        <v>0</v>
      </c>
      <c r="T514" s="35">
        <f>'Client Data'!U61</f>
        <v>0</v>
      </c>
      <c r="U514" s="35">
        <f>'Client Data'!V61</f>
        <v>0</v>
      </c>
      <c r="V514" s="35">
        <f>'Client Data'!W61</f>
        <v>0</v>
      </c>
      <c r="W514" s="35">
        <f>'Client Data'!X61</f>
        <v>0</v>
      </c>
      <c r="X514" s="35">
        <f>'Client Data'!Y61</f>
        <v>0</v>
      </c>
      <c r="Y514" s="35">
        <f>'Client Data'!Z61</f>
        <v>0</v>
      </c>
      <c r="Z514" s="35">
        <f>'Client Data'!AA61</f>
        <v>0</v>
      </c>
      <c r="AA514" s="35">
        <f>'Client Data'!AB61</f>
        <v>0</v>
      </c>
      <c r="AB514" s="35">
        <f>'Client Data'!AC61</f>
        <v>0</v>
      </c>
      <c r="AC514" s="35">
        <f>'Client Data'!AD61</f>
        <v>0</v>
      </c>
      <c r="AD514" s="35">
        <f>'Client Data'!AE61</f>
        <v>0</v>
      </c>
      <c r="AE514" s="35">
        <f>'Client Data'!AF61</f>
        <v>0</v>
      </c>
      <c r="AF514" s="35">
        <f>'Client Data'!AG61</f>
        <v>0</v>
      </c>
      <c r="AG514" s="35">
        <f>'Client Data'!AH61</f>
        <v>0</v>
      </c>
      <c r="AH514" s="35">
        <f>'Client Data'!AI61</f>
        <v>0</v>
      </c>
      <c r="AI514" s="35">
        <f>'Client Data'!AJ61</f>
        <v>0</v>
      </c>
      <c r="AJ514" s="35">
        <f>'Client Data'!AK61</f>
        <v>0</v>
      </c>
      <c r="AK514" s="35">
        <f>'Client Data'!AL61</f>
        <v>0</v>
      </c>
      <c r="AL514" s="35">
        <f>'Client Data'!AM61</f>
        <v>0</v>
      </c>
      <c r="AM514" s="35">
        <f>'Client Data'!AN61</f>
        <v>0</v>
      </c>
      <c r="AN514" s="35">
        <f>'Client Data'!AO61</f>
        <v>0</v>
      </c>
      <c r="AO514" s="35">
        <f>'Client Data'!AP61</f>
        <v>0</v>
      </c>
      <c r="AP514" s="35">
        <f>'Client Data'!AQ61</f>
        <v>0</v>
      </c>
      <c r="AQ514" s="35">
        <f>'Client Data'!AR61</f>
        <v>0</v>
      </c>
      <c r="AR514" s="35">
        <f>'Client Data'!AS61</f>
        <v>0</v>
      </c>
      <c r="AS514" s="35">
        <f>'Client Data'!AT61</f>
        <v>0</v>
      </c>
      <c r="AT514" s="35">
        <f>'Client Data'!AU61</f>
        <v>0</v>
      </c>
      <c r="AU514" s="35">
        <f>'Client Data'!AV61</f>
        <v>0</v>
      </c>
      <c r="AV514" s="35">
        <f>'Client Data'!AW61</f>
        <v>0</v>
      </c>
      <c r="AW514" s="35">
        <f>'Client Data'!AX61</f>
        <v>0</v>
      </c>
      <c r="AX514" s="35">
        <f>'Client Data'!AY61</f>
        <v>0</v>
      </c>
      <c r="AY514" s="35">
        <f>'Client Data'!AZ61</f>
        <v>0</v>
      </c>
      <c r="AZ514" s="35">
        <f>'Client Data'!BA61</f>
        <v>0</v>
      </c>
      <c r="BA514" s="35">
        <f>'Client Data'!BB61</f>
        <v>0</v>
      </c>
      <c r="BB514" s="35">
        <f>'Client Data'!BC61</f>
        <v>0</v>
      </c>
      <c r="BC514" s="19">
        <f t="shared" si="776"/>
        <v>0</v>
      </c>
    </row>
    <row r="515" spans="2:55" x14ac:dyDescent="0.25">
      <c r="B515" s="80" t="str">
        <f>'Client Data'!C71</f>
        <v>Product E</v>
      </c>
      <c r="C515" s="35">
        <f>'Client Data'!D71</f>
        <v>0</v>
      </c>
      <c r="D515" s="35">
        <f>'Client Data'!E71</f>
        <v>0</v>
      </c>
      <c r="E515" s="35">
        <f>'Client Data'!F71</f>
        <v>0</v>
      </c>
      <c r="F515" s="35">
        <f>'Client Data'!G71</f>
        <v>0</v>
      </c>
      <c r="G515" s="35">
        <f>'Client Data'!H71</f>
        <v>0</v>
      </c>
      <c r="H515" s="35">
        <f>'Client Data'!I71</f>
        <v>0</v>
      </c>
      <c r="I515" s="35">
        <f>'Client Data'!J71</f>
        <v>0</v>
      </c>
      <c r="J515" s="35">
        <f>'Client Data'!K71</f>
        <v>0</v>
      </c>
      <c r="K515" s="35">
        <f>'Client Data'!L71</f>
        <v>0</v>
      </c>
      <c r="L515" s="35">
        <f>'Client Data'!M71</f>
        <v>0</v>
      </c>
      <c r="M515" s="35">
        <f>'Client Data'!N71</f>
        <v>0</v>
      </c>
      <c r="N515" s="35">
        <f>'Client Data'!O71</f>
        <v>0</v>
      </c>
      <c r="O515" s="35">
        <f>'Client Data'!P71</f>
        <v>0</v>
      </c>
      <c r="P515" s="35">
        <f>'Client Data'!Q71</f>
        <v>0</v>
      </c>
      <c r="Q515" s="35">
        <f>'Client Data'!R71</f>
        <v>0</v>
      </c>
      <c r="R515" s="35">
        <f>'Client Data'!S71</f>
        <v>0</v>
      </c>
      <c r="S515" s="35">
        <f>'Client Data'!T71</f>
        <v>0</v>
      </c>
      <c r="T515" s="35">
        <f>'Client Data'!U71</f>
        <v>0</v>
      </c>
      <c r="U515" s="35">
        <f>'Client Data'!V71</f>
        <v>0</v>
      </c>
      <c r="V515" s="35">
        <f>'Client Data'!W71</f>
        <v>0</v>
      </c>
      <c r="W515" s="35">
        <f>'Client Data'!X71</f>
        <v>0</v>
      </c>
      <c r="X515" s="35">
        <f>'Client Data'!Y71</f>
        <v>0</v>
      </c>
      <c r="Y515" s="35">
        <f>'Client Data'!Z71</f>
        <v>0</v>
      </c>
      <c r="Z515" s="35">
        <f>'Client Data'!AA71</f>
        <v>0</v>
      </c>
      <c r="AA515" s="35">
        <f>'Client Data'!AB71</f>
        <v>0</v>
      </c>
      <c r="AB515" s="35">
        <f>'Client Data'!AC71</f>
        <v>0</v>
      </c>
      <c r="AC515" s="35">
        <f>'Client Data'!AD71</f>
        <v>0</v>
      </c>
      <c r="AD515" s="35">
        <f>'Client Data'!AE71</f>
        <v>0</v>
      </c>
      <c r="AE515" s="35">
        <f>'Client Data'!AF71</f>
        <v>0</v>
      </c>
      <c r="AF515" s="35">
        <f>'Client Data'!AG71</f>
        <v>0</v>
      </c>
      <c r="AG515" s="35">
        <f>'Client Data'!AH71</f>
        <v>0</v>
      </c>
      <c r="AH515" s="35">
        <f>'Client Data'!AI71</f>
        <v>0</v>
      </c>
      <c r="AI515" s="35">
        <f>'Client Data'!AJ71</f>
        <v>0</v>
      </c>
      <c r="AJ515" s="35">
        <f>'Client Data'!AK71</f>
        <v>0</v>
      </c>
      <c r="AK515" s="35">
        <f>'Client Data'!AL71</f>
        <v>0</v>
      </c>
      <c r="AL515" s="35">
        <f>'Client Data'!AM71</f>
        <v>0</v>
      </c>
      <c r="AM515" s="35">
        <f>'Client Data'!AN71</f>
        <v>0</v>
      </c>
      <c r="AN515" s="35">
        <f>'Client Data'!AO71</f>
        <v>0</v>
      </c>
      <c r="AO515" s="35">
        <f>'Client Data'!AP71</f>
        <v>0</v>
      </c>
      <c r="AP515" s="35">
        <f>'Client Data'!AQ71</f>
        <v>0</v>
      </c>
      <c r="AQ515" s="35">
        <f>'Client Data'!AR71</f>
        <v>0</v>
      </c>
      <c r="AR515" s="35">
        <f>'Client Data'!AS71</f>
        <v>0</v>
      </c>
      <c r="AS515" s="35">
        <f>'Client Data'!AT71</f>
        <v>0</v>
      </c>
      <c r="AT515" s="35">
        <f>'Client Data'!AU71</f>
        <v>0</v>
      </c>
      <c r="AU515" s="35">
        <f>'Client Data'!AV71</f>
        <v>0</v>
      </c>
      <c r="AV515" s="35">
        <f>'Client Data'!AW71</f>
        <v>0</v>
      </c>
      <c r="AW515" s="35">
        <f>'Client Data'!AX71</f>
        <v>0</v>
      </c>
      <c r="AX515" s="35">
        <f>'Client Data'!AY71</f>
        <v>0</v>
      </c>
      <c r="AY515" s="35">
        <f>'Client Data'!AZ71</f>
        <v>0</v>
      </c>
      <c r="AZ515" s="35">
        <f>'Client Data'!BA71</f>
        <v>0</v>
      </c>
      <c r="BA515" s="35">
        <f>'Client Data'!BB71</f>
        <v>0</v>
      </c>
      <c r="BB515" s="35">
        <f>'Client Data'!BC71</f>
        <v>0</v>
      </c>
      <c r="BC515" s="19">
        <f t="shared" si="776"/>
        <v>0</v>
      </c>
    </row>
    <row r="516" spans="2:55" x14ac:dyDescent="0.25">
      <c r="B516" s="80" t="str">
        <f>'Client Data'!C81</f>
        <v>Product F</v>
      </c>
      <c r="C516" s="35">
        <f>'Client Data'!D81</f>
        <v>0</v>
      </c>
      <c r="D516" s="35">
        <f>'Client Data'!E81</f>
        <v>0</v>
      </c>
      <c r="E516" s="35">
        <f>'Client Data'!F81</f>
        <v>0</v>
      </c>
      <c r="F516" s="35">
        <f>'Client Data'!G81</f>
        <v>0</v>
      </c>
      <c r="G516" s="35">
        <f>'Client Data'!H81</f>
        <v>0</v>
      </c>
      <c r="H516" s="35">
        <f>'Client Data'!I81</f>
        <v>0</v>
      </c>
      <c r="I516" s="35">
        <f>'Client Data'!J81</f>
        <v>0</v>
      </c>
      <c r="J516" s="35">
        <f>'Client Data'!K81</f>
        <v>0</v>
      </c>
      <c r="K516" s="35">
        <f>'Client Data'!L81</f>
        <v>0</v>
      </c>
      <c r="L516" s="35">
        <f>'Client Data'!M81</f>
        <v>0</v>
      </c>
      <c r="M516" s="35">
        <f>'Client Data'!N81</f>
        <v>0</v>
      </c>
      <c r="N516" s="35">
        <f>'Client Data'!O81</f>
        <v>0</v>
      </c>
      <c r="O516" s="35">
        <f>'Client Data'!P81</f>
        <v>0</v>
      </c>
      <c r="P516" s="35">
        <f>'Client Data'!Q81</f>
        <v>0</v>
      </c>
      <c r="Q516" s="35">
        <f>'Client Data'!R81</f>
        <v>0</v>
      </c>
      <c r="R516" s="35">
        <f>'Client Data'!S81</f>
        <v>0</v>
      </c>
      <c r="S516" s="35">
        <f>'Client Data'!T81</f>
        <v>0</v>
      </c>
      <c r="T516" s="35">
        <f>'Client Data'!U81</f>
        <v>0</v>
      </c>
      <c r="U516" s="35">
        <f>'Client Data'!V81</f>
        <v>0</v>
      </c>
      <c r="V516" s="35">
        <f>'Client Data'!W81</f>
        <v>0</v>
      </c>
      <c r="W516" s="35">
        <f>'Client Data'!X81</f>
        <v>0</v>
      </c>
      <c r="X516" s="35">
        <f>'Client Data'!Y81</f>
        <v>0</v>
      </c>
      <c r="Y516" s="35">
        <f>'Client Data'!Z81</f>
        <v>0</v>
      </c>
      <c r="Z516" s="35">
        <f>'Client Data'!AA81</f>
        <v>0</v>
      </c>
      <c r="AA516" s="35">
        <f>'Client Data'!AB81</f>
        <v>0</v>
      </c>
      <c r="AB516" s="35">
        <f>'Client Data'!AC81</f>
        <v>0</v>
      </c>
      <c r="AC516" s="35">
        <f>'Client Data'!AD81</f>
        <v>0</v>
      </c>
      <c r="AD516" s="35">
        <f>'Client Data'!AE81</f>
        <v>0</v>
      </c>
      <c r="AE516" s="35">
        <f>'Client Data'!AF81</f>
        <v>0</v>
      </c>
      <c r="AF516" s="35">
        <f>'Client Data'!AG81</f>
        <v>0</v>
      </c>
      <c r="AG516" s="35">
        <f>'Client Data'!AH81</f>
        <v>0</v>
      </c>
      <c r="AH516" s="35">
        <f>'Client Data'!AI81</f>
        <v>0</v>
      </c>
      <c r="AI516" s="35">
        <f>'Client Data'!AJ81</f>
        <v>0</v>
      </c>
      <c r="AJ516" s="35">
        <f>'Client Data'!AK81</f>
        <v>0</v>
      </c>
      <c r="AK516" s="35">
        <f>'Client Data'!AL81</f>
        <v>0</v>
      </c>
      <c r="AL516" s="35">
        <f>'Client Data'!AM81</f>
        <v>0</v>
      </c>
      <c r="AM516" s="35">
        <f>'Client Data'!AN81</f>
        <v>0</v>
      </c>
      <c r="AN516" s="35">
        <f>'Client Data'!AO81</f>
        <v>0</v>
      </c>
      <c r="AO516" s="35">
        <f>'Client Data'!AP81</f>
        <v>0</v>
      </c>
      <c r="AP516" s="35">
        <f>'Client Data'!AQ81</f>
        <v>0</v>
      </c>
      <c r="AQ516" s="35">
        <f>'Client Data'!AR81</f>
        <v>0</v>
      </c>
      <c r="AR516" s="35">
        <f>'Client Data'!AS81</f>
        <v>0</v>
      </c>
      <c r="AS516" s="35">
        <f>'Client Data'!AT81</f>
        <v>0</v>
      </c>
      <c r="AT516" s="35">
        <f>'Client Data'!AU81</f>
        <v>0</v>
      </c>
      <c r="AU516" s="35">
        <f>'Client Data'!AV81</f>
        <v>0</v>
      </c>
      <c r="AV516" s="35">
        <f>'Client Data'!AW81</f>
        <v>0</v>
      </c>
      <c r="AW516" s="35">
        <f>'Client Data'!AX81</f>
        <v>0</v>
      </c>
      <c r="AX516" s="35">
        <f>'Client Data'!AY81</f>
        <v>0</v>
      </c>
      <c r="AY516" s="35">
        <f>'Client Data'!AZ81</f>
        <v>0</v>
      </c>
      <c r="AZ516" s="35">
        <f>'Client Data'!BA81</f>
        <v>0</v>
      </c>
      <c r="BA516" s="35">
        <f>'Client Data'!BB81</f>
        <v>0</v>
      </c>
      <c r="BB516" s="35">
        <f>'Client Data'!BC81</f>
        <v>0</v>
      </c>
      <c r="BC516" s="19">
        <f t="shared" si="776"/>
        <v>0</v>
      </c>
    </row>
    <row r="517" spans="2:55" x14ac:dyDescent="0.25">
      <c r="B517" s="80" t="str">
        <f>'Client Data'!C91</f>
        <v>Product G</v>
      </c>
      <c r="C517" s="35">
        <f>'Client Data'!D91</f>
        <v>0</v>
      </c>
      <c r="D517" s="35">
        <f>'Client Data'!E91</f>
        <v>0</v>
      </c>
      <c r="E517" s="35">
        <f>'Client Data'!F91</f>
        <v>0</v>
      </c>
      <c r="F517" s="35">
        <f>'Client Data'!G91</f>
        <v>0</v>
      </c>
      <c r="G517" s="35">
        <f>'Client Data'!H91</f>
        <v>0</v>
      </c>
      <c r="H517" s="35">
        <f>'Client Data'!I91</f>
        <v>0</v>
      </c>
      <c r="I517" s="35">
        <f>'Client Data'!J91</f>
        <v>0</v>
      </c>
      <c r="J517" s="35">
        <f>'Client Data'!K91</f>
        <v>0</v>
      </c>
      <c r="K517" s="35">
        <f>'Client Data'!L91</f>
        <v>0</v>
      </c>
      <c r="L517" s="35">
        <f>'Client Data'!M91</f>
        <v>0</v>
      </c>
      <c r="M517" s="35">
        <f>'Client Data'!N91</f>
        <v>0</v>
      </c>
      <c r="N517" s="35">
        <f>'Client Data'!O91</f>
        <v>0</v>
      </c>
      <c r="O517" s="35">
        <f>'Client Data'!P91</f>
        <v>0</v>
      </c>
      <c r="P517" s="35">
        <f>'Client Data'!Q91</f>
        <v>0</v>
      </c>
      <c r="Q517" s="35">
        <f>'Client Data'!R91</f>
        <v>0</v>
      </c>
      <c r="R517" s="35">
        <f>'Client Data'!S91</f>
        <v>0</v>
      </c>
      <c r="S517" s="35">
        <f>'Client Data'!T91</f>
        <v>0</v>
      </c>
      <c r="T517" s="35">
        <f>'Client Data'!U91</f>
        <v>0</v>
      </c>
      <c r="U517" s="35">
        <f>'Client Data'!V91</f>
        <v>0</v>
      </c>
      <c r="V517" s="35">
        <f>'Client Data'!W91</f>
        <v>0</v>
      </c>
      <c r="W517" s="35">
        <f>'Client Data'!X91</f>
        <v>0</v>
      </c>
      <c r="X517" s="35">
        <f>'Client Data'!Y91</f>
        <v>0</v>
      </c>
      <c r="Y517" s="35">
        <f>'Client Data'!Z91</f>
        <v>0</v>
      </c>
      <c r="Z517" s="35">
        <f>'Client Data'!AA91</f>
        <v>0</v>
      </c>
      <c r="AA517" s="35">
        <f>'Client Data'!AB91</f>
        <v>0</v>
      </c>
      <c r="AB517" s="35">
        <f>'Client Data'!AC91</f>
        <v>0</v>
      </c>
      <c r="AC517" s="35">
        <f>'Client Data'!AD91</f>
        <v>0</v>
      </c>
      <c r="AD517" s="35">
        <f>'Client Data'!AE91</f>
        <v>0</v>
      </c>
      <c r="AE517" s="35">
        <f>'Client Data'!AF91</f>
        <v>0</v>
      </c>
      <c r="AF517" s="35">
        <f>'Client Data'!AG91</f>
        <v>0</v>
      </c>
      <c r="AG517" s="35">
        <f>'Client Data'!AH91</f>
        <v>0</v>
      </c>
      <c r="AH517" s="35">
        <f>'Client Data'!AI91</f>
        <v>0</v>
      </c>
      <c r="AI517" s="35">
        <f>'Client Data'!AJ91</f>
        <v>0</v>
      </c>
      <c r="AJ517" s="35">
        <f>'Client Data'!AK91</f>
        <v>0</v>
      </c>
      <c r="AK517" s="35">
        <f>'Client Data'!AL91</f>
        <v>0</v>
      </c>
      <c r="AL517" s="35">
        <f>'Client Data'!AM91</f>
        <v>0</v>
      </c>
      <c r="AM517" s="35">
        <f>'Client Data'!AN91</f>
        <v>0</v>
      </c>
      <c r="AN517" s="35">
        <f>'Client Data'!AO91</f>
        <v>0</v>
      </c>
      <c r="AO517" s="35">
        <f>'Client Data'!AP91</f>
        <v>0</v>
      </c>
      <c r="AP517" s="35">
        <f>'Client Data'!AQ91</f>
        <v>0</v>
      </c>
      <c r="AQ517" s="35">
        <f>'Client Data'!AR91</f>
        <v>0</v>
      </c>
      <c r="AR517" s="35">
        <f>'Client Data'!AS91</f>
        <v>0</v>
      </c>
      <c r="AS517" s="35">
        <f>'Client Data'!AT91</f>
        <v>0</v>
      </c>
      <c r="AT517" s="35">
        <f>'Client Data'!AU91</f>
        <v>0</v>
      </c>
      <c r="AU517" s="35">
        <f>'Client Data'!AV91</f>
        <v>0</v>
      </c>
      <c r="AV517" s="35">
        <f>'Client Data'!AW91</f>
        <v>0</v>
      </c>
      <c r="AW517" s="35">
        <f>'Client Data'!AX91</f>
        <v>0</v>
      </c>
      <c r="AX517" s="35">
        <f>'Client Data'!AY91</f>
        <v>0</v>
      </c>
      <c r="AY517" s="35">
        <f>'Client Data'!AZ91</f>
        <v>0</v>
      </c>
      <c r="AZ517" s="35">
        <f>'Client Data'!BA91</f>
        <v>0</v>
      </c>
      <c r="BA517" s="35">
        <f>'Client Data'!BB91</f>
        <v>0</v>
      </c>
      <c r="BB517" s="35">
        <f>'Client Data'!BC91</f>
        <v>0</v>
      </c>
      <c r="BC517" s="19">
        <f t="shared" si="776"/>
        <v>0</v>
      </c>
    </row>
    <row r="518" spans="2:55" x14ac:dyDescent="0.25">
      <c r="B518" s="80" t="str">
        <f>'Client Data'!C101</f>
        <v>Product H</v>
      </c>
      <c r="C518" s="35">
        <f>'Client Data'!D101</f>
        <v>0</v>
      </c>
      <c r="D518" s="35">
        <f>'Client Data'!E101</f>
        <v>0</v>
      </c>
      <c r="E518" s="35">
        <f>'Client Data'!F101</f>
        <v>0</v>
      </c>
      <c r="F518" s="35">
        <f>'Client Data'!G101</f>
        <v>0</v>
      </c>
      <c r="G518" s="35">
        <f>'Client Data'!H101</f>
        <v>0</v>
      </c>
      <c r="H518" s="35">
        <f>'Client Data'!I101</f>
        <v>0</v>
      </c>
      <c r="I518" s="35">
        <f>'Client Data'!J101</f>
        <v>0</v>
      </c>
      <c r="J518" s="35">
        <f>'Client Data'!K101</f>
        <v>0</v>
      </c>
      <c r="K518" s="35">
        <f>'Client Data'!L101</f>
        <v>0</v>
      </c>
      <c r="L518" s="35">
        <f>'Client Data'!M101</f>
        <v>0</v>
      </c>
      <c r="M518" s="35">
        <f>'Client Data'!N101</f>
        <v>0</v>
      </c>
      <c r="N518" s="35">
        <f>'Client Data'!O101</f>
        <v>0</v>
      </c>
      <c r="O518" s="35">
        <f>'Client Data'!P101</f>
        <v>0</v>
      </c>
      <c r="P518" s="35">
        <f>'Client Data'!Q101</f>
        <v>0</v>
      </c>
      <c r="Q518" s="35">
        <f>'Client Data'!R101</f>
        <v>0</v>
      </c>
      <c r="R518" s="35">
        <f>'Client Data'!S101</f>
        <v>0</v>
      </c>
      <c r="S518" s="35">
        <f>'Client Data'!T101</f>
        <v>0</v>
      </c>
      <c r="T518" s="35">
        <f>'Client Data'!U101</f>
        <v>0</v>
      </c>
      <c r="U518" s="35">
        <f>'Client Data'!V101</f>
        <v>0</v>
      </c>
      <c r="V518" s="35">
        <f>'Client Data'!W101</f>
        <v>0</v>
      </c>
      <c r="W518" s="35">
        <f>'Client Data'!X101</f>
        <v>0</v>
      </c>
      <c r="X518" s="35">
        <f>'Client Data'!Y101</f>
        <v>0</v>
      </c>
      <c r="Y518" s="35">
        <f>'Client Data'!Z101</f>
        <v>0</v>
      </c>
      <c r="Z518" s="35">
        <f>'Client Data'!AA101</f>
        <v>0</v>
      </c>
      <c r="AA518" s="35">
        <f>'Client Data'!AB101</f>
        <v>0</v>
      </c>
      <c r="AB518" s="35">
        <f>'Client Data'!AC101</f>
        <v>0</v>
      </c>
      <c r="AC518" s="35">
        <f>'Client Data'!AD101</f>
        <v>0</v>
      </c>
      <c r="AD518" s="35">
        <f>'Client Data'!AE101</f>
        <v>0</v>
      </c>
      <c r="AE518" s="35">
        <f>'Client Data'!AF101</f>
        <v>0</v>
      </c>
      <c r="AF518" s="35">
        <f>'Client Data'!AG101</f>
        <v>0</v>
      </c>
      <c r="AG518" s="35">
        <f>'Client Data'!AH101</f>
        <v>0</v>
      </c>
      <c r="AH518" s="35">
        <f>'Client Data'!AI101</f>
        <v>0</v>
      </c>
      <c r="AI518" s="35">
        <f>'Client Data'!AJ101</f>
        <v>0</v>
      </c>
      <c r="AJ518" s="35">
        <f>'Client Data'!AK101</f>
        <v>0</v>
      </c>
      <c r="AK518" s="35">
        <f>'Client Data'!AL101</f>
        <v>0</v>
      </c>
      <c r="AL518" s="35">
        <f>'Client Data'!AM101</f>
        <v>0</v>
      </c>
      <c r="AM518" s="35">
        <f>'Client Data'!AN101</f>
        <v>0</v>
      </c>
      <c r="AN518" s="35">
        <f>'Client Data'!AO101</f>
        <v>0</v>
      </c>
      <c r="AO518" s="35">
        <f>'Client Data'!AP101</f>
        <v>0</v>
      </c>
      <c r="AP518" s="35">
        <f>'Client Data'!AQ101</f>
        <v>0</v>
      </c>
      <c r="AQ518" s="35">
        <f>'Client Data'!AR101</f>
        <v>0</v>
      </c>
      <c r="AR518" s="35">
        <f>'Client Data'!AS101</f>
        <v>0</v>
      </c>
      <c r="AS518" s="35">
        <f>'Client Data'!AT101</f>
        <v>0</v>
      </c>
      <c r="AT518" s="35">
        <f>'Client Data'!AU101</f>
        <v>0</v>
      </c>
      <c r="AU518" s="35">
        <f>'Client Data'!AV101</f>
        <v>0</v>
      </c>
      <c r="AV518" s="35">
        <f>'Client Data'!AW101</f>
        <v>0</v>
      </c>
      <c r="AW518" s="35">
        <f>'Client Data'!AX101</f>
        <v>0</v>
      </c>
      <c r="AX518" s="35">
        <f>'Client Data'!AY101</f>
        <v>0</v>
      </c>
      <c r="AY518" s="35">
        <f>'Client Data'!AZ101</f>
        <v>0</v>
      </c>
      <c r="AZ518" s="35">
        <f>'Client Data'!BA101</f>
        <v>0</v>
      </c>
      <c r="BA518" s="35">
        <f>'Client Data'!BB101</f>
        <v>0</v>
      </c>
      <c r="BB518" s="35">
        <f>'Client Data'!BC101</f>
        <v>0</v>
      </c>
      <c r="BC518" s="19">
        <f t="shared" si="776"/>
        <v>0</v>
      </c>
    </row>
    <row r="519" spans="2:55" x14ac:dyDescent="0.25">
      <c r="B519" s="19" t="str">
        <f>'Client Data'!B32</f>
        <v>Rework Loss Type H</v>
      </c>
      <c r="C519" s="50">
        <f t="shared" ref="C519:AH519" si="787">IF(C190&gt;0,SUM(C520:C527),0)</f>
        <v>11</v>
      </c>
      <c r="D519" s="50">
        <f t="shared" si="787"/>
        <v>29</v>
      </c>
      <c r="E519" s="50">
        <f t="shared" si="787"/>
        <v>22</v>
      </c>
      <c r="F519" s="50">
        <f t="shared" si="787"/>
        <v>17</v>
      </c>
      <c r="G519" s="50">
        <f t="shared" si="787"/>
        <v>11</v>
      </c>
      <c r="H519" s="50">
        <f t="shared" si="787"/>
        <v>24</v>
      </c>
      <c r="I519" s="50">
        <f t="shared" si="787"/>
        <v>22</v>
      </c>
      <c r="J519" s="50">
        <f t="shared" si="787"/>
        <v>17</v>
      </c>
      <c r="K519" s="50">
        <f t="shared" si="787"/>
        <v>11</v>
      </c>
      <c r="L519" s="50">
        <f t="shared" si="787"/>
        <v>15</v>
      </c>
      <c r="M519" s="50">
        <f t="shared" si="787"/>
        <v>13</v>
      </c>
      <c r="N519" s="50">
        <f t="shared" si="787"/>
        <v>17</v>
      </c>
      <c r="O519" s="50">
        <f t="shared" si="787"/>
        <v>11</v>
      </c>
      <c r="P519" s="50">
        <f t="shared" si="787"/>
        <v>28</v>
      </c>
      <c r="Q519" s="50">
        <f t="shared" si="787"/>
        <v>22</v>
      </c>
      <c r="R519" s="50">
        <f t="shared" si="787"/>
        <v>17</v>
      </c>
      <c r="S519" s="50">
        <f t="shared" si="787"/>
        <v>11</v>
      </c>
      <c r="T519" s="50">
        <f t="shared" si="787"/>
        <v>28</v>
      </c>
      <c r="U519" s="50">
        <f t="shared" si="787"/>
        <v>22</v>
      </c>
      <c r="V519" s="50">
        <f t="shared" si="787"/>
        <v>17</v>
      </c>
      <c r="W519" s="50">
        <f t="shared" si="787"/>
        <v>11</v>
      </c>
      <c r="X519" s="50">
        <f t="shared" si="787"/>
        <v>15</v>
      </c>
      <c r="Y519" s="50">
        <f t="shared" si="787"/>
        <v>22</v>
      </c>
      <c r="Z519" s="50">
        <f t="shared" si="787"/>
        <v>17</v>
      </c>
      <c r="AA519" s="50">
        <f t="shared" si="787"/>
        <v>11</v>
      </c>
      <c r="AB519" s="50">
        <f t="shared" si="787"/>
        <v>28</v>
      </c>
      <c r="AC519" s="50">
        <f t="shared" si="787"/>
        <v>22</v>
      </c>
      <c r="AD519" s="50">
        <f t="shared" si="787"/>
        <v>17</v>
      </c>
      <c r="AE519" s="50">
        <f t="shared" si="787"/>
        <v>10</v>
      </c>
      <c r="AF519" s="50">
        <f t="shared" si="787"/>
        <v>23</v>
      </c>
      <c r="AG519" s="50">
        <f t="shared" si="787"/>
        <v>22</v>
      </c>
      <c r="AH519" s="50">
        <f t="shared" si="787"/>
        <v>17</v>
      </c>
      <c r="AI519" s="50">
        <f t="shared" ref="AI519:BB519" si="788">IF(AI190&gt;0,SUM(AI520:AI527),0)</f>
        <v>11</v>
      </c>
      <c r="AJ519" s="50">
        <f t="shared" si="788"/>
        <v>15</v>
      </c>
      <c r="AK519" s="50">
        <f t="shared" si="788"/>
        <v>21</v>
      </c>
      <c r="AL519" s="50">
        <f t="shared" si="788"/>
        <v>17</v>
      </c>
      <c r="AM519" s="50">
        <f t="shared" si="788"/>
        <v>11</v>
      </c>
      <c r="AN519" s="50">
        <f t="shared" si="788"/>
        <v>28</v>
      </c>
      <c r="AO519" s="50">
        <f t="shared" si="788"/>
        <v>22</v>
      </c>
      <c r="AP519" s="50">
        <f t="shared" si="788"/>
        <v>17</v>
      </c>
      <c r="AQ519" s="50">
        <f t="shared" si="788"/>
        <v>11</v>
      </c>
      <c r="AR519" s="50">
        <f t="shared" si="788"/>
        <v>24</v>
      </c>
      <c r="AS519" s="50">
        <f t="shared" si="788"/>
        <v>21</v>
      </c>
      <c r="AT519" s="50">
        <f t="shared" si="788"/>
        <v>18</v>
      </c>
      <c r="AU519" s="50">
        <f t="shared" si="788"/>
        <v>11</v>
      </c>
      <c r="AV519" s="50">
        <f t="shared" si="788"/>
        <v>28</v>
      </c>
      <c r="AW519" s="50">
        <f t="shared" si="788"/>
        <v>22</v>
      </c>
      <c r="AX519" s="50">
        <f t="shared" si="788"/>
        <v>17</v>
      </c>
      <c r="AY519" s="50">
        <f t="shared" si="788"/>
        <v>11</v>
      </c>
      <c r="AZ519" s="50">
        <f t="shared" si="788"/>
        <v>28</v>
      </c>
      <c r="BA519" s="50">
        <f t="shared" si="788"/>
        <v>21</v>
      </c>
      <c r="BB519" s="50">
        <f t="shared" si="788"/>
        <v>17</v>
      </c>
      <c r="BC519" s="19">
        <f t="shared" si="776"/>
        <v>951</v>
      </c>
    </row>
    <row r="520" spans="2:55" x14ac:dyDescent="0.25">
      <c r="B520" s="80" t="str">
        <f>'Client Data'!C32</f>
        <v>Product A</v>
      </c>
      <c r="C520" s="35">
        <f>'Client Data'!D32</f>
        <v>0</v>
      </c>
      <c r="D520" s="35">
        <f>'Client Data'!E32</f>
        <v>0</v>
      </c>
      <c r="E520" s="35">
        <f>'Client Data'!F32</f>
        <v>0</v>
      </c>
      <c r="F520" s="35">
        <f>'Client Data'!G32</f>
        <v>0</v>
      </c>
      <c r="G520" s="35">
        <f>'Client Data'!H32</f>
        <v>0</v>
      </c>
      <c r="H520" s="35">
        <f>'Client Data'!I32</f>
        <v>0</v>
      </c>
      <c r="I520" s="35">
        <f>'Client Data'!J32</f>
        <v>0</v>
      </c>
      <c r="J520" s="35">
        <f>'Client Data'!K32</f>
        <v>0</v>
      </c>
      <c r="K520" s="35">
        <f>'Client Data'!L32</f>
        <v>0</v>
      </c>
      <c r="L520" s="35">
        <f>'Client Data'!M32</f>
        <v>0</v>
      </c>
      <c r="M520" s="35">
        <f>'Client Data'!N32</f>
        <v>0</v>
      </c>
      <c r="N520" s="35">
        <f>'Client Data'!O32</f>
        <v>0</v>
      </c>
      <c r="O520" s="35">
        <f>'Client Data'!P32</f>
        <v>0</v>
      </c>
      <c r="P520" s="35">
        <f>'Client Data'!Q32</f>
        <v>0</v>
      </c>
      <c r="Q520" s="35">
        <f>'Client Data'!R32</f>
        <v>0</v>
      </c>
      <c r="R520" s="35">
        <f>'Client Data'!S32</f>
        <v>0</v>
      </c>
      <c r="S520" s="35">
        <f>'Client Data'!T32</f>
        <v>0</v>
      </c>
      <c r="T520" s="35">
        <f>'Client Data'!U32</f>
        <v>0</v>
      </c>
      <c r="U520" s="35">
        <f>'Client Data'!V32</f>
        <v>0</v>
      </c>
      <c r="V520" s="35">
        <f>'Client Data'!W32</f>
        <v>0</v>
      </c>
      <c r="W520" s="35">
        <f>'Client Data'!X32</f>
        <v>0</v>
      </c>
      <c r="X520" s="35">
        <f>'Client Data'!Y32</f>
        <v>0</v>
      </c>
      <c r="Y520" s="35">
        <f>'Client Data'!Z32</f>
        <v>0</v>
      </c>
      <c r="Z520" s="35">
        <f>'Client Data'!AA32</f>
        <v>0</v>
      </c>
      <c r="AA520" s="35">
        <f>'Client Data'!AB32</f>
        <v>0</v>
      </c>
      <c r="AB520" s="35">
        <f>'Client Data'!AC32</f>
        <v>0</v>
      </c>
      <c r="AC520" s="35">
        <f>'Client Data'!AD32</f>
        <v>0</v>
      </c>
      <c r="AD520" s="35">
        <f>'Client Data'!AE32</f>
        <v>0</v>
      </c>
      <c r="AE520" s="35">
        <f>'Client Data'!AF32</f>
        <v>0</v>
      </c>
      <c r="AF520" s="35">
        <f>'Client Data'!AG32</f>
        <v>0</v>
      </c>
      <c r="AG520" s="35">
        <f>'Client Data'!AH32</f>
        <v>0</v>
      </c>
      <c r="AH520" s="35">
        <f>'Client Data'!AI32</f>
        <v>0</v>
      </c>
      <c r="AI520" s="35">
        <f>'Client Data'!AJ32</f>
        <v>0</v>
      </c>
      <c r="AJ520" s="35">
        <f>'Client Data'!AK32</f>
        <v>0</v>
      </c>
      <c r="AK520" s="35">
        <f>'Client Data'!AL32</f>
        <v>0</v>
      </c>
      <c r="AL520" s="35">
        <f>'Client Data'!AM32</f>
        <v>0</v>
      </c>
      <c r="AM520" s="35">
        <f>'Client Data'!AN32</f>
        <v>0</v>
      </c>
      <c r="AN520" s="35">
        <f>'Client Data'!AO32</f>
        <v>0</v>
      </c>
      <c r="AO520" s="35">
        <f>'Client Data'!AP32</f>
        <v>0</v>
      </c>
      <c r="AP520" s="35">
        <f>'Client Data'!AQ32</f>
        <v>0</v>
      </c>
      <c r="AQ520" s="35">
        <f>'Client Data'!AR32</f>
        <v>0</v>
      </c>
      <c r="AR520" s="35">
        <f>'Client Data'!AS32</f>
        <v>0</v>
      </c>
      <c r="AS520" s="35">
        <f>'Client Data'!AT32</f>
        <v>0</v>
      </c>
      <c r="AT520" s="35">
        <f>'Client Data'!AU32</f>
        <v>0</v>
      </c>
      <c r="AU520" s="35">
        <f>'Client Data'!AV32</f>
        <v>0</v>
      </c>
      <c r="AV520" s="35">
        <f>'Client Data'!AW32</f>
        <v>0</v>
      </c>
      <c r="AW520" s="35">
        <f>'Client Data'!AX32</f>
        <v>0</v>
      </c>
      <c r="AX520" s="35">
        <f>'Client Data'!AY32</f>
        <v>0</v>
      </c>
      <c r="AY520" s="35">
        <f>'Client Data'!AZ32</f>
        <v>0</v>
      </c>
      <c r="AZ520" s="35">
        <f>'Client Data'!BA32</f>
        <v>0</v>
      </c>
      <c r="BA520" s="35">
        <f>'Client Data'!BB32</f>
        <v>0</v>
      </c>
      <c r="BB520" s="35">
        <f>'Client Data'!BC32</f>
        <v>0</v>
      </c>
      <c r="BC520" s="19">
        <f t="shared" si="776"/>
        <v>0</v>
      </c>
    </row>
    <row r="521" spans="2:55" x14ac:dyDescent="0.25">
      <c r="B521" s="80" t="str">
        <f>'Client Data'!C42</f>
        <v>Product B</v>
      </c>
      <c r="C521" s="35">
        <f>'Client Data'!D42</f>
        <v>0</v>
      </c>
      <c r="D521" s="35">
        <f>'Client Data'!E42</f>
        <v>0</v>
      </c>
      <c r="E521" s="35">
        <f>'Client Data'!F42</f>
        <v>0</v>
      </c>
      <c r="F521" s="35">
        <f>'Client Data'!G42</f>
        <v>0</v>
      </c>
      <c r="G521" s="35">
        <f>'Client Data'!H42</f>
        <v>0</v>
      </c>
      <c r="H521" s="35">
        <f>'Client Data'!I42</f>
        <v>0</v>
      </c>
      <c r="I521" s="35">
        <f>'Client Data'!J42</f>
        <v>0</v>
      </c>
      <c r="J521" s="35">
        <f>'Client Data'!K42</f>
        <v>0</v>
      </c>
      <c r="K521" s="35">
        <f>'Client Data'!L42</f>
        <v>0</v>
      </c>
      <c r="L521" s="35">
        <f>'Client Data'!M42</f>
        <v>0</v>
      </c>
      <c r="M521" s="35">
        <f>'Client Data'!N42</f>
        <v>0</v>
      </c>
      <c r="N521" s="35">
        <f>'Client Data'!O42</f>
        <v>0</v>
      </c>
      <c r="O521" s="35">
        <f>'Client Data'!P42</f>
        <v>0</v>
      </c>
      <c r="P521" s="35">
        <f>'Client Data'!Q42</f>
        <v>0</v>
      </c>
      <c r="Q521" s="35">
        <f>'Client Data'!R42</f>
        <v>0</v>
      </c>
      <c r="R521" s="35">
        <f>'Client Data'!S42</f>
        <v>0</v>
      </c>
      <c r="S521" s="35">
        <f>'Client Data'!T42</f>
        <v>0</v>
      </c>
      <c r="T521" s="35">
        <f>'Client Data'!U42</f>
        <v>0</v>
      </c>
      <c r="U521" s="35">
        <f>'Client Data'!V42</f>
        <v>0</v>
      </c>
      <c r="V521" s="35">
        <f>'Client Data'!W42</f>
        <v>0</v>
      </c>
      <c r="W521" s="35">
        <f>'Client Data'!X42</f>
        <v>0</v>
      </c>
      <c r="X521" s="35">
        <f>'Client Data'!Y42</f>
        <v>0</v>
      </c>
      <c r="Y521" s="35">
        <f>'Client Data'!Z42</f>
        <v>0</v>
      </c>
      <c r="Z521" s="35">
        <f>'Client Data'!AA42</f>
        <v>0</v>
      </c>
      <c r="AA521" s="35">
        <f>'Client Data'!AB42</f>
        <v>0</v>
      </c>
      <c r="AB521" s="35">
        <f>'Client Data'!AC42</f>
        <v>0</v>
      </c>
      <c r="AC521" s="35">
        <f>'Client Data'!AD42</f>
        <v>0</v>
      </c>
      <c r="AD521" s="35">
        <f>'Client Data'!AE42</f>
        <v>0</v>
      </c>
      <c r="AE521" s="35">
        <f>'Client Data'!AF42</f>
        <v>0</v>
      </c>
      <c r="AF521" s="35">
        <f>'Client Data'!AG42</f>
        <v>0</v>
      </c>
      <c r="AG521" s="35">
        <f>'Client Data'!AH42</f>
        <v>0</v>
      </c>
      <c r="AH521" s="35">
        <f>'Client Data'!AI42</f>
        <v>0</v>
      </c>
      <c r="AI521" s="35">
        <f>'Client Data'!AJ42</f>
        <v>0</v>
      </c>
      <c r="AJ521" s="35">
        <f>'Client Data'!AK42</f>
        <v>0</v>
      </c>
      <c r="AK521" s="35">
        <f>'Client Data'!AL42</f>
        <v>0</v>
      </c>
      <c r="AL521" s="35">
        <f>'Client Data'!AM42</f>
        <v>0</v>
      </c>
      <c r="AM521" s="35">
        <f>'Client Data'!AN42</f>
        <v>0</v>
      </c>
      <c r="AN521" s="35">
        <f>'Client Data'!AO42</f>
        <v>0</v>
      </c>
      <c r="AO521" s="35">
        <f>'Client Data'!AP42</f>
        <v>0</v>
      </c>
      <c r="AP521" s="35">
        <f>'Client Data'!AQ42</f>
        <v>0</v>
      </c>
      <c r="AQ521" s="35">
        <f>'Client Data'!AR42</f>
        <v>0</v>
      </c>
      <c r="AR521" s="35">
        <f>'Client Data'!AS42</f>
        <v>0</v>
      </c>
      <c r="AS521" s="35">
        <f>'Client Data'!AT42</f>
        <v>0</v>
      </c>
      <c r="AT521" s="35">
        <f>'Client Data'!AU42</f>
        <v>0</v>
      </c>
      <c r="AU521" s="35">
        <f>'Client Data'!AV42</f>
        <v>0</v>
      </c>
      <c r="AV521" s="35">
        <f>'Client Data'!AW42</f>
        <v>0</v>
      </c>
      <c r="AW521" s="35">
        <f>'Client Data'!AX42</f>
        <v>0</v>
      </c>
      <c r="AX521" s="35">
        <f>'Client Data'!AY42</f>
        <v>0</v>
      </c>
      <c r="AY521" s="35">
        <f>'Client Data'!AZ42</f>
        <v>0</v>
      </c>
      <c r="AZ521" s="35">
        <f>'Client Data'!BA42</f>
        <v>0</v>
      </c>
      <c r="BA521" s="35">
        <f>'Client Data'!BB42</f>
        <v>0</v>
      </c>
      <c r="BB521" s="35">
        <f>'Client Data'!BC42</f>
        <v>0</v>
      </c>
      <c r="BC521" s="19">
        <f t="shared" si="776"/>
        <v>0</v>
      </c>
    </row>
    <row r="522" spans="2:55" x14ac:dyDescent="0.25">
      <c r="B522" s="80" t="str">
        <f>'Client Data'!C52</f>
        <v>Product C</v>
      </c>
      <c r="C522" s="35">
        <f>'Client Data'!D52</f>
        <v>0</v>
      </c>
      <c r="D522" s="35">
        <f>'Client Data'!E52</f>
        <v>0</v>
      </c>
      <c r="E522" s="35">
        <f>'Client Data'!F52</f>
        <v>0</v>
      </c>
      <c r="F522" s="35">
        <f>'Client Data'!G52</f>
        <v>0</v>
      </c>
      <c r="G522" s="35">
        <f>'Client Data'!H52</f>
        <v>0</v>
      </c>
      <c r="H522" s="35">
        <f>'Client Data'!I52</f>
        <v>0</v>
      </c>
      <c r="I522" s="35">
        <f>'Client Data'!J52</f>
        <v>0</v>
      </c>
      <c r="J522" s="35">
        <f>'Client Data'!K52</f>
        <v>0</v>
      </c>
      <c r="K522" s="35">
        <f>'Client Data'!L52</f>
        <v>0</v>
      </c>
      <c r="L522" s="35">
        <f>'Client Data'!M52</f>
        <v>0</v>
      </c>
      <c r="M522" s="35">
        <f>'Client Data'!N52</f>
        <v>0</v>
      </c>
      <c r="N522" s="35">
        <f>'Client Data'!O52</f>
        <v>0</v>
      </c>
      <c r="O522" s="35">
        <f>'Client Data'!P52</f>
        <v>0</v>
      </c>
      <c r="P522" s="35">
        <f>'Client Data'!Q52</f>
        <v>0</v>
      </c>
      <c r="Q522" s="35">
        <f>'Client Data'!R52</f>
        <v>0</v>
      </c>
      <c r="R522" s="35">
        <f>'Client Data'!S52</f>
        <v>0</v>
      </c>
      <c r="S522" s="35">
        <f>'Client Data'!T52</f>
        <v>0</v>
      </c>
      <c r="T522" s="35">
        <f>'Client Data'!U52</f>
        <v>0</v>
      </c>
      <c r="U522" s="35">
        <f>'Client Data'!V52</f>
        <v>0</v>
      </c>
      <c r="V522" s="35">
        <f>'Client Data'!W52</f>
        <v>0</v>
      </c>
      <c r="W522" s="35">
        <f>'Client Data'!X52</f>
        <v>0</v>
      </c>
      <c r="X522" s="35">
        <f>'Client Data'!Y52</f>
        <v>0</v>
      </c>
      <c r="Y522" s="35">
        <f>'Client Data'!Z52</f>
        <v>0</v>
      </c>
      <c r="Z522" s="35">
        <f>'Client Data'!AA52</f>
        <v>0</v>
      </c>
      <c r="AA522" s="35">
        <f>'Client Data'!AB52</f>
        <v>0</v>
      </c>
      <c r="AB522" s="35">
        <f>'Client Data'!AC52</f>
        <v>0</v>
      </c>
      <c r="AC522" s="35">
        <f>'Client Data'!AD52</f>
        <v>0</v>
      </c>
      <c r="AD522" s="35">
        <f>'Client Data'!AE52</f>
        <v>0</v>
      </c>
      <c r="AE522" s="35">
        <f>'Client Data'!AF52</f>
        <v>0</v>
      </c>
      <c r="AF522" s="35">
        <f>'Client Data'!AG52</f>
        <v>0</v>
      </c>
      <c r="AG522" s="35">
        <f>'Client Data'!AH52</f>
        <v>0</v>
      </c>
      <c r="AH522" s="35">
        <f>'Client Data'!AI52</f>
        <v>0</v>
      </c>
      <c r="AI522" s="35">
        <f>'Client Data'!AJ52</f>
        <v>0</v>
      </c>
      <c r="AJ522" s="35">
        <f>'Client Data'!AK52</f>
        <v>0</v>
      </c>
      <c r="AK522" s="35">
        <f>'Client Data'!AL52</f>
        <v>0</v>
      </c>
      <c r="AL522" s="35">
        <f>'Client Data'!AM52</f>
        <v>0</v>
      </c>
      <c r="AM522" s="35">
        <f>'Client Data'!AN52</f>
        <v>0</v>
      </c>
      <c r="AN522" s="35">
        <f>'Client Data'!AO52</f>
        <v>0</v>
      </c>
      <c r="AO522" s="35">
        <f>'Client Data'!AP52</f>
        <v>0</v>
      </c>
      <c r="AP522" s="35">
        <f>'Client Data'!AQ52</f>
        <v>0</v>
      </c>
      <c r="AQ522" s="35">
        <f>'Client Data'!AR52</f>
        <v>0</v>
      </c>
      <c r="AR522" s="35">
        <f>'Client Data'!AS52</f>
        <v>0</v>
      </c>
      <c r="AS522" s="35">
        <f>'Client Data'!AT52</f>
        <v>0</v>
      </c>
      <c r="AT522" s="35">
        <f>'Client Data'!AU52</f>
        <v>0</v>
      </c>
      <c r="AU522" s="35">
        <f>'Client Data'!AV52</f>
        <v>0</v>
      </c>
      <c r="AV522" s="35">
        <f>'Client Data'!AW52</f>
        <v>0</v>
      </c>
      <c r="AW522" s="35">
        <f>'Client Data'!AX52</f>
        <v>0</v>
      </c>
      <c r="AX522" s="35">
        <f>'Client Data'!AY52</f>
        <v>0</v>
      </c>
      <c r="AY522" s="35">
        <f>'Client Data'!AZ52</f>
        <v>0</v>
      </c>
      <c r="AZ522" s="35">
        <f>'Client Data'!BA52</f>
        <v>0</v>
      </c>
      <c r="BA522" s="35">
        <f>'Client Data'!BB52</f>
        <v>0</v>
      </c>
      <c r="BB522" s="35">
        <f>'Client Data'!BC52</f>
        <v>0</v>
      </c>
      <c r="BC522" s="19">
        <f t="shared" si="776"/>
        <v>0</v>
      </c>
    </row>
    <row r="523" spans="2:55" x14ac:dyDescent="0.25">
      <c r="B523" s="80" t="str">
        <f>'Client Data'!C62</f>
        <v>Product D</v>
      </c>
      <c r="C523" s="35">
        <f>'Client Data'!D62</f>
        <v>0</v>
      </c>
      <c r="D523" s="35">
        <f>'Client Data'!E62</f>
        <v>0</v>
      </c>
      <c r="E523" s="35">
        <f>'Client Data'!F62</f>
        <v>0</v>
      </c>
      <c r="F523" s="35">
        <f>'Client Data'!G62</f>
        <v>0</v>
      </c>
      <c r="G523" s="35">
        <f>'Client Data'!H62</f>
        <v>0</v>
      </c>
      <c r="H523" s="35">
        <f>'Client Data'!I62</f>
        <v>0</v>
      </c>
      <c r="I523" s="35">
        <f>'Client Data'!J62</f>
        <v>0</v>
      </c>
      <c r="J523" s="35">
        <f>'Client Data'!K62</f>
        <v>0</v>
      </c>
      <c r="K523" s="35">
        <f>'Client Data'!L62</f>
        <v>0</v>
      </c>
      <c r="L523" s="35">
        <f>'Client Data'!M62</f>
        <v>0</v>
      </c>
      <c r="M523" s="35">
        <f>'Client Data'!N62</f>
        <v>0</v>
      </c>
      <c r="N523" s="35">
        <f>'Client Data'!O62</f>
        <v>0</v>
      </c>
      <c r="O523" s="35">
        <f>'Client Data'!P62</f>
        <v>0</v>
      </c>
      <c r="P523" s="35">
        <f>'Client Data'!Q62</f>
        <v>0</v>
      </c>
      <c r="Q523" s="35">
        <f>'Client Data'!R62</f>
        <v>0</v>
      </c>
      <c r="R523" s="35">
        <f>'Client Data'!S62</f>
        <v>0</v>
      </c>
      <c r="S523" s="35">
        <f>'Client Data'!T62</f>
        <v>0</v>
      </c>
      <c r="T523" s="35">
        <f>'Client Data'!U62</f>
        <v>0</v>
      </c>
      <c r="U523" s="35">
        <f>'Client Data'!V62</f>
        <v>0</v>
      </c>
      <c r="V523" s="35">
        <f>'Client Data'!W62</f>
        <v>0</v>
      </c>
      <c r="W523" s="35">
        <f>'Client Data'!X62</f>
        <v>0</v>
      </c>
      <c r="X523" s="35">
        <f>'Client Data'!Y62</f>
        <v>0</v>
      </c>
      <c r="Y523" s="35">
        <f>'Client Data'!Z62</f>
        <v>0</v>
      </c>
      <c r="Z523" s="35">
        <f>'Client Data'!AA62</f>
        <v>0</v>
      </c>
      <c r="AA523" s="35">
        <f>'Client Data'!AB62</f>
        <v>0</v>
      </c>
      <c r="AB523" s="35">
        <f>'Client Data'!AC62</f>
        <v>0</v>
      </c>
      <c r="AC523" s="35">
        <f>'Client Data'!AD62</f>
        <v>0</v>
      </c>
      <c r="AD523" s="35">
        <f>'Client Data'!AE62</f>
        <v>0</v>
      </c>
      <c r="AE523" s="35">
        <f>'Client Data'!AF62</f>
        <v>0</v>
      </c>
      <c r="AF523" s="35">
        <f>'Client Data'!AG62</f>
        <v>0</v>
      </c>
      <c r="AG523" s="35">
        <f>'Client Data'!AH62</f>
        <v>0</v>
      </c>
      <c r="AH523" s="35">
        <f>'Client Data'!AI62</f>
        <v>0</v>
      </c>
      <c r="AI523" s="35">
        <f>'Client Data'!AJ62</f>
        <v>0</v>
      </c>
      <c r="AJ523" s="35">
        <f>'Client Data'!AK62</f>
        <v>0</v>
      </c>
      <c r="AK523" s="35">
        <f>'Client Data'!AL62</f>
        <v>0</v>
      </c>
      <c r="AL523" s="35">
        <f>'Client Data'!AM62</f>
        <v>0</v>
      </c>
      <c r="AM523" s="35">
        <f>'Client Data'!AN62</f>
        <v>0</v>
      </c>
      <c r="AN523" s="35">
        <f>'Client Data'!AO62</f>
        <v>0</v>
      </c>
      <c r="AO523" s="35">
        <f>'Client Data'!AP62</f>
        <v>0</v>
      </c>
      <c r="AP523" s="35">
        <f>'Client Data'!AQ62</f>
        <v>0</v>
      </c>
      <c r="AQ523" s="35">
        <f>'Client Data'!AR62</f>
        <v>0</v>
      </c>
      <c r="AR523" s="35">
        <f>'Client Data'!AS62</f>
        <v>0</v>
      </c>
      <c r="AS523" s="35">
        <f>'Client Data'!AT62</f>
        <v>0</v>
      </c>
      <c r="AT523" s="35">
        <f>'Client Data'!AU62</f>
        <v>0</v>
      </c>
      <c r="AU523" s="35">
        <f>'Client Data'!AV62</f>
        <v>0</v>
      </c>
      <c r="AV523" s="35">
        <f>'Client Data'!AW62</f>
        <v>0</v>
      </c>
      <c r="AW523" s="35">
        <f>'Client Data'!AX62</f>
        <v>0</v>
      </c>
      <c r="AX523" s="35">
        <f>'Client Data'!AY62</f>
        <v>0</v>
      </c>
      <c r="AY523" s="35">
        <f>'Client Data'!AZ62</f>
        <v>0</v>
      </c>
      <c r="AZ523" s="35">
        <f>'Client Data'!BA62</f>
        <v>0</v>
      </c>
      <c r="BA523" s="35">
        <f>'Client Data'!BB62</f>
        <v>0</v>
      </c>
      <c r="BB523" s="35">
        <f>'Client Data'!BC62</f>
        <v>0</v>
      </c>
      <c r="BC523" s="19">
        <f t="shared" si="776"/>
        <v>0</v>
      </c>
    </row>
    <row r="524" spans="2:55" x14ac:dyDescent="0.25">
      <c r="B524" s="80" t="str">
        <f>'Client Data'!C72</f>
        <v>Product E</v>
      </c>
      <c r="C524" s="35">
        <f>'Client Data'!D72</f>
        <v>11</v>
      </c>
      <c r="D524" s="35">
        <f>'Client Data'!E72</f>
        <v>29</v>
      </c>
      <c r="E524" s="35">
        <f>'Client Data'!F72</f>
        <v>22</v>
      </c>
      <c r="F524" s="35">
        <f>'Client Data'!G72</f>
        <v>17</v>
      </c>
      <c r="G524" s="35">
        <f>'Client Data'!H72</f>
        <v>11</v>
      </c>
      <c r="H524" s="35">
        <f>'Client Data'!I72</f>
        <v>24</v>
      </c>
      <c r="I524" s="35">
        <f>'Client Data'!J72</f>
        <v>22</v>
      </c>
      <c r="J524" s="35">
        <f>'Client Data'!K72</f>
        <v>17</v>
      </c>
      <c r="K524" s="35">
        <f>'Client Data'!L72</f>
        <v>11</v>
      </c>
      <c r="L524" s="35">
        <f>'Client Data'!M72</f>
        <v>15</v>
      </c>
      <c r="M524" s="35">
        <f>'Client Data'!N72</f>
        <v>13</v>
      </c>
      <c r="N524" s="35">
        <f>'Client Data'!O72</f>
        <v>17</v>
      </c>
      <c r="O524" s="35">
        <f>'Client Data'!P72</f>
        <v>11</v>
      </c>
      <c r="P524" s="35">
        <f>'Client Data'!Q72</f>
        <v>28</v>
      </c>
      <c r="Q524" s="35">
        <f>'Client Data'!R72</f>
        <v>22</v>
      </c>
      <c r="R524" s="35">
        <f>'Client Data'!S72</f>
        <v>17</v>
      </c>
      <c r="S524" s="35">
        <f>'Client Data'!T72</f>
        <v>11</v>
      </c>
      <c r="T524" s="35">
        <f>'Client Data'!U72</f>
        <v>28</v>
      </c>
      <c r="U524" s="35">
        <f>'Client Data'!V72</f>
        <v>22</v>
      </c>
      <c r="V524" s="35">
        <f>'Client Data'!W72</f>
        <v>17</v>
      </c>
      <c r="W524" s="35">
        <f>'Client Data'!X72</f>
        <v>11</v>
      </c>
      <c r="X524" s="35">
        <f>'Client Data'!Y72</f>
        <v>15</v>
      </c>
      <c r="Y524" s="35">
        <f>'Client Data'!Z72</f>
        <v>22</v>
      </c>
      <c r="Z524" s="35">
        <f>'Client Data'!AA72</f>
        <v>17</v>
      </c>
      <c r="AA524" s="35">
        <f>'Client Data'!AB72</f>
        <v>11</v>
      </c>
      <c r="AB524" s="35">
        <f>'Client Data'!AC72</f>
        <v>28</v>
      </c>
      <c r="AC524" s="35">
        <f>'Client Data'!AD72</f>
        <v>22</v>
      </c>
      <c r="AD524" s="35">
        <f>'Client Data'!AE72</f>
        <v>17</v>
      </c>
      <c r="AE524" s="35">
        <f>'Client Data'!AF72</f>
        <v>10</v>
      </c>
      <c r="AF524" s="35">
        <f>'Client Data'!AG72</f>
        <v>23</v>
      </c>
      <c r="AG524" s="35">
        <f>'Client Data'!AH72</f>
        <v>22</v>
      </c>
      <c r="AH524" s="35">
        <f>'Client Data'!AI72</f>
        <v>17</v>
      </c>
      <c r="AI524" s="35">
        <f>'Client Data'!AJ72</f>
        <v>11</v>
      </c>
      <c r="AJ524" s="35">
        <f>'Client Data'!AK72</f>
        <v>15</v>
      </c>
      <c r="AK524" s="35">
        <f>'Client Data'!AL72</f>
        <v>21</v>
      </c>
      <c r="AL524" s="35">
        <f>'Client Data'!AM72</f>
        <v>17</v>
      </c>
      <c r="AM524" s="35">
        <f>'Client Data'!AN72</f>
        <v>11</v>
      </c>
      <c r="AN524" s="35">
        <f>'Client Data'!AO72</f>
        <v>28</v>
      </c>
      <c r="AO524" s="35">
        <f>'Client Data'!AP72</f>
        <v>22</v>
      </c>
      <c r="AP524" s="35">
        <f>'Client Data'!AQ72</f>
        <v>17</v>
      </c>
      <c r="AQ524" s="35">
        <f>'Client Data'!AR72</f>
        <v>11</v>
      </c>
      <c r="AR524" s="35">
        <f>'Client Data'!AS72</f>
        <v>24</v>
      </c>
      <c r="AS524" s="35">
        <f>'Client Data'!AT72</f>
        <v>21</v>
      </c>
      <c r="AT524" s="35">
        <f>'Client Data'!AU72</f>
        <v>18</v>
      </c>
      <c r="AU524" s="35">
        <f>'Client Data'!AV72</f>
        <v>11</v>
      </c>
      <c r="AV524" s="35">
        <f>'Client Data'!AW72</f>
        <v>28</v>
      </c>
      <c r="AW524" s="35">
        <f>'Client Data'!AX72</f>
        <v>22</v>
      </c>
      <c r="AX524" s="35">
        <f>'Client Data'!AY72</f>
        <v>17</v>
      </c>
      <c r="AY524" s="35">
        <f>'Client Data'!AZ72</f>
        <v>11</v>
      </c>
      <c r="AZ524" s="35">
        <f>'Client Data'!BA72</f>
        <v>28</v>
      </c>
      <c r="BA524" s="35">
        <f>'Client Data'!BB72</f>
        <v>21</v>
      </c>
      <c r="BB524" s="35">
        <f>'Client Data'!BC72</f>
        <v>17</v>
      </c>
      <c r="BC524" s="19">
        <f t="shared" si="776"/>
        <v>951</v>
      </c>
    </row>
    <row r="525" spans="2:55" x14ac:dyDescent="0.25">
      <c r="B525" s="80" t="str">
        <f>'Client Data'!C82</f>
        <v>Product F</v>
      </c>
      <c r="C525" s="35">
        <f>'Client Data'!D82</f>
        <v>0</v>
      </c>
      <c r="D525" s="35">
        <f>'Client Data'!E82</f>
        <v>0</v>
      </c>
      <c r="E525" s="35">
        <f>'Client Data'!F82</f>
        <v>0</v>
      </c>
      <c r="F525" s="35">
        <f>'Client Data'!G82</f>
        <v>0</v>
      </c>
      <c r="G525" s="35">
        <f>'Client Data'!H82</f>
        <v>0</v>
      </c>
      <c r="H525" s="35">
        <f>'Client Data'!I82</f>
        <v>0</v>
      </c>
      <c r="I525" s="35">
        <f>'Client Data'!J82</f>
        <v>0</v>
      </c>
      <c r="J525" s="35">
        <f>'Client Data'!K82</f>
        <v>0</v>
      </c>
      <c r="K525" s="35">
        <f>'Client Data'!L82</f>
        <v>0</v>
      </c>
      <c r="L525" s="35">
        <f>'Client Data'!M82</f>
        <v>0</v>
      </c>
      <c r="M525" s="35">
        <f>'Client Data'!N82</f>
        <v>0</v>
      </c>
      <c r="N525" s="35">
        <f>'Client Data'!O82</f>
        <v>0</v>
      </c>
      <c r="O525" s="35">
        <f>'Client Data'!P82</f>
        <v>0</v>
      </c>
      <c r="P525" s="35">
        <f>'Client Data'!Q82</f>
        <v>0</v>
      </c>
      <c r="Q525" s="35">
        <f>'Client Data'!R82</f>
        <v>0</v>
      </c>
      <c r="R525" s="35">
        <f>'Client Data'!S82</f>
        <v>0</v>
      </c>
      <c r="S525" s="35">
        <f>'Client Data'!T82</f>
        <v>0</v>
      </c>
      <c r="T525" s="35">
        <f>'Client Data'!U82</f>
        <v>0</v>
      </c>
      <c r="U525" s="35">
        <f>'Client Data'!V82</f>
        <v>0</v>
      </c>
      <c r="V525" s="35">
        <f>'Client Data'!W82</f>
        <v>0</v>
      </c>
      <c r="W525" s="35">
        <f>'Client Data'!X82</f>
        <v>0</v>
      </c>
      <c r="X525" s="35">
        <f>'Client Data'!Y82</f>
        <v>0</v>
      </c>
      <c r="Y525" s="35">
        <f>'Client Data'!Z82</f>
        <v>0</v>
      </c>
      <c r="Z525" s="35">
        <f>'Client Data'!AA82</f>
        <v>0</v>
      </c>
      <c r="AA525" s="35">
        <f>'Client Data'!AB82</f>
        <v>0</v>
      </c>
      <c r="AB525" s="35">
        <f>'Client Data'!AC82</f>
        <v>0</v>
      </c>
      <c r="AC525" s="35">
        <f>'Client Data'!AD82</f>
        <v>0</v>
      </c>
      <c r="AD525" s="35">
        <f>'Client Data'!AE82</f>
        <v>0</v>
      </c>
      <c r="AE525" s="35">
        <f>'Client Data'!AF82</f>
        <v>0</v>
      </c>
      <c r="AF525" s="35">
        <f>'Client Data'!AG82</f>
        <v>0</v>
      </c>
      <c r="AG525" s="35">
        <f>'Client Data'!AH82</f>
        <v>0</v>
      </c>
      <c r="AH525" s="35">
        <f>'Client Data'!AI82</f>
        <v>0</v>
      </c>
      <c r="AI525" s="35">
        <f>'Client Data'!AJ82</f>
        <v>0</v>
      </c>
      <c r="AJ525" s="35">
        <f>'Client Data'!AK82</f>
        <v>0</v>
      </c>
      <c r="AK525" s="35">
        <f>'Client Data'!AL82</f>
        <v>0</v>
      </c>
      <c r="AL525" s="35">
        <f>'Client Data'!AM82</f>
        <v>0</v>
      </c>
      <c r="AM525" s="35">
        <f>'Client Data'!AN82</f>
        <v>0</v>
      </c>
      <c r="AN525" s="35">
        <f>'Client Data'!AO82</f>
        <v>0</v>
      </c>
      <c r="AO525" s="35">
        <f>'Client Data'!AP82</f>
        <v>0</v>
      </c>
      <c r="AP525" s="35">
        <f>'Client Data'!AQ82</f>
        <v>0</v>
      </c>
      <c r="AQ525" s="35">
        <f>'Client Data'!AR82</f>
        <v>0</v>
      </c>
      <c r="AR525" s="35">
        <f>'Client Data'!AS82</f>
        <v>0</v>
      </c>
      <c r="AS525" s="35">
        <f>'Client Data'!AT82</f>
        <v>0</v>
      </c>
      <c r="AT525" s="35">
        <f>'Client Data'!AU82</f>
        <v>0</v>
      </c>
      <c r="AU525" s="35">
        <f>'Client Data'!AV82</f>
        <v>0</v>
      </c>
      <c r="AV525" s="35">
        <f>'Client Data'!AW82</f>
        <v>0</v>
      </c>
      <c r="AW525" s="35">
        <f>'Client Data'!AX82</f>
        <v>0</v>
      </c>
      <c r="AX525" s="35">
        <f>'Client Data'!AY82</f>
        <v>0</v>
      </c>
      <c r="AY525" s="35">
        <f>'Client Data'!AZ82</f>
        <v>0</v>
      </c>
      <c r="AZ525" s="35">
        <f>'Client Data'!BA82</f>
        <v>0</v>
      </c>
      <c r="BA525" s="35">
        <f>'Client Data'!BB82</f>
        <v>0</v>
      </c>
      <c r="BB525" s="35">
        <f>'Client Data'!BC82</f>
        <v>0</v>
      </c>
      <c r="BC525" s="19">
        <f t="shared" si="776"/>
        <v>0</v>
      </c>
    </row>
    <row r="526" spans="2:55" x14ac:dyDescent="0.25">
      <c r="B526" s="80" t="str">
        <f>'Client Data'!C92</f>
        <v>Product G</v>
      </c>
      <c r="C526" s="35">
        <f>'Client Data'!D92</f>
        <v>0</v>
      </c>
      <c r="D526" s="35">
        <f>'Client Data'!E92</f>
        <v>0</v>
      </c>
      <c r="E526" s="35">
        <f>'Client Data'!F92</f>
        <v>0</v>
      </c>
      <c r="F526" s="35">
        <f>'Client Data'!G92</f>
        <v>0</v>
      </c>
      <c r="G526" s="35">
        <f>'Client Data'!H92</f>
        <v>0</v>
      </c>
      <c r="H526" s="35">
        <f>'Client Data'!I92</f>
        <v>0</v>
      </c>
      <c r="I526" s="35">
        <f>'Client Data'!J92</f>
        <v>0</v>
      </c>
      <c r="J526" s="35">
        <f>'Client Data'!K92</f>
        <v>0</v>
      </c>
      <c r="K526" s="35">
        <f>'Client Data'!L92</f>
        <v>0</v>
      </c>
      <c r="L526" s="35">
        <f>'Client Data'!M92</f>
        <v>0</v>
      </c>
      <c r="M526" s="35">
        <f>'Client Data'!N92</f>
        <v>0</v>
      </c>
      <c r="N526" s="35">
        <f>'Client Data'!O92</f>
        <v>0</v>
      </c>
      <c r="O526" s="35">
        <f>'Client Data'!P92</f>
        <v>0</v>
      </c>
      <c r="P526" s="35">
        <f>'Client Data'!Q92</f>
        <v>0</v>
      </c>
      <c r="Q526" s="35">
        <f>'Client Data'!R92</f>
        <v>0</v>
      </c>
      <c r="R526" s="35">
        <f>'Client Data'!S92</f>
        <v>0</v>
      </c>
      <c r="S526" s="35">
        <f>'Client Data'!T92</f>
        <v>0</v>
      </c>
      <c r="T526" s="35">
        <f>'Client Data'!U92</f>
        <v>0</v>
      </c>
      <c r="U526" s="35">
        <f>'Client Data'!V92</f>
        <v>0</v>
      </c>
      <c r="V526" s="35">
        <f>'Client Data'!W92</f>
        <v>0</v>
      </c>
      <c r="W526" s="35">
        <f>'Client Data'!X92</f>
        <v>0</v>
      </c>
      <c r="X526" s="35">
        <f>'Client Data'!Y92</f>
        <v>0</v>
      </c>
      <c r="Y526" s="35">
        <f>'Client Data'!Z92</f>
        <v>0</v>
      </c>
      <c r="Z526" s="35">
        <f>'Client Data'!AA92</f>
        <v>0</v>
      </c>
      <c r="AA526" s="35">
        <f>'Client Data'!AB92</f>
        <v>0</v>
      </c>
      <c r="AB526" s="35">
        <f>'Client Data'!AC92</f>
        <v>0</v>
      </c>
      <c r="AC526" s="35">
        <f>'Client Data'!AD92</f>
        <v>0</v>
      </c>
      <c r="AD526" s="35">
        <f>'Client Data'!AE92</f>
        <v>0</v>
      </c>
      <c r="AE526" s="35">
        <f>'Client Data'!AF92</f>
        <v>0</v>
      </c>
      <c r="AF526" s="35">
        <f>'Client Data'!AG92</f>
        <v>0</v>
      </c>
      <c r="AG526" s="35">
        <f>'Client Data'!AH92</f>
        <v>0</v>
      </c>
      <c r="AH526" s="35">
        <f>'Client Data'!AI92</f>
        <v>0</v>
      </c>
      <c r="AI526" s="35">
        <f>'Client Data'!AJ92</f>
        <v>0</v>
      </c>
      <c r="AJ526" s="35">
        <f>'Client Data'!AK92</f>
        <v>0</v>
      </c>
      <c r="AK526" s="35">
        <f>'Client Data'!AL92</f>
        <v>0</v>
      </c>
      <c r="AL526" s="35">
        <f>'Client Data'!AM92</f>
        <v>0</v>
      </c>
      <c r="AM526" s="35">
        <f>'Client Data'!AN92</f>
        <v>0</v>
      </c>
      <c r="AN526" s="35">
        <f>'Client Data'!AO92</f>
        <v>0</v>
      </c>
      <c r="AO526" s="35">
        <f>'Client Data'!AP92</f>
        <v>0</v>
      </c>
      <c r="AP526" s="35">
        <f>'Client Data'!AQ92</f>
        <v>0</v>
      </c>
      <c r="AQ526" s="35">
        <f>'Client Data'!AR92</f>
        <v>0</v>
      </c>
      <c r="AR526" s="35">
        <f>'Client Data'!AS92</f>
        <v>0</v>
      </c>
      <c r="AS526" s="35">
        <f>'Client Data'!AT92</f>
        <v>0</v>
      </c>
      <c r="AT526" s="35">
        <f>'Client Data'!AU92</f>
        <v>0</v>
      </c>
      <c r="AU526" s="35">
        <f>'Client Data'!AV92</f>
        <v>0</v>
      </c>
      <c r="AV526" s="35">
        <f>'Client Data'!AW92</f>
        <v>0</v>
      </c>
      <c r="AW526" s="35">
        <f>'Client Data'!AX92</f>
        <v>0</v>
      </c>
      <c r="AX526" s="35">
        <f>'Client Data'!AY92</f>
        <v>0</v>
      </c>
      <c r="AY526" s="35">
        <f>'Client Data'!AZ92</f>
        <v>0</v>
      </c>
      <c r="AZ526" s="35">
        <f>'Client Data'!BA92</f>
        <v>0</v>
      </c>
      <c r="BA526" s="35">
        <f>'Client Data'!BB92</f>
        <v>0</v>
      </c>
      <c r="BB526" s="35">
        <f>'Client Data'!BC92</f>
        <v>0</v>
      </c>
      <c r="BC526" s="19">
        <f t="shared" si="776"/>
        <v>0</v>
      </c>
    </row>
    <row r="527" spans="2:55" x14ac:dyDescent="0.25">
      <c r="B527" s="80" t="str">
        <f>'Client Data'!C102</f>
        <v>Product H</v>
      </c>
      <c r="C527" s="35">
        <f>'Client Data'!D102</f>
        <v>0</v>
      </c>
      <c r="D527" s="35">
        <f>'Client Data'!E102</f>
        <v>0</v>
      </c>
      <c r="E527" s="35">
        <f>'Client Data'!F102</f>
        <v>0</v>
      </c>
      <c r="F527" s="35">
        <f>'Client Data'!G102</f>
        <v>0</v>
      </c>
      <c r="G527" s="35">
        <f>'Client Data'!H102</f>
        <v>0</v>
      </c>
      <c r="H527" s="35">
        <f>'Client Data'!I102</f>
        <v>0</v>
      </c>
      <c r="I527" s="35">
        <f>'Client Data'!J102</f>
        <v>0</v>
      </c>
      <c r="J527" s="35">
        <f>'Client Data'!K102</f>
        <v>0</v>
      </c>
      <c r="K527" s="35">
        <f>'Client Data'!L102</f>
        <v>0</v>
      </c>
      <c r="L527" s="35">
        <f>'Client Data'!M102</f>
        <v>0</v>
      </c>
      <c r="M527" s="35">
        <f>'Client Data'!N102</f>
        <v>0</v>
      </c>
      <c r="N527" s="35">
        <f>'Client Data'!O102</f>
        <v>0</v>
      </c>
      <c r="O527" s="35">
        <f>'Client Data'!P102</f>
        <v>0</v>
      </c>
      <c r="P527" s="35">
        <f>'Client Data'!Q102</f>
        <v>0</v>
      </c>
      <c r="Q527" s="35">
        <f>'Client Data'!R102</f>
        <v>0</v>
      </c>
      <c r="R527" s="35">
        <f>'Client Data'!S102</f>
        <v>0</v>
      </c>
      <c r="S527" s="35">
        <f>'Client Data'!T102</f>
        <v>0</v>
      </c>
      <c r="T527" s="35">
        <f>'Client Data'!U102</f>
        <v>0</v>
      </c>
      <c r="U527" s="35">
        <f>'Client Data'!V102</f>
        <v>0</v>
      </c>
      <c r="V527" s="35">
        <f>'Client Data'!W102</f>
        <v>0</v>
      </c>
      <c r="W527" s="35">
        <f>'Client Data'!X102</f>
        <v>0</v>
      </c>
      <c r="X527" s="35">
        <f>'Client Data'!Y102</f>
        <v>0</v>
      </c>
      <c r="Y527" s="35">
        <f>'Client Data'!Z102</f>
        <v>0</v>
      </c>
      <c r="Z527" s="35">
        <f>'Client Data'!AA102</f>
        <v>0</v>
      </c>
      <c r="AA527" s="35">
        <f>'Client Data'!AB102</f>
        <v>0</v>
      </c>
      <c r="AB527" s="35">
        <f>'Client Data'!AC102</f>
        <v>0</v>
      </c>
      <c r="AC527" s="35">
        <f>'Client Data'!AD102</f>
        <v>0</v>
      </c>
      <c r="AD527" s="35">
        <f>'Client Data'!AE102</f>
        <v>0</v>
      </c>
      <c r="AE527" s="35">
        <f>'Client Data'!AF102</f>
        <v>0</v>
      </c>
      <c r="AF527" s="35">
        <f>'Client Data'!AG102</f>
        <v>0</v>
      </c>
      <c r="AG527" s="35">
        <f>'Client Data'!AH102</f>
        <v>0</v>
      </c>
      <c r="AH527" s="35">
        <f>'Client Data'!AI102</f>
        <v>0</v>
      </c>
      <c r="AI527" s="35">
        <f>'Client Data'!AJ102</f>
        <v>0</v>
      </c>
      <c r="AJ527" s="35">
        <f>'Client Data'!AK102</f>
        <v>0</v>
      </c>
      <c r="AK527" s="35">
        <f>'Client Data'!AL102</f>
        <v>0</v>
      </c>
      <c r="AL527" s="35">
        <f>'Client Data'!AM102</f>
        <v>0</v>
      </c>
      <c r="AM527" s="35">
        <f>'Client Data'!AN102</f>
        <v>0</v>
      </c>
      <c r="AN527" s="35">
        <f>'Client Data'!AO102</f>
        <v>0</v>
      </c>
      <c r="AO527" s="35">
        <f>'Client Data'!AP102</f>
        <v>0</v>
      </c>
      <c r="AP527" s="35">
        <f>'Client Data'!AQ102</f>
        <v>0</v>
      </c>
      <c r="AQ527" s="35">
        <f>'Client Data'!AR102</f>
        <v>0</v>
      </c>
      <c r="AR527" s="35">
        <f>'Client Data'!AS102</f>
        <v>0</v>
      </c>
      <c r="AS527" s="35">
        <f>'Client Data'!AT102</f>
        <v>0</v>
      </c>
      <c r="AT527" s="35">
        <f>'Client Data'!AU102</f>
        <v>0</v>
      </c>
      <c r="AU527" s="35">
        <f>'Client Data'!AV102</f>
        <v>0</v>
      </c>
      <c r="AV527" s="35">
        <f>'Client Data'!AW102</f>
        <v>0</v>
      </c>
      <c r="AW527" s="35">
        <f>'Client Data'!AX102</f>
        <v>0</v>
      </c>
      <c r="AX527" s="35">
        <f>'Client Data'!AY102</f>
        <v>0</v>
      </c>
      <c r="AY527" s="35">
        <f>'Client Data'!AZ102</f>
        <v>0</v>
      </c>
      <c r="AZ527" s="35">
        <f>'Client Data'!BA102</f>
        <v>0</v>
      </c>
      <c r="BA527" s="35">
        <f>'Client Data'!BB102</f>
        <v>0</v>
      </c>
      <c r="BB527" s="35">
        <f>'Client Data'!BC102</f>
        <v>0</v>
      </c>
      <c r="BC527" s="19">
        <f t="shared" si="776"/>
        <v>0</v>
      </c>
    </row>
    <row r="528" spans="2:55" x14ac:dyDescent="0.25">
      <c r="B528" s="19" t="str">
        <f>'Client Data'!B33</f>
        <v>Rework Loss Type I</v>
      </c>
      <c r="C528" s="50">
        <f t="shared" ref="C528:AH528" si="789">IF(C190&gt;0,SUM(C529:C536),0)</f>
        <v>0</v>
      </c>
      <c r="D528" s="50">
        <f t="shared" si="789"/>
        <v>0</v>
      </c>
      <c r="E528" s="50">
        <f t="shared" si="789"/>
        <v>0</v>
      </c>
      <c r="F528" s="50">
        <f t="shared" si="789"/>
        <v>0</v>
      </c>
      <c r="G528" s="50">
        <f t="shared" si="789"/>
        <v>0</v>
      </c>
      <c r="H528" s="50">
        <f t="shared" si="789"/>
        <v>0</v>
      </c>
      <c r="I528" s="50">
        <f t="shared" si="789"/>
        <v>0</v>
      </c>
      <c r="J528" s="50">
        <f t="shared" si="789"/>
        <v>0</v>
      </c>
      <c r="K528" s="50">
        <f t="shared" si="789"/>
        <v>0</v>
      </c>
      <c r="L528" s="50">
        <f t="shared" si="789"/>
        <v>0</v>
      </c>
      <c r="M528" s="50">
        <f t="shared" si="789"/>
        <v>0</v>
      </c>
      <c r="N528" s="50">
        <f t="shared" si="789"/>
        <v>0</v>
      </c>
      <c r="O528" s="50">
        <f t="shared" si="789"/>
        <v>0</v>
      </c>
      <c r="P528" s="50">
        <f t="shared" si="789"/>
        <v>0</v>
      </c>
      <c r="Q528" s="50">
        <f t="shared" si="789"/>
        <v>0</v>
      </c>
      <c r="R528" s="50">
        <f t="shared" si="789"/>
        <v>0</v>
      </c>
      <c r="S528" s="50">
        <f t="shared" si="789"/>
        <v>0</v>
      </c>
      <c r="T528" s="50">
        <f t="shared" si="789"/>
        <v>0</v>
      </c>
      <c r="U528" s="50">
        <f t="shared" si="789"/>
        <v>0</v>
      </c>
      <c r="V528" s="50">
        <f t="shared" si="789"/>
        <v>0</v>
      </c>
      <c r="W528" s="50">
        <f t="shared" si="789"/>
        <v>0</v>
      </c>
      <c r="X528" s="50">
        <f t="shared" si="789"/>
        <v>0</v>
      </c>
      <c r="Y528" s="50">
        <f t="shared" si="789"/>
        <v>0</v>
      </c>
      <c r="Z528" s="50">
        <f t="shared" si="789"/>
        <v>0</v>
      </c>
      <c r="AA528" s="50">
        <f t="shared" si="789"/>
        <v>0</v>
      </c>
      <c r="AB528" s="50">
        <f t="shared" si="789"/>
        <v>0</v>
      </c>
      <c r="AC528" s="50">
        <f t="shared" si="789"/>
        <v>0</v>
      </c>
      <c r="AD528" s="50">
        <f t="shared" si="789"/>
        <v>0</v>
      </c>
      <c r="AE528" s="50">
        <f t="shared" si="789"/>
        <v>0</v>
      </c>
      <c r="AF528" s="50">
        <f t="shared" si="789"/>
        <v>0</v>
      </c>
      <c r="AG528" s="50">
        <f t="shared" si="789"/>
        <v>0</v>
      </c>
      <c r="AH528" s="50">
        <f t="shared" si="789"/>
        <v>0</v>
      </c>
      <c r="AI528" s="50">
        <f t="shared" ref="AI528:BB528" si="790">IF(AI190&gt;0,SUM(AI529:AI536),0)</f>
        <v>0</v>
      </c>
      <c r="AJ528" s="50">
        <f t="shared" si="790"/>
        <v>0</v>
      </c>
      <c r="AK528" s="50">
        <f t="shared" si="790"/>
        <v>0</v>
      </c>
      <c r="AL528" s="50">
        <f t="shared" si="790"/>
        <v>0</v>
      </c>
      <c r="AM528" s="50">
        <f t="shared" si="790"/>
        <v>0</v>
      </c>
      <c r="AN528" s="50">
        <f t="shared" si="790"/>
        <v>0</v>
      </c>
      <c r="AO528" s="50">
        <f t="shared" si="790"/>
        <v>0</v>
      </c>
      <c r="AP528" s="50">
        <f t="shared" si="790"/>
        <v>0</v>
      </c>
      <c r="AQ528" s="50">
        <f t="shared" si="790"/>
        <v>0</v>
      </c>
      <c r="AR528" s="50">
        <f t="shared" si="790"/>
        <v>0</v>
      </c>
      <c r="AS528" s="50">
        <f t="shared" si="790"/>
        <v>0</v>
      </c>
      <c r="AT528" s="50">
        <f t="shared" si="790"/>
        <v>0</v>
      </c>
      <c r="AU528" s="50">
        <f t="shared" si="790"/>
        <v>0</v>
      </c>
      <c r="AV528" s="50">
        <f t="shared" si="790"/>
        <v>0</v>
      </c>
      <c r="AW528" s="50">
        <f t="shared" si="790"/>
        <v>0</v>
      </c>
      <c r="AX528" s="50">
        <f t="shared" si="790"/>
        <v>0</v>
      </c>
      <c r="AY528" s="50">
        <f t="shared" si="790"/>
        <v>0</v>
      </c>
      <c r="AZ528" s="50">
        <f t="shared" si="790"/>
        <v>0</v>
      </c>
      <c r="BA528" s="50">
        <f t="shared" si="790"/>
        <v>0</v>
      </c>
      <c r="BB528" s="50">
        <f t="shared" si="790"/>
        <v>0</v>
      </c>
      <c r="BC528" s="19">
        <f t="shared" si="776"/>
        <v>0</v>
      </c>
    </row>
    <row r="529" spans="2:56" x14ac:dyDescent="0.25">
      <c r="B529" s="80" t="str">
        <f>'Client Data'!C33</f>
        <v>Product A</v>
      </c>
      <c r="C529" s="35">
        <f>'Client Data'!D33</f>
        <v>0</v>
      </c>
      <c r="D529" s="35">
        <f>'Client Data'!E33</f>
        <v>0</v>
      </c>
      <c r="E529" s="35">
        <f>'Client Data'!F33</f>
        <v>0</v>
      </c>
      <c r="F529" s="35">
        <f>'Client Data'!G33</f>
        <v>0</v>
      </c>
      <c r="G529" s="35">
        <f>'Client Data'!H33</f>
        <v>0</v>
      </c>
      <c r="H529" s="35">
        <f>'Client Data'!I33</f>
        <v>0</v>
      </c>
      <c r="I529" s="35">
        <f>'Client Data'!J33</f>
        <v>0</v>
      </c>
      <c r="J529" s="35">
        <f>'Client Data'!K33</f>
        <v>0</v>
      </c>
      <c r="K529" s="35">
        <f>'Client Data'!L33</f>
        <v>0</v>
      </c>
      <c r="L529" s="35">
        <f>'Client Data'!M33</f>
        <v>0</v>
      </c>
      <c r="M529" s="35">
        <f>'Client Data'!N33</f>
        <v>0</v>
      </c>
      <c r="N529" s="35">
        <f>'Client Data'!O33</f>
        <v>0</v>
      </c>
      <c r="O529" s="35">
        <f>'Client Data'!P33</f>
        <v>0</v>
      </c>
      <c r="P529" s="35">
        <f>'Client Data'!Q33</f>
        <v>0</v>
      </c>
      <c r="Q529" s="35">
        <f>'Client Data'!R33</f>
        <v>0</v>
      </c>
      <c r="R529" s="35">
        <f>'Client Data'!S33</f>
        <v>0</v>
      </c>
      <c r="S529" s="35">
        <f>'Client Data'!T33</f>
        <v>0</v>
      </c>
      <c r="T529" s="35">
        <f>'Client Data'!U33</f>
        <v>0</v>
      </c>
      <c r="U529" s="35">
        <f>'Client Data'!V33</f>
        <v>0</v>
      </c>
      <c r="V529" s="35">
        <f>'Client Data'!W33</f>
        <v>0</v>
      </c>
      <c r="W529" s="35">
        <f>'Client Data'!X33</f>
        <v>0</v>
      </c>
      <c r="X529" s="35">
        <f>'Client Data'!Y33</f>
        <v>0</v>
      </c>
      <c r="Y529" s="35">
        <f>'Client Data'!Z33</f>
        <v>0</v>
      </c>
      <c r="Z529" s="35">
        <f>'Client Data'!AA33</f>
        <v>0</v>
      </c>
      <c r="AA529" s="35">
        <f>'Client Data'!AB33</f>
        <v>0</v>
      </c>
      <c r="AB529" s="35">
        <f>'Client Data'!AC33</f>
        <v>0</v>
      </c>
      <c r="AC529" s="35">
        <f>'Client Data'!AD33</f>
        <v>0</v>
      </c>
      <c r="AD529" s="35">
        <f>'Client Data'!AE33</f>
        <v>0</v>
      </c>
      <c r="AE529" s="35">
        <f>'Client Data'!AF33</f>
        <v>0</v>
      </c>
      <c r="AF529" s="35">
        <f>'Client Data'!AG33</f>
        <v>0</v>
      </c>
      <c r="AG529" s="35">
        <f>'Client Data'!AH33</f>
        <v>0</v>
      </c>
      <c r="AH529" s="35">
        <f>'Client Data'!AI33</f>
        <v>0</v>
      </c>
      <c r="AI529" s="35">
        <f>'Client Data'!AJ33</f>
        <v>0</v>
      </c>
      <c r="AJ529" s="35">
        <f>'Client Data'!AK33</f>
        <v>0</v>
      </c>
      <c r="AK529" s="35">
        <f>'Client Data'!AL33</f>
        <v>0</v>
      </c>
      <c r="AL529" s="35">
        <f>'Client Data'!AM33</f>
        <v>0</v>
      </c>
      <c r="AM529" s="35">
        <f>'Client Data'!AN33</f>
        <v>0</v>
      </c>
      <c r="AN529" s="35">
        <f>'Client Data'!AO33</f>
        <v>0</v>
      </c>
      <c r="AO529" s="35">
        <f>'Client Data'!AP33</f>
        <v>0</v>
      </c>
      <c r="AP529" s="35">
        <f>'Client Data'!AQ33</f>
        <v>0</v>
      </c>
      <c r="AQ529" s="35">
        <f>'Client Data'!AR33</f>
        <v>0</v>
      </c>
      <c r="AR529" s="35">
        <f>'Client Data'!AS33</f>
        <v>0</v>
      </c>
      <c r="AS529" s="35">
        <f>'Client Data'!AT33</f>
        <v>0</v>
      </c>
      <c r="AT529" s="35">
        <f>'Client Data'!AU33</f>
        <v>0</v>
      </c>
      <c r="AU529" s="35">
        <f>'Client Data'!AV33</f>
        <v>0</v>
      </c>
      <c r="AV529" s="35">
        <f>'Client Data'!AW33</f>
        <v>0</v>
      </c>
      <c r="AW529" s="35">
        <f>'Client Data'!AX33</f>
        <v>0</v>
      </c>
      <c r="AX529" s="35">
        <f>'Client Data'!AY33</f>
        <v>0</v>
      </c>
      <c r="AY529" s="35">
        <f>'Client Data'!AZ33</f>
        <v>0</v>
      </c>
      <c r="AZ529" s="35">
        <f>'Client Data'!BA33</f>
        <v>0</v>
      </c>
      <c r="BA529" s="35">
        <f>'Client Data'!BB33</f>
        <v>0</v>
      </c>
      <c r="BB529" s="35">
        <f>'Client Data'!BC33</f>
        <v>0</v>
      </c>
      <c r="BC529" s="19">
        <f t="shared" ref="BC529:BC544" si="791">SUM(C529:BB529)</f>
        <v>0</v>
      </c>
    </row>
    <row r="530" spans="2:56" x14ac:dyDescent="0.25">
      <c r="B530" s="80" t="str">
        <f>'Client Data'!C43</f>
        <v>Product B</v>
      </c>
      <c r="C530" s="35">
        <f>'Client Data'!D43</f>
        <v>0</v>
      </c>
      <c r="D530" s="35">
        <f>'Client Data'!E43</f>
        <v>0</v>
      </c>
      <c r="E530" s="35">
        <f>'Client Data'!F43</f>
        <v>0</v>
      </c>
      <c r="F530" s="35">
        <f>'Client Data'!G43</f>
        <v>0</v>
      </c>
      <c r="G530" s="35">
        <f>'Client Data'!H43</f>
        <v>0</v>
      </c>
      <c r="H530" s="35">
        <f>'Client Data'!I43</f>
        <v>0</v>
      </c>
      <c r="I530" s="35">
        <f>'Client Data'!J43</f>
        <v>0</v>
      </c>
      <c r="J530" s="35">
        <f>'Client Data'!K43</f>
        <v>0</v>
      </c>
      <c r="K530" s="35">
        <f>'Client Data'!L43</f>
        <v>0</v>
      </c>
      <c r="L530" s="35">
        <f>'Client Data'!M43</f>
        <v>0</v>
      </c>
      <c r="M530" s="35">
        <f>'Client Data'!N43</f>
        <v>0</v>
      </c>
      <c r="N530" s="35">
        <f>'Client Data'!O43</f>
        <v>0</v>
      </c>
      <c r="O530" s="35">
        <f>'Client Data'!P43</f>
        <v>0</v>
      </c>
      <c r="P530" s="35">
        <f>'Client Data'!Q43</f>
        <v>0</v>
      </c>
      <c r="Q530" s="35">
        <f>'Client Data'!R43</f>
        <v>0</v>
      </c>
      <c r="R530" s="35">
        <f>'Client Data'!S43</f>
        <v>0</v>
      </c>
      <c r="S530" s="35">
        <f>'Client Data'!T43</f>
        <v>0</v>
      </c>
      <c r="T530" s="35">
        <f>'Client Data'!U43</f>
        <v>0</v>
      </c>
      <c r="U530" s="35">
        <f>'Client Data'!V43</f>
        <v>0</v>
      </c>
      <c r="V530" s="35">
        <f>'Client Data'!W43</f>
        <v>0</v>
      </c>
      <c r="W530" s="35">
        <f>'Client Data'!X43</f>
        <v>0</v>
      </c>
      <c r="X530" s="35">
        <f>'Client Data'!Y43</f>
        <v>0</v>
      </c>
      <c r="Y530" s="35">
        <f>'Client Data'!Z43</f>
        <v>0</v>
      </c>
      <c r="Z530" s="35">
        <f>'Client Data'!AA43</f>
        <v>0</v>
      </c>
      <c r="AA530" s="35">
        <f>'Client Data'!AB43</f>
        <v>0</v>
      </c>
      <c r="AB530" s="35">
        <f>'Client Data'!AC43</f>
        <v>0</v>
      </c>
      <c r="AC530" s="35">
        <f>'Client Data'!AD43</f>
        <v>0</v>
      </c>
      <c r="AD530" s="35">
        <f>'Client Data'!AE43</f>
        <v>0</v>
      </c>
      <c r="AE530" s="35">
        <f>'Client Data'!AF43</f>
        <v>0</v>
      </c>
      <c r="AF530" s="35">
        <f>'Client Data'!AG43</f>
        <v>0</v>
      </c>
      <c r="AG530" s="35">
        <f>'Client Data'!AH43</f>
        <v>0</v>
      </c>
      <c r="AH530" s="35">
        <f>'Client Data'!AI43</f>
        <v>0</v>
      </c>
      <c r="AI530" s="35">
        <f>'Client Data'!AJ43</f>
        <v>0</v>
      </c>
      <c r="AJ530" s="35">
        <f>'Client Data'!AK43</f>
        <v>0</v>
      </c>
      <c r="AK530" s="35">
        <f>'Client Data'!AL43</f>
        <v>0</v>
      </c>
      <c r="AL530" s="35">
        <f>'Client Data'!AM43</f>
        <v>0</v>
      </c>
      <c r="AM530" s="35">
        <f>'Client Data'!AN43</f>
        <v>0</v>
      </c>
      <c r="AN530" s="35">
        <f>'Client Data'!AO43</f>
        <v>0</v>
      </c>
      <c r="AO530" s="35">
        <f>'Client Data'!AP43</f>
        <v>0</v>
      </c>
      <c r="AP530" s="35">
        <f>'Client Data'!AQ43</f>
        <v>0</v>
      </c>
      <c r="AQ530" s="35">
        <f>'Client Data'!AR43</f>
        <v>0</v>
      </c>
      <c r="AR530" s="35">
        <f>'Client Data'!AS43</f>
        <v>0</v>
      </c>
      <c r="AS530" s="35">
        <f>'Client Data'!AT43</f>
        <v>0</v>
      </c>
      <c r="AT530" s="35">
        <f>'Client Data'!AU43</f>
        <v>0</v>
      </c>
      <c r="AU530" s="35">
        <f>'Client Data'!AV43</f>
        <v>0</v>
      </c>
      <c r="AV530" s="35">
        <f>'Client Data'!AW43</f>
        <v>0</v>
      </c>
      <c r="AW530" s="35">
        <f>'Client Data'!AX43</f>
        <v>0</v>
      </c>
      <c r="AX530" s="35">
        <f>'Client Data'!AY43</f>
        <v>0</v>
      </c>
      <c r="AY530" s="35">
        <f>'Client Data'!AZ43</f>
        <v>0</v>
      </c>
      <c r="AZ530" s="35">
        <f>'Client Data'!BA43</f>
        <v>0</v>
      </c>
      <c r="BA530" s="35">
        <f>'Client Data'!BB43</f>
        <v>0</v>
      </c>
      <c r="BB530" s="35">
        <f>'Client Data'!BC43</f>
        <v>0</v>
      </c>
      <c r="BC530" s="19">
        <f t="shared" si="791"/>
        <v>0</v>
      </c>
    </row>
    <row r="531" spans="2:56" x14ac:dyDescent="0.25">
      <c r="B531" s="80" t="str">
        <f>'Client Data'!C53</f>
        <v>Product C</v>
      </c>
      <c r="C531" s="35">
        <f>'Client Data'!D53</f>
        <v>0</v>
      </c>
      <c r="D531" s="35">
        <f>'Client Data'!E53</f>
        <v>0</v>
      </c>
      <c r="E531" s="35">
        <f>'Client Data'!F53</f>
        <v>0</v>
      </c>
      <c r="F531" s="35">
        <f>'Client Data'!G53</f>
        <v>0</v>
      </c>
      <c r="G531" s="35">
        <f>'Client Data'!H53</f>
        <v>0</v>
      </c>
      <c r="H531" s="35">
        <f>'Client Data'!I53</f>
        <v>0</v>
      </c>
      <c r="I531" s="35">
        <f>'Client Data'!J53</f>
        <v>0</v>
      </c>
      <c r="J531" s="35">
        <f>'Client Data'!K53</f>
        <v>0</v>
      </c>
      <c r="K531" s="35">
        <f>'Client Data'!L53</f>
        <v>0</v>
      </c>
      <c r="L531" s="35">
        <f>'Client Data'!M53</f>
        <v>0</v>
      </c>
      <c r="M531" s="35">
        <f>'Client Data'!N53</f>
        <v>0</v>
      </c>
      <c r="N531" s="35">
        <f>'Client Data'!O53</f>
        <v>0</v>
      </c>
      <c r="O531" s="35">
        <f>'Client Data'!P53</f>
        <v>0</v>
      </c>
      <c r="P531" s="35">
        <f>'Client Data'!Q53</f>
        <v>0</v>
      </c>
      <c r="Q531" s="35">
        <f>'Client Data'!R53</f>
        <v>0</v>
      </c>
      <c r="R531" s="35">
        <f>'Client Data'!S53</f>
        <v>0</v>
      </c>
      <c r="S531" s="35">
        <f>'Client Data'!T53</f>
        <v>0</v>
      </c>
      <c r="T531" s="35">
        <f>'Client Data'!U53</f>
        <v>0</v>
      </c>
      <c r="U531" s="35">
        <f>'Client Data'!V53</f>
        <v>0</v>
      </c>
      <c r="V531" s="35">
        <f>'Client Data'!W53</f>
        <v>0</v>
      </c>
      <c r="W531" s="35">
        <f>'Client Data'!X53</f>
        <v>0</v>
      </c>
      <c r="X531" s="35">
        <f>'Client Data'!Y53</f>
        <v>0</v>
      </c>
      <c r="Y531" s="35">
        <f>'Client Data'!Z53</f>
        <v>0</v>
      </c>
      <c r="Z531" s="35">
        <f>'Client Data'!AA53</f>
        <v>0</v>
      </c>
      <c r="AA531" s="35">
        <f>'Client Data'!AB53</f>
        <v>0</v>
      </c>
      <c r="AB531" s="35">
        <f>'Client Data'!AC53</f>
        <v>0</v>
      </c>
      <c r="AC531" s="35">
        <f>'Client Data'!AD53</f>
        <v>0</v>
      </c>
      <c r="AD531" s="35">
        <f>'Client Data'!AE53</f>
        <v>0</v>
      </c>
      <c r="AE531" s="35">
        <f>'Client Data'!AF53</f>
        <v>0</v>
      </c>
      <c r="AF531" s="35">
        <f>'Client Data'!AG53</f>
        <v>0</v>
      </c>
      <c r="AG531" s="35">
        <f>'Client Data'!AH53</f>
        <v>0</v>
      </c>
      <c r="AH531" s="35">
        <f>'Client Data'!AI53</f>
        <v>0</v>
      </c>
      <c r="AI531" s="35">
        <f>'Client Data'!AJ53</f>
        <v>0</v>
      </c>
      <c r="AJ531" s="35">
        <f>'Client Data'!AK53</f>
        <v>0</v>
      </c>
      <c r="AK531" s="35">
        <f>'Client Data'!AL53</f>
        <v>0</v>
      </c>
      <c r="AL531" s="35">
        <f>'Client Data'!AM53</f>
        <v>0</v>
      </c>
      <c r="AM531" s="35">
        <f>'Client Data'!AN53</f>
        <v>0</v>
      </c>
      <c r="AN531" s="35">
        <f>'Client Data'!AO53</f>
        <v>0</v>
      </c>
      <c r="AO531" s="35">
        <f>'Client Data'!AP53</f>
        <v>0</v>
      </c>
      <c r="AP531" s="35">
        <f>'Client Data'!AQ53</f>
        <v>0</v>
      </c>
      <c r="AQ531" s="35">
        <f>'Client Data'!AR53</f>
        <v>0</v>
      </c>
      <c r="AR531" s="35">
        <f>'Client Data'!AS53</f>
        <v>0</v>
      </c>
      <c r="AS531" s="35">
        <f>'Client Data'!AT53</f>
        <v>0</v>
      </c>
      <c r="AT531" s="35">
        <f>'Client Data'!AU53</f>
        <v>0</v>
      </c>
      <c r="AU531" s="35">
        <f>'Client Data'!AV53</f>
        <v>0</v>
      </c>
      <c r="AV531" s="35">
        <f>'Client Data'!AW53</f>
        <v>0</v>
      </c>
      <c r="AW531" s="35">
        <f>'Client Data'!AX53</f>
        <v>0</v>
      </c>
      <c r="AX531" s="35">
        <f>'Client Data'!AY53</f>
        <v>0</v>
      </c>
      <c r="AY531" s="35">
        <f>'Client Data'!AZ53</f>
        <v>0</v>
      </c>
      <c r="AZ531" s="35">
        <f>'Client Data'!BA53</f>
        <v>0</v>
      </c>
      <c r="BA531" s="35">
        <f>'Client Data'!BB53</f>
        <v>0</v>
      </c>
      <c r="BB531" s="35">
        <f>'Client Data'!BC53</f>
        <v>0</v>
      </c>
      <c r="BC531" s="19">
        <f t="shared" si="791"/>
        <v>0</v>
      </c>
    </row>
    <row r="532" spans="2:56" x14ac:dyDescent="0.25">
      <c r="B532" s="80" t="str">
        <f>'Client Data'!C63</f>
        <v>Product D</v>
      </c>
      <c r="C532" s="35">
        <f>'Client Data'!D63</f>
        <v>0</v>
      </c>
      <c r="D532" s="35">
        <f>'Client Data'!E63</f>
        <v>0</v>
      </c>
      <c r="E532" s="35">
        <f>'Client Data'!F63</f>
        <v>0</v>
      </c>
      <c r="F532" s="35">
        <f>'Client Data'!G63</f>
        <v>0</v>
      </c>
      <c r="G532" s="35">
        <f>'Client Data'!H63</f>
        <v>0</v>
      </c>
      <c r="H532" s="35">
        <f>'Client Data'!I63</f>
        <v>0</v>
      </c>
      <c r="I532" s="35">
        <f>'Client Data'!J63</f>
        <v>0</v>
      </c>
      <c r="J532" s="35">
        <f>'Client Data'!K63</f>
        <v>0</v>
      </c>
      <c r="K532" s="35">
        <f>'Client Data'!L63</f>
        <v>0</v>
      </c>
      <c r="L532" s="35">
        <f>'Client Data'!M63</f>
        <v>0</v>
      </c>
      <c r="M532" s="35">
        <f>'Client Data'!N63</f>
        <v>0</v>
      </c>
      <c r="N532" s="35">
        <f>'Client Data'!O63</f>
        <v>0</v>
      </c>
      <c r="O532" s="35">
        <f>'Client Data'!P63</f>
        <v>0</v>
      </c>
      <c r="P532" s="35">
        <f>'Client Data'!Q63</f>
        <v>0</v>
      </c>
      <c r="Q532" s="35">
        <f>'Client Data'!R63</f>
        <v>0</v>
      </c>
      <c r="R532" s="35">
        <f>'Client Data'!S63</f>
        <v>0</v>
      </c>
      <c r="S532" s="35">
        <f>'Client Data'!T63</f>
        <v>0</v>
      </c>
      <c r="T532" s="35">
        <f>'Client Data'!U63</f>
        <v>0</v>
      </c>
      <c r="U532" s="35">
        <f>'Client Data'!V63</f>
        <v>0</v>
      </c>
      <c r="V532" s="35">
        <f>'Client Data'!W63</f>
        <v>0</v>
      </c>
      <c r="W532" s="35">
        <f>'Client Data'!X63</f>
        <v>0</v>
      </c>
      <c r="X532" s="35">
        <f>'Client Data'!Y63</f>
        <v>0</v>
      </c>
      <c r="Y532" s="35">
        <f>'Client Data'!Z63</f>
        <v>0</v>
      </c>
      <c r="Z532" s="35">
        <f>'Client Data'!AA63</f>
        <v>0</v>
      </c>
      <c r="AA532" s="35">
        <f>'Client Data'!AB63</f>
        <v>0</v>
      </c>
      <c r="AB532" s="35">
        <f>'Client Data'!AC63</f>
        <v>0</v>
      </c>
      <c r="AC532" s="35">
        <f>'Client Data'!AD63</f>
        <v>0</v>
      </c>
      <c r="AD532" s="35">
        <f>'Client Data'!AE63</f>
        <v>0</v>
      </c>
      <c r="AE532" s="35">
        <f>'Client Data'!AF63</f>
        <v>0</v>
      </c>
      <c r="AF532" s="35">
        <f>'Client Data'!AG63</f>
        <v>0</v>
      </c>
      <c r="AG532" s="35">
        <f>'Client Data'!AH63</f>
        <v>0</v>
      </c>
      <c r="AH532" s="35">
        <f>'Client Data'!AI63</f>
        <v>0</v>
      </c>
      <c r="AI532" s="35">
        <f>'Client Data'!AJ63</f>
        <v>0</v>
      </c>
      <c r="AJ532" s="35">
        <f>'Client Data'!AK63</f>
        <v>0</v>
      </c>
      <c r="AK532" s="35">
        <f>'Client Data'!AL63</f>
        <v>0</v>
      </c>
      <c r="AL532" s="35">
        <f>'Client Data'!AM63</f>
        <v>0</v>
      </c>
      <c r="AM532" s="35">
        <f>'Client Data'!AN63</f>
        <v>0</v>
      </c>
      <c r="AN532" s="35">
        <f>'Client Data'!AO63</f>
        <v>0</v>
      </c>
      <c r="AO532" s="35">
        <f>'Client Data'!AP63</f>
        <v>0</v>
      </c>
      <c r="AP532" s="35">
        <f>'Client Data'!AQ63</f>
        <v>0</v>
      </c>
      <c r="AQ532" s="35">
        <f>'Client Data'!AR63</f>
        <v>0</v>
      </c>
      <c r="AR532" s="35">
        <f>'Client Data'!AS63</f>
        <v>0</v>
      </c>
      <c r="AS532" s="35">
        <f>'Client Data'!AT63</f>
        <v>0</v>
      </c>
      <c r="AT532" s="35">
        <f>'Client Data'!AU63</f>
        <v>0</v>
      </c>
      <c r="AU532" s="35">
        <f>'Client Data'!AV63</f>
        <v>0</v>
      </c>
      <c r="AV532" s="35">
        <f>'Client Data'!AW63</f>
        <v>0</v>
      </c>
      <c r="AW532" s="35">
        <f>'Client Data'!AX63</f>
        <v>0</v>
      </c>
      <c r="AX532" s="35">
        <f>'Client Data'!AY63</f>
        <v>0</v>
      </c>
      <c r="AY532" s="35">
        <f>'Client Data'!AZ63</f>
        <v>0</v>
      </c>
      <c r="AZ532" s="35">
        <f>'Client Data'!BA63</f>
        <v>0</v>
      </c>
      <c r="BA532" s="35">
        <f>'Client Data'!BB63</f>
        <v>0</v>
      </c>
      <c r="BB532" s="35">
        <f>'Client Data'!BC63</f>
        <v>0</v>
      </c>
      <c r="BC532" s="19">
        <f t="shared" si="791"/>
        <v>0</v>
      </c>
    </row>
    <row r="533" spans="2:56" x14ac:dyDescent="0.25">
      <c r="B533" s="80" t="str">
        <f>'Client Data'!C73</f>
        <v>Product E</v>
      </c>
      <c r="C533" s="35">
        <f>'Client Data'!D73</f>
        <v>0</v>
      </c>
      <c r="D533" s="35">
        <f>'Client Data'!E73</f>
        <v>0</v>
      </c>
      <c r="E533" s="35">
        <f>'Client Data'!F73</f>
        <v>0</v>
      </c>
      <c r="F533" s="35">
        <f>'Client Data'!G73</f>
        <v>0</v>
      </c>
      <c r="G533" s="35">
        <f>'Client Data'!H73</f>
        <v>0</v>
      </c>
      <c r="H533" s="35">
        <f>'Client Data'!I73</f>
        <v>0</v>
      </c>
      <c r="I533" s="35">
        <f>'Client Data'!J73</f>
        <v>0</v>
      </c>
      <c r="J533" s="35">
        <f>'Client Data'!K73</f>
        <v>0</v>
      </c>
      <c r="K533" s="35">
        <f>'Client Data'!L73</f>
        <v>0</v>
      </c>
      <c r="L533" s="35">
        <f>'Client Data'!M73</f>
        <v>0</v>
      </c>
      <c r="M533" s="35">
        <f>'Client Data'!N73</f>
        <v>0</v>
      </c>
      <c r="N533" s="35">
        <f>'Client Data'!O73</f>
        <v>0</v>
      </c>
      <c r="O533" s="35">
        <f>'Client Data'!P73</f>
        <v>0</v>
      </c>
      <c r="P533" s="35">
        <f>'Client Data'!Q73</f>
        <v>0</v>
      </c>
      <c r="Q533" s="35">
        <f>'Client Data'!R73</f>
        <v>0</v>
      </c>
      <c r="R533" s="35">
        <f>'Client Data'!S73</f>
        <v>0</v>
      </c>
      <c r="S533" s="35">
        <f>'Client Data'!T73</f>
        <v>0</v>
      </c>
      <c r="T533" s="35">
        <f>'Client Data'!U73</f>
        <v>0</v>
      </c>
      <c r="U533" s="35">
        <f>'Client Data'!V73</f>
        <v>0</v>
      </c>
      <c r="V533" s="35">
        <f>'Client Data'!W73</f>
        <v>0</v>
      </c>
      <c r="W533" s="35">
        <f>'Client Data'!X73</f>
        <v>0</v>
      </c>
      <c r="X533" s="35">
        <f>'Client Data'!Y73</f>
        <v>0</v>
      </c>
      <c r="Y533" s="35">
        <f>'Client Data'!Z73</f>
        <v>0</v>
      </c>
      <c r="Z533" s="35">
        <f>'Client Data'!AA73</f>
        <v>0</v>
      </c>
      <c r="AA533" s="35">
        <f>'Client Data'!AB73</f>
        <v>0</v>
      </c>
      <c r="AB533" s="35">
        <f>'Client Data'!AC73</f>
        <v>0</v>
      </c>
      <c r="AC533" s="35">
        <f>'Client Data'!AD73</f>
        <v>0</v>
      </c>
      <c r="AD533" s="35">
        <f>'Client Data'!AE73</f>
        <v>0</v>
      </c>
      <c r="AE533" s="35">
        <f>'Client Data'!AF73</f>
        <v>0</v>
      </c>
      <c r="AF533" s="35">
        <f>'Client Data'!AG73</f>
        <v>0</v>
      </c>
      <c r="AG533" s="35">
        <f>'Client Data'!AH73</f>
        <v>0</v>
      </c>
      <c r="AH533" s="35">
        <f>'Client Data'!AI73</f>
        <v>0</v>
      </c>
      <c r="AI533" s="35">
        <f>'Client Data'!AJ73</f>
        <v>0</v>
      </c>
      <c r="AJ533" s="35">
        <f>'Client Data'!AK73</f>
        <v>0</v>
      </c>
      <c r="AK533" s="35">
        <f>'Client Data'!AL73</f>
        <v>0</v>
      </c>
      <c r="AL533" s="35">
        <f>'Client Data'!AM73</f>
        <v>0</v>
      </c>
      <c r="AM533" s="35">
        <f>'Client Data'!AN73</f>
        <v>0</v>
      </c>
      <c r="AN533" s="35">
        <f>'Client Data'!AO73</f>
        <v>0</v>
      </c>
      <c r="AO533" s="35">
        <f>'Client Data'!AP73</f>
        <v>0</v>
      </c>
      <c r="AP533" s="35">
        <f>'Client Data'!AQ73</f>
        <v>0</v>
      </c>
      <c r="AQ533" s="35">
        <f>'Client Data'!AR73</f>
        <v>0</v>
      </c>
      <c r="AR533" s="35">
        <f>'Client Data'!AS73</f>
        <v>0</v>
      </c>
      <c r="AS533" s="35">
        <f>'Client Data'!AT73</f>
        <v>0</v>
      </c>
      <c r="AT533" s="35">
        <f>'Client Data'!AU73</f>
        <v>0</v>
      </c>
      <c r="AU533" s="35">
        <f>'Client Data'!AV73</f>
        <v>0</v>
      </c>
      <c r="AV533" s="35">
        <f>'Client Data'!AW73</f>
        <v>0</v>
      </c>
      <c r="AW533" s="35">
        <f>'Client Data'!AX73</f>
        <v>0</v>
      </c>
      <c r="AX533" s="35">
        <f>'Client Data'!AY73</f>
        <v>0</v>
      </c>
      <c r="AY533" s="35">
        <f>'Client Data'!AZ73</f>
        <v>0</v>
      </c>
      <c r="AZ533" s="35">
        <f>'Client Data'!BA73</f>
        <v>0</v>
      </c>
      <c r="BA533" s="35">
        <f>'Client Data'!BB73</f>
        <v>0</v>
      </c>
      <c r="BB533" s="35">
        <f>'Client Data'!BC73</f>
        <v>0</v>
      </c>
      <c r="BC533" s="19">
        <f t="shared" si="791"/>
        <v>0</v>
      </c>
    </row>
    <row r="534" spans="2:56" x14ac:dyDescent="0.25">
      <c r="B534" s="80" t="str">
        <f>'Client Data'!C83</f>
        <v>Product F</v>
      </c>
      <c r="C534" s="35">
        <f>'Client Data'!D83</f>
        <v>0</v>
      </c>
      <c r="D534" s="35">
        <f>'Client Data'!E83</f>
        <v>0</v>
      </c>
      <c r="E534" s="35">
        <f>'Client Data'!F83</f>
        <v>0</v>
      </c>
      <c r="F534" s="35">
        <f>'Client Data'!G83</f>
        <v>0</v>
      </c>
      <c r="G534" s="35">
        <f>'Client Data'!H83</f>
        <v>0</v>
      </c>
      <c r="H534" s="35">
        <f>'Client Data'!I83</f>
        <v>0</v>
      </c>
      <c r="I534" s="35">
        <f>'Client Data'!J83</f>
        <v>0</v>
      </c>
      <c r="J534" s="35">
        <f>'Client Data'!K83</f>
        <v>0</v>
      </c>
      <c r="K534" s="35">
        <f>'Client Data'!L83</f>
        <v>0</v>
      </c>
      <c r="L534" s="35">
        <f>'Client Data'!M83</f>
        <v>0</v>
      </c>
      <c r="M534" s="35">
        <f>'Client Data'!N83</f>
        <v>0</v>
      </c>
      <c r="N534" s="35">
        <f>'Client Data'!O83</f>
        <v>0</v>
      </c>
      <c r="O534" s="35">
        <f>'Client Data'!P83</f>
        <v>0</v>
      </c>
      <c r="P534" s="35">
        <f>'Client Data'!Q83</f>
        <v>0</v>
      </c>
      <c r="Q534" s="35">
        <f>'Client Data'!R83</f>
        <v>0</v>
      </c>
      <c r="R534" s="35">
        <f>'Client Data'!S83</f>
        <v>0</v>
      </c>
      <c r="S534" s="35">
        <f>'Client Data'!T83</f>
        <v>0</v>
      </c>
      <c r="T534" s="35">
        <f>'Client Data'!U83</f>
        <v>0</v>
      </c>
      <c r="U534" s="35">
        <f>'Client Data'!V83</f>
        <v>0</v>
      </c>
      <c r="V534" s="35">
        <f>'Client Data'!W83</f>
        <v>0</v>
      </c>
      <c r="W534" s="35">
        <f>'Client Data'!X83</f>
        <v>0</v>
      </c>
      <c r="X534" s="35">
        <f>'Client Data'!Y83</f>
        <v>0</v>
      </c>
      <c r="Y534" s="35">
        <f>'Client Data'!Z83</f>
        <v>0</v>
      </c>
      <c r="Z534" s="35">
        <f>'Client Data'!AA83</f>
        <v>0</v>
      </c>
      <c r="AA534" s="35">
        <f>'Client Data'!AB83</f>
        <v>0</v>
      </c>
      <c r="AB534" s="35">
        <f>'Client Data'!AC83</f>
        <v>0</v>
      </c>
      <c r="AC534" s="35">
        <f>'Client Data'!AD83</f>
        <v>0</v>
      </c>
      <c r="AD534" s="35">
        <f>'Client Data'!AE83</f>
        <v>0</v>
      </c>
      <c r="AE534" s="35">
        <f>'Client Data'!AF83</f>
        <v>0</v>
      </c>
      <c r="AF534" s="35">
        <f>'Client Data'!AG83</f>
        <v>0</v>
      </c>
      <c r="AG534" s="35">
        <f>'Client Data'!AH83</f>
        <v>0</v>
      </c>
      <c r="AH534" s="35">
        <f>'Client Data'!AI83</f>
        <v>0</v>
      </c>
      <c r="AI534" s="35">
        <f>'Client Data'!AJ83</f>
        <v>0</v>
      </c>
      <c r="AJ534" s="35">
        <f>'Client Data'!AK83</f>
        <v>0</v>
      </c>
      <c r="AK534" s="35">
        <f>'Client Data'!AL83</f>
        <v>0</v>
      </c>
      <c r="AL534" s="35">
        <f>'Client Data'!AM83</f>
        <v>0</v>
      </c>
      <c r="AM534" s="35">
        <f>'Client Data'!AN83</f>
        <v>0</v>
      </c>
      <c r="AN534" s="35">
        <f>'Client Data'!AO83</f>
        <v>0</v>
      </c>
      <c r="AO534" s="35">
        <f>'Client Data'!AP83</f>
        <v>0</v>
      </c>
      <c r="AP534" s="35">
        <f>'Client Data'!AQ83</f>
        <v>0</v>
      </c>
      <c r="AQ534" s="35">
        <f>'Client Data'!AR83</f>
        <v>0</v>
      </c>
      <c r="AR534" s="35">
        <f>'Client Data'!AS83</f>
        <v>0</v>
      </c>
      <c r="AS534" s="35">
        <f>'Client Data'!AT83</f>
        <v>0</v>
      </c>
      <c r="AT534" s="35">
        <f>'Client Data'!AU83</f>
        <v>0</v>
      </c>
      <c r="AU534" s="35">
        <f>'Client Data'!AV83</f>
        <v>0</v>
      </c>
      <c r="AV534" s="35">
        <f>'Client Data'!AW83</f>
        <v>0</v>
      </c>
      <c r="AW534" s="35">
        <f>'Client Data'!AX83</f>
        <v>0</v>
      </c>
      <c r="AX534" s="35">
        <f>'Client Data'!AY83</f>
        <v>0</v>
      </c>
      <c r="AY534" s="35">
        <f>'Client Data'!AZ83</f>
        <v>0</v>
      </c>
      <c r="AZ534" s="35">
        <f>'Client Data'!BA83</f>
        <v>0</v>
      </c>
      <c r="BA534" s="35">
        <f>'Client Data'!BB83</f>
        <v>0</v>
      </c>
      <c r="BB534" s="35">
        <f>'Client Data'!BC83</f>
        <v>0</v>
      </c>
      <c r="BC534" s="19">
        <f t="shared" si="791"/>
        <v>0</v>
      </c>
    </row>
    <row r="535" spans="2:56" x14ac:dyDescent="0.25">
      <c r="B535" s="80" t="str">
        <f>'Client Data'!C93</f>
        <v>Product G</v>
      </c>
      <c r="C535" s="35">
        <f>'Client Data'!D93</f>
        <v>0</v>
      </c>
      <c r="D535" s="35">
        <f>'Client Data'!E93</f>
        <v>0</v>
      </c>
      <c r="E535" s="35">
        <f>'Client Data'!F93</f>
        <v>0</v>
      </c>
      <c r="F535" s="35">
        <f>'Client Data'!G93</f>
        <v>0</v>
      </c>
      <c r="G535" s="35">
        <f>'Client Data'!H93</f>
        <v>0</v>
      </c>
      <c r="H535" s="35">
        <f>'Client Data'!I93</f>
        <v>0</v>
      </c>
      <c r="I535" s="35">
        <f>'Client Data'!J93</f>
        <v>0</v>
      </c>
      <c r="J535" s="35">
        <f>'Client Data'!K93</f>
        <v>0</v>
      </c>
      <c r="K535" s="35">
        <f>'Client Data'!L93</f>
        <v>0</v>
      </c>
      <c r="L535" s="35">
        <f>'Client Data'!M93</f>
        <v>0</v>
      </c>
      <c r="M535" s="35">
        <f>'Client Data'!N93</f>
        <v>0</v>
      </c>
      <c r="N535" s="35">
        <f>'Client Data'!O93</f>
        <v>0</v>
      </c>
      <c r="O535" s="35">
        <f>'Client Data'!P93</f>
        <v>0</v>
      </c>
      <c r="P535" s="35">
        <f>'Client Data'!Q93</f>
        <v>0</v>
      </c>
      <c r="Q535" s="35">
        <f>'Client Data'!R93</f>
        <v>0</v>
      </c>
      <c r="R535" s="35">
        <f>'Client Data'!S93</f>
        <v>0</v>
      </c>
      <c r="S535" s="35">
        <f>'Client Data'!T93</f>
        <v>0</v>
      </c>
      <c r="T535" s="35">
        <f>'Client Data'!U93</f>
        <v>0</v>
      </c>
      <c r="U535" s="35">
        <f>'Client Data'!V93</f>
        <v>0</v>
      </c>
      <c r="V535" s="35">
        <f>'Client Data'!W93</f>
        <v>0</v>
      </c>
      <c r="W535" s="35">
        <f>'Client Data'!X93</f>
        <v>0</v>
      </c>
      <c r="X535" s="35">
        <f>'Client Data'!Y93</f>
        <v>0</v>
      </c>
      <c r="Y535" s="35">
        <f>'Client Data'!Z93</f>
        <v>0</v>
      </c>
      <c r="Z535" s="35">
        <f>'Client Data'!AA93</f>
        <v>0</v>
      </c>
      <c r="AA535" s="35">
        <f>'Client Data'!AB93</f>
        <v>0</v>
      </c>
      <c r="AB535" s="35">
        <f>'Client Data'!AC93</f>
        <v>0</v>
      </c>
      <c r="AC535" s="35">
        <f>'Client Data'!AD93</f>
        <v>0</v>
      </c>
      <c r="AD535" s="35">
        <f>'Client Data'!AE93</f>
        <v>0</v>
      </c>
      <c r="AE535" s="35">
        <f>'Client Data'!AF93</f>
        <v>0</v>
      </c>
      <c r="AF535" s="35">
        <f>'Client Data'!AG93</f>
        <v>0</v>
      </c>
      <c r="AG535" s="35">
        <f>'Client Data'!AH93</f>
        <v>0</v>
      </c>
      <c r="AH535" s="35">
        <f>'Client Data'!AI93</f>
        <v>0</v>
      </c>
      <c r="AI535" s="35">
        <f>'Client Data'!AJ93</f>
        <v>0</v>
      </c>
      <c r="AJ535" s="35">
        <f>'Client Data'!AK93</f>
        <v>0</v>
      </c>
      <c r="AK535" s="35">
        <f>'Client Data'!AL93</f>
        <v>0</v>
      </c>
      <c r="AL535" s="35">
        <f>'Client Data'!AM93</f>
        <v>0</v>
      </c>
      <c r="AM535" s="35">
        <f>'Client Data'!AN93</f>
        <v>0</v>
      </c>
      <c r="AN535" s="35">
        <f>'Client Data'!AO93</f>
        <v>0</v>
      </c>
      <c r="AO535" s="35">
        <f>'Client Data'!AP93</f>
        <v>0</v>
      </c>
      <c r="AP535" s="35">
        <f>'Client Data'!AQ93</f>
        <v>0</v>
      </c>
      <c r="AQ535" s="35">
        <f>'Client Data'!AR93</f>
        <v>0</v>
      </c>
      <c r="AR535" s="35">
        <f>'Client Data'!AS93</f>
        <v>0</v>
      </c>
      <c r="AS535" s="35">
        <f>'Client Data'!AT93</f>
        <v>0</v>
      </c>
      <c r="AT535" s="35">
        <f>'Client Data'!AU93</f>
        <v>0</v>
      </c>
      <c r="AU535" s="35">
        <f>'Client Data'!AV93</f>
        <v>0</v>
      </c>
      <c r="AV535" s="35">
        <f>'Client Data'!AW93</f>
        <v>0</v>
      </c>
      <c r="AW535" s="35">
        <f>'Client Data'!AX93</f>
        <v>0</v>
      </c>
      <c r="AX535" s="35">
        <f>'Client Data'!AY93</f>
        <v>0</v>
      </c>
      <c r="AY535" s="35">
        <f>'Client Data'!AZ93</f>
        <v>0</v>
      </c>
      <c r="AZ535" s="35">
        <f>'Client Data'!BA93</f>
        <v>0</v>
      </c>
      <c r="BA535" s="35">
        <f>'Client Data'!BB93</f>
        <v>0</v>
      </c>
      <c r="BB535" s="35">
        <f>'Client Data'!BC93</f>
        <v>0</v>
      </c>
      <c r="BC535" s="19">
        <f t="shared" si="791"/>
        <v>0</v>
      </c>
    </row>
    <row r="536" spans="2:56" x14ac:dyDescent="0.25">
      <c r="B536" s="80" t="str">
        <f>'Client Data'!C103</f>
        <v>Product H</v>
      </c>
      <c r="C536" s="35">
        <f>'Client Data'!D103</f>
        <v>0</v>
      </c>
      <c r="D536" s="35">
        <f>'Client Data'!E103</f>
        <v>0</v>
      </c>
      <c r="E536" s="35">
        <f>'Client Data'!F103</f>
        <v>0</v>
      </c>
      <c r="F536" s="35">
        <f>'Client Data'!G103</f>
        <v>0</v>
      </c>
      <c r="G536" s="35">
        <f>'Client Data'!H103</f>
        <v>0</v>
      </c>
      <c r="H536" s="35">
        <f>'Client Data'!I103</f>
        <v>0</v>
      </c>
      <c r="I536" s="35">
        <f>'Client Data'!J103</f>
        <v>0</v>
      </c>
      <c r="J536" s="35">
        <f>'Client Data'!K103</f>
        <v>0</v>
      </c>
      <c r="K536" s="35">
        <f>'Client Data'!L103</f>
        <v>0</v>
      </c>
      <c r="L536" s="35">
        <f>'Client Data'!M103</f>
        <v>0</v>
      </c>
      <c r="M536" s="35">
        <f>'Client Data'!N103</f>
        <v>0</v>
      </c>
      <c r="N536" s="35">
        <f>'Client Data'!O103</f>
        <v>0</v>
      </c>
      <c r="O536" s="35">
        <f>'Client Data'!P103</f>
        <v>0</v>
      </c>
      <c r="P536" s="35">
        <f>'Client Data'!Q103</f>
        <v>0</v>
      </c>
      <c r="Q536" s="35">
        <f>'Client Data'!R103</f>
        <v>0</v>
      </c>
      <c r="R536" s="35">
        <f>'Client Data'!S103</f>
        <v>0</v>
      </c>
      <c r="S536" s="35">
        <f>'Client Data'!T103</f>
        <v>0</v>
      </c>
      <c r="T536" s="35">
        <f>'Client Data'!U103</f>
        <v>0</v>
      </c>
      <c r="U536" s="35">
        <f>'Client Data'!V103</f>
        <v>0</v>
      </c>
      <c r="V536" s="35">
        <f>'Client Data'!W103</f>
        <v>0</v>
      </c>
      <c r="W536" s="35">
        <f>'Client Data'!X103</f>
        <v>0</v>
      </c>
      <c r="X536" s="35">
        <f>'Client Data'!Y103</f>
        <v>0</v>
      </c>
      <c r="Y536" s="35">
        <f>'Client Data'!Z103</f>
        <v>0</v>
      </c>
      <c r="Z536" s="35">
        <f>'Client Data'!AA103</f>
        <v>0</v>
      </c>
      <c r="AA536" s="35">
        <f>'Client Data'!AB103</f>
        <v>0</v>
      </c>
      <c r="AB536" s="35">
        <f>'Client Data'!AC103</f>
        <v>0</v>
      </c>
      <c r="AC536" s="35">
        <f>'Client Data'!AD103</f>
        <v>0</v>
      </c>
      <c r="AD536" s="35">
        <f>'Client Data'!AE103</f>
        <v>0</v>
      </c>
      <c r="AE536" s="35">
        <f>'Client Data'!AF103</f>
        <v>0</v>
      </c>
      <c r="AF536" s="35">
        <f>'Client Data'!AG103</f>
        <v>0</v>
      </c>
      <c r="AG536" s="35">
        <f>'Client Data'!AH103</f>
        <v>0</v>
      </c>
      <c r="AH536" s="35">
        <f>'Client Data'!AI103</f>
        <v>0</v>
      </c>
      <c r="AI536" s="35">
        <f>'Client Data'!AJ103</f>
        <v>0</v>
      </c>
      <c r="AJ536" s="35">
        <f>'Client Data'!AK103</f>
        <v>0</v>
      </c>
      <c r="AK536" s="35">
        <f>'Client Data'!AL103</f>
        <v>0</v>
      </c>
      <c r="AL536" s="35">
        <f>'Client Data'!AM103</f>
        <v>0</v>
      </c>
      <c r="AM536" s="35">
        <f>'Client Data'!AN103</f>
        <v>0</v>
      </c>
      <c r="AN536" s="35">
        <f>'Client Data'!AO103</f>
        <v>0</v>
      </c>
      <c r="AO536" s="35">
        <f>'Client Data'!AP103</f>
        <v>0</v>
      </c>
      <c r="AP536" s="35">
        <f>'Client Data'!AQ103</f>
        <v>0</v>
      </c>
      <c r="AQ536" s="35">
        <f>'Client Data'!AR103</f>
        <v>0</v>
      </c>
      <c r="AR536" s="35">
        <f>'Client Data'!AS103</f>
        <v>0</v>
      </c>
      <c r="AS536" s="35">
        <f>'Client Data'!AT103</f>
        <v>0</v>
      </c>
      <c r="AT536" s="35">
        <f>'Client Data'!AU103</f>
        <v>0</v>
      </c>
      <c r="AU536" s="35">
        <f>'Client Data'!AV103</f>
        <v>0</v>
      </c>
      <c r="AV536" s="35">
        <f>'Client Data'!AW103</f>
        <v>0</v>
      </c>
      <c r="AW536" s="35">
        <f>'Client Data'!AX103</f>
        <v>0</v>
      </c>
      <c r="AX536" s="35">
        <f>'Client Data'!AY103</f>
        <v>0</v>
      </c>
      <c r="AY536" s="35">
        <f>'Client Data'!AZ103</f>
        <v>0</v>
      </c>
      <c r="AZ536" s="35">
        <f>'Client Data'!BA103</f>
        <v>0</v>
      </c>
      <c r="BA536" s="35">
        <f>'Client Data'!BB103</f>
        <v>0</v>
      </c>
      <c r="BB536" s="35">
        <f>'Client Data'!BC103</f>
        <v>0</v>
      </c>
      <c r="BC536" s="19">
        <f t="shared" si="791"/>
        <v>0</v>
      </c>
    </row>
    <row r="537" spans="2:56" x14ac:dyDescent="0.25">
      <c r="B537" s="43" t="str">
        <f>_xlfn.CONCAT(B457," ","Rework Loss Quantity")</f>
        <v>Product A Rework Loss Quantity</v>
      </c>
      <c r="C537" s="43">
        <f>SUM(C457,C466,C475,C484,C493,C502,C511,C520,C529)</f>
        <v>19</v>
      </c>
      <c r="D537" s="43">
        <f>SUM(D457,D466,D475,D484,D493,D502,D511,D520,D529)</f>
        <v>0</v>
      </c>
      <c r="E537" s="43">
        <f t="shared" ref="E537:BA537" si="792">SUM(E457,E466,E475,E484,E493,E502,E511,E520,E529)</f>
        <v>11</v>
      </c>
      <c r="F537" s="43">
        <f t="shared" si="792"/>
        <v>0</v>
      </c>
      <c r="G537" s="43">
        <f t="shared" si="792"/>
        <v>19</v>
      </c>
      <c r="H537" s="43">
        <f t="shared" si="792"/>
        <v>0</v>
      </c>
      <c r="I537" s="43">
        <f t="shared" si="792"/>
        <v>0</v>
      </c>
      <c r="J537" s="43">
        <f t="shared" si="792"/>
        <v>0</v>
      </c>
      <c r="K537" s="43">
        <f t="shared" si="792"/>
        <v>19</v>
      </c>
      <c r="L537" s="43">
        <f t="shared" si="792"/>
        <v>0</v>
      </c>
      <c r="M537" s="43">
        <f t="shared" si="792"/>
        <v>0</v>
      </c>
      <c r="N537" s="43">
        <f t="shared" si="792"/>
        <v>0</v>
      </c>
      <c r="O537" s="43">
        <f t="shared" si="792"/>
        <v>19</v>
      </c>
      <c r="P537" s="43">
        <f t="shared" si="792"/>
        <v>8</v>
      </c>
      <c r="Q537" s="43">
        <f t="shared" si="792"/>
        <v>0</v>
      </c>
      <c r="R537" s="43">
        <f t="shared" si="792"/>
        <v>0</v>
      </c>
      <c r="S537" s="43">
        <f t="shared" si="792"/>
        <v>19</v>
      </c>
      <c r="T537" s="43">
        <f t="shared" si="792"/>
        <v>0</v>
      </c>
      <c r="U537" s="43">
        <f t="shared" si="792"/>
        <v>0</v>
      </c>
      <c r="V537" s="43">
        <f t="shared" si="792"/>
        <v>6</v>
      </c>
      <c r="W537" s="43">
        <f t="shared" si="792"/>
        <v>19</v>
      </c>
      <c r="X537" s="43">
        <f t="shared" si="792"/>
        <v>0</v>
      </c>
      <c r="Y537" s="43">
        <f t="shared" si="792"/>
        <v>0</v>
      </c>
      <c r="Z537" s="43">
        <f t="shared" si="792"/>
        <v>0</v>
      </c>
      <c r="AA537" s="43">
        <f t="shared" si="792"/>
        <v>19</v>
      </c>
      <c r="AB537" s="43">
        <f t="shared" si="792"/>
        <v>0</v>
      </c>
      <c r="AC537" s="43">
        <f t="shared" si="792"/>
        <v>13</v>
      </c>
      <c r="AD537" s="43">
        <f t="shared" si="792"/>
        <v>0</v>
      </c>
      <c r="AE537" s="43">
        <f t="shared" si="792"/>
        <v>19</v>
      </c>
      <c r="AF537" s="43">
        <f t="shared" si="792"/>
        <v>0</v>
      </c>
      <c r="AG537" s="43">
        <f t="shared" si="792"/>
        <v>0</v>
      </c>
      <c r="AH537" s="43">
        <f t="shared" si="792"/>
        <v>6</v>
      </c>
      <c r="AI537" s="43">
        <f t="shared" si="792"/>
        <v>20</v>
      </c>
      <c r="AJ537" s="43">
        <f t="shared" si="792"/>
        <v>0</v>
      </c>
      <c r="AK537" s="43">
        <f t="shared" si="792"/>
        <v>0</v>
      </c>
      <c r="AL537" s="43">
        <f t="shared" si="792"/>
        <v>0</v>
      </c>
      <c r="AM537" s="43">
        <f t="shared" si="792"/>
        <v>19</v>
      </c>
      <c r="AN537" s="43">
        <f t="shared" si="792"/>
        <v>6</v>
      </c>
      <c r="AO537" s="43">
        <f t="shared" si="792"/>
        <v>0</v>
      </c>
      <c r="AP537" s="43">
        <f t="shared" si="792"/>
        <v>0</v>
      </c>
      <c r="AQ537" s="43">
        <f t="shared" si="792"/>
        <v>19</v>
      </c>
      <c r="AR537" s="43">
        <f t="shared" si="792"/>
        <v>0</v>
      </c>
      <c r="AS537" s="43">
        <f t="shared" si="792"/>
        <v>11</v>
      </c>
      <c r="AT537" s="43">
        <f t="shared" si="792"/>
        <v>0</v>
      </c>
      <c r="AU537" s="43">
        <f t="shared" si="792"/>
        <v>18</v>
      </c>
      <c r="AV537" s="43">
        <f t="shared" si="792"/>
        <v>11</v>
      </c>
      <c r="AW537" s="43">
        <f t="shared" si="792"/>
        <v>0</v>
      </c>
      <c r="AX537" s="43">
        <f t="shared" si="792"/>
        <v>0</v>
      </c>
      <c r="AY537" s="43">
        <f t="shared" si="792"/>
        <v>19</v>
      </c>
      <c r="AZ537" s="43">
        <f t="shared" si="792"/>
        <v>0</v>
      </c>
      <c r="BA537" s="43">
        <f t="shared" si="792"/>
        <v>0</v>
      </c>
      <c r="BB537" s="43">
        <f t="shared" ref="S537:BB538" si="793">SUM(BB457,BB466,BB475,BB484,BB493,BB502,BB511,BB520,BB529)</f>
        <v>0</v>
      </c>
      <c r="BC537" s="61">
        <f t="shared" si="791"/>
        <v>319</v>
      </c>
      <c r="BD537" s="144"/>
    </row>
    <row r="538" spans="2:56" x14ac:dyDescent="0.25">
      <c r="B538" s="43" t="str">
        <f t="shared" ref="B538:B544" si="794">_xlfn.CONCAT(B458," ","Rework Loss Quantity")</f>
        <v>Product B Rework Loss Quantity</v>
      </c>
      <c r="C538" s="43">
        <f t="shared" ref="C538:R544" si="795">SUM(C458,C467,C476,C485,C494,C503,C512,C521,C530)</f>
        <v>17</v>
      </c>
      <c r="D538" s="43">
        <f t="shared" si="795"/>
        <v>19</v>
      </c>
      <c r="E538" s="43">
        <f t="shared" si="795"/>
        <v>0</v>
      </c>
      <c r="F538" s="43">
        <f t="shared" si="795"/>
        <v>13</v>
      </c>
      <c r="G538" s="43">
        <f t="shared" si="795"/>
        <v>17</v>
      </c>
      <c r="H538" s="43">
        <f t="shared" si="795"/>
        <v>19</v>
      </c>
      <c r="I538" s="43">
        <f t="shared" si="795"/>
        <v>0</v>
      </c>
      <c r="J538" s="43">
        <f t="shared" si="795"/>
        <v>7</v>
      </c>
      <c r="K538" s="43">
        <f t="shared" si="795"/>
        <v>17</v>
      </c>
      <c r="L538" s="43">
        <f t="shared" si="795"/>
        <v>19</v>
      </c>
      <c r="M538" s="43">
        <f t="shared" si="795"/>
        <v>0</v>
      </c>
      <c r="N538" s="43">
        <f t="shared" si="795"/>
        <v>0</v>
      </c>
      <c r="O538" s="43">
        <f t="shared" si="795"/>
        <v>18</v>
      </c>
      <c r="P538" s="43">
        <f t="shared" si="795"/>
        <v>19</v>
      </c>
      <c r="Q538" s="43">
        <f t="shared" si="795"/>
        <v>0</v>
      </c>
      <c r="R538" s="43">
        <f t="shared" si="795"/>
        <v>0</v>
      </c>
      <c r="S538" s="43">
        <f t="shared" si="793"/>
        <v>17</v>
      </c>
      <c r="T538" s="43">
        <f t="shared" si="793"/>
        <v>19</v>
      </c>
      <c r="U538" s="43">
        <f t="shared" si="793"/>
        <v>0</v>
      </c>
      <c r="V538" s="43">
        <f t="shared" si="793"/>
        <v>0</v>
      </c>
      <c r="W538" s="43">
        <f t="shared" si="793"/>
        <v>17</v>
      </c>
      <c r="X538" s="43">
        <f t="shared" si="793"/>
        <v>19</v>
      </c>
      <c r="Y538" s="43">
        <f t="shared" si="793"/>
        <v>0</v>
      </c>
      <c r="Z538" s="43">
        <f t="shared" si="793"/>
        <v>0</v>
      </c>
      <c r="AA538" s="43">
        <f t="shared" si="793"/>
        <v>17</v>
      </c>
      <c r="AB538" s="43">
        <f t="shared" si="793"/>
        <v>19</v>
      </c>
      <c r="AC538" s="43">
        <f t="shared" si="793"/>
        <v>0</v>
      </c>
      <c r="AD538" s="43">
        <f t="shared" si="793"/>
        <v>0</v>
      </c>
      <c r="AE538" s="43">
        <f t="shared" si="793"/>
        <v>17</v>
      </c>
      <c r="AF538" s="43">
        <f t="shared" si="793"/>
        <v>19</v>
      </c>
      <c r="AG538" s="43">
        <f t="shared" si="793"/>
        <v>0</v>
      </c>
      <c r="AH538" s="43">
        <f t="shared" si="793"/>
        <v>0</v>
      </c>
      <c r="AI538" s="43">
        <f t="shared" si="793"/>
        <v>18</v>
      </c>
      <c r="AJ538" s="43">
        <f t="shared" si="793"/>
        <v>19</v>
      </c>
      <c r="AK538" s="43">
        <f t="shared" si="793"/>
        <v>0</v>
      </c>
      <c r="AL538" s="43">
        <f t="shared" si="793"/>
        <v>0</v>
      </c>
      <c r="AM538" s="43">
        <f t="shared" si="793"/>
        <v>17</v>
      </c>
      <c r="AN538" s="43">
        <f t="shared" si="793"/>
        <v>19</v>
      </c>
      <c r="AO538" s="43">
        <f t="shared" si="793"/>
        <v>0</v>
      </c>
      <c r="AP538" s="43">
        <f t="shared" si="793"/>
        <v>0</v>
      </c>
      <c r="AQ538" s="43">
        <f t="shared" si="793"/>
        <v>17</v>
      </c>
      <c r="AR538" s="43">
        <f t="shared" si="793"/>
        <v>19</v>
      </c>
      <c r="AS538" s="43">
        <f t="shared" si="793"/>
        <v>0</v>
      </c>
      <c r="AT538" s="43">
        <f t="shared" si="793"/>
        <v>10</v>
      </c>
      <c r="AU538" s="43">
        <f t="shared" si="793"/>
        <v>18</v>
      </c>
      <c r="AV538" s="43">
        <f t="shared" si="793"/>
        <v>20</v>
      </c>
      <c r="AW538" s="43">
        <f t="shared" si="793"/>
        <v>0</v>
      </c>
      <c r="AX538" s="43">
        <f t="shared" si="793"/>
        <v>9</v>
      </c>
      <c r="AY538" s="43">
        <f t="shared" si="793"/>
        <v>17</v>
      </c>
      <c r="AZ538" s="43">
        <f t="shared" si="793"/>
        <v>8</v>
      </c>
      <c r="BA538" s="43">
        <f t="shared" si="793"/>
        <v>0</v>
      </c>
      <c r="BB538" s="43">
        <f t="shared" si="793"/>
        <v>0</v>
      </c>
      <c r="BC538" s="61">
        <f t="shared" si="791"/>
        <v>500</v>
      </c>
    </row>
    <row r="539" spans="2:56" x14ac:dyDescent="0.25">
      <c r="B539" s="43" t="str">
        <f t="shared" si="794"/>
        <v>Product C Rework Loss Quantity</v>
      </c>
      <c r="C539" s="43">
        <f t="shared" si="795"/>
        <v>22</v>
      </c>
      <c r="D539" s="43">
        <f t="shared" si="795"/>
        <v>17</v>
      </c>
      <c r="E539" s="43">
        <f t="shared" si="795"/>
        <v>19</v>
      </c>
      <c r="F539" s="43">
        <f t="shared" si="795"/>
        <v>0</v>
      </c>
      <c r="G539" s="43">
        <f t="shared" si="795"/>
        <v>22</v>
      </c>
      <c r="H539" s="43">
        <f t="shared" si="795"/>
        <v>17</v>
      </c>
      <c r="I539" s="43">
        <f t="shared" si="795"/>
        <v>19</v>
      </c>
      <c r="J539" s="43">
        <f t="shared" si="795"/>
        <v>0</v>
      </c>
      <c r="K539" s="43">
        <f t="shared" si="795"/>
        <v>22</v>
      </c>
      <c r="L539" s="43">
        <f t="shared" si="795"/>
        <v>17</v>
      </c>
      <c r="M539" s="43">
        <f t="shared" si="795"/>
        <v>19</v>
      </c>
      <c r="N539" s="43">
        <f t="shared" si="795"/>
        <v>0</v>
      </c>
      <c r="O539" s="43">
        <f t="shared" si="795"/>
        <v>21</v>
      </c>
      <c r="P539" s="43">
        <f t="shared" si="795"/>
        <v>17</v>
      </c>
      <c r="Q539" s="43">
        <f t="shared" si="795"/>
        <v>19</v>
      </c>
      <c r="R539" s="43">
        <f t="shared" si="795"/>
        <v>0</v>
      </c>
      <c r="S539" s="43">
        <f t="shared" ref="S539:BB539" si="796">SUM(S459,S468,S477,S486,S495,S504,S513,S522,S531)</f>
        <v>22</v>
      </c>
      <c r="T539" s="43">
        <f t="shared" si="796"/>
        <v>17</v>
      </c>
      <c r="U539" s="43">
        <f t="shared" si="796"/>
        <v>20</v>
      </c>
      <c r="V539" s="43">
        <f t="shared" si="796"/>
        <v>0</v>
      </c>
      <c r="W539" s="43">
        <f t="shared" si="796"/>
        <v>22</v>
      </c>
      <c r="X539" s="43">
        <f t="shared" si="796"/>
        <v>17</v>
      </c>
      <c r="Y539" s="43">
        <f t="shared" si="796"/>
        <v>20</v>
      </c>
      <c r="Z539" s="43">
        <f t="shared" si="796"/>
        <v>0</v>
      </c>
      <c r="AA539" s="43">
        <f t="shared" si="796"/>
        <v>22</v>
      </c>
      <c r="AB539" s="43">
        <f t="shared" si="796"/>
        <v>17</v>
      </c>
      <c r="AC539" s="43">
        <f t="shared" si="796"/>
        <v>19</v>
      </c>
      <c r="AD539" s="43">
        <f t="shared" si="796"/>
        <v>0</v>
      </c>
      <c r="AE539" s="43">
        <f t="shared" si="796"/>
        <v>22</v>
      </c>
      <c r="AF539" s="43">
        <f t="shared" si="796"/>
        <v>18</v>
      </c>
      <c r="AG539" s="43">
        <f t="shared" si="796"/>
        <v>19</v>
      </c>
      <c r="AH539" s="43">
        <f t="shared" si="796"/>
        <v>0</v>
      </c>
      <c r="AI539" s="43">
        <f t="shared" si="796"/>
        <v>21</v>
      </c>
      <c r="AJ539" s="43">
        <f t="shared" si="796"/>
        <v>17</v>
      </c>
      <c r="AK539" s="43">
        <f t="shared" si="796"/>
        <v>20</v>
      </c>
      <c r="AL539" s="43">
        <f t="shared" si="796"/>
        <v>0</v>
      </c>
      <c r="AM539" s="43">
        <f t="shared" si="796"/>
        <v>22</v>
      </c>
      <c r="AN539" s="43">
        <f t="shared" si="796"/>
        <v>17</v>
      </c>
      <c r="AO539" s="43">
        <f t="shared" si="796"/>
        <v>20</v>
      </c>
      <c r="AP539" s="43">
        <f t="shared" si="796"/>
        <v>0</v>
      </c>
      <c r="AQ539" s="43">
        <f t="shared" si="796"/>
        <v>22</v>
      </c>
      <c r="AR539" s="43">
        <f t="shared" si="796"/>
        <v>17</v>
      </c>
      <c r="AS539" s="43">
        <f t="shared" si="796"/>
        <v>19</v>
      </c>
      <c r="AT539" s="43">
        <f t="shared" si="796"/>
        <v>0</v>
      </c>
      <c r="AU539" s="43">
        <f t="shared" si="796"/>
        <v>22</v>
      </c>
      <c r="AV539" s="43">
        <f t="shared" si="796"/>
        <v>17</v>
      </c>
      <c r="AW539" s="43">
        <f t="shared" si="796"/>
        <v>19</v>
      </c>
      <c r="AX539" s="43">
        <f t="shared" si="796"/>
        <v>0</v>
      </c>
      <c r="AY539" s="43">
        <f t="shared" si="796"/>
        <v>22</v>
      </c>
      <c r="AZ539" s="43">
        <f t="shared" si="796"/>
        <v>17</v>
      </c>
      <c r="BA539" s="43">
        <f t="shared" si="796"/>
        <v>20</v>
      </c>
      <c r="BB539" s="43">
        <f t="shared" si="796"/>
        <v>0</v>
      </c>
      <c r="BC539" s="61">
        <f t="shared" si="791"/>
        <v>758</v>
      </c>
    </row>
    <row r="540" spans="2:56" x14ac:dyDescent="0.25">
      <c r="B540" s="43" t="str">
        <f t="shared" si="794"/>
        <v>Product D Rework Loss Quantity</v>
      </c>
      <c r="C540" s="43">
        <f t="shared" si="795"/>
        <v>28</v>
      </c>
      <c r="D540" s="43">
        <f t="shared" si="795"/>
        <v>21</v>
      </c>
      <c r="E540" s="43">
        <f t="shared" si="795"/>
        <v>17</v>
      </c>
      <c r="F540" s="43">
        <f t="shared" si="795"/>
        <v>19</v>
      </c>
      <c r="G540" s="43">
        <f t="shared" si="795"/>
        <v>19</v>
      </c>
      <c r="H540" s="43">
        <f t="shared" si="795"/>
        <v>22</v>
      </c>
      <c r="I540" s="43">
        <f t="shared" si="795"/>
        <v>18</v>
      </c>
      <c r="J540" s="43">
        <f t="shared" si="795"/>
        <v>19</v>
      </c>
      <c r="K540" s="43">
        <f t="shared" si="795"/>
        <v>28</v>
      </c>
      <c r="L540" s="43">
        <f t="shared" si="795"/>
        <v>22</v>
      </c>
      <c r="M540" s="43">
        <f t="shared" si="795"/>
        <v>17</v>
      </c>
      <c r="N540" s="43">
        <f t="shared" si="795"/>
        <v>20</v>
      </c>
      <c r="O540" s="43">
        <f t="shared" si="795"/>
        <v>28</v>
      </c>
      <c r="P540" s="43">
        <f t="shared" si="795"/>
        <v>22</v>
      </c>
      <c r="Q540" s="43">
        <f t="shared" si="795"/>
        <v>17</v>
      </c>
      <c r="R540" s="43">
        <f t="shared" si="795"/>
        <v>19</v>
      </c>
      <c r="S540" s="43">
        <f t="shared" ref="S540:BB540" si="797">SUM(S460,S469,S478,S487,S496,S505,S514,S523,S532)</f>
        <v>19</v>
      </c>
      <c r="T540" s="43">
        <f t="shared" si="797"/>
        <v>17</v>
      </c>
      <c r="U540" s="43">
        <f t="shared" si="797"/>
        <v>17</v>
      </c>
      <c r="V540" s="43">
        <f t="shared" si="797"/>
        <v>19</v>
      </c>
      <c r="W540" s="43">
        <f t="shared" si="797"/>
        <v>28</v>
      </c>
      <c r="X540" s="43">
        <f t="shared" si="797"/>
        <v>22</v>
      </c>
      <c r="Y540" s="43">
        <f t="shared" si="797"/>
        <v>17</v>
      </c>
      <c r="Z540" s="43">
        <f t="shared" si="797"/>
        <v>15</v>
      </c>
      <c r="AA540" s="43">
        <f t="shared" si="797"/>
        <v>28</v>
      </c>
      <c r="AB540" s="43">
        <f t="shared" si="797"/>
        <v>22</v>
      </c>
      <c r="AC540" s="43">
        <f t="shared" si="797"/>
        <v>17</v>
      </c>
      <c r="AD540" s="43">
        <f t="shared" si="797"/>
        <v>19</v>
      </c>
      <c r="AE540" s="43">
        <f t="shared" si="797"/>
        <v>19</v>
      </c>
      <c r="AF540" s="43">
        <f t="shared" si="797"/>
        <v>21</v>
      </c>
      <c r="AG540" s="43">
        <f t="shared" si="797"/>
        <v>17</v>
      </c>
      <c r="AH540" s="43">
        <f t="shared" si="797"/>
        <v>19</v>
      </c>
      <c r="AI540" s="43">
        <f t="shared" si="797"/>
        <v>28</v>
      </c>
      <c r="AJ540" s="43">
        <f t="shared" si="797"/>
        <v>22</v>
      </c>
      <c r="AK540" s="43">
        <f t="shared" si="797"/>
        <v>17</v>
      </c>
      <c r="AL540" s="43">
        <f t="shared" si="797"/>
        <v>15</v>
      </c>
      <c r="AM540" s="43">
        <f t="shared" si="797"/>
        <v>28</v>
      </c>
      <c r="AN540" s="43">
        <f t="shared" si="797"/>
        <v>22</v>
      </c>
      <c r="AO540" s="43">
        <f t="shared" si="797"/>
        <v>17</v>
      </c>
      <c r="AP540" s="43">
        <f t="shared" si="797"/>
        <v>19</v>
      </c>
      <c r="AQ540" s="43">
        <f t="shared" si="797"/>
        <v>20</v>
      </c>
      <c r="AR540" s="43">
        <f t="shared" si="797"/>
        <v>22</v>
      </c>
      <c r="AS540" s="43">
        <f t="shared" si="797"/>
        <v>17</v>
      </c>
      <c r="AT540" s="43">
        <f t="shared" si="797"/>
        <v>19</v>
      </c>
      <c r="AU540" s="43">
        <f t="shared" si="797"/>
        <v>28</v>
      </c>
      <c r="AV540" s="43">
        <f t="shared" si="797"/>
        <v>22</v>
      </c>
      <c r="AW540" s="43">
        <f t="shared" si="797"/>
        <v>17</v>
      </c>
      <c r="AX540" s="43">
        <f t="shared" si="797"/>
        <v>18</v>
      </c>
      <c r="AY540" s="43">
        <f t="shared" si="797"/>
        <v>28</v>
      </c>
      <c r="AZ540" s="43">
        <f t="shared" si="797"/>
        <v>22</v>
      </c>
      <c r="BA540" s="43">
        <f t="shared" si="797"/>
        <v>17</v>
      </c>
      <c r="BB540" s="43">
        <f t="shared" si="797"/>
        <v>15</v>
      </c>
      <c r="BC540" s="61">
        <f t="shared" si="791"/>
        <v>1065</v>
      </c>
    </row>
    <row r="541" spans="2:56" x14ac:dyDescent="0.25">
      <c r="B541" s="43" t="str">
        <f t="shared" si="794"/>
        <v>Product E Rework Loss Quantity</v>
      </c>
      <c r="C541" s="43">
        <f t="shared" si="795"/>
        <v>11</v>
      </c>
      <c r="D541" s="43">
        <f t="shared" si="795"/>
        <v>29</v>
      </c>
      <c r="E541" s="43">
        <f t="shared" si="795"/>
        <v>22</v>
      </c>
      <c r="F541" s="43">
        <f t="shared" si="795"/>
        <v>17</v>
      </c>
      <c r="G541" s="43">
        <f t="shared" si="795"/>
        <v>11</v>
      </c>
      <c r="H541" s="43">
        <f t="shared" si="795"/>
        <v>24</v>
      </c>
      <c r="I541" s="43">
        <f t="shared" si="795"/>
        <v>22</v>
      </c>
      <c r="J541" s="43">
        <f t="shared" si="795"/>
        <v>17</v>
      </c>
      <c r="K541" s="43">
        <f t="shared" si="795"/>
        <v>11</v>
      </c>
      <c r="L541" s="43">
        <f t="shared" si="795"/>
        <v>15</v>
      </c>
      <c r="M541" s="43">
        <f t="shared" si="795"/>
        <v>13</v>
      </c>
      <c r="N541" s="43">
        <f t="shared" si="795"/>
        <v>17</v>
      </c>
      <c r="O541" s="43">
        <f t="shared" si="795"/>
        <v>11</v>
      </c>
      <c r="P541" s="43">
        <f t="shared" si="795"/>
        <v>28</v>
      </c>
      <c r="Q541" s="43">
        <f t="shared" si="795"/>
        <v>22</v>
      </c>
      <c r="R541" s="43">
        <f t="shared" si="795"/>
        <v>17</v>
      </c>
      <c r="S541" s="43">
        <f t="shared" ref="S541:BB541" si="798">SUM(S461,S470,S479,S488,S497,S506,S515,S524,S533)</f>
        <v>11</v>
      </c>
      <c r="T541" s="43">
        <f t="shared" si="798"/>
        <v>28</v>
      </c>
      <c r="U541" s="43">
        <f t="shared" si="798"/>
        <v>22</v>
      </c>
      <c r="V541" s="43">
        <f t="shared" si="798"/>
        <v>17</v>
      </c>
      <c r="W541" s="43">
        <f t="shared" si="798"/>
        <v>11</v>
      </c>
      <c r="X541" s="43">
        <f t="shared" si="798"/>
        <v>15</v>
      </c>
      <c r="Y541" s="43">
        <f t="shared" si="798"/>
        <v>22</v>
      </c>
      <c r="Z541" s="43">
        <f t="shared" si="798"/>
        <v>17</v>
      </c>
      <c r="AA541" s="43">
        <f t="shared" si="798"/>
        <v>11</v>
      </c>
      <c r="AB541" s="43">
        <f t="shared" si="798"/>
        <v>28</v>
      </c>
      <c r="AC541" s="43">
        <f t="shared" si="798"/>
        <v>22</v>
      </c>
      <c r="AD541" s="43">
        <f t="shared" si="798"/>
        <v>17</v>
      </c>
      <c r="AE541" s="43">
        <f t="shared" si="798"/>
        <v>10</v>
      </c>
      <c r="AF541" s="43">
        <f t="shared" si="798"/>
        <v>23</v>
      </c>
      <c r="AG541" s="43">
        <f t="shared" si="798"/>
        <v>22</v>
      </c>
      <c r="AH541" s="43">
        <f t="shared" si="798"/>
        <v>17</v>
      </c>
      <c r="AI541" s="43">
        <f t="shared" si="798"/>
        <v>11</v>
      </c>
      <c r="AJ541" s="43">
        <f t="shared" si="798"/>
        <v>15</v>
      </c>
      <c r="AK541" s="43">
        <f t="shared" si="798"/>
        <v>21</v>
      </c>
      <c r="AL541" s="43">
        <f t="shared" si="798"/>
        <v>17</v>
      </c>
      <c r="AM541" s="43">
        <f t="shared" si="798"/>
        <v>11</v>
      </c>
      <c r="AN541" s="43">
        <f t="shared" si="798"/>
        <v>28</v>
      </c>
      <c r="AO541" s="43">
        <f t="shared" si="798"/>
        <v>22</v>
      </c>
      <c r="AP541" s="43">
        <f t="shared" si="798"/>
        <v>17</v>
      </c>
      <c r="AQ541" s="43">
        <f t="shared" si="798"/>
        <v>11</v>
      </c>
      <c r="AR541" s="43">
        <f t="shared" si="798"/>
        <v>24</v>
      </c>
      <c r="AS541" s="43">
        <f t="shared" si="798"/>
        <v>21</v>
      </c>
      <c r="AT541" s="43">
        <f t="shared" si="798"/>
        <v>18</v>
      </c>
      <c r="AU541" s="43">
        <f t="shared" si="798"/>
        <v>11</v>
      </c>
      <c r="AV541" s="43">
        <f t="shared" si="798"/>
        <v>28</v>
      </c>
      <c r="AW541" s="43">
        <f t="shared" si="798"/>
        <v>22</v>
      </c>
      <c r="AX541" s="43">
        <f t="shared" si="798"/>
        <v>17</v>
      </c>
      <c r="AY541" s="43">
        <f t="shared" si="798"/>
        <v>11</v>
      </c>
      <c r="AZ541" s="43">
        <f t="shared" si="798"/>
        <v>28</v>
      </c>
      <c r="BA541" s="43">
        <f t="shared" si="798"/>
        <v>21</v>
      </c>
      <c r="BB541" s="43">
        <f t="shared" si="798"/>
        <v>17</v>
      </c>
      <c r="BC541" s="61">
        <f t="shared" si="791"/>
        <v>951</v>
      </c>
    </row>
    <row r="542" spans="2:56" x14ac:dyDescent="0.25">
      <c r="B542" s="43" t="str">
        <f t="shared" si="794"/>
        <v>Product F Rework Loss Quantity</v>
      </c>
      <c r="C542" s="43">
        <f t="shared" si="795"/>
        <v>0</v>
      </c>
      <c r="D542" s="43">
        <f t="shared" si="795"/>
        <v>11</v>
      </c>
      <c r="E542" s="43">
        <f t="shared" si="795"/>
        <v>28</v>
      </c>
      <c r="F542" s="43">
        <f t="shared" si="795"/>
        <v>0</v>
      </c>
      <c r="G542" s="43">
        <f t="shared" si="795"/>
        <v>0</v>
      </c>
      <c r="H542" s="43">
        <f t="shared" si="795"/>
        <v>11</v>
      </c>
      <c r="I542" s="43">
        <f t="shared" si="795"/>
        <v>29</v>
      </c>
      <c r="J542" s="43">
        <f t="shared" si="795"/>
        <v>21</v>
      </c>
      <c r="K542" s="43">
        <f t="shared" si="795"/>
        <v>13</v>
      </c>
      <c r="L542" s="43">
        <f t="shared" si="795"/>
        <v>11</v>
      </c>
      <c r="M542" s="43">
        <f t="shared" si="795"/>
        <v>28</v>
      </c>
      <c r="N542" s="43">
        <f t="shared" si="795"/>
        <v>22</v>
      </c>
      <c r="O542" s="43">
        <f t="shared" si="795"/>
        <v>0</v>
      </c>
      <c r="P542" s="43">
        <f t="shared" si="795"/>
        <v>11</v>
      </c>
      <c r="Q542" s="43">
        <f t="shared" si="795"/>
        <v>28</v>
      </c>
      <c r="R542" s="43">
        <f t="shared" si="795"/>
        <v>22</v>
      </c>
      <c r="S542" s="43">
        <f t="shared" ref="S542:BB542" si="799">SUM(S462,S471,S480,S489,S498,S507,S516,S525,S534)</f>
        <v>0</v>
      </c>
      <c r="T542" s="43">
        <f t="shared" si="799"/>
        <v>11</v>
      </c>
      <c r="U542" s="43">
        <f t="shared" si="799"/>
        <v>28</v>
      </c>
      <c r="V542" s="43">
        <f t="shared" si="799"/>
        <v>22</v>
      </c>
      <c r="W542" s="43">
        <f t="shared" si="799"/>
        <v>0</v>
      </c>
      <c r="X542" s="43">
        <f t="shared" si="799"/>
        <v>11</v>
      </c>
      <c r="Y542" s="43">
        <f t="shared" si="799"/>
        <v>20</v>
      </c>
      <c r="Z542" s="43">
        <f t="shared" si="799"/>
        <v>22</v>
      </c>
      <c r="AA542" s="43">
        <f t="shared" si="799"/>
        <v>0</v>
      </c>
      <c r="AB542" s="43">
        <f t="shared" si="799"/>
        <v>11</v>
      </c>
      <c r="AC542" s="43">
        <f t="shared" si="799"/>
        <v>28</v>
      </c>
      <c r="AD542" s="43">
        <f t="shared" si="799"/>
        <v>9</v>
      </c>
      <c r="AE542" s="43">
        <f t="shared" si="799"/>
        <v>0</v>
      </c>
      <c r="AF542" s="43">
        <f t="shared" si="799"/>
        <v>11</v>
      </c>
      <c r="AG542" s="43">
        <f t="shared" si="799"/>
        <v>28</v>
      </c>
      <c r="AH542" s="43">
        <f t="shared" si="799"/>
        <v>22</v>
      </c>
      <c r="AI542" s="43">
        <f t="shared" si="799"/>
        <v>0</v>
      </c>
      <c r="AJ542" s="43">
        <f t="shared" si="799"/>
        <v>11</v>
      </c>
      <c r="AK542" s="43">
        <f t="shared" si="799"/>
        <v>19</v>
      </c>
      <c r="AL542" s="43">
        <f t="shared" si="799"/>
        <v>21</v>
      </c>
      <c r="AM542" s="43">
        <f t="shared" si="799"/>
        <v>0</v>
      </c>
      <c r="AN542" s="43">
        <f t="shared" si="799"/>
        <v>11</v>
      </c>
      <c r="AO542" s="43">
        <f t="shared" si="799"/>
        <v>28</v>
      </c>
      <c r="AP542" s="43">
        <f t="shared" si="799"/>
        <v>9</v>
      </c>
      <c r="AQ542" s="43">
        <f t="shared" si="799"/>
        <v>0</v>
      </c>
      <c r="AR542" s="43">
        <f t="shared" si="799"/>
        <v>11</v>
      </c>
      <c r="AS542" s="43">
        <f t="shared" si="799"/>
        <v>28</v>
      </c>
      <c r="AT542" s="43">
        <f t="shared" si="799"/>
        <v>22</v>
      </c>
      <c r="AU542" s="43">
        <f t="shared" si="799"/>
        <v>11</v>
      </c>
      <c r="AV542" s="43">
        <f t="shared" si="799"/>
        <v>11</v>
      </c>
      <c r="AW542" s="43">
        <f t="shared" si="799"/>
        <v>28</v>
      </c>
      <c r="AX542" s="43">
        <f t="shared" si="799"/>
        <v>22</v>
      </c>
      <c r="AY542" s="43">
        <f t="shared" si="799"/>
        <v>13</v>
      </c>
      <c r="AZ542" s="43">
        <f t="shared" si="799"/>
        <v>11</v>
      </c>
      <c r="BA542" s="43">
        <f t="shared" si="799"/>
        <v>19</v>
      </c>
      <c r="BB542" s="43">
        <f t="shared" si="799"/>
        <v>22</v>
      </c>
      <c r="BC542" s="61">
        <f t="shared" si="791"/>
        <v>755</v>
      </c>
    </row>
    <row r="543" spans="2:56" x14ac:dyDescent="0.25">
      <c r="B543" s="43" t="str">
        <f t="shared" si="794"/>
        <v>Product G Rework Loss Quantity</v>
      </c>
      <c r="C543" s="43">
        <f t="shared" si="795"/>
        <v>0</v>
      </c>
      <c r="D543" s="43">
        <f t="shared" si="795"/>
        <v>8</v>
      </c>
      <c r="E543" s="43">
        <f t="shared" si="795"/>
        <v>13</v>
      </c>
      <c r="F543" s="43">
        <f t="shared" si="795"/>
        <v>24</v>
      </c>
      <c r="G543" s="43">
        <f t="shared" si="795"/>
        <v>0</v>
      </c>
      <c r="H543" s="43">
        <f t="shared" si="795"/>
        <v>0</v>
      </c>
      <c r="I543" s="43">
        <f t="shared" si="795"/>
        <v>11</v>
      </c>
      <c r="J543" s="43">
        <f t="shared" si="795"/>
        <v>28</v>
      </c>
      <c r="K543" s="43">
        <f t="shared" si="795"/>
        <v>0</v>
      </c>
      <c r="L543" s="43">
        <f t="shared" si="795"/>
        <v>0</v>
      </c>
      <c r="M543" s="43">
        <f t="shared" si="795"/>
        <v>11</v>
      </c>
      <c r="N543" s="43">
        <f t="shared" si="795"/>
        <v>24</v>
      </c>
      <c r="O543" s="43">
        <f t="shared" si="795"/>
        <v>0</v>
      </c>
      <c r="P543" s="43">
        <f t="shared" si="795"/>
        <v>0</v>
      </c>
      <c r="Q543" s="43">
        <f t="shared" si="795"/>
        <v>11</v>
      </c>
      <c r="R543" s="43">
        <f t="shared" si="795"/>
        <v>15</v>
      </c>
      <c r="S543" s="43">
        <f t="shared" ref="S543:BB543" si="800">SUM(S463,S472,S481,S490,S499,S508,S517,S526,S535)</f>
        <v>0</v>
      </c>
      <c r="T543" s="43">
        <f t="shared" si="800"/>
        <v>0</v>
      </c>
      <c r="U543" s="43">
        <f t="shared" si="800"/>
        <v>11</v>
      </c>
      <c r="V543" s="43">
        <f t="shared" si="800"/>
        <v>28</v>
      </c>
      <c r="W543" s="43">
        <f t="shared" si="800"/>
        <v>0</v>
      </c>
      <c r="X543" s="43">
        <f t="shared" si="800"/>
        <v>0</v>
      </c>
      <c r="Y543" s="43">
        <f t="shared" si="800"/>
        <v>11</v>
      </c>
      <c r="Z543" s="43">
        <f t="shared" si="800"/>
        <v>28</v>
      </c>
      <c r="AA543" s="43">
        <f t="shared" si="800"/>
        <v>0</v>
      </c>
      <c r="AB543" s="43">
        <f t="shared" si="800"/>
        <v>0</v>
      </c>
      <c r="AC543" s="43">
        <f t="shared" si="800"/>
        <v>11</v>
      </c>
      <c r="AD543" s="43">
        <f t="shared" si="800"/>
        <v>28</v>
      </c>
      <c r="AE543" s="43">
        <f t="shared" si="800"/>
        <v>0</v>
      </c>
      <c r="AF543" s="43">
        <f t="shared" si="800"/>
        <v>0</v>
      </c>
      <c r="AG543" s="43">
        <f t="shared" si="800"/>
        <v>11</v>
      </c>
      <c r="AH543" s="43">
        <f t="shared" si="800"/>
        <v>28</v>
      </c>
      <c r="AI543" s="43">
        <f t="shared" si="800"/>
        <v>0</v>
      </c>
      <c r="AJ543" s="43">
        <f t="shared" si="800"/>
        <v>0</v>
      </c>
      <c r="AK543" s="43">
        <f t="shared" si="800"/>
        <v>10</v>
      </c>
      <c r="AL543" s="43">
        <f t="shared" si="800"/>
        <v>28</v>
      </c>
      <c r="AM543" s="43">
        <f t="shared" si="800"/>
        <v>0</v>
      </c>
      <c r="AN543" s="43">
        <f t="shared" si="800"/>
        <v>0</v>
      </c>
      <c r="AO543" s="43">
        <f t="shared" si="800"/>
        <v>11</v>
      </c>
      <c r="AP543" s="43">
        <f t="shared" si="800"/>
        <v>28</v>
      </c>
      <c r="AQ543" s="43">
        <f t="shared" si="800"/>
        <v>0</v>
      </c>
      <c r="AR543" s="43">
        <f t="shared" si="800"/>
        <v>0</v>
      </c>
      <c r="AS543" s="43">
        <f t="shared" si="800"/>
        <v>11</v>
      </c>
      <c r="AT543" s="43">
        <f t="shared" si="800"/>
        <v>28</v>
      </c>
      <c r="AU543" s="43">
        <f t="shared" si="800"/>
        <v>0</v>
      </c>
      <c r="AV543" s="43">
        <f t="shared" si="800"/>
        <v>0</v>
      </c>
      <c r="AW543" s="43">
        <f t="shared" si="800"/>
        <v>11</v>
      </c>
      <c r="AX543" s="43">
        <f t="shared" si="800"/>
        <v>28</v>
      </c>
      <c r="AY543" s="43">
        <f t="shared" si="800"/>
        <v>0</v>
      </c>
      <c r="AZ543" s="43">
        <f t="shared" si="800"/>
        <v>0</v>
      </c>
      <c r="BA543" s="43">
        <f t="shared" si="800"/>
        <v>11</v>
      </c>
      <c r="BB543" s="43">
        <f t="shared" si="800"/>
        <v>28</v>
      </c>
      <c r="BC543" s="61">
        <f t="shared" si="791"/>
        <v>495</v>
      </c>
    </row>
    <row r="544" spans="2:56" x14ac:dyDescent="0.25">
      <c r="B544" s="43" t="str">
        <f t="shared" si="794"/>
        <v>Product H Rework Loss Quantity</v>
      </c>
      <c r="C544" s="43">
        <f t="shared" si="795"/>
        <v>0</v>
      </c>
      <c r="D544" s="43">
        <f t="shared" si="795"/>
        <v>0</v>
      </c>
      <c r="E544" s="43">
        <f t="shared" si="795"/>
        <v>0</v>
      </c>
      <c r="F544" s="43">
        <f t="shared" si="795"/>
        <v>11</v>
      </c>
      <c r="G544" s="43">
        <f t="shared" si="795"/>
        <v>0</v>
      </c>
      <c r="H544" s="43">
        <f t="shared" si="795"/>
        <v>0</v>
      </c>
      <c r="I544" s="43">
        <f t="shared" si="795"/>
        <v>0</v>
      </c>
      <c r="J544" s="43">
        <f t="shared" si="795"/>
        <v>11</v>
      </c>
      <c r="K544" s="43">
        <f t="shared" si="795"/>
        <v>0</v>
      </c>
      <c r="L544" s="43">
        <f t="shared" si="795"/>
        <v>0</v>
      </c>
      <c r="M544" s="43">
        <f t="shared" si="795"/>
        <v>0</v>
      </c>
      <c r="N544" s="43">
        <f t="shared" si="795"/>
        <v>10</v>
      </c>
      <c r="O544" s="43">
        <f t="shared" si="795"/>
        <v>0</v>
      </c>
      <c r="P544" s="43">
        <f t="shared" si="795"/>
        <v>0</v>
      </c>
      <c r="Q544" s="43">
        <f t="shared" si="795"/>
        <v>13</v>
      </c>
      <c r="R544" s="43">
        <f t="shared" si="795"/>
        <v>11</v>
      </c>
      <c r="S544" s="43">
        <f t="shared" ref="S544:BB544" si="801">SUM(S464,S473,S482,S491,S500,S509,S518,S527,S536)</f>
        <v>0</v>
      </c>
      <c r="T544" s="43">
        <f t="shared" si="801"/>
        <v>0</v>
      </c>
      <c r="U544" s="43">
        <f t="shared" si="801"/>
        <v>0</v>
      </c>
      <c r="V544" s="43">
        <f t="shared" si="801"/>
        <v>11</v>
      </c>
      <c r="W544" s="43">
        <f t="shared" si="801"/>
        <v>13</v>
      </c>
      <c r="X544" s="43">
        <f t="shared" si="801"/>
        <v>0</v>
      </c>
      <c r="Y544" s="43">
        <f t="shared" si="801"/>
        <v>0</v>
      </c>
      <c r="Z544" s="43">
        <f t="shared" si="801"/>
        <v>11</v>
      </c>
      <c r="AA544" s="43">
        <f t="shared" si="801"/>
        <v>0</v>
      </c>
      <c r="AB544" s="43">
        <f t="shared" si="801"/>
        <v>8</v>
      </c>
      <c r="AC544" s="43">
        <f t="shared" si="801"/>
        <v>0</v>
      </c>
      <c r="AD544" s="43">
        <f t="shared" si="801"/>
        <v>11</v>
      </c>
      <c r="AE544" s="43">
        <f t="shared" si="801"/>
        <v>0</v>
      </c>
      <c r="AF544" s="43">
        <f t="shared" si="801"/>
        <v>0</v>
      </c>
      <c r="AG544" s="43">
        <f t="shared" si="801"/>
        <v>0</v>
      </c>
      <c r="AH544" s="43">
        <f t="shared" si="801"/>
        <v>11</v>
      </c>
      <c r="AI544" s="43">
        <f t="shared" si="801"/>
        <v>13</v>
      </c>
      <c r="AJ544" s="43">
        <f t="shared" si="801"/>
        <v>0</v>
      </c>
      <c r="AK544" s="43">
        <f t="shared" si="801"/>
        <v>0</v>
      </c>
      <c r="AL544" s="43">
        <f t="shared" si="801"/>
        <v>11</v>
      </c>
      <c r="AM544" s="43">
        <f t="shared" si="801"/>
        <v>0</v>
      </c>
      <c r="AN544" s="43">
        <f t="shared" si="801"/>
        <v>0</v>
      </c>
      <c r="AO544" s="43">
        <f t="shared" si="801"/>
        <v>13</v>
      </c>
      <c r="AP544" s="43">
        <f t="shared" si="801"/>
        <v>11</v>
      </c>
      <c r="AQ544" s="43">
        <f t="shared" si="801"/>
        <v>0</v>
      </c>
      <c r="AR544" s="43">
        <f t="shared" si="801"/>
        <v>0</v>
      </c>
      <c r="AS544" s="43">
        <f t="shared" si="801"/>
        <v>0</v>
      </c>
      <c r="AT544" s="43">
        <f t="shared" si="801"/>
        <v>10</v>
      </c>
      <c r="AU544" s="43">
        <f t="shared" si="801"/>
        <v>0</v>
      </c>
      <c r="AV544" s="43">
        <f t="shared" si="801"/>
        <v>0</v>
      </c>
      <c r="AW544" s="43">
        <f t="shared" si="801"/>
        <v>0</v>
      </c>
      <c r="AX544" s="43">
        <f t="shared" si="801"/>
        <v>11</v>
      </c>
      <c r="AY544" s="43">
        <f t="shared" si="801"/>
        <v>0</v>
      </c>
      <c r="AZ544" s="43">
        <f t="shared" si="801"/>
        <v>0</v>
      </c>
      <c r="BA544" s="43">
        <f t="shared" si="801"/>
        <v>0</v>
      </c>
      <c r="BB544" s="43">
        <f t="shared" si="801"/>
        <v>11</v>
      </c>
      <c r="BC544" s="61">
        <f t="shared" si="791"/>
        <v>201</v>
      </c>
    </row>
    <row r="545" spans="2:55" x14ac:dyDescent="0.25">
      <c r="B545" s="113" t="s">
        <v>229</v>
      </c>
      <c r="C545" s="113" t="b">
        <f t="shared" ref="C545:AH545" si="802">AND(SUM(C537:C544),C75)</f>
        <v>1</v>
      </c>
      <c r="D545" s="113" t="b">
        <f t="shared" si="802"/>
        <v>1</v>
      </c>
      <c r="E545" s="113" t="b">
        <f t="shared" si="802"/>
        <v>1</v>
      </c>
      <c r="F545" s="113" t="b">
        <f t="shared" si="802"/>
        <v>1</v>
      </c>
      <c r="G545" s="113" t="b">
        <f t="shared" si="802"/>
        <v>1</v>
      </c>
      <c r="H545" s="113" t="b">
        <f t="shared" si="802"/>
        <v>1</v>
      </c>
      <c r="I545" s="113" t="b">
        <f t="shared" si="802"/>
        <v>1</v>
      </c>
      <c r="J545" s="113" t="b">
        <f t="shared" si="802"/>
        <v>1</v>
      </c>
      <c r="K545" s="113" t="b">
        <f t="shared" si="802"/>
        <v>1</v>
      </c>
      <c r="L545" s="113" t="b">
        <f t="shared" si="802"/>
        <v>1</v>
      </c>
      <c r="M545" s="113" t="b">
        <f t="shared" si="802"/>
        <v>1</v>
      </c>
      <c r="N545" s="113" t="b">
        <f t="shared" si="802"/>
        <v>1</v>
      </c>
      <c r="O545" s="113" t="b">
        <f t="shared" si="802"/>
        <v>1</v>
      </c>
      <c r="P545" s="113" t="b">
        <f t="shared" si="802"/>
        <v>1</v>
      </c>
      <c r="Q545" s="113" t="b">
        <f t="shared" si="802"/>
        <v>1</v>
      </c>
      <c r="R545" s="113" t="b">
        <f t="shared" si="802"/>
        <v>1</v>
      </c>
      <c r="S545" s="113" t="b">
        <f t="shared" si="802"/>
        <v>1</v>
      </c>
      <c r="T545" s="113" t="b">
        <f t="shared" si="802"/>
        <v>1</v>
      </c>
      <c r="U545" s="113" t="b">
        <f t="shared" si="802"/>
        <v>1</v>
      </c>
      <c r="V545" s="113" t="b">
        <f t="shared" si="802"/>
        <v>1</v>
      </c>
      <c r="W545" s="113" t="b">
        <f t="shared" si="802"/>
        <v>1</v>
      </c>
      <c r="X545" s="113" t="b">
        <f t="shared" si="802"/>
        <v>1</v>
      </c>
      <c r="Y545" s="113" t="b">
        <f t="shared" si="802"/>
        <v>1</v>
      </c>
      <c r="Z545" s="113" t="b">
        <f t="shared" si="802"/>
        <v>1</v>
      </c>
      <c r="AA545" s="113" t="b">
        <f t="shared" si="802"/>
        <v>1</v>
      </c>
      <c r="AB545" s="113" t="b">
        <f t="shared" si="802"/>
        <v>1</v>
      </c>
      <c r="AC545" s="113" t="b">
        <f t="shared" si="802"/>
        <v>1</v>
      </c>
      <c r="AD545" s="113" t="b">
        <f t="shared" si="802"/>
        <v>1</v>
      </c>
      <c r="AE545" s="113" t="b">
        <f t="shared" si="802"/>
        <v>1</v>
      </c>
      <c r="AF545" s="113" t="b">
        <f t="shared" si="802"/>
        <v>1</v>
      </c>
      <c r="AG545" s="113" t="b">
        <f t="shared" si="802"/>
        <v>1</v>
      </c>
      <c r="AH545" s="113" t="b">
        <f t="shared" si="802"/>
        <v>1</v>
      </c>
      <c r="AI545" s="113" t="b">
        <f t="shared" ref="AI545:BC545" si="803">AND(SUM(AI537:AI544),AI75)</f>
        <v>1</v>
      </c>
      <c r="AJ545" s="113" t="b">
        <f t="shared" si="803"/>
        <v>1</v>
      </c>
      <c r="AK545" s="113" t="b">
        <f t="shared" si="803"/>
        <v>1</v>
      </c>
      <c r="AL545" s="113" t="b">
        <f t="shared" si="803"/>
        <v>1</v>
      </c>
      <c r="AM545" s="113" t="b">
        <f t="shared" si="803"/>
        <v>1</v>
      </c>
      <c r="AN545" s="113" t="b">
        <f t="shared" si="803"/>
        <v>1</v>
      </c>
      <c r="AO545" s="113" t="b">
        <f t="shared" si="803"/>
        <v>1</v>
      </c>
      <c r="AP545" s="113" t="b">
        <f t="shared" si="803"/>
        <v>1</v>
      </c>
      <c r="AQ545" s="113" t="b">
        <f t="shared" si="803"/>
        <v>1</v>
      </c>
      <c r="AR545" s="113" t="b">
        <f t="shared" si="803"/>
        <v>1</v>
      </c>
      <c r="AS545" s="113" t="b">
        <f t="shared" si="803"/>
        <v>1</v>
      </c>
      <c r="AT545" s="113" t="b">
        <f t="shared" si="803"/>
        <v>1</v>
      </c>
      <c r="AU545" s="113" t="b">
        <f t="shared" si="803"/>
        <v>1</v>
      </c>
      <c r="AV545" s="113" t="b">
        <f t="shared" si="803"/>
        <v>1</v>
      </c>
      <c r="AW545" s="113" t="b">
        <f t="shared" si="803"/>
        <v>1</v>
      </c>
      <c r="AX545" s="113" t="b">
        <f t="shared" si="803"/>
        <v>1</v>
      </c>
      <c r="AY545" s="113" t="b">
        <f t="shared" si="803"/>
        <v>1</v>
      </c>
      <c r="AZ545" s="113" t="b">
        <f t="shared" si="803"/>
        <v>1</v>
      </c>
      <c r="BA545" s="113" t="b">
        <f t="shared" si="803"/>
        <v>1</v>
      </c>
      <c r="BB545" s="113" t="b">
        <f t="shared" si="803"/>
        <v>1</v>
      </c>
      <c r="BC545" s="113" t="b">
        <f t="shared" si="803"/>
        <v>1</v>
      </c>
    </row>
    <row r="546" spans="2:55" x14ac:dyDescent="0.25">
      <c r="B546" s="80" t="str">
        <f>_xlfn.CONCAT(B457," ",'Client Data'!D$299)</f>
        <v>Product A Rework: Time Per Unit (sec)</v>
      </c>
      <c r="C546" s="80">
        <f t="shared" ref="C546:AH546" si="804">$D10</f>
        <v>20.5</v>
      </c>
      <c r="D546" s="80">
        <f t="shared" si="804"/>
        <v>20.5</v>
      </c>
      <c r="E546" s="80">
        <f t="shared" si="804"/>
        <v>20.5</v>
      </c>
      <c r="F546" s="80">
        <f t="shared" si="804"/>
        <v>20.5</v>
      </c>
      <c r="G546" s="80">
        <f t="shared" si="804"/>
        <v>20.5</v>
      </c>
      <c r="H546" s="80">
        <f t="shared" si="804"/>
        <v>20.5</v>
      </c>
      <c r="I546" s="80">
        <f t="shared" si="804"/>
        <v>20.5</v>
      </c>
      <c r="J546" s="80">
        <f t="shared" si="804"/>
        <v>20.5</v>
      </c>
      <c r="K546" s="80">
        <f t="shared" si="804"/>
        <v>20.5</v>
      </c>
      <c r="L546" s="80">
        <f t="shared" si="804"/>
        <v>20.5</v>
      </c>
      <c r="M546" s="80">
        <f t="shared" si="804"/>
        <v>20.5</v>
      </c>
      <c r="N546" s="80">
        <f t="shared" si="804"/>
        <v>20.5</v>
      </c>
      <c r="O546" s="80">
        <f t="shared" si="804"/>
        <v>20.5</v>
      </c>
      <c r="P546" s="80">
        <f t="shared" si="804"/>
        <v>20.5</v>
      </c>
      <c r="Q546" s="80">
        <f t="shared" si="804"/>
        <v>20.5</v>
      </c>
      <c r="R546" s="80">
        <f t="shared" si="804"/>
        <v>20.5</v>
      </c>
      <c r="S546" s="80">
        <f t="shared" si="804"/>
        <v>20.5</v>
      </c>
      <c r="T546" s="80">
        <f t="shared" si="804"/>
        <v>20.5</v>
      </c>
      <c r="U546" s="80">
        <f t="shared" si="804"/>
        <v>20.5</v>
      </c>
      <c r="V546" s="80">
        <f t="shared" si="804"/>
        <v>20.5</v>
      </c>
      <c r="W546" s="80">
        <f t="shared" si="804"/>
        <v>20.5</v>
      </c>
      <c r="X546" s="80">
        <f t="shared" si="804"/>
        <v>20.5</v>
      </c>
      <c r="Y546" s="80">
        <f t="shared" si="804"/>
        <v>20.5</v>
      </c>
      <c r="Z546" s="80">
        <f t="shared" si="804"/>
        <v>20.5</v>
      </c>
      <c r="AA546" s="80">
        <f t="shared" si="804"/>
        <v>20.5</v>
      </c>
      <c r="AB546" s="80">
        <f t="shared" si="804"/>
        <v>20.5</v>
      </c>
      <c r="AC546" s="80">
        <f t="shared" si="804"/>
        <v>20.5</v>
      </c>
      <c r="AD546" s="80">
        <f t="shared" si="804"/>
        <v>20.5</v>
      </c>
      <c r="AE546" s="80">
        <f t="shared" si="804"/>
        <v>20.5</v>
      </c>
      <c r="AF546" s="80">
        <f t="shared" si="804"/>
        <v>20.5</v>
      </c>
      <c r="AG546" s="80">
        <f t="shared" si="804"/>
        <v>20.5</v>
      </c>
      <c r="AH546" s="80">
        <f t="shared" si="804"/>
        <v>20.5</v>
      </c>
      <c r="AI546" s="80">
        <f t="shared" ref="AI546:BB546" si="805">$D10</f>
        <v>20.5</v>
      </c>
      <c r="AJ546" s="80">
        <f t="shared" si="805"/>
        <v>20.5</v>
      </c>
      <c r="AK546" s="80">
        <f t="shared" si="805"/>
        <v>20.5</v>
      </c>
      <c r="AL546" s="80">
        <f t="shared" si="805"/>
        <v>20.5</v>
      </c>
      <c r="AM546" s="80">
        <f t="shared" si="805"/>
        <v>20.5</v>
      </c>
      <c r="AN546" s="80">
        <f t="shared" si="805"/>
        <v>20.5</v>
      </c>
      <c r="AO546" s="80">
        <f t="shared" si="805"/>
        <v>20.5</v>
      </c>
      <c r="AP546" s="80">
        <f t="shared" si="805"/>
        <v>20.5</v>
      </c>
      <c r="AQ546" s="80">
        <f t="shared" si="805"/>
        <v>20.5</v>
      </c>
      <c r="AR546" s="80">
        <f t="shared" si="805"/>
        <v>20.5</v>
      </c>
      <c r="AS546" s="80">
        <f t="shared" si="805"/>
        <v>20.5</v>
      </c>
      <c r="AT546" s="80">
        <f t="shared" si="805"/>
        <v>20.5</v>
      </c>
      <c r="AU546" s="80">
        <f t="shared" si="805"/>
        <v>20.5</v>
      </c>
      <c r="AV546" s="80">
        <f t="shared" si="805"/>
        <v>20.5</v>
      </c>
      <c r="AW546" s="80">
        <f t="shared" si="805"/>
        <v>20.5</v>
      </c>
      <c r="AX546" s="80">
        <f t="shared" si="805"/>
        <v>20.5</v>
      </c>
      <c r="AY546" s="80">
        <f t="shared" si="805"/>
        <v>20.5</v>
      </c>
      <c r="AZ546" s="80">
        <f t="shared" si="805"/>
        <v>20.5</v>
      </c>
      <c r="BA546" s="80">
        <f t="shared" si="805"/>
        <v>20.5</v>
      </c>
      <c r="BB546" s="80">
        <f t="shared" si="805"/>
        <v>20.5</v>
      </c>
      <c r="BC546" s="114"/>
    </row>
    <row r="547" spans="2:55" x14ac:dyDescent="0.25">
      <c r="B547" s="80" t="str">
        <f>_xlfn.CONCAT(B458," ",'Client Data'!D$299)</f>
        <v>Product B Rework: Time Per Unit (sec)</v>
      </c>
      <c r="C547" s="80">
        <f t="shared" ref="C547:AH547" si="806">$D11</f>
        <v>23</v>
      </c>
      <c r="D547" s="80">
        <f t="shared" si="806"/>
        <v>23</v>
      </c>
      <c r="E547" s="80">
        <f t="shared" si="806"/>
        <v>23</v>
      </c>
      <c r="F547" s="80">
        <f t="shared" si="806"/>
        <v>23</v>
      </c>
      <c r="G547" s="80">
        <f t="shared" si="806"/>
        <v>23</v>
      </c>
      <c r="H547" s="80">
        <f t="shared" si="806"/>
        <v>23</v>
      </c>
      <c r="I547" s="80">
        <f t="shared" si="806"/>
        <v>23</v>
      </c>
      <c r="J547" s="80">
        <f t="shared" si="806"/>
        <v>23</v>
      </c>
      <c r="K547" s="80">
        <f t="shared" si="806"/>
        <v>23</v>
      </c>
      <c r="L547" s="80">
        <f t="shared" si="806"/>
        <v>23</v>
      </c>
      <c r="M547" s="80">
        <f t="shared" si="806"/>
        <v>23</v>
      </c>
      <c r="N547" s="80">
        <f t="shared" si="806"/>
        <v>23</v>
      </c>
      <c r="O547" s="80">
        <f t="shared" si="806"/>
        <v>23</v>
      </c>
      <c r="P547" s="80">
        <f t="shared" si="806"/>
        <v>23</v>
      </c>
      <c r="Q547" s="80">
        <f t="shared" si="806"/>
        <v>23</v>
      </c>
      <c r="R547" s="80">
        <f t="shared" si="806"/>
        <v>23</v>
      </c>
      <c r="S547" s="80">
        <f t="shared" si="806"/>
        <v>23</v>
      </c>
      <c r="T547" s="80">
        <f t="shared" si="806"/>
        <v>23</v>
      </c>
      <c r="U547" s="80">
        <f t="shared" si="806"/>
        <v>23</v>
      </c>
      <c r="V547" s="80">
        <f t="shared" si="806"/>
        <v>23</v>
      </c>
      <c r="W547" s="80">
        <f t="shared" si="806"/>
        <v>23</v>
      </c>
      <c r="X547" s="80">
        <f t="shared" si="806"/>
        <v>23</v>
      </c>
      <c r="Y547" s="80">
        <f t="shared" si="806"/>
        <v>23</v>
      </c>
      <c r="Z547" s="80">
        <f t="shared" si="806"/>
        <v>23</v>
      </c>
      <c r="AA547" s="80">
        <f t="shared" si="806"/>
        <v>23</v>
      </c>
      <c r="AB547" s="80">
        <f t="shared" si="806"/>
        <v>23</v>
      </c>
      <c r="AC547" s="80">
        <f t="shared" si="806"/>
        <v>23</v>
      </c>
      <c r="AD547" s="80">
        <f t="shared" si="806"/>
        <v>23</v>
      </c>
      <c r="AE547" s="80">
        <f t="shared" si="806"/>
        <v>23</v>
      </c>
      <c r="AF547" s="80">
        <f t="shared" si="806"/>
        <v>23</v>
      </c>
      <c r="AG547" s="80">
        <f t="shared" si="806"/>
        <v>23</v>
      </c>
      <c r="AH547" s="80">
        <f t="shared" si="806"/>
        <v>23</v>
      </c>
      <c r="AI547" s="80">
        <f t="shared" ref="AI547:BB547" si="807">$D11</f>
        <v>23</v>
      </c>
      <c r="AJ547" s="80">
        <f t="shared" si="807"/>
        <v>23</v>
      </c>
      <c r="AK547" s="80">
        <f t="shared" si="807"/>
        <v>23</v>
      </c>
      <c r="AL547" s="80">
        <f t="shared" si="807"/>
        <v>23</v>
      </c>
      <c r="AM547" s="80">
        <f t="shared" si="807"/>
        <v>23</v>
      </c>
      <c r="AN547" s="80">
        <f t="shared" si="807"/>
        <v>23</v>
      </c>
      <c r="AO547" s="80">
        <f t="shared" si="807"/>
        <v>23</v>
      </c>
      <c r="AP547" s="80">
        <f t="shared" si="807"/>
        <v>23</v>
      </c>
      <c r="AQ547" s="80">
        <f t="shared" si="807"/>
        <v>23</v>
      </c>
      <c r="AR547" s="80">
        <f t="shared" si="807"/>
        <v>23</v>
      </c>
      <c r="AS547" s="80">
        <f t="shared" si="807"/>
        <v>23</v>
      </c>
      <c r="AT547" s="80">
        <f t="shared" si="807"/>
        <v>23</v>
      </c>
      <c r="AU547" s="80">
        <f t="shared" si="807"/>
        <v>23</v>
      </c>
      <c r="AV547" s="80">
        <f t="shared" si="807"/>
        <v>23</v>
      </c>
      <c r="AW547" s="80">
        <f t="shared" si="807"/>
        <v>23</v>
      </c>
      <c r="AX547" s="80">
        <f t="shared" si="807"/>
        <v>23</v>
      </c>
      <c r="AY547" s="80">
        <f t="shared" si="807"/>
        <v>23</v>
      </c>
      <c r="AZ547" s="80">
        <f t="shared" si="807"/>
        <v>23</v>
      </c>
      <c r="BA547" s="80">
        <f t="shared" si="807"/>
        <v>23</v>
      </c>
      <c r="BB547" s="80">
        <f t="shared" si="807"/>
        <v>23</v>
      </c>
      <c r="BC547" s="114"/>
    </row>
    <row r="548" spans="2:55" x14ac:dyDescent="0.25">
      <c r="B548" s="80" t="str">
        <f>_xlfn.CONCAT(B459," ",'Client Data'!D$299)</f>
        <v>Product C Rework: Time Per Unit (sec)</v>
      </c>
      <c r="C548" s="80">
        <f t="shared" ref="C548:AH548" si="808">$D12</f>
        <v>20</v>
      </c>
      <c r="D548" s="80">
        <f t="shared" si="808"/>
        <v>20</v>
      </c>
      <c r="E548" s="80">
        <f t="shared" si="808"/>
        <v>20</v>
      </c>
      <c r="F548" s="80">
        <f t="shared" si="808"/>
        <v>20</v>
      </c>
      <c r="G548" s="80">
        <f t="shared" si="808"/>
        <v>20</v>
      </c>
      <c r="H548" s="80">
        <f t="shared" si="808"/>
        <v>20</v>
      </c>
      <c r="I548" s="80">
        <f t="shared" si="808"/>
        <v>20</v>
      </c>
      <c r="J548" s="80">
        <f t="shared" si="808"/>
        <v>20</v>
      </c>
      <c r="K548" s="80">
        <f t="shared" si="808"/>
        <v>20</v>
      </c>
      <c r="L548" s="80">
        <f t="shared" si="808"/>
        <v>20</v>
      </c>
      <c r="M548" s="80">
        <f t="shared" si="808"/>
        <v>20</v>
      </c>
      <c r="N548" s="80">
        <f t="shared" si="808"/>
        <v>20</v>
      </c>
      <c r="O548" s="80">
        <f t="shared" si="808"/>
        <v>20</v>
      </c>
      <c r="P548" s="80">
        <f t="shared" si="808"/>
        <v>20</v>
      </c>
      <c r="Q548" s="80">
        <f t="shared" si="808"/>
        <v>20</v>
      </c>
      <c r="R548" s="80">
        <f t="shared" si="808"/>
        <v>20</v>
      </c>
      <c r="S548" s="80">
        <f t="shared" si="808"/>
        <v>20</v>
      </c>
      <c r="T548" s="80">
        <f t="shared" si="808"/>
        <v>20</v>
      </c>
      <c r="U548" s="80">
        <f t="shared" si="808"/>
        <v>20</v>
      </c>
      <c r="V548" s="80">
        <f t="shared" si="808"/>
        <v>20</v>
      </c>
      <c r="W548" s="80">
        <f t="shared" si="808"/>
        <v>20</v>
      </c>
      <c r="X548" s="80">
        <f t="shared" si="808"/>
        <v>20</v>
      </c>
      <c r="Y548" s="80">
        <f t="shared" si="808"/>
        <v>20</v>
      </c>
      <c r="Z548" s="80">
        <f t="shared" si="808"/>
        <v>20</v>
      </c>
      <c r="AA548" s="80">
        <f t="shared" si="808"/>
        <v>20</v>
      </c>
      <c r="AB548" s="80">
        <f t="shared" si="808"/>
        <v>20</v>
      </c>
      <c r="AC548" s="80">
        <f t="shared" si="808"/>
        <v>20</v>
      </c>
      <c r="AD548" s="80">
        <f t="shared" si="808"/>
        <v>20</v>
      </c>
      <c r="AE548" s="80">
        <f t="shared" si="808"/>
        <v>20</v>
      </c>
      <c r="AF548" s="80">
        <f t="shared" si="808"/>
        <v>20</v>
      </c>
      <c r="AG548" s="80">
        <f t="shared" si="808"/>
        <v>20</v>
      </c>
      <c r="AH548" s="80">
        <f t="shared" si="808"/>
        <v>20</v>
      </c>
      <c r="AI548" s="80">
        <f t="shared" ref="AI548:BB548" si="809">$D12</f>
        <v>20</v>
      </c>
      <c r="AJ548" s="80">
        <f t="shared" si="809"/>
        <v>20</v>
      </c>
      <c r="AK548" s="80">
        <f t="shared" si="809"/>
        <v>20</v>
      </c>
      <c r="AL548" s="80">
        <f t="shared" si="809"/>
        <v>20</v>
      </c>
      <c r="AM548" s="80">
        <f t="shared" si="809"/>
        <v>20</v>
      </c>
      <c r="AN548" s="80">
        <f t="shared" si="809"/>
        <v>20</v>
      </c>
      <c r="AO548" s="80">
        <f t="shared" si="809"/>
        <v>20</v>
      </c>
      <c r="AP548" s="80">
        <f t="shared" si="809"/>
        <v>20</v>
      </c>
      <c r="AQ548" s="80">
        <f t="shared" si="809"/>
        <v>20</v>
      </c>
      <c r="AR548" s="80">
        <f t="shared" si="809"/>
        <v>20</v>
      </c>
      <c r="AS548" s="80">
        <f t="shared" si="809"/>
        <v>20</v>
      </c>
      <c r="AT548" s="80">
        <f t="shared" si="809"/>
        <v>20</v>
      </c>
      <c r="AU548" s="80">
        <f t="shared" si="809"/>
        <v>20</v>
      </c>
      <c r="AV548" s="80">
        <f t="shared" si="809"/>
        <v>20</v>
      </c>
      <c r="AW548" s="80">
        <f t="shared" si="809"/>
        <v>20</v>
      </c>
      <c r="AX548" s="80">
        <f t="shared" si="809"/>
        <v>20</v>
      </c>
      <c r="AY548" s="80">
        <f t="shared" si="809"/>
        <v>20</v>
      </c>
      <c r="AZ548" s="80">
        <f t="shared" si="809"/>
        <v>20</v>
      </c>
      <c r="BA548" s="80">
        <f t="shared" si="809"/>
        <v>20</v>
      </c>
      <c r="BB548" s="80">
        <f t="shared" si="809"/>
        <v>20</v>
      </c>
      <c r="BC548" s="114"/>
    </row>
    <row r="549" spans="2:55" x14ac:dyDescent="0.25">
      <c r="B549" s="80" t="str">
        <f>_xlfn.CONCAT(B460," ",'Client Data'!D$299)</f>
        <v>Product D Rework: Time Per Unit (sec)</v>
      </c>
      <c r="C549" s="80">
        <f t="shared" ref="C549:AH549" si="810">$D13</f>
        <v>18.8</v>
      </c>
      <c r="D549" s="80">
        <f t="shared" si="810"/>
        <v>18.8</v>
      </c>
      <c r="E549" s="80">
        <f t="shared" si="810"/>
        <v>18.8</v>
      </c>
      <c r="F549" s="80">
        <f t="shared" si="810"/>
        <v>18.8</v>
      </c>
      <c r="G549" s="80">
        <f t="shared" si="810"/>
        <v>18.8</v>
      </c>
      <c r="H549" s="80">
        <f t="shared" si="810"/>
        <v>18.8</v>
      </c>
      <c r="I549" s="80">
        <f t="shared" si="810"/>
        <v>18.8</v>
      </c>
      <c r="J549" s="80">
        <f t="shared" si="810"/>
        <v>18.8</v>
      </c>
      <c r="K549" s="80">
        <f t="shared" si="810"/>
        <v>18.8</v>
      </c>
      <c r="L549" s="80">
        <f t="shared" si="810"/>
        <v>18.8</v>
      </c>
      <c r="M549" s="80">
        <f t="shared" si="810"/>
        <v>18.8</v>
      </c>
      <c r="N549" s="80">
        <f t="shared" si="810"/>
        <v>18.8</v>
      </c>
      <c r="O549" s="80">
        <f t="shared" si="810"/>
        <v>18.8</v>
      </c>
      <c r="P549" s="80">
        <f t="shared" si="810"/>
        <v>18.8</v>
      </c>
      <c r="Q549" s="80">
        <f t="shared" si="810"/>
        <v>18.8</v>
      </c>
      <c r="R549" s="80">
        <f t="shared" si="810"/>
        <v>18.8</v>
      </c>
      <c r="S549" s="80">
        <f t="shared" si="810"/>
        <v>18.8</v>
      </c>
      <c r="T549" s="80">
        <f t="shared" si="810"/>
        <v>18.8</v>
      </c>
      <c r="U549" s="80">
        <f t="shared" si="810"/>
        <v>18.8</v>
      </c>
      <c r="V549" s="80">
        <f t="shared" si="810"/>
        <v>18.8</v>
      </c>
      <c r="W549" s="80">
        <f t="shared" si="810"/>
        <v>18.8</v>
      </c>
      <c r="X549" s="80">
        <f t="shared" si="810"/>
        <v>18.8</v>
      </c>
      <c r="Y549" s="80">
        <f t="shared" si="810"/>
        <v>18.8</v>
      </c>
      <c r="Z549" s="80">
        <f t="shared" si="810"/>
        <v>18.8</v>
      </c>
      <c r="AA549" s="80">
        <f t="shared" si="810"/>
        <v>18.8</v>
      </c>
      <c r="AB549" s="80">
        <f t="shared" si="810"/>
        <v>18.8</v>
      </c>
      <c r="AC549" s="80">
        <f t="shared" si="810"/>
        <v>18.8</v>
      </c>
      <c r="AD549" s="80">
        <f t="shared" si="810"/>
        <v>18.8</v>
      </c>
      <c r="AE549" s="80">
        <f t="shared" si="810"/>
        <v>18.8</v>
      </c>
      <c r="AF549" s="80">
        <f t="shared" si="810"/>
        <v>18.8</v>
      </c>
      <c r="AG549" s="80">
        <f t="shared" si="810"/>
        <v>18.8</v>
      </c>
      <c r="AH549" s="80">
        <f t="shared" si="810"/>
        <v>18.8</v>
      </c>
      <c r="AI549" s="80">
        <f t="shared" ref="AI549:BB549" si="811">$D13</f>
        <v>18.8</v>
      </c>
      <c r="AJ549" s="80">
        <f t="shared" si="811"/>
        <v>18.8</v>
      </c>
      <c r="AK549" s="80">
        <f t="shared" si="811"/>
        <v>18.8</v>
      </c>
      <c r="AL549" s="80">
        <f t="shared" si="811"/>
        <v>18.8</v>
      </c>
      <c r="AM549" s="80">
        <f t="shared" si="811"/>
        <v>18.8</v>
      </c>
      <c r="AN549" s="80">
        <f t="shared" si="811"/>
        <v>18.8</v>
      </c>
      <c r="AO549" s="80">
        <f t="shared" si="811"/>
        <v>18.8</v>
      </c>
      <c r="AP549" s="80">
        <f t="shared" si="811"/>
        <v>18.8</v>
      </c>
      <c r="AQ549" s="80">
        <f t="shared" si="811"/>
        <v>18.8</v>
      </c>
      <c r="AR549" s="80">
        <f t="shared" si="811"/>
        <v>18.8</v>
      </c>
      <c r="AS549" s="80">
        <f t="shared" si="811"/>
        <v>18.8</v>
      </c>
      <c r="AT549" s="80">
        <f t="shared" si="811"/>
        <v>18.8</v>
      </c>
      <c r="AU549" s="80">
        <f t="shared" si="811"/>
        <v>18.8</v>
      </c>
      <c r="AV549" s="80">
        <f t="shared" si="811"/>
        <v>18.8</v>
      </c>
      <c r="AW549" s="80">
        <f t="shared" si="811"/>
        <v>18.8</v>
      </c>
      <c r="AX549" s="80">
        <f t="shared" si="811"/>
        <v>18.8</v>
      </c>
      <c r="AY549" s="80">
        <f t="shared" si="811"/>
        <v>18.8</v>
      </c>
      <c r="AZ549" s="80">
        <f t="shared" si="811"/>
        <v>18.8</v>
      </c>
      <c r="BA549" s="80">
        <f t="shared" si="811"/>
        <v>18.8</v>
      </c>
      <c r="BB549" s="80">
        <f t="shared" si="811"/>
        <v>18.8</v>
      </c>
      <c r="BC549" s="114"/>
    </row>
    <row r="550" spans="2:55" x14ac:dyDescent="0.25">
      <c r="B550" s="80" t="str">
        <f>_xlfn.CONCAT(B461," ",'Client Data'!D$299)</f>
        <v>Product E Rework: Time Per Unit (sec)</v>
      </c>
      <c r="C550" s="80">
        <f t="shared" ref="C550:AH550" si="812">$D14</f>
        <v>19.3</v>
      </c>
      <c r="D550" s="80">
        <f t="shared" si="812"/>
        <v>19.3</v>
      </c>
      <c r="E550" s="80">
        <f t="shared" si="812"/>
        <v>19.3</v>
      </c>
      <c r="F550" s="80">
        <f t="shared" si="812"/>
        <v>19.3</v>
      </c>
      <c r="G550" s="80">
        <f t="shared" si="812"/>
        <v>19.3</v>
      </c>
      <c r="H550" s="80">
        <f t="shared" si="812"/>
        <v>19.3</v>
      </c>
      <c r="I550" s="80">
        <f t="shared" si="812"/>
        <v>19.3</v>
      </c>
      <c r="J550" s="80">
        <f t="shared" si="812"/>
        <v>19.3</v>
      </c>
      <c r="K550" s="80">
        <f t="shared" si="812"/>
        <v>19.3</v>
      </c>
      <c r="L550" s="80">
        <f t="shared" si="812"/>
        <v>19.3</v>
      </c>
      <c r="M550" s="80">
        <f t="shared" si="812"/>
        <v>19.3</v>
      </c>
      <c r="N550" s="80">
        <f t="shared" si="812"/>
        <v>19.3</v>
      </c>
      <c r="O550" s="80">
        <f t="shared" si="812"/>
        <v>19.3</v>
      </c>
      <c r="P550" s="80">
        <f t="shared" si="812"/>
        <v>19.3</v>
      </c>
      <c r="Q550" s="80">
        <f t="shared" si="812"/>
        <v>19.3</v>
      </c>
      <c r="R550" s="80">
        <f t="shared" si="812"/>
        <v>19.3</v>
      </c>
      <c r="S550" s="80">
        <f t="shared" si="812"/>
        <v>19.3</v>
      </c>
      <c r="T550" s="80">
        <f t="shared" si="812"/>
        <v>19.3</v>
      </c>
      <c r="U550" s="80">
        <f t="shared" si="812"/>
        <v>19.3</v>
      </c>
      <c r="V550" s="80">
        <f t="shared" si="812"/>
        <v>19.3</v>
      </c>
      <c r="W550" s="80">
        <f t="shared" si="812"/>
        <v>19.3</v>
      </c>
      <c r="X550" s="80">
        <f t="shared" si="812"/>
        <v>19.3</v>
      </c>
      <c r="Y550" s="80">
        <f t="shared" si="812"/>
        <v>19.3</v>
      </c>
      <c r="Z550" s="80">
        <f t="shared" si="812"/>
        <v>19.3</v>
      </c>
      <c r="AA550" s="80">
        <f t="shared" si="812"/>
        <v>19.3</v>
      </c>
      <c r="AB550" s="80">
        <f t="shared" si="812"/>
        <v>19.3</v>
      </c>
      <c r="AC550" s="80">
        <f t="shared" si="812"/>
        <v>19.3</v>
      </c>
      <c r="AD550" s="80">
        <f t="shared" si="812"/>
        <v>19.3</v>
      </c>
      <c r="AE550" s="80">
        <f t="shared" si="812"/>
        <v>19.3</v>
      </c>
      <c r="AF550" s="80">
        <f t="shared" si="812"/>
        <v>19.3</v>
      </c>
      <c r="AG550" s="80">
        <f t="shared" si="812"/>
        <v>19.3</v>
      </c>
      <c r="AH550" s="80">
        <f t="shared" si="812"/>
        <v>19.3</v>
      </c>
      <c r="AI550" s="80">
        <f t="shared" ref="AI550:BB550" si="813">$D14</f>
        <v>19.3</v>
      </c>
      <c r="AJ550" s="80">
        <f t="shared" si="813"/>
        <v>19.3</v>
      </c>
      <c r="AK550" s="80">
        <f t="shared" si="813"/>
        <v>19.3</v>
      </c>
      <c r="AL550" s="80">
        <f t="shared" si="813"/>
        <v>19.3</v>
      </c>
      <c r="AM550" s="80">
        <f t="shared" si="813"/>
        <v>19.3</v>
      </c>
      <c r="AN550" s="80">
        <f t="shared" si="813"/>
        <v>19.3</v>
      </c>
      <c r="AO550" s="80">
        <f t="shared" si="813"/>
        <v>19.3</v>
      </c>
      <c r="AP550" s="80">
        <f t="shared" si="813"/>
        <v>19.3</v>
      </c>
      <c r="AQ550" s="80">
        <f t="shared" si="813"/>
        <v>19.3</v>
      </c>
      <c r="AR550" s="80">
        <f t="shared" si="813"/>
        <v>19.3</v>
      </c>
      <c r="AS550" s="80">
        <f t="shared" si="813"/>
        <v>19.3</v>
      </c>
      <c r="AT550" s="80">
        <f t="shared" si="813"/>
        <v>19.3</v>
      </c>
      <c r="AU550" s="80">
        <f t="shared" si="813"/>
        <v>19.3</v>
      </c>
      <c r="AV550" s="80">
        <f t="shared" si="813"/>
        <v>19.3</v>
      </c>
      <c r="AW550" s="80">
        <f t="shared" si="813"/>
        <v>19.3</v>
      </c>
      <c r="AX550" s="80">
        <f t="shared" si="813"/>
        <v>19.3</v>
      </c>
      <c r="AY550" s="80">
        <f t="shared" si="813"/>
        <v>19.3</v>
      </c>
      <c r="AZ550" s="80">
        <f t="shared" si="813"/>
        <v>19.3</v>
      </c>
      <c r="BA550" s="80">
        <f t="shared" si="813"/>
        <v>19.3</v>
      </c>
      <c r="BB550" s="80">
        <f t="shared" si="813"/>
        <v>19.3</v>
      </c>
      <c r="BC550" s="114"/>
    </row>
    <row r="551" spans="2:55" x14ac:dyDescent="0.25">
      <c r="B551" s="80" t="str">
        <f>_xlfn.CONCAT(B462," ",'Client Data'!D$299)</f>
        <v>Product F Rework: Time Per Unit (sec)</v>
      </c>
      <c r="C551" s="80">
        <f t="shared" ref="C551:AH551" si="814">$D15</f>
        <v>19.8</v>
      </c>
      <c r="D551" s="80">
        <f t="shared" si="814"/>
        <v>19.8</v>
      </c>
      <c r="E551" s="80">
        <f t="shared" si="814"/>
        <v>19.8</v>
      </c>
      <c r="F551" s="80">
        <f t="shared" si="814"/>
        <v>19.8</v>
      </c>
      <c r="G551" s="80">
        <f t="shared" si="814"/>
        <v>19.8</v>
      </c>
      <c r="H551" s="80">
        <f t="shared" si="814"/>
        <v>19.8</v>
      </c>
      <c r="I551" s="80">
        <f t="shared" si="814"/>
        <v>19.8</v>
      </c>
      <c r="J551" s="80">
        <f t="shared" si="814"/>
        <v>19.8</v>
      </c>
      <c r="K551" s="80">
        <f t="shared" si="814"/>
        <v>19.8</v>
      </c>
      <c r="L551" s="80">
        <f t="shared" si="814"/>
        <v>19.8</v>
      </c>
      <c r="M551" s="80">
        <f t="shared" si="814"/>
        <v>19.8</v>
      </c>
      <c r="N551" s="80">
        <f t="shared" si="814"/>
        <v>19.8</v>
      </c>
      <c r="O551" s="80">
        <f t="shared" si="814"/>
        <v>19.8</v>
      </c>
      <c r="P551" s="80">
        <f t="shared" si="814"/>
        <v>19.8</v>
      </c>
      <c r="Q551" s="80">
        <f t="shared" si="814"/>
        <v>19.8</v>
      </c>
      <c r="R551" s="80">
        <f t="shared" si="814"/>
        <v>19.8</v>
      </c>
      <c r="S551" s="80">
        <f t="shared" si="814"/>
        <v>19.8</v>
      </c>
      <c r="T551" s="80">
        <f t="shared" si="814"/>
        <v>19.8</v>
      </c>
      <c r="U551" s="80">
        <f t="shared" si="814"/>
        <v>19.8</v>
      </c>
      <c r="V551" s="80">
        <f t="shared" si="814"/>
        <v>19.8</v>
      </c>
      <c r="W551" s="80">
        <f t="shared" si="814"/>
        <v>19.8</v>
      </c>
      <c r="X551" s="80">
        <f t="shared" si="814"/>
        <v>19.8</v>
      </c>
      <c r="Y551" s="80">
        <f t="shared" si="814"/>
        <v>19.8</v>
      </c>
      <c r="Z551" s="80">
        <f t="shared" si="814"/>
        <v>19.8</v>
      </c>
      <c r="AA551" s="80">
        <f t="shared" si="814"/>
        <v>19.8</v>
      </c>
      <c r="AB551" s="80">
        <f t="shared" si="814"/>
        <v>19.8</v>
      </c>
      <c r="AC551" s="80">
        <f t="shared" si="814"/>
        <v>19.8</v>
      </c>
      <c r="AD551" s="80">
        <f t="shared" si="814"/>
        <v>19.8</v>
      </c>
      <c r="AE551" s="80">
        <f t="shared" si="814"/>
        <v>19.8</v>
      </c>
      <c r="AF551" s="80">
        <f t="shared" si="814"/>
        <v>19.8</v>
      </c>
      <c r="AG551" s="80">
        <f t="shared" si="814"/>
        <v>19.8</v>
      </c>
      <c r="AH551" s="80">
        <f t="shared" si="814"/>
        <v>19.8</v>
      </c>
      <c r="AI551" s="80">
        <f t="shared" ref="AI551:BB551" si="815">$D15</f>
        <v>19.8</v>
      </c>
      <c r="AJ551" s="80">
        <f t="shared" si="815"/>
        <v>19.8</v>
      </c>
      <c r="AK551" s="80">
        <f t="shared" si="815"/>
        <v>19.8</v>
      </c>
      <c r="AL551" s="80">
        <f t="shared" si="815"/>
        <v>19.8</v>
      </c>
      <c r="AM551" s="80">
        <f t="shared" si="815"/>
        <v>19.8</v>
      </c>
      <c r="AN551" s="80">
        <f t="shared" si="815"/>
        <v>19.8</v>
      </c>
      <c r="AO551" s="80">
        <f t="shared" si="815"/>
        <v>19.8</v>
      </c>
      <c r="AP551" s="80">
        <f t="shared" si="815"/>
        <v>19.8</v>
      </c>
      <c r="AQ551" s="80">
        <f t="shared" si="815"/>
        <v>19.8</v>
      </c>
      <c r="AR551" s="80">
        <f t="shared" si="815"/>
        <v>19.8</v>
      </c>
      <c r="AS551" s="80">
        <f t="shared" si="815"/>
        <v>19.8</v>
      </c>
      <c r="AT551" s="80">
        <f t="shared" si="815"/>
        <v>19.8</v>
      </c>
      <c r="AU551" s="80">
        <f t="shared" si="815"/>
        <v>19.8</v>
      </c>
      <c r="AV551" s="80">
        <f t="shared" si="815"/>
        <v>19.8</v>
      </c>
      <c r="AW551" s="80">
        <f t="shared" si="815"/>
        <v>19.8</v>
      </c>
      <c r="AX551" s="80">
        <f t="shared" si="815"/>
        <v>19.8</v>
      </c>
      <c r="AY551" s="80">
        <f t="shared" si="815"/>
        <v>19.8</v>
      </c>
      <c r="AZ551" s="80">
        <f t="shared" si="815"/>
        <v>19.8</v>
      </c>
      <c r="BA551" s="80">
        <f t="shared" si="815"/>
        <v>19.8</v>
      </c>
      <c r="BB551" s="80">
        <f t="shared" si="815"/>
        <v>19.8</v>
      </c>
      <c r="BC551" s="114"/>
    </row>
    <row r="552" spans="2:55" x14ac:dyDescent="0.25">
      <c r="B552" s="80" t="str">
        <f>_xlfn.CONCAT(B463," ",'Client Data'!D$299)</f>
        <v>Product G Rework: Time Per Unit (sec)</v>
      </c>
      <c r="C552" s="80">
        <f t="shared" ref="C552:AH552" si="816">$D16</f>
        <v>18.399999999999999</v>
      </c>
      <c r="D552" s="80">
        <f t="shared" si="816"/>
        <v>18.399999999999999</v>
      </c>
      <c r="E552" s="80">
        <f t="shared" si="816"/>
        <v>18.399999999999999</v>
      </c>
      <c r="F552" s="80">
        <f t="shared" si="816"/>
        <v>18.399999999999999</v>
      </c>
      <c r="G552" s="80">
        <f t="shared" si="816"/>
        <v>18.399999999999999</v>
      </c>
      <c r="H552" s="80">
        <f t="shared" si="816"/>
        <v>18.399999999999999</v>
      </c>
      <c r="I552" s="80">
        <f t="shared" si="816"/>
        <v>18.399999999999999</v>
      </c>
      <c r="J552" s="80">
        <f t="shared" si="816"/>
        <v>18.399999999999999</v>
      </c>
      <c r="K552" s="80">
        <f t="shared" si="816"/>
        <v>18.399999999999999</v>
      </c>
      <c r="L552" s="80">
        <f t="shared" si="816"/>
        <v>18.399999999999999</v>
      </c>
      <c r="M552" s="80">
        <f t="shared" si="816"/>
        <v>18.399999999999999</v>
      </c>
      <c r="N552" s="80">
        <f t="shared" si="816"/>
        <v>18.399999999999999</v>
      </c>
      <c r="O552" s="80">
        <f t="shared" si="816"/>
        <v>18.399999999999999</v>
      </c>
      <c r="P552" s="80">
        <f t="shared" si="816"/>
        <v>18.399999999999999</v>
      </c>
      <c r="Q552" s="80">
        <f t="shared" si="816"/>
        <v>18.399999999999999</v>
      </c>
      <c r="R552" s="80">
        <f t="shared" si="816"/>
        <v>18.399999999999999</v>
      </c>
      <c r="S552" s="80">
        <f t="shared" si="816"/>
        <v>18.399999999999999</v>
      </c>
      <c r="T552" s="80">
        <f t="shared" si="816"/>
        <v>18.399999999999999</v>
      </c>
      <c r="U552" s="80">
        <f t="shared" si="816"/>
        <v>18.399999999999999</v>
      </c>
      <c r="V552" s="80">
        <f t="shared" si="816"/>
        <v>18.399999999999999</v>
      </c>
      <c r="W552" s="80">
        <f t="shared" si="816"/>
        <v>18.399999999999999</v>
      </c>
      <c r="X552" s="80">
        <f t="shared" si="816"/>
        <v>18.399999999999999</v>
      </c>
      <c r="Y552" s="80">
        <f t="shared" si="816"/>
        <v>18.399999999999999</v>
      </c>
      <c r="Z552" s="80">
        <f t="shared" si="816"/>
        <v>18.399999999999999</v>
      </c>
      <c r="AA552" s="80">
        <f t="shared" si="816"/>
        <v>18.399999999999999</v>
      </c>
      <c r="AB552" s="80">
        <f t="shared" si="816"/>
        <v>18.399999999999999</v>
      </c>
      <c r="AC552" s="80">
        <f t="shared" si="816"/>
        <v>18.399999999999999</v>
      </c>
      <c r="AD552" s="80">
        <f t="shared" si="816"/>
        <v>18.399999999999999</v>
      </c>
      <c r="AE552" s="80">
        <f t="shared" si="816"/>
        <v>18.399999999999999</v>
      </c>
      <c r="AF552" s="80">
        <f t="shared" si="816"/>
        <v>18.399999999999999</v>
      </c>
      <c r="AG552" s="80">
        <f t="shared" si="816"/>
        <v>18.399999999999999</v>
      </c>
      <c r="AH552" s="80">
        <f t="shared" si="816"/>
        <v>18.399999999999999</v>
      </c>
      <c r="AI552" s="80">
        <f t="shared" ref="AI552:BB552" si="817">$D16</f>
        <v>18.399999999999999</v>
      </c>
      <c r="AJ552" s="80">
        <f t="shared" si="817"/>
        <v>18.399999999999999</v>
      </c>
      <c r="AK552" s="80">
        <f t="shared" si="817"/>
        <v>18.399999999999999</v>
      </c>
      <c r="AL552" s="80">
        <f t="shared" si="817"/>
        <v>18.399999999999999</v>
      </c>
      <c r="AM552" s="80">
        <f t="shared" si="817"/>
        <v>18.399999999999999</v>
      </c>
      <c r="AN552" s="80">
        <f t="shared" si="817"/>
        <v>18.399999999999999</v>
      </c>
      <c r="AO552" s="80">
        <f t="shared" si="817"/>
        <v>18.399999999999999</v>
      </c>
      <c r="AP552" s="80">
        <f t="shared" si="817"/>
        <v>18.399999999999999</v>
      </c>
      <c r="AQ552" s="80">
        <f t="shared" si="817"/>
        <v>18.399999999999999</v>
      </c>
      <c r="AR552" s="80">
        <f t="shared" si="817"/>
        <v>18.399999999999999</v>
      </c>
      <c r="AS552" s="80">
        <f t="shared" si="817"/>
        <v>18.399999999999999</v>
      </c>
      <c r="AT552" s="80">
        <f t="shared" si="817"/>
        <v>18.399999999999999</v>
      </c>
      <c r="AU552" s="80">
        <f t="shared" si="817"/>
        <v>18.399999999999999</v>
      </c>
      <c r="AV552" s="80">
        <f t="shared" si="817"/>
        <v>18.399999999999999</v>
      </c>
      <c r="AW552" s="80">
        <f t="shared" si="817"/>
        <v>18.399999999999999</v>
      </c>
      <c r="AX552" s="80">
        <f t="shared" si="817"/>
        <v>18.399999999999999</v>
      </c>
      <c r="AY552" s="80">
        <f t="shared" si="817"/>
        <v>18.399999999999999</v>
      </c>
      <c r="AZ552" s="80">
        <f t="shared" si="817"/>
        <v>18.399999999999999</v>
      </c>
      <c r="BA552" s="80">
        <f t="shared" si="817"/>
        <v>18.399999999999999</v>
      </c>
      <c r="BB552" s="80">
        <f t="shared" si="817"/>
        <v>18.399999999999999</v>
      </c>
      <c r="BC552" s="114"/>
    </row>
    <row r="553" spans="2:55" x14ac:dyDescent="0.25">
      <c r="B553" s="80" t="str">
        <f>_xlfn.CONCAT(B464," ",'Client Data'!D$299)</f>
        <v>Product H Rework: Time Per Unit (sec)</v>
      </c>
      <c r="C553" s="80">
        <f t="shared" ref="C553:AH553" si="818">$D17</f>
        <v>15.7</v>
      </c>
      <c r="D553" s="80">
        <f t="shared" si="818"/>
        <v>15.7</v>
      </c>
      <c r="E553" s="80">
        <f t="shared" si="818"/>
        <v>15.7</v>
      </c>
      <c r="F553" s="80">
        <f t="shared" si="818"/>
        <v>15.7</v>
      </c>
      <c r="G553" s="80">
        <f t="shared" si="818"/>
        <v>15.7</v>
      </c>
      <c r="H553" s="80">
        <f t="shared" si="818"/>
        <v>15.7</v>
      </c>
      <c r="I553" s="80">
        <f t="shared" si="818"/>
        <v>15.7</v>
      </c>
      <c r="J553" s="80">
        <f t="shared" si="818"/>
        <v>15.7</v>
      </c>
      <c r="K553" s="80">
        <f t="shared" si="818"/>
        <v>15.7</v>
      </c>
      <c r="L553" s="80">
        <f t="shared" si="818"/>
        <v>15.7</v>
      </c>
      <c r="M553" s="80">
        <f t="shared" si="818"/>
        <v>15.7</v>
      </c>
      <c r="N553" s="80">
        <f t="shared" si="818"/>
        <v>15.7</v>
      </c>
      <c r="O553" s="80">
        <f t="shared" si="818"/>
        <v>15.7</v>
      </c>
      <c r="P553" s="80">
        <f t="shared" si="818"/>
        <v>15.7</v>
      </c>
      <c r="Q553" s="80">
        <f t="shared" si="818"/>
        <v>15.7</v>
      </c>
      <c r="R553" s="80">
        <f t="shared" si="818"/>
        <v>15.7</v>
      </c>
      <c r="S553" s="80">
        <f t="shared" si="818"/>
        <v>15.7</v>
      </c>
      <c r="T553" s="80">
        <f t="shared" si="818"/>
        <v>15.7</v>
      </c>
      <c r="U553" s="80">
        <f t="shared" si="818"/>
        <v>15.7</v>
      </c>
      <c r="V553" s="80">
        <f t="shared" si="818"/>
        <v>15.7</v>
      </c>
      <c r="W553" s="80">
        <f t="shared" si="818"/>
        <v>15.7</v>
      </c>
      <c r="X553" s="80">
        <f t="shared" si="818"/>
        <v>15.7</v>
      </c>
      <c r="Y553" s="80">
        <f t="shared" si="818"/>
        <v>15.7</v>
      </c>
      <c r="Z553" s="80">
        <f t="shared" si="818"/>
        <v>15.7</v>
      </c>
      <c r="AA553" s="80">
        <f t="shared" si="818"/>
        <v>15.7</v>
      </c>
      <c r="AB553" s="80">
        <f t="shared" si="818"/>
        <v>15.7</v>
      </c>
      <c r="AC553" s="80">
        <f t="shared" si="818"/>
        <v>15.7</v>
      </c>
      <c r="AD553" s="80">
        <f t="shared" si="818"/>
        <v>15.7</v>
      </c>
      <c r="AE553" s="80">
        <f t="shared" si="818"/>
        <v>15.7</v>
      </c>
      <c r="AF553" s="80">
        <f t="shared" si="818"/>
        <v>15.7</v>
      </c>
      <c r="AG553" s="80">
        <f t="shared" si="818"/>
        <v>15.7</v>
      </c>
      <c r="AH553" s="80">
        <f t="shared" si="818"/>
        <v>15.7</v>
      </c>
      <c r="AI553" s="80">
        <f t="shared" ref="AI553:BB553" si="819">$D17</f>
        <v>15.7</v>
      </c>
      <c r="AJ553" s="80">
        <f t="shared" si="819"/>
        <v>15.7</v>
      </c>
      <c r="AK553" s="80">
        <f t="shared" si="819"/>
        <v>15.7</v>
      </c>
      <c r="AL553" s="80">
        <f t="shared" si="819"/>
        <v>15.7</v>
      </c>
      <c r="AM553" s="80">
        <f t="shared" si="819"/>
        <v>15.7</v>
      </c>
      <c r="AN553" s="80">
        <f t="shared" si="819"/>
        <v>15.7</v>
      </c>
      <c r="AO553" s="80">
        <f t="shared" si="819"/>
        <v>15.7</v>
      </c>
      <c r="AP553" s="80">
        <f t="shared" si="819"/>
        <v>15.7</v>
      </c>
      <c r="AQ553" s="80">
        <f t="shared" si="819"/>
        <v>15.7</v>
      </c>
      <c r="AR553" s="80">
        <f t="shared" si="819"/>
        <v>15.7</v>
      </c>
      <c r="AS553" s="80">
        <f t="shared" si="819"/>
        <v>15.7</v>
      </c>
      <c r="AT553" s="80">
        <f t="shared" si="819"/>
        <v>15.7</v>
      </c>
      <c r="AU553" s="80">
        <f t="shared" si="819"/>
        <v>15.7</v>
      </c>
      <c r="AV553" s="80">
        <f t="shared" si="819"/>
        <v>15.7</v>
      </c>
      <c r="AW553" s="80">
        <f t="shared" si="819"/>
        <v>15.7</v>
      </c>
      <c r="AX553" s="80">
        <f t="shared" si="819"/>
        <v>15.7</v>
      </c>
      <c r="AY553" s="80">
        <f t="shared" si="819"/>
        <v>15.7</v>
      </c>
      <c r="AZ553" s="80">
        <f t="shared" si="819"/>
        <v>15.7</v>
      </c>
      <c r="BA553" s="80">
        <f t="shared" si="819"/>
        <v>15.7</v>
      </c>
      <c r="BB553" s="80">
        <f t="shared" si="819"/>
        <v>15.7</v>
      </c>
      <c r="BC553" s="114"/>
    </row>
    <row r="554" spans="2:55" x14ac:dyDescent="0.25">
      <c r="B554" s="43" t="str">
        <f>_xlfn.CONCAT(B457," ",'Client Data'!C$2)</f>
        <v>Product A Standard CT (Seconds)</v>
      </c>
      <c r="C554" s="43">
        <f t="shared" ref="C554:AH554" si="820">$C10</f>
        <v>9</v>
      </c>
      <c r="D554" s="43">
        <f t="shared" si="820"/>
        <v>9</v>
      </c>
      <c r="E554" s="43">
        <f t="shared" si="820"/>
        <v>9</v>
      </c>
      <c r="F554" s="43">
        <f t="shared" si="820"/>
        <v>9</v>
      </c>
      <c r="G554" s="43">
        <f t="shared" si="820"/>
        <v>9</v>
      </c>
      <c r="H554" s="43">
        <f t="shared" si="820"/>
        <v>9</v>
      </c>
      <c r="I554" s="43">
        <f t="shared" si="820"/>
        <v>9</v>
      </c>
      <c r="J554" s="43">
        <f t="shared" si="820"/>
        <v>9</v>
      </c>
      <c r="K554" s="43">
        <f t="shared" si="820"/>
        <v>9</v>
      </c>
      <c r="L554" s="43">
        <f t="shared" si="820"/>
        <v>9</v>
      </c>
      <c r="M554" s="43">
        <f t="shared" si="820"/>
        <v>9</v>
      </c>
      <c r="N554" s="43">
        <f t="shared" si="820"/>
        <v>9</v>
      </c>
      <c r="O554" s="43">
        <f t="shared" si="820"/>
        <v>9</v>
      </c>
      <c r="P554" s="43">
        <f t="shared" si="820"/>
        <v>9</v>
      </c>
      <c r="Q554" s="43">
        <f t="shared" si="820"/>
        <v>9</v>
      </c>
      <c r="R554" s="43">
        <f t="shared" si="820"/>
        <v>9</v>
      </c>
      <c r="S554" s="43">
        <f t="shared" si="820"/>
        <v>9</v>
      </c>
      <c r="T554" s="43">
        <f t="shared" si="820"/>
        <v>9</v>
      </c>
      <c r="U554" s="43">
        <f t="shared" si="820"/>
        <v>9</v>
      </c>
      <c r="V554" s="43">
        <f t="shared" si="820"/>
        <v>9</v>
      </c>
      <c r="W554" s="43">
        <f t="shared" si="820"/>
        <v>9</v>
      </c>
      <c r="X554" s="43">
        <f t="shared" si="820"/>
        <v>9</v>
      </c>
      <c r="Y554" s="43">
        <f t="shared" si="820"/>
        <v>9</v>
      </c>
      <c r="Z554" s="43">
        <f t="shared" si="820"/>
        <v>9</v>
      </c>
      <c r="AA554" s="43">
        <f t="shared" si="820"/>
        <v>9</v>
      </c>
      <c r="AB554" s="43">
        <f t="shared" si="820"/>
        <v>9</v>
      </c>
      <c r="AC554" s="43">
        <f t="shared" si="820"/>
        <v>9</v>
      </c>
      <c r="AD554" s="43">
        <f t="shared" si="820"/>
        <v>9</v>
      </c>
      <c r="AE554" s="43">
        <f t="shared" si="820"/>
        <v>9</v>
      </c>
      <c r="AF554" s="43">
        <f t="shared" si="820"/>
        <v>9</v>
      </c>
      <c r="AG554" s="43">
        <f t="shared" si="820"/>
        <v>9</v>
      </c>
      <c r="AH554" s="43">
        <f t="shared" si="820"/>
        <v>9</v>
      </c>
      <c r="AI554" s="43">
        <f t="shared" ref="AI554:BB554" si="821">$C10</f>
        <v>9</v>
      </c>
      <c r="AJ554" s="43">
        <f t="shared" si="821"/>
        <v>9</v>
      </c>
      <c r="AK554" s="43">
        <f t="shared" si="821"/>
        <v>9</v>
      </c>
      <c r="AL554" s="43">
        <f t="shared" si="821"/>
        <v>9</v>
      </c>
      <c r="AM554" s="43">
        <f t="shared" si="821"/>
        <v>9</v>
      </c>
      <c r="AN554" s="43">
        <f t="shared" si="821"/>
        <v>9</v>
      </c>
      <c r="AO554" s="43">
        <f t="shared" si="821"/>
        <v>9</v>
      </c>
      <c r="AP554" s="43">
        <f t="shared" si="821"/>
        <v>9</v>
      </c>
      <c r="AQ554" s="43">
        <f t="shared" si="821"/>
        <v>9</v>
      </c>
      <c r="AR554" s="43">
        <f t="shared" si="821"/>
        <v>9</v>
      </c>
      <c r="AS554" s="43">
        <f t="shared" si="821"/>
        <v>9</v>
      </c>
      <c r="AT554" s="43">
        <f t="shared" si="821"/>
        <v>9</v>
      </c>
      <c r="AU554" s="43">
        <f t="shared" si="821"/>
        <v>9</v>
      </c>
      <c r="AV554" s="43">
        <f t="shared" si="821"/>
        <v>9</v>
      </c>
      <c r="AW554" s="43">
        <f t="shared" si="821"/>
        <v>9</v>
      </c>
      <c r="AX554" s="43">
        <f t="shared" si="821"/>
        <v>9</v>
      </c>
      <c r="AY554" s="43">
        <f t="shared" si="821"/>
        <v>9</v>
      </c>
      <c r="AZ554" s="43">
        <f t="shared" si="821"/>
        <v>9</v>
      </c>
      <c r="BA554" s="43">
        <f t="shared" si="821"/>
        <v>9</v>
      </c>
      <c r="BB554" s="43">
        <f t="shared" si="821"/>
        <v>9</v>
      </c>
      <c r="BC554" s="114"/>
    </row>
    <row r="555" spans="2:55" x14ac:dyDescent="0.25">
      <c r="B555" s="43" t="str">
        <f>_xlfn.CONCAT(B458," ",'Client Data'!C$2)</f>
        <v>Product B Standard CT (Seconds)</v>
      </c>
      <c r="C555" s="43">
        <f t="shared" ref="C555:AH555" si="822">$C11</f>
        <v>9.8000000000000007</v>
      </c>
      <c r="D555" s="43">
        <f t="shared" si="822"/>
        <v>9.8000000000000007</v>
      </c>
      <c r="E555" s="43">
        <f t="shared" si="822"/>
        <v>9.8000000000000007</v>
      </c>
      <c r="F555" s="43">
        <f t="shared" si="822"/>
        <v>9.8000000000000007</v>
      </c>
      <c r="G555" s="43">
        <f t="shared" si="822"/>
        <v>9.8000000000000007</v>
      </c>
      <c r="H555" s="43">
        <f t="shared" si="822"/>
        <v>9.8000000000000007</v>
      </c>
      <c r="I555" s="43">
        <f t="shared" si="822"/>
        <v>9.8000000000000007</v>
      </c>
      <c r="J555" s="43">
        <f t="shared" si="822"/>
        <v>9.8000000000000007</v>
      </c>
      <c r="K555" s="43">
        <f t="shared" si="822"/>
        <v>9.8000000000000007</v>
      </c>
      <c r="L555" s="43">
        <f t="shared" si="822"/>
        <v>9.8000000000000007</v>
      </c>
      <c r="M555" s="43">
        <f t="shared" si="822"/>
        <v>9.8000000000000007</v>
      </c>
      <c r="N555" s="43">
        <f t="shared" si="822"/>
        <v>9.8000000000000007</v>
      </c>
      <c r="O555" s="43">
        <f t="shared" si="822"/>
        <v>9.8000000000000007</v>
      </c>
      <c r="P555" s="43">
        <f t="shared" si="822"/>
        <v>9.8000000000000007</v>
      </c>
      <c r="Q555" s="43">
        <f t="shared" si="822"/>
        <v>9.8000000000000007</v>
      </c>
      <c r="R555" s="43">
        <f t="shared" si="822"/>
        <v>9.8000000000000007</v>
      </c>
      <c r="S555" s="43">
        <f t="shared" si="822"/>
        <v>9.8000000000000007</v>
      </c>
      <c r="T555" s="43">
        <f t="shared" si="822"/>
        <v>9.8000000000000007</v>
      </c>
      <c r="U555" s="43">
        <f t="shared" si="822"/>
        <v>9.8000000000000007</v>
      </c>
      <c r="V555" s="43">
        <f t="shared" si="822"/>
        <v>9.8000000000000007</v>
      </c>
      <c r="W555" s="43">
        <f t="shared" si="822"/>
        <v>9.8000000000000007</v>
      </c>
      <c r="X555" s="43">
        <f t="shared" si="822"/>
        <v>9.8000000000000007</v>
      </c>
      <c r="Y555" s="43">
        <f t="shared" si="822"/>
        <v>9.8000000000000007</v>
      </c>
      <c r="Z555" s="43">
        <f t="shared" si="822"/>
        <v>9.8000000000000007</v>
      </c>
      <c r="AA555" s="43">
        <f t="shared" si="822"/>
        <v>9.8000000000000007</v>
      </c>
      <c r="AB555" s="43">
        <f t="shared" si="822"/>
        <v>9.8000000000000007</v>
      </c>
      <c r="AC555" s="43">
        <f t="shared" si="822"/>
        <v>9.8000000000000007</v>
      </c>
      <c r="AD555" s="43">
        <f t="shared" si="822"/>
        <v>9.8000000000000007</v>
      </c>
      <c r="AE555" s="43">
        <f t="shared" si="822"/>
        <v>9.8000000000000007</v>
      </c>
      <c r="AF555" s="43">
        <f t="shared" si="822"/>
        <v>9.8000000000000007</v>
      </c>
      <c r="AG555" s="43">
        <f t="shared" si="822"/>
        <v>9.8000000000000007</v>
      </c>
      <c r="AH555" s="43">
        <f t="shared" si="822"/>
        <v>9.8000000000000007</v>
      </c>
      <c r="AI555" s="43">
        <f t="shared" ref="AI555:BB555" si="823">$C11</f>
        <v>9.8000000000000007</v>
      </c>
      <c r="AJ555" s="43">
        <f t="shared" si="823"/>
        <v>9.8000000000000007</v>
      </c>
      <c r="AK555" s="43">
        <f t="shared" si="823"/>
        <v>9.8000000000000007</v>
      </c>
      <c r="AL555" s="43">
        <f t="shared" si="823"/>
        <v>9.8000000000000007</v>
      </c>
      <c r="AM555" s="43">
        <f t="shared" si="823"/>
        <v>9.8000000000000007</v>
      </c>
      <c r="AN555" s="43">
        <f t="shared" si="823"/>
        <v>9.8000000000000007</v>
      </c>
      <c r="AO555" s="43">
        <f t="shared" si="823"/>
        <v>9.8000000000000007</v>
      </c>
      <c r="AP555" s="43">
        <f t="shared" si="823"/>
        <v>9.8000000000000007</v>
      </c>
      <c r="AQ555" s="43">
        <f t="shared" si="823"/>
        <v>9.8000000000000007</v>
      </c>
      <c r="AR555" s="43">
        <f t="shared" si="823"/>
        <v>9.8000000000000007</v>
      </c>
      <c r="AS555" s="43">
        <f t="shared" si="823"/>
        <v>9.8000000000000007</v>
      </c>
      <c r="AT555" s="43">
        <f t="shared" si="823"/>
        <v>9.8000000000000007</v>
      </c>
      <c r="AU555" s="43">
        <f t="shared" si="823"/>
        <v>9.8000000000000007</v>
      </c>
      <c r="AV555" s="43">
        <f t="shared" si="823"/>
        <v>9.8000000000000007</v>
      </c>
      <c r="AW555" s="43">
        <f t="shared" si="823"/>
        <v>9.8000000000000007</v>
      </c>
      <c r="AX555" s="43">
        <f t="shared" si="823"/>
        <v>9.8000000000000007</v>
      </c>
      <c r="AY555" s="43">
        <f t="shared" si="823"/>
        <v>9.8000000000000007</v>
      </c>
      <c r="AZ555" s="43">
        <f t="shared" si="823"/>
        <v>9.8000000000000007</v>
      </c>
      <c r="BA555" s="43">
        <f t="shared" si="823"/>
        <v>9.8000000000000007</v>
      </c>
      <c r="BB555" s="43">
        <f t="shared" si="823"/>
        <v>9.8000000000000007</v>
      </c>
      <c r="BC555" s="114"/>
    </row>
    <row r="556" spans="2:55" x14ac:dyDescent="0.25">
      <c r="B556" s="43" t="str">
        <f>_xlfn.CONCAT(B459," ",'Client Data'!C$2)</f>
        <v>Product C Standard CT (Seconds)</v>
      </c>
      <c r="C556" s="43">
        <f t="shared" ref="C556:AH556" si="824">$C12</f>
        <v>9.6</v>
      </c>
      <c r="D556" s="43">
        <f t="shared" si="824"/>
        <v>9.6</v>
      </c>
      <c r="E556" s="43">
        <f t="shared" si="824"/>
        <v>9.6</v>
      </c>
      <c r="F556" s="43">
        <f t="shared" si="824"/>
        <v>9.6</v>
      </c>
      <c r="G556" s="43">
        <f t="shared" si="824"/>
        <v>9.6</v>
      </c>
      <c r="H556" s="43">
        <f t="shared" si="824"/>
        <v>9.6</v>
      </c>
      <c r="I556" s="43">
        <f t="shared" si="824"/>
        <v>9.6</v>
      </c>
      <c r="J556" s="43">
        <f t="shared" si="824"/>
        <v>9.6</v>
      </c>
      <c r="K556" s="43">
        <f t="shared" si="824"/>
        <v>9.6</v>
      </c>
      <c r="L556" s="43">
        <f t="shared" si="824"/>
        <v>9.6</v>
      </c>
      <c r="M556" s="43">
        <f t="shared" si="824"/>
        <v>9.6</v>
      </c>
      <c r="N556" s="43">
        <f t="shared" si="824"/>
        <v>9.6</v>
      </c>
      <c r="O556" s="43">
        <f t="shared" si="824"/>
        <v>9.6</v>
      </c>
      <c r="P556" s="43">
        <f t="shared" si="824"/>
        <v>9.6</v>
      </c>
      <c r="Q556" s="43">
        <f t="shared" si="824"/>
        <v>9.6</v>
      </c>
      <c r="R556" s="43">
        <f t="shared" si="824"/>
        <v>9.6</v>
      </c>
      <c r="S556" s="43">
        <f t="shared" si="824"/>
        <v>9.6</v>
      </c>
      <c r="T556" s="43">
        <f t="shared" si="824"/>
        <v>9.6</v>
      </c>
      <c r="U556" s="43">
        <f t="shared" si="824"/>
        <v>9.6</v>
      </c>
      <c r="V556" s="43">
        <f t="shared" si="824"/>
        <v>9.6</v>
      </c>
      <c r="W556" s="43">
        <f t="shared" si="824"/>
        <v>9.6</v>
      </c>
      <c r="X556" s="43">
        <f t="shared" si="824"/>
        <v>9.6</v>
      </c>
      <c r="Y556" s="43">
        <f t="shared" si="824"/>
        <v>9.6</v>
      </c>
      <c r="Z556" s="43">
        <f t="shared" si="824"/>
        <v>9.6</v>
      </c>
      <c r="AA556" s="43">
        <f t="shared" si="824"/>
        <v>9.6</v>
      </c>
      <c r="AB556" s="43">
        <f t="shared" si="824"/>
        <v>9.6</v>
      </c>
      <c r="AC556" s="43">
        <f t="shared" si="824"/>
        <v>9.6</v>
      </c>
      <c r="AD556" s="43">
        <f t="shared" si="824"/>
        <v>9.6</v>
      </c>
      <c r="AE556" s="43">
        <f t="shared" si="824"/>
        <v>9.6</v>
      </c>
      <c r="AF556" s="43">
        <f t="shared" si="824"/>
        <v>9.6</v>
      </c>
      <c r="AG556" s="43">
        <f t="shared" si="824"/>
        <v>9.6</v>
      </c>
      <c r="AH556" s="43">
        <f t="shared" si="824"/>
        <v>9.6</v>
      </c>
      <c r="AI556" s="43">
        <f t="shared" ref="AI556:BB556" si="825">$C12</f>
        <v>9.6</v>
      </c>
      <c r="AJ556" s="43">
        <f t="shared" si="825"/>
        <v>9.6</v>
      </c>
      <c r="AK556" s="43">
        <f t="shared" si="825"/>
        <v>9.6</v>
      </c>
      <c r="AL556" s="43">
        <f t="shared" si="825"/>
        <v>9.6</v>
      </c>
      <c r="AM556" s="43">
        <f t="shared" si="825"/>
        <v>9.6</v>
      </c>
      <c r="AN556" s="43">
        <f t="shared" si="825"/>
        <v>9.6</v>
      </c>
      <c r="AO556" s="43">
        <f t="shared" si="825"/>
        <v>9.6</v>
      </c>
      <c r="AP556" s="43">
        <f t="shared" si="825"/>
        <v>9.6</v>
      </c>
      <c r="AQ556" s="43">
        <f t="shared" si="825"/>
        <v>9.6</v>
      </c>
      <c r="AR556" s="43">
        <f t="shared" si="825"/>
        <v>9.6</v>
      </c>
      <c r="AS556" s="43">
        <f t="shared" si="825"/>
        <v>9.6</v>
      </c>
      <c r="AT556" s="43">
        <f t="shared" si="825"/>
        <v>9.6</v>
      </c>
      <c r="AU556" s="43">
        <f t="shared" si="825"/>
        <v>9.6</v>
      </c>
      <c r="AV556" s="43">
        <f t="shared" si="825"/>
        <v>9.6</v>
      </c>
      <c r="AW556" s="43">
        <f t="shared" si="825"/>
        <v>9.6</v>
      </c>
      <c r="AX556" s="43">
        <f t="shared" si="825"/>
        <v>9.6</v>
      </c>
      <c r="AY556" s="43">
        <f t="shared" si="825"/>
        <v>9.6</v>
      </c>
      <c r="AZ556" s="43">
        <f t="shared" si="825"/>
        <v>9.6</v>
      </c>
      <c r="BA556" s="43">
        <f t="shared" si="825"/>
        <v>9.6</v>
      </c>
      <c r="BB556" s="43">
        <f t="shared" si="825"/>
        <v>9.6</v>
      </c>
      <c r="BC556" s="114"/>
    </row>
    <row r="557" spans="2:55" x14ac:dyDescent="0.25">
      <c r="B557" s="43" t="str">
        <f>_xlfn.CONCAT(B460," ",'Client Data'!C$2)</f>
        <v>Product D Standard CT (Seconds)</v>
      </c>
      <c r="C557" s="43">
        <f t="shared" ref="C557:AH557" si="826">$C13</f>
        <v>11</v>
      </c>
      <c r="D557" s="43">
        <f t="shared" si="826"/>
        <v>11</v>
      </c>
      <c r="E557" s="43">
        <f t="shared" si="826"/>
        <v>11</v>
      </c>
      <c r="F557" s="43">
        <f t="shared" si="826"/>
        <v>11</v>
      </c>
      <c r="G557" s="43">
        <f t="shared" si="826"/>
        <v>11</v>
      </c>
      <c r="H557" s="43">
        <f t="shared" si="826"/>
        <v>11</v>
      </c>
      <c r="I557" s="43">
        <f t="shared" si="826"/>
        <v>11</v>
      </c>
      <c r="J557" s="43">
        <f t="shared" si="826"/>
        <v>11</v>
      </c>
      <c r="K557" s="43">
        <f t="shared" si="826"/>
        <v>11</v>
      </c>
      <c r="L557" s="43">
        <f t="shared" si="826"/>
        <v>11</v>
      </c>
      <c r="M557" s="43">
        <f t="shared" si="826"/>
        <v>11</v>
      </c>
      <c r="N557" s="43">
        <f t="shared" si="826"/>
        <v>11</v>
      </c>
      <c r="O557" s="43">
        <f t="shared" si="826"/>
        <v>11</v>
      </c>
      <c r="P557" s="43">
        <f t="shared" si="826"/>
        <v>11</v>
      </c>
      <c r="Q557" s="43">
        <f t="shared" si="826"/>
        <v>11</v>
      </c>
      <c r="R557" s="43">
        <f t="shared" si="826"/>
        <v>11</v>
      </c>
      <c r="S557" s="43">
        <f t="shared" si="826"/>
        <v>11</v>
      </c>
      <c r="T557" s="43">
        <f t="shared" si="826"/>
        <v>11</v>
      </c>
      <c r="U557" s="43">
        <f t="shared" si="826"/>
        <v>11</v>
      </c>
      <c r="V557" s="43">
        <f t="shared" si="826"/>
        <v>11</v>
      </c>
      <c r="W557" s="43">
        <f t="shared" si="826"/>
        <v>11</v>
      </c>
      <c r="X557" s="43">
        <f t="shared" si="826"/>
        <v>11</v>
      </c>
      <c r="Y557" s="43">
        <f t="shared" si="826"/>
        <v>11</v>
      </c>
      <c r="Z557" s="43">
        <f t="shared" si="826"/>
        <v>11</v>
      </c>
      <c r="AA557" s="43">
        <f t="shared" si="826"/>
        <v>11</v>
      </c>
      <c r="AB557" s="43">
        <f t="shared" si="826"/>
        <v>11</v>
      </c>
      <c r="AC557" s="43">
        <f t="shared" si="826"/>
        <v>11</v>
      </c>
      <c r="AD557" s="43">
        <f t="shared" si="826"/>
        <v>11</v>
      </c>
      <c r="AE557" s="43">
        <f t="shared" si="826"/>
        <v>11</v>
      </c>
      <c r="AF557" s="43">
        <f t="shared" si="826"/>
        <v>11</v>
      </c>
      <c r="AG557" s="43">
        <f t="shared" si="826"/>
        <v>11</v>
      </c>
      <c r="AH557" s="43">
        <f t="shared" si="826"/>
        <v>11</v>
      </c>
      <c r="AI557" s="43">
        <f t="shared" ref="AI557:BB557" si="827">$C13</f>
        <v>11</v>
      </c>
      <c r="AJ557" s="43">
        <f t="shared" si="827"/>
        <v>11</v>
      </c>
      <c r="AK557" s="43">
        <f t="shared" si="827"/>
        <v>11</v>
      </c>
      <c r="AL557" s="43">
        <f t="shared" si="827"/>
        <v>11</v>
      </c>
      <c r="AM557" s="43">
        <f t="shared" si="827"/>
        <v>11</v>
      </c>
      <c r="AN557" s="43">
        <f t="shared" si="827"/>
        <v>11</v>
      </c>
      <c r="AO557" s="43">
        <f t="shared" si="827"/>
        <v>11</v>
      </c>
      <c r="AP557" s="43">
        <f t="shared" si="827"/>
        <v>11</v>
      </c>
      <c r="AQ557" s="43">
        <f t="shared" si="827"/>
        <v>11</v>
      </c>
      <c r="AR557" s="43">
        <f t="shared" si="827"/>
        <v>11</v>
      </c>
      <c r="AS557" s="43">
        <f t="shared" si="827"/>
        <v>11</v>
      </c>
      <c r="AT557" s="43">
        <f t="shared" si="827"/>
        <v>11</v>
      </c>
      <c r="AU557" s="43">
        <f t="shared" si="827"/>
        <v>11</v>
      </c>
      <c r="AV557" s="43">
        <f t="shared" si="827"/>
        <v>11</v>
      </c>
      <c r="AW557" s="43">
        <f t="shared" si="827"/>
        <v>11</v>
      </c>
      <c r="AX557" s="43">
        <f t="shared" si="827"/>
        <v>11</v>
      </c>
      <c r="AY557" s="43">
        <f t="shared" si="827"/>
        <v>11</v>
      </c>
      <c r="AZ557" s="43">
        <f t="shared" si="827"/>
        <v>11</v>
      </c>
      <c r="BA557" s="43">
        <f t="shared" si="827"/>
        <v>11</v>
      </c>
      <c r="BB557" s="43">
        <f t="shared" si="827"/>
        <v>11</v>
      </c>
      <c r="BC557" s="114"/>
    </row>
    <row r="558" spans="2:55" x14ac:dyDescent="0.25">
      <c r="B558" s="43" t="str">
        <f>_xlfn.CONCAT(B461," ",'Client Data'!C$2)</f>
        <v>Product E Standard CT (Seconds)</v>
      </c>
      <c r="C558" s="43">
        <f t="shared" ref="C558:AH558" si="828">$C14</f>
        <v>10.8</v>
      </c>
      <c r="D558" s="43">
        <f t="shared" si="828"/>
        <v>10.8</v>
      </c>
      <c r="E558" s="43">
        <f t="shared" si="828"/>
        <v>10.8</v>
      </c>
      <c r="F558" s="43">
        <f t="shared" si="828"/>
        <v>10.8</v>
      </c>
      <c r="G558" s="43">
        <f t="shared" si="828"/>
        <v>10.8</v>
      </c>
      <c r="H558" s="43">
        <f t="shared" si="828"/>
        <v>10.8</v>
      </c>
      <c r="I558" s="43">
        <f t="shared" si="828"/>
        <v>10.8</v>
      </c>
      <c r="J558" s="43">
        <f t="shared" si="828"/>
        <v>10.8</v>
      </c>
      <c r="K558" s="43">
        <f t="shared" si="828"/>
        <v>10.8</v>
      </c>
      <c r="L558" s="43">
        <f t="shared" si="828"/>
        <v>10.8</v>
      </c>
      <c r="M558" s="43">
        <f t="shared" si="828"/>
        <v>10.8</v>
      </c>
      <c r="N558" s="43">
        <f t="shared" si="828"/>
        <v>10.8</v>
      </c>
      <c r="O558" s="43">
        <f t="shared" si="828"/>
        <v>10.8</v>
      </c>
      <c r="P558" s="43">
        <f t="shared" si="828"/>
        <v>10.8</v>
      </c>
      <c r="Q558" s="43">
        <f t="shared" si="828"/>
        <v>10.8</v>
      </c>
      <c r="R558" s="43">
        <f t="shared" si="828"/>
        <v>10.8</v>
      </c>
      <c r="S558" s="43">
        <f t="shared" si="828"/>
        <v>10.8</v>
      </c>
      <c r="T558" s="43">
        <f t="shared" si="828"/>
        <v>10.8</v>
      </c>
      <c r="U558" s="43">
        <f t="shared" si="828"/>
        <v>10.8</v>
      </c>
      <c r="V558" s="43">
        <f t="shared" si="828"/>
        <v>10.8</v>
      </c>
      <c r="W558" s="43">
        <f t="shared" si="828"/>
        <v>10.8</v>
      </c>
      <c r="X558" s="43">
        <f t="shared" si="828"/>
        <v>10.8</v>
      </c>
      <c r="Y558" s="43">
        <f t="shared" si="828"/>
        <v>10.8</v>
      </c>
      <c r="Z558" s="43">
        <f t="shared" si="828"/>
        <v>10.8</v>
      </c>
      <c r="AA558" s="43">
        <f t="shared" si="828"/>
        <v>10.8</v>
      </c>
      <c r="AB558" s="43">
        <f t="shared" si="828"/>
        <v>10.8</v>
      </c>
      <c r="AC558" s="43">
        <f t="shared" si="828"/>
        <v>10.8</v>
      </c>
      <c r="AD558" s="43">
        <f t="shared" si="828"/>
        <v>10.8</v>
      </c>
      <c r="AE558" s="43">
        <f t="shared" si="828"/>
        <v>10.8</v>
      </c>
      <c r="AF558" s="43">
        <f t="shared" si="828"/>
        <v>10.8</v>
      </c>
      <c r="AG558" s="43">
        <f t="shared" si="828"/>
        <v>10.8</v>
      </c>
      <c r="AH558" s="43">
        <f t="shared" si="828"/>
        <v>10.8</v>
      </c>
      <c r="AI558" s="43">
        <f t="shared" ref="AI558:BB558" si="829">$C14</f>
        <v>10.8</v>
      </c>
      <c r="AJ558" s="43">
        <f t="shared" si="829"/>
        <v>10.8</v>
      </c>
      <c r="AK558" s="43">
        <f t="shared" si="829"/>
        <v>10.8</v>
      </c>
      <c r="AL558" s="43">
        <f t="shared" si="829"/>
        <v>10.8</v>
      </c>
      <c r="AM558" s="43">
        <f t="shared" si="829"/>
        <v>10.8</v>
      </c>
      <c r="AN558" s="43">
        <f t="shared" si="829"/>
        <v>10.8</v>
      </c>
      <c r="AO558" s="43">
        <f t="shared" si="829"/>
        <v>10.8</v>
      </c>
      <c r="AP558" s="43">
        <f t="shared" si="829"/>
        <v>10.8</v>
      </c>
      <c r="AQ558" s="43">
        <f t="shared" si="829"/>
        <v>10.8</v>
      </c>
      <c r="AR558" s="43">
        <f t="shared" si="829"/>
        <v>10.8</v>
      </c>
      <c r="AS558" s="43">
        <f t="shared" si="829"/>
        <v>10.8</v>
      </c>
      <c r="AT558" s="43">
        <f t="shared" si="829"/>
        <v>10.8</v>
      </c>
      <c r="AU558" s="43">
        <f t="shared" si="829"/>
        <v>10.8</v>
      </c>
      <c r="AV558" s="43">
        <f t="shared" si="829"/>
        <v>10.8</v>
      </c>
      <c r="AW558" s="43">
        <f t="shared" si="829"/>
        <v>10.8</v>
      </c>
      <c r="AX558" s="43">
        <f t="shared" si="829"/>
        <v>10.8</v>
      </c>
      <c r="AY558" s="43">
        <f t="shared" si="829"/>
        <v>10.8</v>
      </c>
      <c r="AZ558" s="43">
        <f t="shared" si="829"/>
        <v>10.8</v>
      </c>
      <c r="BA558" s="43">
        <f t="shared" si="829"/>
        <v>10.8</v>
      </c>
      <c r="BB558" s="43">
        <f t="shared" si="829"/>
        <v>10.8</v>
      </c>
      <c r="BC558" s="114"/>
    </row>
    <row r="559" spans="2:55" x14ac:dyDescent="0.25">
      <c r="B559" s="43" t="str">
        <f>_xlfn.CONCAT(B462," ",'Client Data'!C$2)</f>
        <v>Product F Standard CT (Seconds)</v>
      </c>
      <c r="C559" s="43">
        <f t="shared" ref="C559:AH559" si="830">$C15</f>
        <v>10.5</v>
      </c>
      <c r="D559" s="43">
        <f t="shared" si="830"/>
        <v>10.5</v>
      </c>
      <c r="E559" s="43">
        <f t="shared" si="830"/>
        <v>10.5</v>
      </c>
      <c r="F559" s="43">
        <f t="shared" si="830"/>
        <v>10.5</v>
      </c>
      <c r="G559" s="43">
        <f t="shared" si="830"/>
        <v>10.5</v>
      </c>
      <c r="H559" s="43">
        <f t="shared" si="830"/>
        <v>10.5</v>
      </c>
      <c r="I559" s="43">
        <f t="shared" si="830"/>
        <v>10.5</v>
      </c>
      <c r="J559" s="43">
        <f t="shared" si="830"/>
        <v>10.5</v>
      </c>
      <c r="K559" s="43">
        <f t="shared" si="830"/>
        <v>10.5</v>
      </c>
      <c r="L559" s="43">
        <f t="shared" si="830"/>
        <v>10.5</v>
      </c>
      <c r="M559" s="43">
        <f t="shared" si="830"/>
        <v>10.5</v>
      </c>
      <c r="N559" s="43">
        <f t="shared" si="830"/>
        <v>10.5</v>
      </c>
      <c r="O559" s="43">
        <f t="shared" si="830"/>
        <v>10.5</v>
      </c>
      <c r="P559" s="43">
        <f t="shared" si="830"/>
        <v>10.5</v>
      </c>
      <c r="Q559" s="43">
        <f t="shared" si="830"/>
        <v>10.5</v>
      </c>
      <c r="R559" s="43">
        <f t="shared" si="830"/>
        <v>10.5</v>
      </c>
      <c r="S559" s="43">
        <f t="shared" si="830"/>
        <v>10.5</v>
      </c>
      <c r="T559" s="43">
        <f t="shared" si="830"/>
        <v>10.5</v>
      </c>
      <c r="U559" s="43">
        <f t="shared" si="830"/>
        <v>10.5</v>
      </c>
      <c r="V559" s="43">
        <f t="shared" si="830"/>
        <v>10.5</v>
      </c>
      <c r="W559" s="43">
        <f t="shared" si="830"/>
        <v>10.5</v>
      </c>
      <c r="X559" s="43">
        <f t="shared" si="830"/>
        <v>10.5</v>
      </c>
      <c r="Y559" s="43">
        <f t="shared" si="830"/>
        <v>10.5</v>
      </c>
      <c r="Z559" s="43">
        <f t="shared" si="830"/>
        <v>10.5</v>
      </c>
      <c r="AA559" s="43">
        <f t="shared" si="830"/>
        <v>10.5</v>
      </c>
      <c r="AB559" s="43">
        <f t="shared" si="830"/>
        <v>10.5</v>
      </c>
      <c r="AC559" s="43">
        <f t="shared" si="830"/>
        <v>10.5</v>
      </c>
      <c r="AD559" s="43">
        <f t="shared" si="830"/>
        <v>10.5</v>
      </c>
      <c r="AE559" s="43">
        <f t="shared" si="830"/>
        <v>10.5</v>
      </c>
      <c r="AF559" s="43">
        <f t="shared" si="830"/>
        <v>10.5</v>
      </c>
      <c r="AG559" s="43">
        <f t="shared" si="830"/>
        <v>10.5</v>
      </c>
      <c r="AH559" s="43">
        <f t="shared" si="830"/>
        <v>10.5</v>
      </c>
      <c r="AI559" s="43">
        <f t="shared" ref="AI559:BB559" si="831">$C15</f>
        <v>10.5</v>
      </c>
      <c r="AJ559" s="43">
        <f t="shared" si="831"/>
        <v>10.5</v>
      </c>
      <c r="AK559" s="43">
        <f t="shared" si="831"/>
        <v>10.5</v>
      </c>
      <c r="AL559" s="43">
        <f t="shared" si="831"/>
        <v>10.5</v>
      </c>
      <c r="AM559" s="43">
        <f t="shared" si="831"/>
        <v>10.5</v>
      </c>
      <c r="AN559" s="43">
        <f t="shared" si="831"/>
        <v>10.5</v>
      </c>
      <c r="AO559" s="43">
        <f t="shared" si="831"/>
        <v>10.5</v>
      </c>
      <c r="AP559" s="43">
        <f t="shared" si="831"/>
        <v>10.5</v>
      </c>
      <c r="AQ559" s="43">
        <f t="shared" si="831"/>
        <v>10.5</v>
      </c>
      <c r="AR559" s="43">
        <f t="shared" si="831"/>
        <v>10.5</v>
      </c>
      <c r="AS559" s="43">
        <f t="shared" si="831"/>
        <v>10.5</v>
      </c>
      <c r="AT559" s="43">
        <f t="shared" si="831"/>
        <v>10.5</v>
      </c>
      <c r="AU559" s="43">
        <f t="shared" si="831"/>
        <v>10.5</v>
      </c>
      <c r="AV559" s="43">
        <f t="shared" si="831"/>
        <v>10.5</v>
      </c>
      <c r="AW559" s="43">
        <f t="shared" si="831"/>
        <v>10.5</v>
      </c>
      <c r="AX559" s="43">
        <f t="shared" si="831"/>
        <v>10.5</v>
      </c>
      <c r="AY559" s="43">
        <f t="shared" si="831"/>
        <v>10.5</v>
      </c>
      <c r="AZ559" s="43">
        <f t="shared" si="831"/>
        <v>10.5</v>
      </c>
      <c r="BA559" s="43">
        <f t="shared" si="831"/>
        <v>10.5</v>
      </c>
      <c r="BB559" s="43">
        <f t="shared" si="831"/>
        <v>10.5</v>
      </c>
      <c r="BC559" s="114"/>
    </row>
    <row r="560" spans="2:55" x14ac:dyDescent="0.25">
      <c r="B560" s="43" t="str">
        <f>_xlfn.CONCAT(B463," ",'Client Data'!C$2)</f>
        <v>Product G Standard CT (Seconds)</v>
      </c>
      <c r="C560" s="43">
        <f t="shared" ref="C560:AH560" si="832">$C16</f>
        <v>9</v>
      </c>
      <c r="D560" s="43">
        <f t="shared" si="832"/>
        <v>9</v>
      </c>
      <c r="E560" s="43">
        <f t="shared" si="832"/>
        <v>9</v>
      </c>
      <c r="F560" s="43">
        <f t="shared" si="832"/>
        <v>9</v>
      </c>
      <c r="G560" s="43">
        <f t="shared" si="832"/>
        <v>9</v>
      </c>
      <c r="H560" s="43">
        <f t="shared" si="832"/>
        <v>9</v>
      </c>
      <c r="I560" s="43">
        <f t="shared" si="832"/>
        <v>9</v>
      </c>
      <c r="J560" s="43">
        <f t="shared" si="832"/>
        <v>9</v>
      </c>
      <c r="K560" s="43">
        <f t="shared" si="832"/>
        <v>9</v>
      </c>
      <c r="L560" s="43">
        <f t="shared" si="832"/>
        <v>9</v>
      </c>
      <c r="M560" s="43">
        <f t="shared" si="832"/>
        <v>9</v>
      </c>
      <c r="N560" s="43">
        <f t="shared" si="832"/>
        <v>9</v>
      </c>
      <c r="O560" s="43">
        <f t="shared" si="832"/>
        <v>9</v>
      </c>
      <c r="P560" s="43">
        <f t="shared" si="832"/>
        <v>9</v>
      </c>
      <c r="Q560" s="43">
        <f t="shared" si="832"/>
        <v>9</v>
      </c>
      <c r="R560" s="43">
        <f t="shared" si="832"/>
        <v>9</v>
      </c>
      <c r="S560" s="43">
        <f t="shared" si="832"/>
        <v>9</v>
      </c>
      <c r="T560" s="43">
        <f t="shared" si="832"/>
        <v>9</v>
      </c>
      <c r="U560" s="43">
        <f t="shared" si="832"/>
        <v>9</v>
      </c>
      <c r="V560" s="43">
        <f t="shared" si="832"/>
        <v>9</v>
      </c>
      <c r="W560" s="43">
        <f t="shared" si="832"/>
        <v>9</v>
      </c>
      <c r="X560" s="43">
        <f t="shared" si="832"/>
        <v>9</v>
      </c>
      <c r="Y560" s="43">
        <f t="shared" si="832"/>
        <v>9</v>
      </c>
      <c r="Z560" s="43">
        <f t="shared" si="832"/>
        <v>9</v>
      </c>
      <c r="AA560" s="43">
        <f t="shared" si="832"/>
        <v>9</v>
      </c>
      <c r="AB560" s="43">
        <f t="shared" si="832"/>
        <v>9</v>
      </c>
      <c r="AC560" s="43">
        <f t="shared" si="832"/>
        <v>9</v>
      </c>
      <c r="AD560" s="43">
        <f t="shared" si="832"/>
        <v>9</v>
      </c>
      <c r="AE560" s="43">
        <f t="shared" si="832"/>
        <v>9</v>
      </c>
      <c r="AF560" s="43">
        <f t="shared" si="832"/>
        <v>9</v>
      </c>
      <c r="AG560" s="43">
        <f t="shared" si="832"/>
        <v>9</v>
      </c>
      <c r="AH560" s="43">
        <f t="shared" si="832"/>
        <v>9</v>
      </c>
      <c r="AI560" s="43">
        <f t="shared" ref="AI560:BB560" si="833">$C16</f>
        <v>9</v>
      </c>
      <c r="AJ560" s="43">
        <f t="shared" si="833"/>
        <v>9</v>
      </c>
      <c r="AK560" s="43">
        <f t="shared" si="833"/>
        <v>9</v>
      </c>
      <c r="AL560" s="43">
        <f t="shared" si="833"/>
        <v>9</v>
      </c>
      <c r="AM560" s="43">
        <f t="shared" si="833"/>
        <v>9</v>
      </c>
      <c r="AN560" s="43">
        <f t="shared" si="833"/>
        <v>9</v>
      </c>
      <c r="AO560" s="43">
        <f t="shared" si="833"/>
        <v>9</v>
      </c>
      <c r="AP560" s="43">
        <f t="shared" si="833"/>
        <v>9</v>
      </c>
      <c r="AQ560" s="43">
        <f t="shared" si="833"/>
        <v>9</v>
      </c>
      <c r="AR560" s="43">
        <f t="shared" si="833"/>
        <v>9</v>
      </c>
      <c r="AS560" s="43">
        <f t="shared" si="833"/>
        <v>9</v>
      </c>
      <c r="AT560" s="43">
        <f t="shared" si="833"/>
        <v>9</v>
      </c>
      <c r="AU560" s="43">
        <f t="shared" si="833"/>
        <v>9</v>
      </c>
      <c r="AV560" s="43">
        <f t="shared" si="833"/>
        <v>9</v>
      </c>
      <c r="AW560" s="43">
        <f t="shared" si="833"/>
        <v>9</v>
      </c>
      <c r="AX560" s="43">
        <f t="shared" si="833"/>
        <v>9</v>
      </c>
      <c r="AY560" s="43">
        <f t="shared" si="833"/>
        <v>9</v>
      </c>
      <c r="AZ560" s="43">
        <f t="shared" si="833"/>
        <v>9</v>
      </c>
      <c r="BA560" s="43">
        <f t="shared" si="833"/>
        <v>9</v>
      </c>
      <c r="BB560" s="43">
        <f t="shared" si="833"/>
        <v>9</v>
      </c>
      <c r="BC560" s="114"/>
    </row>
    <row r="561" spans="2:55" x14ac:dyDescent="0.25">
      <c r="B561" s="43" t="str">
        <f>_xlfn.CONCAT(B464," ",'Client Data'!C$2)</f>
        <v>Product H Standard CT (Seconds)</v>
      </c>
      <c r="C561" s="43">
        <f t="shared" ref="C561:AH561" si="834">$C17</f>
        <v>9.1999999999999993</v>
      </c>
      <c r="D561" s="43">
        <f t="shared" si="834"/>
        <v>9.1999999999999993</v>
      </c>
      <c r="E561" s="43">
        <f t="shared" si="834"/>
        <v>9.1999999999999993</v>
      </c>
      <c r="F561" s="43">
        <f t="shared" si="834"/>
        <v>9.1999999999999993</v>
      </c>
      <c r="G561" s="43">
        <f t="shared" si="834"/>
        <v>9.1999999999999993</v>
      </c>
      <c r="H561" s="43">
        <f t="shared" si="834"/>
        <v>9.1999999999999993</v>
      </c>
      <c r="I561" s="43">
        <f t="shared" si="834"/>
        <v>9.1999999999999993</v>
      </c>
      <c r="J561" s="43">
        <f t="shared" si="834"/>
        <v>9.1999999999999993</v>
      </c>
      <c r="K561" s="43">
        <f t="shared" si="834"/>
        <v>9.1999999999999993</v>
      </c>
      <c r="L561" s="43">
        <f t="shared" si="834"/>
        <v>9.1999999999999993</v>
      </c>
      <c r="M561" s="43">
        <f t="shared" si="834"/>
        <v>9.1999999999999993</v>
      </c>
      <c r="N561" s="43">
        <f t="shared" si="834"/>
        <v>9.1999999999999993</v>
      </c>
      <c r="O561" s="43">
        <f t="shared" si="834"/>
        <v>9.1999999999999993</v>
      </c>
      <c r="P561" s="43">
        <f t="shared" si="834"/>
        <v>9.1999999999999993</v>
      </c>
      <c r="Q561" s="43">
        <f t="shared" si="834"/>
        <v>9.1999999999999993</v>
      </c>
      <c r="R561" s="43">
        <f t="shared" si="834"/>
        <v>9.1999999999999993</v>
      </c>
      <c r="S561" s="43">
        <f t="shared" si="834"/>
        <v>9.1999999999999993</v>
      </c>
      <c r="T561" s="43">
        <f t="shared" si="834"/>
        <v>9.1999999999999993</v>
      </c>
      <c r="U561" s="43">
        <f t="shared" si="834"/>
        <v>9.1999999999999993</v>
      </c>
      <c r="V561" s="43">
        <f t="shared" si="834"/>
        <v>9.1999999999999993</v>
      </c>
      <c r="W561" s="43">
        <f t="shared" si="834"/>
        <v>9.1999999999999993</v>
      </c>
      <c r="X561" s="43">
        <f t="shared" si="834"/>
        <v>9.1999999999999993</v>
      </c>
      <c r="Y561" s="43">
        <f t="shared" si="834"/>
        <v>9.1999999999999993</v>
      </c>
      <c r="Z561" s="43">
        <f t="shared" si="834"/>
        <v>9.1999999999999993</v>
      </c>
      <c r="AA561" s="43">
        <f t="shared" si="834"/>
        <v>9.1999999999999993</v>
      </c>
      <c r="AB561" s="43">
        <f t="shared" si="834"/>
        <v>9.1999999999999993</v>
      </c>
      <c r="AC561" s="43">
        <f t="shared" si="834"/>
        <v>9.1999999999999993</v>
      </c>
      <c r="AD561" s="43">
        <f t="shared" si="834"/>
        <v>9.1999999999999993</v>
      </c>
      <c r="AE561" s="43">
        <f t="shared" si="834"/>
        <v>9.1999999999999993</v>
      </c>
      <c r="AF561" s="43">
        <f t="shared" si="834"/>
        <v>9.1999999999999993</v>
      </c>
      <c r="AG561" s="43">
        <f t="shared" si="834"/>
        <v>9.1999999999999993</v>
      </c>
      <c r="AH561" s="43">
        <f t="shared" si="834"/>
        <v>9.1999999999999993</v>
      </c>
      <c r="AI561" s="43">
        <f t="shared" ref="AI561:BB561" si="835">$C17</f>
        <v>9.1999999999999993</v>
      </c>
      <c r="AJ561" s="43">
        <f t="shared" si="835"/>
        <v>9.1999999999999993</v>
      </c>
      <c r="AK561" s="43">
        <f t="shared" si="835"/>
        <v>9.1999999999999993</v>
      </c>
      <c r="AL561" s="43">
        <f t="shared" si="835"/>
        <v>9.1999999999999993</v>
      </c>
      <c r="AM561" s="43">
        <f t="shared" si="835"/>
        <v>9.1999999999999993</v>
      </c>
      <c r="AN561" s="43">
        <f t="shared" si="835"/>
        <v>9.1999999999999993</v>
      </c>
      <c r="AO561" s="43">
        <f t="shared" si="835"/>
        <v>9.1999999999999993</v>
      </c>
      <c r="AP561" s="43">
        <f t="shared" si="835"/>
        <v>9.1999999999999993</v>
      </c>
      <c r="AQ561" s="43">
        <f t="shared" si="835"/>
        <v>9.1999999999999993</v>
      </c>
      <c r="AR561" s="43">
        <f t="shared" si="835"/>
        <v>9.1999999999999993</v>
      </c>
      <c r="AS561" s="43">
        <f t="shared" si="835"/>
        <v>9.1999999999999993</v>
      </c>
      <c r="AT561" s="43">
        <f t="shared" si="835"/>
        <v>9.1999999999999993</v>
      </c>
      <c r="AU561" s="43">
        <f t="shared" si="835"/>
        <v>9.1999999999999993</v>
      </c>
      <c r="AV561" s="43">
        <f t="shared" si="835"/>
        <v>9.1999999999999993</v>
      </c>
      <c r="AW561" s="43">
        <f t="shared" si="835"/>
        <v>9.1999999999999993</v>
      </c>
      <c r="AX561" s="43">
        <f t="shared" si="835"/>
        <v>9.1999999999999993</v>
      </c>
      <c r="AY561" s="43">
        <f t="shared" si="835"/>
        <v>9.1999999999999993</v>
      </c>
      <c r="AZ561" s="43">
        <f t="shared" si="835"/>
        <v>9.1999999999999993</v>
      </c>
      <c r="BA561" s="43">
        <f t="shared" si="835"/>
        <v>9.1999999999999993</v>
      </c>
      <c r="BB561" s="43">
        <f t="shared" si="835"/>
        <v>9.1999999999999993</v>
      </c>
      <c r="BC561" s="115"/>
    </row>
    <row r="562" spans="2:55" x14ac:dyDescent="0.25">
      <c r="B562" s="80" t="str">
        <f>_xlfn.CONCAT(B457," ",'Client Data'!E$299)</f>
        <v>Product A Rework: Extra Material Cost (RM)</v>
      </c>
      <c r="C562" s="80">
        <f t="shared" ref="C562:AH562" si="836">$E10</f>
        <v>0.24</v>
      </c>
      <c r="D562" s="80">
        <f t="shared" si="836"/>
        <v>0.24</v>
      </c>
      <c r="E562" s="80">
        <f t="shared" si="836"/>
        <v>0.24</v>
      </c>
      <c r="F562" s="80">
        <f t="shared" si="836"/>
        <v>0.24</v>
      </c>
      <c r="G562" s="80">
        <f t="shared" si="836"/>
        <v>0.24</v>
      </c>
      <c r="H562" s="80">
        <f t="shared" si="836"/>
        <v>0.24</v>
      </c>
      <c r="I562" s="80">
        <f t="shared" si="836"/>
        <v>0.24</v>
      </c>
      <c r="J562" s="80">
        <f t="shared" si="836"/>
        <v>0.24</v>
      </c>
      <c r="K562" s="80">
        <f t="shared" si="836"/>
        <v>0.24</v>
      </c>
      <c r="L562" s="80">
        <f t="shared" si="836"/>
        <v>0.24</v>
      </c>
      <c r="M562" s="80">
        <f t="shared" si="836"/>
        <v>0.24</v>
      </c>
      <c r="N562" s="80">
        <f t="shared" si="836"/>
        <v>0.24</v>
      </c>
      <c r="O562" s="80">
        <f t="shared" si="836"/>
        <v>0.24</v>
      </c>
      <c r="P562" s="80">
        <f t="shared" si="836"/>
        <v>0.24</v>
      </c>
      <c r="Q562" s="80">
        <f t="shared" si="836"/>
        <v>0.24</v>
      </c>
      <c r="R562" s="80">
        <f t="shared" si="836"/>
        <v>0.24</v>
      </c>
      <c r="S562" s="80">
        <f t="shared" si="836"/>
        <v>0.24</v>
      </c>
      <c r="T562" s="80">
        <f t="shared" si="836"/>
        <v>0.24</v>
      </c>
      <c r="U562" s="80">
        <f t="shared" si="836"/>
        <v>0.24</v>
      </c>
      <c r="V562" s="80">
        <f t="shared" si="836"/>
        <v>0.24</v>
      </c>
      <c r="W562" s="80">
        <f t="shared" si="836"/>
        <v>0.24</v>
      </c>
      <c r="X562" s="80">
        <f t="shared" si="836"/>
        <v>0.24</v>
      </c>
      <c r="Y562" s="80">
        <f t="shared" si="836"/>
        <v>0.24</v>
      </c>
      <c r="Z562" s="80">
        <f t="shared" si="836"/>
        <v>0.24</v>
      </c>
      <c r="AA562" s="80">
        <f t="shared" si="836"/>
        <v>0.24</v>
      </c>
      <c r="AB562" s="80">
        <f t="shared" si="836"/>
        <v>0.24</v>
      </c>
      <c r="AC562" s="80">
        <f t="shared" si="836"/>
        <v>0.24</v>
      </c>
      <c r="AD562" s="80">
        <f t="shared" si="836"/>
        <v>0.24</v>
      </c>
      <c r="AE562" s="80">
        <f t="shared" si="836"/>
        <v>0.24</v>
      </c>
      <c r="AF562" s="80">
        <f t="shared" si="836"/>
        <v>0.24</v>
      </c>
      <c r="AG562" s="80">
        <f t="shared" si="836"/>
        <v>0.24</v>
      </c>
      <c r="AH562" s="80">
        <f t="shared" si="836"/>
        <v>0.24</v>
      </c>
      <c r="AI562" s="80">
        <f t="shared" ref="AI562:BB562" si="837">$E10</f>
        <v>0.24</v>
      </c>
      <c r="AJ562" s="80">
        <f t="shared" si="837"/>
        <v>0.24</v>
      </c>
      <c r="AK562" s="80">
        <f t="shared" si="837"/>
        <v>0.24</v>
      </c>
      <c r="AL562" s="80">
        <f t="shared" si="837"/>
        <v>0.24</v>
      </c>
      <c r="AM562" s="80">
        <f t="shared" si="837"/>
        <v>0.24</v>
      </c>
      <c r="AN562" s="80">
        <f t="shared" si="837"/>
        <v>0.24</v>
      </c>
      <c r="AO562" s="80">
        <f t="shared" si="837"/>
        <v>0.24</v>
      </c>
      <c r="AP562" s="80">
        <f t="shared" si="837"/>
        <v>0.24</v>
      </c>
      <c r="AQ562" s="80">
        <f t="shared" si="837"/>
        <v>0.24</v>
      </c>
      <c r="AR562" s="80">
        <f t="shared" si="837"/>
        <v>0.24</v>
      </c>
      <c r="AS562" s="80">
        <f t="shared" si="837"/>
        <v>0.24</v>
      </c>
      <c r="AT562" s="80">
        <f t="shared" si="837"/>
        <v>0.24</v>
      </c>
      <c r="AU562" s="80">
        <f t="shared" si="837"/>
        <v>0.24</v>
      </c>
      <c r="AV562" s="80">
        <f t="shared" si="837"/>
        <v>0.24</v>
      </c>
      <c r="AW562" s="80">
        <f t="shared" si="837"/>
        <v>0.24</v>
      </c>
      <c r="AX562" s="80">
        <f t="shared" si="837"/>
        <v>0.24</v>
      </c>
      <c r="AY562" s="80">
        <f t="shared" si="837"/>
        <v>0.24</v>
      </c>
      <c r="AZ562" s="80">
        <f t="shared" si="837"/>
        <v>0.24</v>
      </c>
      <c r="BA562" s="80">
        <f t="shared" si="837"/>
        <v>0.24</v>
      </c>
      <c r="BB562" s="80">
        <f t="shared" si="837"/>
        <v>0.24</v>
      </c>
    </row>
    <row r="563" spans="2:55" x14ac:dyDescent="0.25">
      <c r="B563" s="80" t="str">
        <f>_xlfn.CONCAT(B458," ",'Client Data'!E$299)</f>
        <v>Product B Rework: Extra Material Cost (RM)</v>
      </c>
      <c r="C563" s="80">
        <f t="shared" ref="C563:AH563" si="838">$E11</f>
        <v>0.23</v>
      </c>
      <c r="D563" s="80">
        <f t="shared" si="838"/>
        <v>0.23</v>
      </c>
      <c r="E563" s="80">
        <f t="shared" si="838"/>
        <v>0.23</v>
      </c>
      <c r="F563" s="80">
        <f t="shared" si="838"/>
        <v>0.23</v>
      </c>
      <c r="G563" s="80">
        <f t="shared" si="838"/>
        <v>0.23</v>
      </c>
      <c r="H563" s="80">
        <f t="shared" si="838"/>
        <v>0.23</v>
      </c>
      <c r="I563" s="80">
        <f t="shared" si="838"/>
        <v>0.23</v>
      </c>
      <c r="J563" s="80">
        <f t="shared" si="838"/>
        <v>0.23</v>
      </c>
      <c r="K563" s="80">
        <f t="shared" si="838"/>
        <v>0.23</v>
      </c>
      <c r="L563" s="80">
        <f t="shared" si="838"/>
        <v>0.23</v>
      </c>
      <c r="M563" s="80">
        <f t="shared" si="838"/>
        <v>0.23</v>
      </c>
      <c r="N563" s="80">
        <f t="shared" si="838"/>
        <v>0.23</v>
      </c>
      <c r="O563" s="80">
        <f t="shared" si="838"/>
        <v>0.23</v>
      </c>
      <c r="P563" s="80">
        <f t="shared" si="838"/>
        <v>0.23</v>
      </c>
      <c r="Q563" s="80">
        <f t="shared" si="838"/>
        <v>0.23</v>
      </c>
      <c r="R563" s="80">
        <f t="shared" si="838"/>
        <v>0.23</v>
      </c>
      <c r="S563" s="80">
        <f t="shared" si="838"/>
        <v>0.23</v>
      </c>
      <c r="T563" s="80">
        <f t="shared" si="838"/>
        <v>0.23</v>
      </c>
      <c r="U563" s="80">
        <f t="shared" si="838"/>
        <v>0.23</v>
      </c>
      <c r="V563" s="80">
        <f t="shared" si="838"/>
        <v>0.23</v>
      </c>
      <c r="W563" s="80">
        <f t="shared" si="838"/>
        <v>0.23</v>
      </c>
      <c r="X563" s="80">
        <f t="shared" si="838"/>
        <v>0.23</v>
      </c>
      <c r="Y563" s="80">
        <f t="shared" si="838"/>
        <v>0.23</v>
      </c>
      <c r="Z563" s="80">
        <f t="shared" si="838"/>
        <v>0.23</v>
      </c>
      <c r="AA563" s="80">
        <f t="shared" si="838"/>
        <v>0.23</v>
      </c>
      <c r="AB563" s="80">
        <f t="shared" si="838"/>
        <v>0.23</v>
      </c>
      <c r="AC563" s="80">
        <f t="shared" si="838"/>
        <v>0.23</v>
      </c>
      <c r="AD563" s="80">
        <f t="shared" si="838"/>
        <v>0.23</v>
      </c>
      <c r="AE563" s="80">
        <f t="shared" si="838"/>
        <v>0.23</v>
      </c>
      <c r="AF563" s="80">
        <f t="shared" si="838"/>
        <v>0.23</v>
      </c>
      <c r="AG563" s="80">
        <f t="shared" si="838"/>
        <v>0.23</v>
      </c>
      <c r="AH563" s="80">
        <f t="shared" si="838"/>
        <v>0.23</v>
      </c>
      <c r="AI563" s="80">
        <f t="shared" ref="AI563:BB563" si="839">$E11</f>
        <v>0.23</v>
      </c>
      <c r="AJ563" s="80">
        <f t="shared" si="839"/>
        <v>0.23</v>
      </c>
      <c r="AK563" s="80">
        <f t="shared" si="839"/>
        <v>0.23</v>
      </c>
      <c r="AL563" s="80">
        <f t="shared" si="839"/>
        <v>0.23</v>
      </c>
      <c r="AM563" s="80">
        <f t="shared" si="839"/>
        <v>0.23</v>
      </c>
      <c r="AN563" s="80">
        <f t="shared" si="839"/>
        <v>0.23</v>
      </c>
      <c r="AO563" s="80">
        <f t="shared" si="839"/>
        <v>0.23</v>
      </c>
      <c r="AP563" s="80">
        <f t="shared" si="839"/>
        <v>0.23</v>
      </c>
      <c r="AQ563" s="80">
        <f t="shared" si="839"/>
        <v>0.23</v>
      </c>
      <c r="AR563" s="80">
        <f t="shared" si="839"/>
        <v>0.23</v>
      </c>
      <c r="AS563" s="80">
        <f t="shared" si="839"/>
        <v>0.23</v>
      </c>
      <c r="AT563" s="80">
        <f t="shared" si="839"/>
        <v>0.23</v>
      </c>
      <c r="AU563" s="80">
        <f t="shared" si="839"/>
        <v>0.23</v>
      </c>
      <c r="AV563" s="80">
        <f t="shared" si="839"/>
        <v>0.23</v>
      </c>
      <c r="AW563" s="80">
        <f t="shared" si="839"/>
        <v>0.23</v>
      </c>
      <c r="AX563" s="80">
        <f t="shared" si="839"/>
        <v>0.23</v>
      </c>
      <c r="AY563" s="80">
        <f t="shared" si="839"/>
        <v>0.23</v>
      </c>
      <c r="AZ563" s="80">
        <f t="shared" si="839"/>
        <v>0.23</v>
      </c>
      <c r="BA563" s="80">
        <f t="shared" si="839"/>
        <v>0.23</v>
      </c>
      <c r="BB563" s="80">
        <f t="shared" si="839"/>
        <v>0.23</v>
      </c>
    </row>
    <row r="564" spans="2:55" x14ac:dyDescent="0.25">
      <c r="B564" s="80" t="str">
        <f>_xlfn.CONCAT(B459," ",'Client Data'!E$299)</f>
        <v>Product C Rework: Extra Material Cost (RM)</v>
      </c>
      <c r="C564" s="80">
        <f t="shared" ref="C564:AH564" si="840">$E12</f>
        <v>0.22</v>
      </c>
      <c r="D564" s="80">
        <f t="shared" si="840"/>
        <v>0.22</v>
      </c>
      <c r="E564" s="80">
        <f t="shared" si="840"/>
        <v>0.22</v>
      </c>
      <c r="F564" s="80">
        <f t="shared" si="840"/>
        <v>0.22</v>
      </c>
      <c r="G564" s="80">
        <f t="shared" si="840"/>
        <v>0.22</v>
      </c>
      <c r="H564" s="80">
        <f t="shared" si="840"/>
        <v>0.22</v>
      </c>
      <c r="I564" s="80">
        <f t="shared" si="840"/>
        <v>0.22</v>
      </c>
      <c r="J564" s="80">
        <f t="shared" si="840"/>
        <v>0.22</v>
      </c>
      <c r="K564" s="80">
        <f t="shared" si="840"/>
        <v>0.22</v>
      </c>
      <c r="L564" s="80">
        <f t="shared" si="840"/>
        <v>0.22</v>
      </c>
      <c r="M564" s="80">
        <f t="shared" si="840"/>
        <v>0.22</v>
      </c>
      <c r="N564" s="80">
        <f t="shared" si="840"/>
        <v>0.22</v>
      </c>
      <c r="O564" s="80">
        <f t="shared" si="840"/>
        <v>0.22</v>
      </c>
      <c r="P564" s="80">
        <f t="shared" si="840"/>
        <v>0.22</v>
      </c>
      <c r="Q564" s="80">
        <f t="shared" si="840"/>
        <v>0.22</v>
      </c>
      <c r="R564" s="80">
        <f t="shared" si="840"/>
        <v>0.22</v>
      </c>
      <c r="S564" s="80">
        <f t="shared" si="840"/>
        <v>0.22</v>
      </c>
      <c r="T564" s="80">
        <f t="shared" si="840"/>
        <v>0.22</v>
      </c>
      <c r="U564" s="80">
        <f t="shared" si="840"/>
        <v>0.22</v>
      </c>
      <c r="V564" s="80">
        <f t="shared" si="840"/>
        <v>0.22</v>
      </c>
      <c r="W564" s="80">
        <f t="shared" si="840"/>
        <v>0.22</v>
      </c>
      <c r="X564" s="80">
        <f t="shared" si="840"/>
        <v>0.22</v>
      </c>
      <c r="Y564" s="80">
        <f t="shared" si="840"/>
        <v>0.22</v>
      </c>
      <c r="Z564" s="80">
        <f t="shared" si="840"/>
        <v>0.22</v>
      </c>
      <c r="AA564" s="80">
        <f t="shared" si="840"/>
        <v>0.22</v>
      </c>
      <c r="AB564" s="80">
        <f t="shared" si="840"/>
        <v>0.22</v>
      </c>
      <c r="AC564" s="80">
        <f t="shared" si="840"/>
        <v>0.22</v>
      </c>
      <c r="AD564" s="80">
        <f t="shared" si="840"/>
        <v>0.22</v>
      </c>
      <c r="AE564" s="80">
        <f t="shared" si="840"/>
        <v>0.22</v>
      </c>
      <c r="AF564" s="80">
        <f t="shared" si="840"/>
        <v>0.22</v>
      </c>
      <c r="AG564" s="80">
        <f t="shared" si="840"/>
        <v>0.22</v>
      </c>
      <c r="AH564" s="80">
        <f t="shared" si="840"/>
        <v>0.22</v>
      </c>
      <c r="AI564" s="80">
        <f t="shared" ref="AI564:BB564" si="841">$E12</f>
        <v>0.22</v>
      </c>
      <c r="AJ564" s="80">
        <f t="shared" si="841"/>
        <v>0.22</v>
      </c>
      <c r="AK564" s="80">
        <f t="shared" si="841"/>
        <v>0.22</v>
      </c>
      <c r="AL564" s="80">
        <f t="shared" si="841"/>
        <v>0.22</v>
      </c>
      <c r="AM564" s="80">
        <f t="shared" si="841"/>
        <v>0.22</v>
      </c>
      <c r="AN564" s="80">
        <f t="shared" si="841"/>
        <v>0.22</v>
      </c>
      <c r="AO564" s="80">
        <f t="shared" si="841"/>
        <v>0.22</v>
      </c>
      <c r="AP564" s="80">
        <f t="shared" si="841"/>
        <v>0.22</v>
      </c>
      <c r="AQ564" s="80">
        <f t="shared" si="841"/>
        <v>0.22</v>
      </c>
      <c r="AR564" s="80">
        <f t="shared" si="841"/>
        <v>0.22</v>
      </c>
      <c r="AS564" s="80">
        <f t="shared" si="841"/>
        <v>0.22</v>
      </c>
      <c r="AT564" s="80">
        <f t="shared" si="841"/>
        <v>0.22</v>
      </c>
      <c r="AU564" s="80">
        <f t="shared" si="841"/>
        <v>0.22</v>
      </c>
      <c r="AV564" s="80">
        <f t="shared" si="841"/>
        <v>0.22</v>
      </c>
      <c r="AW564" s="80">
        <f t="shared" si="841"/>
        <v>0.22</v>
      </c>
      <c r="AX564" s="80">
        <f t="shared" si="841"/>
        <v>0.22</v>
      </c>
      <c r="AY564" s="80">
        <f t="shared" si="841"/>
        <v>0.22</v>
      </c>
      <c r="AZ564" s="80">
        <f t="shared" si="841"/>
        <v>0.22</v>
      </c>
      <c r="BA564" s="80">
        <f t="shared" si="841"/>
        <v>0.22</v>
      </c>
      <c r="BB564" s="80">
        <f t="shared" si="841"/>
        <v>0.22</v>
      </c>
    </row>
    <row r="565" spans="2:55" x14ac:dyDescent="0.25">
      <c r="B565" s="80" t="str">
        <f>_xlfn.CONCAT(B460," ",'Client Data'!E$299)</f>
        <v>Product D Rework: Extra Material Cost (RM)</v>
      </c>
      <c r="C565" s="80">
        <f t="shared" ref="C565:AH565" si="842">$E13</f>
        <v>0.21</v>
      </c>
      <c r="D565" s="80">
        <f t="shared" si="842"/>
        <v>0.21</v>
      </c>
      <c r="E565" s="80">
        <f t="shared" si="842"/>
        <v>0.21</v>
      </c>
      <c r="F565" s="80">
        <f t="shared" si="842"/>
        <v>0.21</v>
      </c>
      <c r="G565" s="80">
        <f t="shared" si="842"/>
        <v>0.21</v>
      </c>
      <c r="H565" s="80">
        <f t="shared" si="842"/>
        <v>0.21</v>
      </c>
      <c r="I565" s="80">
        <f t="shared" si="842"/>
        <v>0.21</v>
      </c>
      <c r="J565" s="80">
        <f t="shared" si="842"/>
        <v>0.21</v>
      </c>
      <c r="K565" s="80">
        <f t="shared" si="842"/>
        <v>0.21</v>
      </c>
      <c r="L565" s="80">
        <f t="shared" si="842"/>
        <v>0.21</v>
      </c>
      <c r="M565" s="80">
        <f t="shared" si="842"/>
        <v>0.21</v>
      </c>
      <c r="N565" s="80">
        <f t="shared" si="842"/>
        <v>0.21</v>
      </c>
      <c r="O565" s="80">
        <f t="shared" si="842"/>
        <v>0.21</v>
      </c>
      <c r="P565" s="80">
        <f t="shared" si="842"/>
        <v>0.21</v>
      </c>
      <c r="Q565" s="80">
        <f t="shared" si="842"/>
        <v>0.21</v>
      </c>
      <c r="R565" s="80">
        <f t="shared" si="842"/>
        <v>0.21</v>
      </c>
      <c r="S565" s="80">
        <f t="shared" si="842"/>
        <v>0.21</v>
      </c>
      <c r="T565" s="80">
        <f t="shared" si="842"/>
        <v>0.21</v>
      </c>
      <c r="U565" s="80">
        <f t="shared" si="842"/>
        <v>0.21</v>
      </c>
      <c r="V565" s="80">
        <f t="shared" si="842"/>
        <v>0.21</v>
      </c>
      <c r="W565" s="80">
        <f t="shared" si="842"/>
        <v>0.21</v>
      </c>
      <c r="X565" s="80">
        <f t="shared" si="842"/>
        <v>0.21</v>
      </c>
      <c r="Y565" s="80">
        <f t="shared" si="842"/>
        <v>0.21</v>
      </c>
      <c r="Z565" s="80">
        <f t="shared" si="842"/>
        <v>0.21</v>
      </c>
      <c r="AA565" s="80">
        <f t="shared" si="842"/>
        <v>0.21</v>
      </c>
      <c r="AB565" s="80">
        <f t="shared" si="842"/>
        <v>0.21</v>
      </c>
      <c r="AC565" s="80">
        <f t="shared" si="842"/>
        <v>0.21</v>
      </c>
      <c r="AD565" s="80">
        <f t="shared" si="842"/>
        <v>0.21</v>
      </c>
      <c r="AE565" s="80">
        <f t="shared" si="842"/>
        <v>0.21</v>
      </c>
      <c r="AF565" s="80">
        <f t="shared" si="842"/>
        <v>0.21</v>
      </c>
      <c r="AG565" s="80">
        <f t="shared" si="842"/>
        <v>0.21</v>
      </c>
      <c r="AH565" s="80">
        <f t="shared" si="842"/>
        <v>0.21</v>
      </c>
      <c r="AI565" s="80">
        <f t="shared" ref="AI565:BB565" si="843">$E13</f>
        <v>0.21</v>
      </c>
      <c r="AJ565" s="80">
        <f t="shared" si="843"/>
        <v>0.21</v>
      </c>
      <c r="AK565" s="80">
        <f t="shared" si="843"/>
        <v>0.21</v>
      </c>
      <c r="AL565" s="80">
        <f t="shared" si="843"/>
        <v>0.21</v>
      </c>
      <c r="AM565" s="80">
        <f t="shared" si="843"/>
        <v>0.21</v>
      </c>
      <c r="AN565" s="80">
        <f t="shared" si="843"/>
        <v>0.21</v>
      </c>
      <c r="AO565" s="80">
        <f t="shared" si="843"/>
        <v>0.21</v>
      </c>
      <c r="AP565" s="80">
        <f t="shared" si="843"/>
        <v>0.21</v>
      </c>
      <c r="AQ565" s="80">
        <f t="shared" si="843"/>
        <v>0.21</v>
      </c>
      <c r="AR565" s="80">
        <f t="shared" si="843"/>
        <v>0.21</v>
      </c>
      <c r="AS565" s="80">
        <f t="shared" si="843"/>
        <v>0.21</v>
      </c>
      <c r="AT565" s="80">
        <f t="shared" si="843"/>
        <v>0.21</v>
      </c>
      <c r="AU565" s="80">
        <f t="shared" si="843"/>
        <v>0.21</v>
      </c>
      <c r="AV565" s="80">
        <f t="shared" si="843"/>
        <v>0.21</v>
      </c>
      <c r="AW565" s="80">
        <f t="shared" si="843"/>
        <v>0.21</v>
      </c>
      <c r="AX565" s="80">
        <f t="shared" si="843"/>
        <v>0.21</v>
      </c>
      <c r="AY565" s="80">
        <f t="shared" si="843"/>
        <v>0.21</v>
      </c>
      <c r="AZ565" s="80">
        <f t="shared" si="843"/>
        <v>0.21</v>
      </c>
      <c r="BA565" s="80">
        <f t="shared" si="843"/>
        <v>0.21</v>
      </c>
      <c r="BB565" s="80">
        <f t="shared" si="843"/>
        <v>0.21</v>
      </c>
    </row>
    <row r="566" spans="2:55" x14ac:dyDescent="0.25">
      <c r="B566" s="80" t="str">
        <f>_xlfn.CONCAT(B461," ",'Client Data'!E$299)</f>
        <v>Product E Rework: Extra Material Cost (RM)</v>
      </c>
      <c r="C566" s="80">
        <f t="shared" ref="C566:AH566" si="844">$E14</f>
        <v>0.23</v>
      </c>
      <c r="D566" s="80">
        <f t="shared" si="844"/>
        <v>0.23</v>
      </c>
      <c r="E566" s="80">
        <f t="shared" si="844"/>
        <v>0.23</v>
      </c>
      <c r="F566" s="80">
        <f t="shared" si="844"/>
        <v>0.23</v>
      </c>
      <c r="G566" s="80">
        <f t="shared" si="844"/>
        <v>0.23</v>
      </c>
      <c r="H566" s="80">
        <f t="shared" si="844"/>
        <v>0.23</v>
      </c>
      <c r="I566" s="80">
        <f t="shared" si="844"/>
        <v>0.23</v>
      </c>
      <c r="J566" s="80">
        <f t="shared" si="844"/>
        <v>0.23</v>
      </c>
      <c r="K566" s="80">
        <f t="shared" si="844"/>
        <v>0.23</v>
      </c>
      <c r="L566" s="80">
        <f t="shared" si="844"/>
        <v>0.23</v>
      </c>
      <c r="M566" s="80">
        <f t="shared" si="844"/>
        <v>0.23</v>
      </c>
      <c r="N566" s="80">
        <f t="shared" si="844"/>
        <v>0.23</v>
      </c>
      <c r="O566" s="80">
        <f t="shared" si="844"/>
        <v>0.23</v>
      </c>
      <c r="P566" s="80">
        <f t="shared" si="844"/>
        <v>0.23</v>
      </c>
      <c r="Q566" s="80">
        <f t="shared" si="844"/>
        <v>0.23</v>
      </c>
      <c r="R566" s="80">
        <f t="shared" si="844"/>
        <v>0.23</v>
      </c>
      <c r="S566" s="80">
        <f t="shared" si="844"/>
        <v>0.23</v>
      </c>
      <c r="T566" s="80">
        <f t="shared" si="844"/>
        <v>0.23</v>
      </c>
      <c r="U566" s="80">
        <f t="shared" si="844"/>
        <v>0.23</v>
      </c>
      <c r="V566" s="80">
        <f t="shared" si="844"/>
        <v>0.23</v>
      </c>
      <c r="W566" s="80">
        <f t="shared" si="844"/>
        <v>0.23</v>
      </c>
      <c r="X566" s="80">
        <f t="shared" si="844"/>
        <v>0.23</v>
      </c>
      <c r="Y566" s="80">
        <f t="shared" si="844"/>
        <v>0.23</v>
      </c>
      <c r="Z566" s="80">
        <f t="shared" si="844"/>
        <v>0.23</v>
      </c>
      <c r="AA566" s="80">
        <f t="shared" si="844"/>
        <v>0.23</v>
      </c>
      <c r="AB566" s="80">
        <f t="shared" si="844"/>
        <v>0.23</v>
      </c>
      <c r="AC566" s="80">
        <f t="shared" si="844"/>
        <v>0.23</v>
      </c>
      <c r="AD566" s="80">
        <f t="shared" si="844"/>
        <v>0.23</v>
      </c>
      <c r="AE566" s="80">
        <f t="shared" si="844"/>
        <v>0.23</v>
      </c>
      <c r="AF566" s="80">
        <f t="shared" si="844"/>
        <v>0.23</v>
      </c>
      <c r="AG566" s="80">
        <f t="shared" si="844"/>
        <v>0.23</v>
      </c>
      <c r="AH566" s="80">
        <f t="shared" si="844"/>
        <v>0.23</v>
      </c>
      <c r="AI566" s="80">
        <f t="shared" ref="AI566:BB566" si="845">$E14</f>
        <v>0.23</v>
      </c>
      <c r="AJ566" s="80">
        <f t="shared" si="845"/>
        <v>0.23</v>
      </c>
      <c r="AK566" s="80">
        <f t="shared" si="845"/>
        <v>0.23</v>
      </c>
      <c r="AL566" s="80">
        <f t="shared" si="845"/>
        <v>0.23</v>
      </c>
      <c r="AM566" s="80">
        <f t="shared" si="845"/>
        <v>0.23</v>
      </c>
      <c r="AN566" s="80">
        <f t="shared" si="845"/>
        <v>0.23</v>
      </c>
      <c r="AO566" s="80">
        <f t="shared" si="845"/>
        <v>0.23</v>
      </c>
      <c r="AP566" s="80">
        <f t="shared" si="845"/>
        <v>0.23</v>
      </c>
      <c r="AQ566" s="80">
        <f t="shared" si="845"/>
        <v>0.23</v>
      </c>
      <c r="AR566" s="80">
        <f t="shared" si="845"/>
        <v>0.23</v>
      </c>
      <c r="AS566" s="80">
        <f t="shared" si="845"/>
        <v>0.23</v>
      </c>
      <c r="AT566" s="80">
        <f t="shared" si="845"/>
        <v>0.23</v>
      </c>
      <c r="AU566" s="80">
        <f t="shared" si="845"/>
        <v>0.23</v>
      </c>
      <c r="AV566" s="80">
        <f t="shared" si="845"/>
        <v>0.23</v>
      </c>
      <c r="AW566" s="80">
        <f t="shared" si="845"/>
        <v>0.23</v>
      </c>
      <c r="AX566" s="80">
        <f t="shared" si="845"/>
        <v>0.23</v>
      </c>
      <c r="AY566" s="80">
        <f t="shared" si="845"/>
        <v>0.23</v>
      </c>
      <c r="AZ566" s="80">
        <f t="shared" si="845"/>
        <v>0.23</v>
      </c>
      <c r="BA566" s="80">
        <f t="shared" si="845"/>
        <v>0.23</v>
      </c>
      <c r="BB566" s="80">
        <f t="shared" si="845"/>
        <v>0.23</v>
      </c>
    </row>
    <row r="567" spans="2:55" x14ac:dyDescent="0.25">
      <c r="B567" s="80" t="str">
        <f>_xlfn.CONCAT(B462," ",'Client Data'!E$299)</f>
        <v>Product F Rework: Extra Material Cost (RM)</v>
      </c>
      <c r="C567" s="80">
        <f t="shared" ref="C567:AH567" si="846">$E15</f>
        <v>0.24</v>
      </c>
      <c r="D567" s="80">
        <f t="shared" si="846"/>
        <v>0.24</v>
      </c>
      <c r="E567" s="80">
        <f t="shared" si="846"/>
        <v>0.24</v>
      </c>
      <c r="F567" s="80">
        <f t="shared" si="846"/>
        <v>0.24</v>
      </c>
      <c r="G567" s="80">
        <f t="shared" si="846"/>
        <v>0.24</v>
      </c>
      <c r="H567" s="80">
        <f t="shared" si="846"/>
        <v>0.24</v>
      </c>
      <c r="I567" s="80">
        <f t="shared" si="846"/>
        <v>0.24</v>
      </c>
      <c r="J567" s="80">
        <f t="shared" si="846"/>
        <v>0.24</v>
      </c>
      <c r="K567" s="80">
        <f t="shared" si="846"/>
        <v>0.24</v>
      </c>
      <c r="L567" s="80">
        <f t="shared" si="846"/>
        <v>0.24</v>
      </c>
      <c r="M567" s="80">
        <f t="shared" si="846"/>
        <v>0.24</v>
      </c>
      <c r="N567" s="80">
        <f t="shared" si="846"/>
        <v>0.24</v>
      </c>
      <c r="O567" s="80">
        <f t="shared" si="846"/>
        <v>0.24</v>
      </c>
      <c r="P567" s="80">
        <f t="shared" si="846"/>
        <v>0.24</v>
      </c>
      <c r="Q567" s="80">
        <f t="shared" si="846"/>
        <v>0.24</v>
      </c>
      <c r="R567" s="80">
        <f t="shared" si="846"/>
        <v>0.24</v>
      </c>
      <c r="S567" s="80">
        <f t="shared" si="846"/>
        <v>0.24</v>
      </c>
      <c r="T567" s="80">
        <f t="shared" si="846"/>
        <v>0.24</v>
      </c>
      <c r="U567" s="80">
        <f t="shared" si="846"/>
        <v>0.24</v>
      </c>
      <c r="V567" s="80">
        <f t="shared" si="846"/>
        <v>0.24</v>
      </c>
      <c r="W567" s="80">
        <f t="shared" si="846"/>
        <v>0.24</v>
      </c>
      <c r="X567" s="80">
        <f t="shared" si="846"/>
        <v>0.24</v>
      </c>
      <c r="Y567" s="80">
        <f t="shared" si="846"/>
        <v>0.24</v>
      </c>
      <c r="Z567" s="80">
        <f t="shared" si="846"/>
        <v>0.24</v>
      </c>
      <c r="AA567" s="80">
        <f t="shared" si="846"/>
        <v>0.24</v>
      </c>
      <c r="AB567" s="80">
        <f t="shared" si="846"/>
        <v>0.24</v>
      </c>
      <c r="AC567" s="80">
        <f t="shared" si="846"/>
        <v>0.24</v>
      </c>
      <c r="AD567" s="80">
        <f t="shared" si="846"/>
        <v>0.24</v>
      </c>
      <c r="AE567" s="80">
        <f t="shared" si="846"/>
        <v>0.24</v>
      </c>
      <c r="AF567" s="80">
        <f t="shared" si="846"/>
        <v>0.24</v>
      </c>
      <c r="AG567" s="80">
        <f t="shared" si="846"/>
        <v>0.24</v>
      </c>
      <c r="AH567" s="80">
        <f t="shared" si="846"/>
        <v>0.24</v>
      </c>
      <c r="AI567" s="80">
        <f t="shared" ref="AI567:BB567" si="847">$E15</f>
        <v>0.24</v>
      </c>
      <c r="AJ567" s="80">
        <f t="shared" si="847"/>
        <v>0.24</v>
      </c>
      <c r="AK567" s="80">
        <f t="shared" si="847"/>
        <v>0.24</v>
      </c>
      <c r="AL567" s="80">
        <f t="shared" si="847"/>
        <v>0.24</v>
      </c>
      <c r="AM567" s="80">
        <f t="shared" si="847"/>
        <v>0.24</v>
      </c>
      <c r="AN567" s="80">
        <f t="shared" si="847"/>
        <v>0.24</v>
      </c>
      <c r="AO567" s="80">
        <f t="shared" si="847"/>
        <v>0.24</v>
      </c>
      <c r="AP567" s="80">
        <f t="shared" si="847"/>
        <v>0.24</v>
      </c>
      <c r="AQ567" s="80">
        <f t="shared" si="847"/>
        <v>0.24</v>
      </c>
      <c r="AR567" s="80">
        <f t="shared" si="847"/>
        <v>0.24</v>
      </c>
      <c r="AS567" s="80">
        <f t="shared" si="847"/>
        <v>0.24</v>
      </c>
      <c r="AT567" s="80">
        <f t="shared" si="847"/>
        <v>0.24</v>
      </c>
      <c r="AU567" s="80">
        <f t="shared" si="847"/>
        <v>0.24</v>
      </c>
      <c r="AV567" s="80">
        <f t="shared" si="847"/>
        <v>0.24</v>
      </c>
      <c r="AW567" s="80">
        <f t="shared" si="847"/>
        <v>0.24</v>
      </c>
      <c r="AX567" s="80">
        <f t="shared" si="847"/>
        <v>0.24</v>
      </c>
      <c r="AY567" s="80">
        <f t="shared" si="847"/>
        <v>0.24</v>
      </c>
      <c r="AZ567" s="80">
        <f t="shared" si="847"/>
        <v>0.24</v>
      </c>
      <c r="BA567" s="80">
        <f t="shared" si="847"/>
        <v>0.24</v>
      </c>
      <c r="BB567" s="80">
        <f t="shared" si="847"/>
        <v>0.24</v>
      </c>
    </row>
    <row r="568" spans="2:55" x14ac:dyDescent="0.25">
      <c r="B568" s="80" t="str">
        <f>_xlfn.CONCAT(B463," ",'Client Data'!E$299)</f>
        <v>Product G Rework: Extra Material Cost (RM)</v>
      </c>
      <c r="C568" s="80">
        <f t="shared" ref="C568:AH568" si="848">$E16</f>
        <v>0.22</v>
      </c>
      <c r="D568" s="80">
        <f t="shared" si="848"/>
        <v>0.22</v>
      </c>
      <c r="E568" s="80">
        <f t="shared" si="848"/>
        <v>0.22</v>
      </c>
      <c r="F568" s="80">
        <f t="shared" si="848"/>
        <v>0.22</v>
      </c>
      <c r="G568" s="80">
        <f t="shared" si="848"/>
        <v>0.22</v>
      </c>
      <c r="H568" s="80">
        <f t="shared" si="848"/>
        <v>0.22</v>
      </c>
      <c r="I568" s="80">
        <f t="shared" si="848"/>
        <v>0.22</v>
      </c>
      <c r="J568" s="80">
        <f t="shared" si="848"/>
        <v>0.22</v>
      </c>
      <c r="K568" s="80">
        <f t="shared" si="848"/>
        <v>0.22</v>
      </c>
      <c r="L568" s="80">
        <f t="shared" si="848"/>
        <v>0.22</v>
      </c>
      <c r="M568" s="80">
        <f t="shared" si="848"/>
        <v>0.22</v>
      </c>
      <c r="N568" s="80">
        <f t="shared" si="848"/>
        <v>0.22</v>
      </c>
      <c r="O568" s="80">
        <f t="shared" si="848"/>
        <v>0.22</v>
      </c>
      <c r="P568" s="80">
        <f t="shared" si="848"/>
        <v>0.22</v>
      </c>
      <c r="Q568" s="80">
        <f t="shared" si="848"/>
        <v>0.22</v>
      </c>
      <c r="R568" s="80">
        <f t="shared" si="848"/>
        <v>0.22</v>
      </c>
      <c r="S568" s="80">
        <f t="shared" si="848"/>
        <v>0.22</v>
      </c>
      <c r="T568" s="80">
        <f t="shared" si="848"/>
        <v>0.22</v>
      </c>
      <c r="U568" s="80">
        <f t="shared" si="848"/>
        <v>0.22</v>
      </c>
      <c r="V568" s="80">
        <f t="shared" si="848"/>
        <v>0.22</v>
      </c>
      <c r="W568" s="80">
        <f t="shared" si="848"/>
        <v>0.22</v>
      </c>
      <c r="X568" s="80">
        <f t="shared" si="848"/>
        <v>0.22</v>
      </c>
      <c r="Y568" s="80">
        <f t="shared" si="848"/>
        <v>0.22</v>
      </c>
      <c r="Z568" s="80">
        <f t="shared" si="848"/>
        <v>0.22</v>
      </c>
      <c r="AA568" s="80">
        <f t="shared" si="848"/>
        <v>0.22</v>
      </c>
      <c r="AB568" s="80">
        <f t="shared" si="848"/>
        <v>0.22</v>
      </c>
      <c r="AC568" s="80">
        <f t="shared" si="848"/>
        <v>0.22</v>
      </c>
      <c r="AD568" s="80">
        <f t="shared" si="848"/>
        <v>0.22</v>
      </c>
      <c r="AE568" s="80">
        <f t="shared" si="848"/>
        <v>0.22</v>
      </c>
      <c r="AF568" s="80">
        <f t="shared" si="848"/>
        <v>0.22</v>
      </c>
      <c r="AG568" s="80">
        <f t="shared" si="848"/>
        <v>0.22</v>
      </c>
      <c r="AH568" s="80">
        <f t="shared" si="848"/>
        <v>0.22</v>
      </c>
      <c r="AI568" s="80">
        <f t="shared" ref="AI568:BB568" si="849">$E16</f>
        <v>0.22</v>
      </c>
      <c r="AJ568" s="80">
        <f t="shared" si="849"/>
        <v>0.22</v>
      </c>
      <c r="AK568" s="80">
        <f t="shared" si="849"/>
        <v>0.22</v>
      </c>
      <c r="AL568" s="80">
        <f t="shared" si="849"/>
        <v>0.22</v>
      </c>
      <c r="AM568" s="80">
        <f t="shared" si="849"/>
        <v>0.22</v>
      </c>
      <c r="AN568" s="80">
        <f t="shared" si="849"/>
        <v>0.22</v>
      </c>
      <c r="AO568" s="80">
        <f t="shared" si="849"/>
        <v>0.22</v>
      </c>
      <c r="AP568" s="80">
        <f t="shared" si="849"/>
        <v>0.22</v>
      </c>
      <c r="AQ568" s="80">
        <f t="shared" si="849"/>
        <v>0.22</v>
      </c>
      <c r="AR568" s="80">
        <f t="shared" si="849"/>
        <v>0.22</v>
      </c>
      <c r="AS568" s="80">
        <f t="shared" si="849"/>
        <v>0.22</v>
      </c>
      <c r="AT568" s="80">
        <f t="shared" si="849"/>
        <v>0.22</v>
      </c>
      <c r="AU568" s="80">
        <f t="shared" si="849"/>
        <v>0.22</v>
      </c>
      <c r="AV568" s="80">
        <f t="shared" si="849"/>
        <v>0.22</v>
      </c>
      <c r="AW568" s="80">
        <f t="shared" si="849"/>
        <v>0.22</v>
      </c>
      <c r="AX568" s="80">
        <f t="shared" si="849"/>
        <v>0.22</v>
      </c>
      <c r="AY568" s="80">
        <f t="shared" si="849"/>
        <v>0.22</v>
      </c>
      <c r="AZ568" s="80">
        <f t="shared" si="849"/>
        <v>0.22</v>
      </c>
      <c r="BA568" s="80">
        <f t="shared" si="849"/>
        <v>0.22</v>
      </c>
      <c r="BB568" s="80">
        <f t="shared" si="849"/>
        <v>0.22</v>
      </c>
    </row>
    <row r="569" spans="2:55" x14ac:dyDescent="0.25">
      <c r="B569" s="80" t="str">
        <f>_xlfn.CONCAT(B464," ",'Client Data'!E$299)</f>
        <v>Product H Rework: Extra Material Cost (RM)</v>
      </c>
      <c r="C569" s="80">
        <f t="shared" ref="C569:AH569" si="850">$E17</f>
        <v>0.25</v>
      </c>
      <c r="D569" s="80">
        <f t="shared" si="850"/>
        <v>0.25</v>
      </c>
      <c r="E569" s="80">
        <f t="shared" si="850"/>
        <v>0.25</v>
      </c>
      <c r="F569" s="80">
        <f t="shared" si="850"/>
        <v>0.25</v>
      </c>
      <c r="G569" s="80">
        <f t="shared" si="850"/>
        <v>0.25</v>
      </c>
      <c r="H569" s="80">
        <f t="shared" si="850"/>
        <v>0.25</v>
      </c>
      <c r="I569" s="80">
        <f t="shared" si="850"/>
        <v>0.25</v>
      </c>
      <c r="J569" s="80">
        <f t="shared" si="850"/>
        <v>0.25</v>
      </c>
      <c r="K569" s="80">
        <f t="shared" si="850"/>
        <v>0.25</v>
      </c>
      <c r="L569" s="80">
        <f t="shared" si="850"/>
        <v>0.25</v>
      </c>
      <c r="M569" s="80">
        <f t="shared" si="850"/>
        <v>0.25</v>
      </c>
      <c r="N569" s="80">
        <f t="shared" si="850"/>
        <v>0.25</v>
      </c>
      <c r="O569" s="80">
        <f t="shared" si="850"/>
        <v>0.25</v>
      </c>
      <c r="P569" s="80">
        <f t="shared" si="850"/>
        <v>0.25</v>
      </c>
      <c r="Q569" s="80">
        <f t="shared" si="850"/>
        <v>0.25</v>
      </c>
      <c r="R569" s="80">
        <f t="shared" si="850"/>
        <v>0.25</v>
      </c>
      <c r="S569" s="80">
        <f t="shared" si="850"/>
        <v>0.25</v>
      </c>
      <c r="T569" s="80">
        <f t="shared" si="850"/>
        <v>0.25</v>
      </c>
      <c r="U569" s="80">
        <f t="shared" si="850"/>
        <v>0.25</v>
      </c>
      <c r="V569" s="80">
        <f t="shared" si="850"/>
        <v>0.25</v>
      </c>
      <c r="W569" s="80">
        <f t="shared" si="850"/>
        <v>0.25</v>
      </c>
      <c r="X569" s="80">
        <f t="shared" si="850"/>
        <v>0.25</v>
      </c>
      <c r="Y569" s="80">
        <f t="shared" si="850"/>
        <v>0.25</v>
      </c>
      <c r="Z569" s="80">
        <f t="shared" si="850"/>
        <v>0.25</v>
      </c>
      <c r="AA569" s="80">
        <f t="shared" si="850"/>
        <v>0.25</v>
      </c>
      <c r="AB569" s="80">
        <f t="shared" si="850"/>
        <v>0.25</v>
      </c>
      <c r="AC569" s="80">
        <f t="shared" si="850"/>
        <v>0.25</v>
      </c>
      <c r="AD569" s="80">
        <f t="shared" si="850"/>
        <v>0.25</v>
      </c>
      <c r="AE569" s="80">
        <f t="shared" si="850"/>
        <v>0.25</v>
      </c>
      <c r="AF569" s="80">
        <f t="shared" si="850"/>
        <v>0.25</v>
      </c>
      <c r="AG569" s="80">
        <f t="shared" si="850"/>
        <v>0.25</v>
      </c>
      <c r="AH569" s="80">
        <f t="shared" si="850"/>
        <v>0.25</v>
      </c>
      <c r="AI569" s="80">
        <f t="shared" ref="AI569:BB569" si="851">$E17</f>
        <v>0.25</v>
      </c>
      <c r="AJ569" s="80">
        <f t="shared" si="851"/>
        <v>0.25</v>
      </c>
      <c r="AK569" s="80">
        <f t="shared" si="851"/>
        <v>0.25</v>
      </c>
      <c r="AL569" s="80">
        <f t="shared" si="851"/>
        <v>0.25</v>
      </c>
      <c r="AM569" s="80">
        <f t="shared" si="851"/>
        <v>0.25</v>
      </c>
      <c r="AN569" s="80">
        <f t="shared" si="851"/>
        <v>0.25</v>
      </c>
      <c r="AO569" s="80">
        <f t="shared" si="851"/>
        <v>0.25</v>
      </c>
      <c r="AP569" s="80">
        <f t="shared" si="851"/>
        <v>0.25</v>
      </c>
      <c r="AQ569" s="80">
        <f t="shared" si="851"/>
        <v>0.25</v>
      </c>
      <c r="AR569" s="80">
        <f t="shared" si="851"/>
        <v>0.25</v>
      </c>
      <c r="AS569" s="80">
        <f t="shared" si="851"/>
        <v>0.25</v>
      </c>
      <c r="AT569" s="80">
        <f t="shared" si="851"/>
        <v>0.25</v>
      </c>
      <c r="AU569" s="80">
        <f t="shared" si="851"/>
        <v>0.25</v>
      </c>
      <c r="AV569" s="80">
        <f t="shared" si="851"/>
        <v>0.25</v>
      </c>
      <c r="AW569" s="80">
        <f t="shared" si="851"/>
        <v>0.25</v>
      </c>
      <c r="AX569" s="80">
        <f t="shared" si="851"/>
        <v>0.25</v>
      </c>
      <c r="AY569" s="80">
        <f t="shared" si="851"/>
        <v>0.25</v>
      </c>
      <c r="AZ569" s="80">
        <f t="shared" si="851"/>
        <v>0.25</v>
      </c>
      <c r="BA569" s="80">
        <f t="shared" si="851"/>
        <v>0.25</v>
      </c>
      <c r="BB569" s="80">
        <f t="shared" si="851"/>
        <v>0.25</v>
      </c>
    </row>
    <row r="570" spans="2:55" x14ac:dyDescent="0.25">
      <c r="B570" s="43" t="str">
        <f>_xlfn.CONCAT(B457," ",'Client Data'!F$299)</f>
        <v>Product A Rework: Extra Utility Cost (RM)</v>
      </c>
      <c r="C570" s="43">
        <f t="shared" ref="C570:AH570" si="852">$F10</f>
        <v>0.26</v>
      </c>
      <c r="D570" s="43">
        <f t="shared" si="852"/>
        <v>0.26</v>
      </c>
      <c r="E570" s="43">
        <f t="shared" si="852"/>
        <v>0.26</v>
      </c>
      <c r="F570" s="43">
        <f t="shared" si="852"/>
        <v>0.26</v>
      </c>
      <c r="G570" s="43">
        <f t="shared" si="852"/>
        <v>0.26</v>
      </c>
      <c r="H570" s="43">
        <f t="shared" si="852"/>
        <v>0.26</v>
      </c>
      <c r="I570" s="43">
        <f t="shared" si="852"/>
        <v>0.26</v>
      </c>
      <c r="J570" s="43">
        <f t="shared" si="852"/>
        <v>0.26</v>
      </c>
      <c r="K570" s="43">
        <f t="shared" si="852"/>
        <v>0.26</v>
      </c>
      <c r="L570" s="43">
        <f t="shared" si="852"/>
        <v>0.26</v>
      </c>
      <c r="M570" s="43">
        <f t="shared" si="852"/>
        <v>0.26</v>
      </c>
      <c r="N570" s="43">
        <f t="shared" si="852"/>
        <v>0.26</v>
      </c>
      <c r="O570" s="43">
        <f t="shared" si="852"/>
        <v>0.26</v>
      </c>
      <c r="P570" s="43">
        <f t="shared" si="852"/>
        <v>0.26</v>
      </c>
      <c r="Q570" s="43">
        <f t="shared" si="852"/>
        <v>0.26</v>
      </c>
      <c r="R570" s="43">
        <f t="shared" si="852"/>
        <v>0.26</v>
      </c>
      <c r="S570" s="43">
        <f t="shared" si="852"/>
        <v>0.26</v>
      </c>
      <c r="T570" s="43">
        <f t="shared" si="852"/>
        <v>0.26</v>
      </c>
      <c r="U570" s="43">
        <f t="shared" si="852"/>
        <v>0.26</v>
      </c>
      <c r="V570" s="43">
        <f t="shared" si="852"/>
        <v>0.26</v>
      </c>
      <c r="W570" s="43">
        <f t="shared" si="852"/>
        <v>0.26</v>
      </c>
      <c r="X570" s="43">
        <f t="shared" si="852"/>
        <v>0.26</v>
      </c>
      <c r="Y570" s="43">
        <f t="shared" si="852"/>
        <v>0.26</v>
      </c>
      <c r="Z570" s="43">
        <f t="shared" si="852"/>
        <v>0.26</v>
      </c>
      <c r="AA570" s="43">
        <f t="shared" si="852"/>
        <v>0.26</v>
      </c>
      <c r="AB570" s="43">
        <f t="shared" si="852"/>
        <v>0.26</v>
      </c>
      <c r="AC570" s="43">
        <f t="shared" si="852"/>
        <v>0.26</v>
      </c>
      <c r="AD570" s="43">
        <f t="shared" si="852"/>
        <v>0.26</v>
      </c>
      <c r="AE570" s="43">
        <f t="shared" si="852"/>
        <v>0.26</v>
      </c>
      <c r="AF570" s="43">
        <f t="shared" si="852"/>
        <v>0.26</v>
      </c>
      <c r="AG570" s="43">
        <f t="shared" si="852"/>
        <v>0.26</v>
      </c>
      <c r="AH570" s="43">
        <f t="shared" si="852"/>
        <v>0.26</v>
      </c>
      <c r="AI570" s="43">
        <f t="shared" ref="AI570:BB570" si="853">$F10</f>
        <v>0.26</v>
      </c>
      <c r="AJ570" s="43">
        <f t="shared" si="853"/>
        <v>0.26</v>
      </c>
      <c r="AK570" s="43">
        <f t="shared" si="853"/>
        <v>0.26</v>
      </c>
      <c r="AL570" s="43">
        <f t="shared" si="853"/>
        <v>0.26</v>
      </c>
      <c r="AM570" s="43">
        <f t="shared" si="853"/>
        <v>0.26</v>
      </c>
      <c r="AN570" s="43">
        <f t="shared" si="853"/>
        <v>0.26</v>
      </c>
      <c r="AO570" s="43">
        <f t="shared" si="853"/>
        <v>0.26</v>
      </c>
      <c r="AP570" s="43">
        <f t="shared" si="853"/>
        <v>0.26</v>
      </c>
      <c r="AQ570" s="43">
        <f t="shared" si="853"/>
        <v>0.26</v>
      </c>
      <c r="AR570" s="43">
        <f t="shared" si="853"/>
        <v>0.26</v>
      </c>
      <c r="AS570" s="43">
        <f t="shared" si="853"/>
        <v>0.26</v>
      </c>
      <c r="AT570" s="43">
        <f t="shared" si="853"/>
        <v>0.26</v>
      </c>
      <c r="AU570" s="43">
        <f t="shared" si="853"/>
        <v>0.26</v>
      </c>
      <c r="AV570" s="43">
        <f t="shared" si="853"/>
        <v>0.26</v>
      </c>
      <c r="AW570" s="43">
        <f t="shared" si="853"/>
        <v>0.26</v>
      </c>
      <c r="AX570" s="43">
        <f t="shared" si="853"/>
        <v>0.26</v>
      </c>
      <c r="AY570" s="43">
        <f t="shared" si="853"/>
        <v>0.26</v>
      </c>
      <c r="AZ570" s="43">
        <f t="shared" si="853"/>
        <v>0.26</v>
      </c>
      <c r="BA570" s="43">
        <f t="shared" si="853"/>
        <v>0.26</v>
      </c>
      <c r="BB570" s="43">
        <f t="shared" si="853"/>
        <v>0.26</v>
      </c>
    </row>
    <row r="571" spans="2:55" x14ac:dyDescent="0.25">
      <c r="B571" s="43" t="str">
        <f>_xlfn.CONCAT(B458," ",'Client Data'!F$299)</f>
        <v>Product B Rework: Extra Utility Cost (RM)</v>
      </c>
      <c r="C571" s="43">
        <f t="shared" ref="C571:AH571" si="854">$F11</f>
        <v>0.23</v>
      </c>
      <c r="D571" s="43">
        <f t="shared" si="854"/>
        <v>0.23</v>
      </c>
      <c r="E571" s="43">
        <f t="shared" si="854"/>
        <v>0.23</v>
      </c>
      <c r="F571" s="43">
        <f t="shared" si="854"/>
        <v>0.23</v>
      </c>
      <c r="G571" s="43">
        <f t="shared" si="854"/>
        <v>0.23</v>
      </c>
      <c r="H571" s="43">
        <f t="shared" si="854"/>
        <v>0.23</v>
      </c>
      <c r="I571" s="43">
        <f t="shared" si="854"/>
        <v>0.23</v>
      </c>
      <c r="J571" s="43">
        <f t="shared" si="854"/>
        <v>0.23</v>
      </c>
      <c r="K571" s="43">
        <f t="shared" si="854"/>
        <v>0.23</v>
      </c>
      <c r="L571" s="43">
        <f t="shared" si="854"/>
        <v>0.23</v>
      </c>
      <c r="M571" s="43">
        <f t="shared" si="854"/>
        <v>0.23</v>
      </c>
      <c r="N571" s="43">
        <f t="shared" si="854"/>
        <v>0.23</v>
      </c>
      <c r="O571" s="43">
        <f t="shared" si="854"/>
        <v>0.23</v>
      </c>
      <c r="P571" s="43">
        <f t="shared" si="854"/>
        <v>0.23</v>
      </c>
      <c r="Q571" s="43">
        <f t="shared" si="854"/>
        <v>0.23</v>
      </c>
      <c r="R571" s="43">
        <f t="shared" si="854"/>
        <v>0.23</v>
      </c>
      <c r="S571" s="43">
        <f t="shared" si="854"/>
        <v>0.23</v>
      </c>
      <c r="T571" s="43">
        <f t="shared" si="854"/>
        <v>0.23</v>
      </c>
      <c r="U571" s="43">
        <f t="shared" si="854"/>
        <v>0.23</v>
      </c>
      <c r="V571" s="43">
        <f t="shared" si="854"/>
        <v>0.23</v>
      </c>
      <c r="W571" s="43">
        <f t="shared" si="854"/>
        <v>0.23</v>
      </c>
      <c r="X571" s="43">
        <f t="shared" si="854"/>
        <v>0.23</v>
      </c>
      <c r="Y571" s="43">
        <f t="shared" si="854"/>
        <v>0.23</v>
      </c>
      <c r="Z571" s="43">
        <f t="shared" si="854"/>
        <v>0.23</v>
      </c>
      <c r="AA571" s="43">
        <f t="shared" si="854"/>
        <v>0.23</v>
      </c>
      <c r="AB571" s="43">
        <f t="shared" si="854"/>
        <v>0.23</v>
      </c>
      <c r="AC571" s="43">
        <f t="shared" si="854"/>
        <v>0.23</v>
      </c>
      <c r="AD571" s="43">
        <f t="shared" si="854"/>
        <v>0.23</v>
      </c>
      <c r="AE571" s="43">
        <f t="shared" si="854"/>
        <v>0.23</v>
      </c>
      <c r="AF571" s="43">
        <f t="shared" si="854"/>
        <v>0.23</v>
      </c>
      <c r="AG571" s="43">
        <f t="shared" si="854"/>
        <v>0.23</v>
      </c>
      <c r="AH571" s="43">
        <f t="shared" si="854"/>
        <v>0.23</v>
      </c>
      <c r="AI571" s="43">
        <f t="shared" ref="AI571:BB571" si="855">$F11</f>
        <v>0.23</v>
      </c>
      <c r="AJ571" s="43">
        <f t="shared" si="855"/>
        <v>0.23</v>
      </c>
      <c r="AK571" s="43">
        <f t="shared" si="855"/>
        <v>0.23</v>
      </c>
      <c r="AL571" s="43">
        <f t="shared" si="855"/>
        <v>0.23</v>
      </c>
      <c r="AM571" s="43">
        <f t="shared" si="855"/>
        <v>0.23</v>
      </c>
      <c r="AN571" s="43">
        <f t="shared" si="855"/>
        <v>0.23</v>
      </c>
      <c r="AO571" s="43">
        <f t="shared" si="855"/>
        <v>0.23</v>
      </c>
      <c r="AP571" s="43">
        <f t="shared" si="855"/>
        <v>0.23</v>
      </c>
      <c r="AQ571" s="43">
        <f t="shared" si="855"/>
        <v>0.23</v>
      </c>
      <c r="AR571" s="43">
        <f t="shared" si="855"/>
        <v>0.23</v>
      </c>
      <c r="AS571" s="43">
        <f t="shared" si="855"/>
        <v>0.23</v>
      </c>
      <c r="AT571" s="43">
        <f t="shared" si="855"/>
        <v>0.23</v>
      </c>
      <c r="AU571" s="43">
        <f t="shared" si="855"/>
        <v>0.23</v>
      </c>
      <c r="AV571" s="43">
        <f t="shared" si="855"/>
        <v>0.23</v>
      </c>
      <c r="AW571" s="43">
        <f t="shared" si="855"/>
        <v>0.23</v>
      </c>
      <c r="AX571" s="43">
        <f t="shared" si="855"/>
        <v>0.23</v>
      </c>
      <c r="AY571" s="43">
        <f t="shared" si="855"/>
        <v>0.23</v>
      </c>
      <c r="AZ571" s="43">
        <f t="shared" si="855"/>
        <v>0.23</v>
      </c>
      <c r="BA571" s="43">
        <f t="shared" si="855"/>
        <v>0.23</v>
      </c>
      <c r="BB571" s="43">
        <f t="shared" si="855"/>
        <v>0.23</v>
      </c>
    </row>
    <row r="572" spans="2:55" x14ac:dyDescent="0.25">
      <c r="B572" s="43" t="str">
        <f>_xlfn.CONCAT(B459," ",'Client Data'!F$299)</f>
        <v>Product C Rework: Extra Utility Cost (RM)</v>
      </c>
      <c r="C572" s="43">
        <f t="shared" ref="C572:AH572" si="856">$F12</f>
        <v>0.25</v>
      </c>
      <c r="D572" s="43">
        <f t="shared" si="856"/>
        <v>0.25</v>
      </c>
      <c r="E572" s="43">
        <f t="shared" si="856"/>
        <v>0.25</v>
      </c>
      <c r="F572" s="43">
        <f t="shared" si="856"/>
        <v>0.25</v>
      </c>
      <c r="G572" s="43">
        <f t="shared" si="856"/>
        <v>0.25</v>
      </c>
      <c r="H572" s="43">
        <f t="shared" si="856"/>
        <v>0.25</v>
      </c>
      <c r="I572" s="43">
        <f t="shared" si="856"/>
        <v>0.25</v>
      </c>
      <c r="J572" s="43">
        <f t="shared" si="856"/>
        <v>0.25</v>
      </c>
      <c r="K572" s="43">
        <f t="shared" si="856"/>
        <v>0.25</v>
      </c>
      <c r="L572" s="43">
        <f t="shared" si="856"/>
        <v>0.25</v>
      </c>
      <c r="M572" s="43">
        <f t="shared" si="856"/>
        <v>0.25</v>
      </c>
      <c r="N572" s="43">
        <f t="shared" si="856"/>
        <v>0.25</v>
      </c>
      <c r="O572" s="43">
        <f t="shared" si="856"/>
        <v>0.25</v>
      </c>
      <c r="P572" s="43">
        <f t="shared" si="856"/>
        <v>0.25</v>
      </c>
      <c r="Q572" s="43">
        <f t="shared" si="856"/>
        <v>0.25</v>
      </c>
      <c r="R572" s="43">
        <f t="shared" si="856"/>
        <v>0.25</v>
      </c>
      <c r="S572" s="43">
        <f t="shared" si="856"/>
        <v>0.25</v>
      </c>
      <c r="T572" s="43">
        <f t="shared" si="856"/>
        <v>0.25</v>
      </c>
      <c r="U572" s="43">
        <f t="shared" si="856"/>
        <v>0.25</v>
      </c>
      <c r="V572" s="43">
        <f t="shared" si="856"/>
        <v>0.25</v>
      </c>
      <c r="W572" s="43">
        <f t="shared" si="856"/>
        <v>0.25</v>
      </c>
      <c r="X572" s="43">
        <f t="shared" si="856"/>
        <v>0.25</v>
      </c>
      <c r="Y572" s="43">
        <f t="shared" si="856"/>
        <v>0.25</v>
      </c>
      <c r="Z572" s="43">
        <f t="shared" si="856"/>
        <v>0.25</v>
      </c>
      <c r="AA572" s="43">
        <f t="shared" si="856"/>
        <v>0.25</v>
      </c>
      <c r="AB572" s="43">
        <f t="shared" si="856"/>
        <v>0.25</v>
      </c>
      <c r="AC572" s="43">
        <f t="shared" si="856"/>
        <v>0.25</v>
      </c>
      <c r="AD572" s="43">
        <f t="shared" si="856"/>
        <v>0.25</v>
      </c>
      <c r="AE572" s="43">
        <f t="shared" si="856"/>
        <v>0.25</v>
      </c>
      <c r="AF572" s="43">
        <f t="shared" si="856"/>
        <v>0.25</v>
      </c>
      <c r="AG572" s="43">
        <f t="shared" si="856"/>
        <v>0.25</v>
      </c>
      <c r="AH572" s="43">
        <f t="shared" si="856"/>
        <v>0.25</v>
      </c>
      <c r="AI572" s="43">
        <f t="shared" ref="AI572:BB572" si="857">$F12</f>
        <v>0.25</v>
      </c>
      <c r="AJ572" s="43">
        <f t="shared" si="857"/>
        <v>0.25</v>
      </c>
      <c r="AK572" s="43">
        <f t="shared" si="857"/>
        <v>0.25</v>
      </c>
      <c r="AL572" s="43">
        <f t="shared" si="857"/>
        <v>0.25</v>
      </c>
      <c r="AM572" s="43">
        <f t="shared" si="857"/>
        <v>0.25</v>
      </c>
      <c r="AN572" s="43">
        <f t="shared" si="857"/>
        <v>0.25</v>
      </c>
      <c r="AO572" s="43">
        <f t="shared" si="857"/>
        <v>0.25</v>
      </c>
      <c r="AP572" s="43">
        <f t="shared" si="857"/>
        <v>0.25</v>
      </c>
      <c r="AQ572" s="43">
        <f t="shared" si="857"/>
        <v>0.25</v>
      </c>
      <c r="AR572" s="43">
        <f t="shared" si="857"/>
        <v>0.25</v>
      </c>
      <c r="AS572" s="43">
        <f t="shared" si="857"/>
        <v>0.25</v>
      </c>
      <c r="AT572" s="43">
        <f t="shared" si="857"/>
        <v>0.25</v>
      </c>
      <c r="AU572" s="43">
        <f t="shared" si="857"/>
        <v>0.25</v>
      </c>
      <c r="AV572" s="43">
        <f t="shared" si="857"/>
        <v>0.25</v>
      </c>
      <c r="AW572" s="43">
        <f t="shared" si="857"/>
        <v>0.25</v>
      </c>
      <c r="AX572" s="43">
        <f t="shared" si="857"/>
        <v>0.25</v>
      </c>
      <c r="AY572" s="43">
        <f t="shared" si="857"/>
        <v>0.25</v>
      </c>
      <c r="AZ572" s="43">
        <f t="shared" si="857"/>
        <v>0.25</v>
      </c>
      <c r="BA572" s="43">
        <f t="shared" si="857"/>
        <v>0.25</v>
      </c>
      <c r="BB572" s="43">
        <f t="shared" si="857"/>
        <v>0.25</v>
      </c>
    </row>
    <row r="573" spans="2:55" x14ac:dyDescent="0.25">
      <c r="B573" s="43" t="str">
        <f>_xlfn.CONCAT(B460," ",'Client Data'!F$299)</f>
        <v>Product D Rework: Extra Utility Cost (RM)</v>
      </c>
      <c r="C573" s="43">
        <f t="shared" ref="C573:AH573" si="858">$F13</f>
        <v>0.22</v>
      </c>
      <c r="D573" s="43">
        <f t="shared" si="858"/>
        <v>0.22</v>
      </c>
      <c r="E573" s="43">
        <f t="shared" si="858"/>
        <v>0.22</v>
      </c>
      <c r="F573" s="43">
        <f t="shared" si="858"/>
        <v>0.22</v>
      </c>
      <c r="G573" s="43">
        <f t="shared" si="858"/>
        <v>0.22</v>
      </c>
      <c r="H573" s="43">
        <f t="shared" si="858"/>
        <v>0.22</v>
      </c>
      <c r="I573" s="43">
        <f t="shared" si="858"/>
        <v>0.22</v>
      </c>
      <c r="J573" s="43">
        <f t="shared" si="858"/>
        <v>0.22</v>
      </c>
      <c r="K573" s="43">
        <f t="shared" si="858"/>
        <v>0.22</v>
      </c>
      <c r="L573" s="43">
        <f t="shared" si="858"/>
        <v>0.22</v>
      </c>
      <c r="M573" s="43">
        <f t="shared" si="858"/>
        <v>0.22</v>
      </c>
      <c r="N573" s="43">
        <f t="shared" si="858"/>
        <v>0.22</v>
      </c>
      <c r="O573" s="43">
        <f t="shared" si="858"/>
        <v>0.22</v>
      </c>
      <c r="P573" s="43">
        <f t="shared" si="858"/>
        <v>0.22</v>
      </c>
      <c r="Q573" s="43">
        <f t="shared" si="858"/>
        <v>0.22</v>
      </c>
      <c r="R573" s="43">
        <f t="shared" si="858"/>
        <v>0.22</v>
      </c>
      <c r="S573" s="43">
        <f t="shared" si="858"/>
        <v>0.22</v>
      </c>
      <c r="T573" s="43">
        <f t="shared" si="858"/>
        <v>0.22</v>
      </c>
      <c r="U573" s="43">
        <f t="shared" si="858"/>
        <v>0.22</v>
      </c>
      <c r="V573" s="43">
        <f t="shared" si="858"/>
        <v>0.22</v>
      </c>
      <c r="W573" s="43">
        <f t="shared" si="858"/>
        <v>0.22</v>
      </c>
      <c r="X573" s="43">
        <f t="shared" si="858"/>
        <v>0.22</v>
      </c>
      <c r="Y573" s="43">
        <f t="shared" si="858"/>
        <v>0.22</v>
      </c>
      <c r="Z573" s="43">
        <f t="shared" si="858"/>
        <v>0.22</v>
      </c>
      <c r="AA573" s="43">
        <f t="shared" si="858"/>
        <v>0.22</v>
      </c>
      <c r="AB573" s="43">
        <f t="shared" si="858"/>
        <v>0.22</v>
      </c>
      <c r="AC573" s="43">
        <f t="shared" si="858"/>
        <v>0.22</v>
      </c>
      <c r="AD573" s="43">
        <f t="shared" si="858"/>
        <v>0.22</v>
      </c>
      <c r="AE573" s="43">
        <f t="shared" si="858"/>
        <v>0.22</v>
      </c>
      <c r="AF573" s="43">
        <f t="shared" si="858"/>
        <v>0.22</v>
      </c>
      <c r="AG573" s="43">
        <f t="shared" si="858"/>
        <v>0.22</v>
      </c>
      <c r="AH573" s="43">
        <f t="shared" si="858"/>
        <v>0.22</v>
      </c>
      <c r="AI573" s="43">
        <f t="shared" ref="AI573:BB573" si="859">$F13</f>
        <v>0.22</v>
      </c>
      <c r="AJ573" s="43">
        <f t="shared" si="859"/>
        <v>0.22</v>
      </c>
      <c r="AK573" s="43">
        <f t="shared" si="859"/>
        <v>0.22</v>
      </c>
      <c r="AL573" s="43">
        <f t="shared" si="859"/>
        <v>0.22</v>
      </c>
      <c r="AM573" s="43">
        <f t="shared" si="859"/>
        <v>0.22</v>
      </c>
      <c r="AN573" s="43">
        <f t="shared" si="859"/>
        <v>0.22</v>
      </c>
      <c r="AO573" s="43">
        <f t="shared" si="859"/>
        <v>0.22</v>
      </c>
      <c r="AP573" s="43">
        <f t="shared" si="859"/>
        <v>0.22</v>
      </c>
      <c r="AQ573" s="43">
        <f t="shared" si="859"/>
        <v>0.22</v>
      </c>
      <c r="AR573" s="43">
        <f t="shared" si="859"/>
        <v>0.22</v>
      </c>
      <c r="AS573" s="43">
        <f t="shared" si="859"/>
        <v>0.22</v>
      </c>
      <c r="AT573" s="43">
        <f t="shared" si="859"/>
        <v>0.22</v>
      </c>
      <c r="AU573" s="43">
        <f t="shared" si="859"/>
        <v>0.22</v>
      </c>
      <c r="AV573" s="43">
        <f t="shared" si="859"/>
        <v>0.22</v>
      </c>
      <c r="AW573" s="43">
        <f t="shared" si="859"/>
        <v>0.22</v>
      </c>
      <c r="AX573" s="43">
        <f t="shared" si="859"/>
        <v>0.22</v>
      </c>
      <c r="AY573" s="43">
        <f t="shared" si="859"/>
        <v>0.22</v>
      </c>
      <c r="AZ573" s="43">
        <f t="shared" si="859"/>
        <v>0.22</v>
      </c>
      <c r="BA573" s="43">
        <f t="shared" si="859"/>
        <v>0.22</v>
      </c>
      <c r="BB573" s="43">
        <f t="shared" si="859"/>
        <v>0.22</v>
      </c>
    </row>
    <row r="574" spans="2:55" x14ac:dyDescent="0.25">
      <c r="B574" s="43" t="str">
        <f>_xlfn.CONCAT(B461," ",'Client Data'!F$299)</f>
        <v>Product E Rework: Extra Utility Cost (RM)</v>
      </c>
      <c r="C574" s="43">
        <f t="shared" ref="C574:AH574" si="860">$F14</f>
        <v>0.24</v>
      </c>
      <c r="D574" s="43">
        <f t="shared" si="860"/>
        <v>0.24</v>
      </c>
      <c r="E574" s="43">
        <f t="shared" si="860"/>
        <v>0.24</v>
      </c>
      <c r="F574" s="43">
        <f t="shared" si="860"/>
        <v>0.24</v>
      </c>
      <c r="G574" s="43">
        <f t="shared" si="860"/>
        <v>0.24</v>
      </c>
      <c r="H574" s="43">
        <f t="shared" si="860"/>
        <v>0.24</v>
      </c>
      <c r="I574" s="43">
        <f t="shared" si="860"/>
        <v>0.24</v>
      </c>
      <c r="J574" s="43">
        <f t="shared" si="860"/>
        <v>0.24</v>
      </c>
      <c r="K574" s="43">
        <f t="shared" si="860"/>
        <v>0.24</v>
      </c>
      <c r="L574" s="43">
        <f t="shared" si="860"/>
        <v>0.24</v>
      </c>
      <c r="M574" s="43">
        <f t="shared" si="860"/>
        <v>0.24</v>
      </c>
      <c r="N574" s="43">
        <f t="shared" si="860"/>
        <v>0.24</v>
      </c>
      <c r="O574" s="43">
        <f t="shared" si="860"/>
        <v>0.24</v>
      </c>
      <c r="P574" s="43">
        <f t="shared" si="860"/>
        <v>0.24</v>
      </c>
      <c r="Q574" s="43">
        <f t="shared" si="860"/>
        <v>0.24</v>
      </c>
      <c r="R574" s="43">
        <f t="shared" si="860"/>
        <v>0.24</v>
      </c>
      <c r="S574" s="43">
        <f t="shared" si="860"/>
        <v>0.24</v>
      </c>
      <c r="T574" s="43">
        <f t="shared" si="860"/>
        <v>0.24</v>
      </c>
      <c r="U574" s="43">
        <f t="shared" si="860"/>
        <v>0.24</v>
      </c>
      <c r="V574" s="43">
        <f t="shared" si="860"/>
        <v>0.24</v>
      </c>
      <c r="W574" s="43">
        <f t="shared" si="860"/>
        <v>0.24</v>
      </c>
      <c r="X574" s="43">
        <f t="shared" si="860"/>
        <v>0.24</v>
      </c>
      <c r="Y574" s="43">
        <f t="shared" si="860"/>
        <v>0.24</v>
      </c>
      <c r="Z574" s="43">
        <f t="shared" si="860"/>
        <v>0.24</v>
      </c>
      <c r="AA574" s="43">
        <f t="shared" si="860"/>
        <v>0.24</v>
      </c>
      <c r="AB574" s="43">
        <f t="shared" si="860"/>
        <v>0.24</v>
      </c>
      <c r="AC574" s="43">
        <f t="shared" si="860"/>
        <v>0.24</v>
      </c>
      <c r="AD574" s="43">
        <f t="shared" si="860"/>
        <v>0.24</v>
      </c>
      <c r="AE574" s="43">
        <f t="shared" si="860"/>
        <v>0.24</v>
      </c>
      <c r="AF574" s="43">
        <f t="shared" si="860"/>
        <v>0.24</v>
      </c>
      <c r="AG574" s="43">
        <f t="shared" si="860"/>
        <v>0.24</v>
      </c>
      <c r="AH574" s="43">
        <f t="shared" si="860"/>
        <v>0.24</v>
      </c>
      <c r="AI574" s="43">
        <f t="shared" ref="AI574:BB574" si="861">$F14</f>
        <v>0.24</v>
      </c>
      <c r="AJ574" s="43">
        <f t="shared" si="861"/>
        <v>0.24</v>
      </c>
      <c r="AK574" s="43">
        <f t="shared" si="861"/>
        <v>0.24</v>
      </c>
      <c r="AL574" s="43">
        <f t="shared" si="861"/>
        <v>0.24</v>
      </c>
      <c r="AM574" s="43">
        <f t="shared" si="861"/>
        <v>0.24</v>
      </c>
      <c r="AN574" s="43">
        <f t="shared" si="861"/>
        <v>0.24</v>
      </c>
      <c r="AO574" s="43">
        <f t="shared" si="861"/>
        <v>0.24</v>
      </c>
      <c r="AP574" s="43">
        <f t="shared" si="861"/>
        <v>0.24</v>
      </c>
      <c r="AQ574" s="43">
        <f t="shared" si="861"/>
        <v>0.24</v>
      </c>
      <c r="AR574" s="43">
        <f t="shared" si="861"/>
        <v>0.24</v>
      </c>
      <c r="AS574" s="43">
        <f t="shared" si="861"/>
        <v>0.24</v>
      </c>
      <c r="AT574" s="43">
        <f t="shared" si="861"/>
        <v>0.24</v>
      </c>
      <c r="AU574" s="43">
        <f t="shared" si="861"/>
        <v>0.24</v>
      </c>
      <c r="AV574" s="43">
        <f t="shared" si="861"/>
        <v>0.24</v>
      </c>
      <c r="AW574" s="43">
        <f t="shared" si="861"/>
        <v>0.24</v>
      </c>
      <c r="AX574" s="43">
        <f t="shared" si="861"/>
        <v>0.24</v>
      </c>
      <c r="AY574" s="43">
        <f t="shared" si="861"/>
        <v>0.24</v>
      </c>
      <c r="AZ574" s="43">
        <f t="shared" si="861"/>
        <v>0.24</v>
      </c>
      <c r="BA574" s="43">
        <f t="shared" si="861"/>
        <v>0.24</v>
      </c>
      <c r="BB574" s="43">
        <f t="shared" si="861"/>
        <v>0.24</v>
      </c>
    </row>
    <row r="575" spans="2:55" x14ac:dyDescent="0.25">
      <c r="B575" s="43" t="str">
        <f>_xlfn.CONCAT(B462," ",'Client Data'!F$299)</f>
        <v>Product F Rework: Extra Utility Cost (RM)</v>
      </c>
      <c r="C575" s="43">
        <f t="shared" ref="C575:AH575" si="862">$F15</f>
        <v>0.25</v>
      </c>
      <c r="D575" s="43">
        <f t="shared" si="862"/>
        <v>0.25</v>
      </c>
      <c r="E575" s="43">
        <f t="shared" si="862"/>
        <v>0.25</v>
      </c>
      <c r="F575" s="43">
        <f t="shared" si="862"/>
        <v>0.25</v>
      </c>
      <c r="G575" s="43">
        <f t="shared" si="862"/>
        <v>0.25</v>
      </c>
      <c r="H575" s="43">
        <f t="shared" si="862"/>
        <v>0.25</v>
      </c>
      <c r="I575" s="43">
        <f t="shared" si="862"/>
        <v>0.25</v>
      </c>
      <c r="J575" s="43">
        <f t="shared" si="862"/>
        <v>0.25</v>
      </c>
      <c r="K575" s="43">
        <f t="shared" si="862"/>
        <v>0.25</v>
      </c>
      <c r="L575" s="43">
        <f t="shared" si="862"/>
        <v>0.25</v>
      </c>
      <c r="M575" s="43">
        <f t="shared" si="862"/>
        <v>0.25</v>
      </c>
      <c r="N575" s="43">
        <f t="shared" si="862"/>
        <v>0.25</v>
      </c>
      <c r="O575" s="43">
        <f t="shared" si="862"/>
        <v>0.25</v>
      </c>
      <c r="P575" s="43">
        <f t="shared" si="862"/>
        <v>0.25</v>
      </c>
      <c r="Q575" s="43">
        <f t="shared" si="862"/>
        <v>0.25</v>
      </c>
      <c r="R575" s="43">
        <f t="shared" si="862"/>
        <v>0.25</v>
      </c>
      <c r="S575" s="43">
        <f t="shared" si="862"/>
        <v>0.25</v>
      </c>
      <c r="T575" s="43">
        <f t="shared" si="862"/>
        <v>0.25</v>
      </c>
      <c r="U575" s="43">
        <f t="shared" si="862"/>
        <v>0.25</v>
      </c>
      <c r="V575" s="43">
        <f t="shared" si="862"/>
        <v>0.25</v>
      </c>
      <c r="W575" s="43">
        <f t="shared" si="862"/>
        <v>0.25</v>
      </c>
      <c r="X575" s="43">
        <f t="shared" si="862"/>
        <v>0.25</v>
      </c>
      <c r="Y575" s="43">
        <f t="shared" si="862"/>
        <v>0.25</v>
      </c>
      <c r="Z575" s="43">
        <f t="shared" si="862"/>
        <v>0.25</v>
      </c>
      <c r="AA575" s="43">
        <f t="shared" si="862"/>
        <v>0.25</v>
      </c>
      <c r="AB575" s="43">
        <f t="shared" si="862"/>
        <v>0.25</v>
      </c>
      <c r="AC575" s="43">
        <f t="shared" si="862"/>
        <v>0.25</v>
      </c>
      <c r="AD575" s="43">
        <f t="shared" si="862"/>
        <v>0.25</v>
      </c>
      <c r="AE575" s="43">
        <f t="shared" si="862"/>
        <v>0.25</v>
      </c>
      <c r="AF575" s="43">
        <f t="shared" si="862"/>
        <v>0.25</v>
      </c>
      <c r="AG575" s="43">
        <f t="shared" si="862"/>
        <v>0.25</v>
      </c>
      <c r="AH575" s="43">
        <f t="shared" si="862"/>
        <v>0.25</v>
      </c>
      <c r="AI575" s="43">
        <f t="shared" ref="AI575:BB575" si="863">$F15</f>
        <v>0.25</v>
      </c>
      <c r="AJ575" s="43">
        <f t="shared" si="863"/>
        <v>0.25</v>
      </c>
      <c r="AK575" s="43">
        <f t="shared" si="863"/>
        <v>0.25</v>
      </c>
      <c r="AL575" s="43">
        <f t="shared" si="863"/>
        <v>0.25</v>
      </c>
      <c r="AM575" s="43">
        <f t="shared" si="863"/>
        <v>0.25</v>
      </c>
      <c r="AN575" s="43">
        <f t="shared" si="863"/>
        <v>0.25</v>
      </c>
      <c r="AO575" s="43">
        <f t="shared" si="863"/>
        <v>0.25</v>
      </c>
      <c r="AP575" s="43">
        <f t="shared" si="863"/>
        <v>0.25</v>
      </c>
      <c r="AQ575" s="43">
        <f t="shared" si="863"/>
        <v>0.25</v>
      </c>
      <c r="AR575" s="43">
        <f t="shared" si="863"/>
        <v>0.25</v>
      </c>
      <c r="AS575" s="43">
        <f t="shared" si="863"/>
        <v>0.25</v>
      </c>
      <c r="AT575" s="43">
        <f t="shared" si="863"/>
        <v>0.25</v>
      </c>
      <c r="AU575" s="43">
        <f t="shared" si="863"/>
        <v>0.25</v>
      </c>
      <c r="AV575" s="43">
        <f t="shared" si="863"/>
        <v>0.25</v>
      </c>
      <c r="AW575" s="43">
        <f t="shared" si="863"/>
        <v>0.25</v>
      </c>
      <c r="AX575" s="43">
        <f t="shared" si="863"/>
        <v>0.25</v>
      </c>
      <c r="AY575" s="43">
        <f t="shared" si="863"/>
        <v>0.25</v>
      </c>
      <c r="AZ575" s="43">
        <f t="shared" si="863"/>
        <v>0.25</v>
      </c>
      <c r="BA575" s="43">
        <f t="shared" si="863"/>
        <v>0.25</v>
      </c>
      <c r="BB575" s="43">
        <f t="shared" si="863"/>
        <v>0.25</v>
      </c>
    </row>
    <row r="576" spans="2:55" x14ac:dyDescent="0.25">
      <c r="B576" s="43" t="str">
        <f>_xlfn.CONCAT(B463," ",'Client Data'!F$299)</f>
        <v>Product G Rework: Extra Utility Cost (RM)</v>
      </c>
      <c r="C576" s="43">
        <f t="shared" ref="C576:AH576" si="864">$F16</f>
        <v>0.25</v>
      </c>
      <c r="D576" s="43">
        <f t="shared" si="864"/>
        <v>0.25</v>
      </c>
      <c r="E576" s="43">
        <f t="shared" si="864"/>
        <v>0.25</v>
      </c>
      <c r="F576" s="43">
        <f t="shared" si="864"/>
        <v>0.25</v>
      </c>
      <c r="G576" s="43">
        <f t="shared" si="864"/>
        <v>0.25</v>
      </c>
      <c r="H576" s="43">
        <f t="shared" si="864"/>
        <v>0.25</v>
      </c>
      <c r="I576" s="43">
        <f t="shared" si="864"/>
        <v>0.25</v>
      </c>
      <c r="J576" s="43">
        <f t="shared" si="864"/>
        <v>0.25</v>
      </c>
      <c r="K576" s="43">
        <f t="shared" si="864"/>
        <v>0.25</v>
      </c>
      <c r="L576" s="43">
        <f t="shared" si="864"/>
        <v>0.25</v>
      </c>
      <c r="M576" s="43">
        <f t="shared" si="864"/>
        <v>0.25</v>
      </c>
      <c r="N576" s="43">
        <f t="shared" si="864"/>
        <v>0.25</v>
      </c>
      <c r="O576" s="43">
        <f t="shared" si="864"/>
        <v>0.25</v>
      </c>
      <c r="P576" s="43">
        <f t="shared" si="864"/>
        <v>0.25</v>
      </c>
      <c r="Q576" s="43">
        <f t="shared" si="864"/>
        <v>0.25</v>
      </c>
      <c r="R576" s="43">
        <f t="shared" si="864"/>
        <v>0.25</v>
      </c>
      <c r="S576" s="43">
        <f t="shared" si="864"/>
        <v>0.25</v>
      </c>
      <c r="T576" s="43">
        <f t="shared" si="864"/>
        <v>0.25</v>
      </c>
      <c r="U576" s="43">
        <f t="shared" si="864"/>
        <v>0.25</v>
      </c>
      <c r="V576" s="43">
        <f t="shared" si="864"/>
        <v>0.25</v>
      </c>
      <c r="W576" s="43">
        <f t="shared" si="864"/>
        <v>0.25</v>
      </c>
      <c r="X576" s="43">
        <f t="shared" si="864"/>
        <v>0.25</v>
      </c>
      <c r="Y576" s="43">
        <f t="shared" si="864"/>
        <v>0.25</v>
      </c>
      <c r="Z576" s="43">
        <f t="shared" si="864"/>
        <v>0.25</v>
      </c>
      <c r="AA576" s="43">
        <f t="shared" si="864"/>
        <v>0.25</v>
      </c>
      <c r="AB576" s="43">
        <f t="shared" si="864"/>
        <v>0.25</v>
      </c>
      <c r="AC576" s="43">
        <f t="shared" si="864"/>
        <v>0.25</v>
      </c>
      <c r="AD576" s="43">
        <f t="shared" si="864"/>
        <v>0.25</v>
      </c>
      <c r="AE576" s="43">
        <f t="shared" si="864"/>
        <v>0.25</v>
      </c>
      <c r="AF576" s="43">
        <f t="shared" si="864"/>
        <v>0.25</v>
      </c>
      <c r="AG576" s="43">
        <f t="shared" si="864"/>
        <v>0.25</v>
      </c>
      <c r="AH576" s="43">
        <f t="shared" si="864"/>
        <v>0.25</v>
      </c>
      <c r="AI576" s="43">
        <f t="shared" ref="AI576:BB576" si="865">$F16</f>
        <v>0.25</v>
      </c>
      <c r="AJ576" s="43">
        <f t="shared" si="865"/>
        <v>0.25</v>
      </c>
      <c r="AK576" s="43">
        <f t="shared" si="865"/>
        <v>0.25</v>
      </c>
      <c r="AL576" s="43">
        <f t="shared" si="865"/>
        <v>0.25</v>
      </c>
      <c r="AM576" s="43">
        <f t="shared" si="865"/>
        <v>0.25</v>
      </c>
      <c r="AN576" s="43">
        <f t="shared" si="865"/>
        <v>0.25</v>
      </c>
      <c r="AO576" s="43">
        <f t="shared" si="865"/>
        <v>0.25</v>
      </c>
      <c r="AP576" s="43">
        <f t="shared" si="865"/>
        <v>0.25</v>
      </c>
      <c r="AQ576" s="43">
        <f t="shared" si="865"/>
        <v>0.25</v>
      </c>
      <c r="AR576" s="43">
        <f t="shared" si="865"/>
        <v>0.25</v>
      </c>
      <c r="AS576" s="43">
        <f t="shared" si="865"/>
        <v>0.25</v>
      </c>
      <c r="AT576" s="43">
        <f t="shared" si="865"/>
        <v>0.25</v>
      </c>
      <c r="AU576" s="43">
        <f t="shared" si="865"/>
        <v>0.25</v>
      </c>
      <c r="AV576" s="43">
        <f t="shared" si="865"/>
        <v>0.25</v>
      </c>
      <c r="AW576" s="43">
        <f t="shared" si="865"/>
        <v>0.25</v>
      </c>
      <c r="AX576" s="43">
        <f t="shared" si="865"/>
        <v>0.25</v>
      </c>
      <c r="AY576" s="43">
        <f t="shared" si="865"/>
        <v>0.25</v>
      </c>
      <c r="AZ576" s="43">
        <f t="shared" si="865"/>
        <v>0.25</v>
      </c>
      <c r="BA576" s="43">
        <f t="shared" si="865"/>
        <v>0.25</v>
      </c>
      <c r="BB576" s="43">
        <f t="shared" si="865"/>
        <v>0.25</v>
      </c>
    </row>
    <row r="577" spans="2:54" x14ac:dyDescent="0.25">
      <c r="B577" s="43" t="str">
        <f>_xlfn.CONCAT(B464," ",'Client Data'!F$299)</f>
        <v>Product H Rework: Extra Utility Cost (RM)</v>
      </c>
      <c r="C577" s="43">
        <f t="shared" ref="C577:AH577" si="866">$F17</f>
        <v>0.22</v>
      </c>
      <c r="D577" s="43">
        <f t="shared" si="866"/>
        <v>0.22</v>
      </c>
      <c r="E577" s="43">
        <f t="shared" si="866"/>
        <v>0.22</v>
      </c>
      <c r="F577" s="43">
        <f t="shared" si="866"/>
        <v>0.22</v>
      </c>
      <c r="G577" s="43">
        <f t="shared" si="866"/>
        <v>0.22</v>
      </c>
      <c r="H577" s="43">
        <f t="shared" si="866"/>
        <v>0.22</v>
      </c>
      <c r="I577" s="43">
        <f t="shared" si="866"/>
        <v>0.22</v>
      </c>
      <c r="J577" s="43">
        <f t="shared" si="866"/>
        <v>0.22</v>
      </c>
      <c r="K577" s="43">
        <f t="shared" si="866"/>
        <v>0.22</v>
      </c>
      <c r="L577" s="43">
        <f t="shared" si="866"/>
        <v>0.22</v>
      </c>
      <c r="M577" s="43">
        <f t="shared" si="866"/>
        <v>0.22</v>
      </c>
      <c r="N577" s="43">
        <f t="shared" si="866"/>
        <v>0.22</v>
      </c>
      <c r="O577" s="43">
        <f t="shared" si="866"/>
        <v>0.22</v>
      </c>
      <c r="P577" s="43">
        <f t="shared" si="866"/>
        <v>0.22</v>
      </c>
      <c r="Q577" s="43">
        <f t="shared" si="866"/>
        <v>0.22</v>
      </c>
      <c r="R577" s="43">
        <f t="shared" si="866"/>
        <v>0.22</v>
      </c>
      <c r="S577" s="43">
        <f t="shared" si="866"/>
        <v>0.22</v>
      </c>
      <c r="T577" s="43">
        <f t="shared" si="866"/>
        <v>0.22</v>
      </c>
      <c r="U577" s="43">
        <f t="shared" si="866"/>
        <v>0.22</v>
      </c>
      <c r="V577" s="43">
        <f t="shared" si="866"/>
        <v>0.22</v>
      </c>
      <c r="W577" s="43">
        <f t="shared" si="866"/>
        <v>0.22</v>
      </c>
      <c r="X577" s="43">
        <f t="shared" si="866"/>
        <v>0.22</v>
      </c>
      <c r="Y577" s="43">
        <f t="shared" si="866"/>
        <v>0.22</v>
      </c>
      <c r="Z577" s="43">
        <f t="shared" si="866"/>
        <v>0.22</v>
      </c>
      <c r="AA577" s="43">
        <f t="shared" si="866"/>
        <v>0.22</v>
      </c>
      <c r="AB577" s="43">
        <f t="shared" si="866"/>
        <v>0.22</v>
      </c>
      <c r="AC577" s="43">
        <f t="shared" si="866"/>
        <v>0.22</v>
      </c>
      <c r="AD577" s="43">
        <f t="shared" si="866"/>
        <v>0.22</v>
      </c>
      <c r="AE577" s="43">
        <f t="shared" si="866"/>
        <v>0.22</v>
      </c>
      <c r="AF577" s="43">
        <f t="shared" si="866"/>
        <v>0.22</v>
      </c>
      <c r="AG577" s="43">
        <f t="shared" si="866"/>
        <v>0.22</v>
      </c>
      <c r="AH577" s="43">
        <f t="shared" si="866"/>
        <v>0.22</v>
      </c>
      <c r="AI577" s="43">
        <f t="shared" ref="AI577:BB577" si="867">$F17</f>
        <v>0.22</v>
      </c>
      <c r="AJ577" s="43">
        <f t="shared" si="867"/>
        <v>0.22</v>
      </c>
      <c r="AK577" s="43">
        <f t="shared" si="867"/>
        <v>0.22</v>
      </c>
      <c r="AL577" s="43">
        <f t="shared" si="867"/>
        <v>0.22</v>
      </c>
      <c r="AM577" s="43">
        <f t="shared" si="867"/>
        <v>0.22</v>
      </c>
      <c r="AN577" s="43">
        <f t="shared" si="867"/>
        <v>0.22</v>
      </c>
      <c r="AO577" s="43">
        <f t="shared" si="867"/>
        <v>0.22</v>
      </c>
      <c r="AP577" s="43">
        <f t="shared" si="867"/>
        <v>0.22</v>
      </c>
      <c r="AQ577" s="43">
        <f t="shared" si="867"/>
        <v>0.22</v>
      </c>
      <c r="AR577" s="43">
        <f t="shared" si="867"/>
        <v>0.22</v>
      </c>
      <c r="AS577" s="43">
        <f t="shared" si="867"/>
        <v>0.22</v>
      </c>
      <c r="AT577" s="43">
        <f t="shared" si="867"/>
        <v>0.22</v>
      </c>
      <c r="AU577" s="43">
        <f t="shared" si="867"/>
        <v>0.22</v>
      </c>
      <c r="AV577" s="43">
        <f t="shared" si="867"/>
        <v>0.22</v>
      </c>
      <c r="AW577" s="43">
        <f t="shared" si="867"/>
        <v>0.22</v>
      </c>
      <c r="AX577" s="43">
        <f t="shared" si="867"/>
        <v>0.22</v>
      </c>
      <c r="AY577" s="43">
        <f t="shared" si="867"/>
        <v>0.22</v>
      </c>
      <c r="AZ577" s="43">
        <f t="shared" si="867"/>
        <v>0.22</v>
      </c>
      <c r="BA577" s="43">
        <f t="shared" si="867"/>
        <v>0.22</v>
      </c>
      <c r="BB577" s="43">
        <f t="shared" si="867"/>
        <v>0.22</v>
      </c>
    </row>
    <row r="578" spans="2:54" x14ac:dyDescent="0.25">
      <c r="B578" s="80" t="str">
        <f>_xlfn.CONCAT(B457," ",'Client Data'!G$299)</f>
        <v>Product A Price / Unit</v>
      </c>
      <c r="C578" s="80">
        <f t="shared" ref="C578:AH578" si="868">$G10</f>
        <v>26</v>
      </c>
      <c r="D578" s="80">
        <f t="shared" si="868"/>
        <v>26</v>
      </c>
      <c r="E578" s="80">
        <f t="shared" si="868"/>
        <v>26</v>
      </c>
      <c r="F578" s="80">
        <f t="shared" si="868"/>
        <v>26</v>
      </c>
      <c r="G578" s="80">
        <f t="shared" si="868"/>
        <v>26</v>
      </c>
      <c r="H578" s="80">
        <f t="shared" si="868"/>
        <v>26</v>
      </c>
      <c r="I578" s="80">
        <f t="shared" si="868"/>
        <v>26</v>
      </c>
      <c r="J578" s="80">
        <f t="shared" si="868"/>
        <v>26</v>
      </c>
      <c r="K578" s="80">
        <f t="shared" si="868"/>
        <v>26</v>
      </c>
      <c r="L578" s="80">
        <f t="shared" si="868"/>
        <v>26</v>
      </c>
      <c r="M578" s="80">
        <f t="shared" si="868"/>
        <v>26</v>
      </c>
      <c r="N578" s="80">
        <f t="shared" si="868"/>
        <v>26</v>
      </c>
      <c r="O578" s="80">
        <f t="shared" si="868"/>
        <v>26</v>
      </c>
      <c r="P578" s="80">
        <f t="shared" si="868"/>
        <v>26</v>
      </c>
      <c r="Q578" s="80">
        <f t="shared" si="868"/>
        <v>26</v>
      </c>
      <c r="R578" s="80">
        <f t="shared" si="868"/>
        <v>26</v>
      </c>
      <c r="S578" s="80">
        <f t="shared" si="868"/>
        <v>26</v>
      </c>
      <c r="T578" s="80">
        <f t="shared" si="868"/>
        <v>26</v>
      </c>
      <c r="U578" s="80">
        <f t="shared" si="868"/>
        <v>26</v>
      </c>
      <c r="V578" s="80">
        <f t="shared" si="868"/>
        <v>26</v>
      </c>
      <c r="W578" s="80">
        <f t="shared" si="868"/>
        <v>26</v>
      </c>
      <c r="X578" s="80">
        <f t="shared" si="868"/>
        <v>26</v>
      </c>
      <c r="Y578" s="80">
        <f t="shared" si="868"/>
        <v>26</v>
      </c>
      <c r="Z578" s="80">
        <f t="shared" si="868"/>
        <v>26</v>
      </c>
      <c r="AA578" s="80">
        <f t="shared" si="868"/>
        <v>26</v>
      </c>
      <c r="AB578" s="80">
        <f t="shared" si="868"/>
        <v>26</v>
      </c>
      <c r="AC578" s="80">
        <f t="shared" si="868"/>
        <v>26</v>
      </c>
      <c r="AD578" s="80">
        <f t="shared" si="868"/>
        <v>26</v>
      </c>
      <c r="AE578" s="80">
        <f t="shared" si="868"/>
        <v>26</v>
      </c>
      <c r="AF578" s="80">
        <f t="shared" si="868"/>
        <v>26</v>
      </c>
      <c r="AG578" s="80">
        <f t="shared" si="868"/>
        <v>26</v>
      </c>
      <c r="AH578" s="80">
        <f t="shared" si="868"/>
        <v>26</v>
      </c>
      <c r="AI578" s="80">
        <f t="shared" ref="AI578:BB578" si="869">$G10</f>
        <v>26</v>
      </c>
      <c r="AJ578" s="80">
        <f t="shared" si="869"/>
        <v>26</v>
      </c>
      <c r="AK578" s="80">
        <f t="shared" si="869"/>
        <v>26</v>
      </c>
      <c r="AL578" s="80">
        <f t="shared" si="869"/>
        <v>26</v>
      </c>
      <c r="AM578" s="80">
        <f t="shared" si="869"/>
        <v>26</v>
      </c>
      <c r="AN578" s="80">
        <f t="shared" si="869"/>
        <v>26</v>
      </c>
      <c r="AO578" s="80">
        <f t="shared" si="869"/>
        <v>26</v>
      </c>
      <c r="AP578" s="80">
        <f t="shared" si="869"/>
        <v>26</v>
      </c>
      <c r="AQ578" s="80">
        <f t="shared" si="869"/>
        <v>26</v>
      </c>
      <c r="AR578" s="80">
        <f t="shared" si="869"/>
        <v>26</v>
      </c>
      <c r="AS578" s="80">
        <f t="shared" si="869"/>
        <v>26</v>
      </c>
      <c r="AT578" s="80">
        <f t="shared" si="869"/>
        <v>26</v>
      </c>
      <c r="AU578" s="80">
        <f t="shared" si="869"/>
        <v>26</v>
      </c>
      <c r="AV578" s="80">
        <f t="shared" si="869"/>
        <v>26</v>
      </c>
      <c r="AW578" s="80">
        <f t="shared" si="869"/>
        <v>26</v>
      </c>
      <c r="AX578" s="80">
        <f t="shared" si="869"/>
        <v>26</v>
      </c>
      <c r="AY578" s="80">
        <f t="shared" si="869"/>
        <v>26</v>
      </c>
      <c r="AZ578" s="80">
        <f t="shared" si="869"/>
        <v>26</v>
      </c>
      <c r="BA578" s="80">
        <f t="shared" si="869"/>
        <v>26</v>
      </c>
      <c r="BB578" s="80">
        <f t="shared" si="869"/>
        <v>26</v>
      </c>
    </row>
    <row r="579" spans="2:54" x14ac:dyDescent="0.25">
      <c r="B579" s="80" t="str">
        <f>_xlfn.CONCAT(B458," ",'Client Data'!G$299)</f>
        <v>Product B Price / Unit</v>
      </c>
      <c r="C579" s="80">
        <f t="shared" ref="C579:AH579" si="870">$G11</f>
        <v>25</v>
      </c>
      <c r="D579" s="80">
        <f t="shared" si="870"/>
        <v>25</v>
      </c>
      <c r="E579" s="80">
        <f t="shared" si="870"/>
        <v>25</v>
      </c>
      <c r="F579" s="80">
        <f t="shared" si="870"/>
        <v>25</v>
      </c>
      <c r="G579" s="80">
        <f t="shared" si="870"/>
        <v>25</v>
      </c>
      <c r="H579" s="80">
        <f t="shared" si="870"/>
        <v>25</v>
      </c>
      <c r="I579" s="80">
        <f t="shared" si="870"/>
        <v>25</v>
      </c>
      <c r="J579" s="80">
        <f t="shared" si="870"/>
        <v>25</v>
      </c>
      <c r="K579" s="80">
        <f t="shared" si="870"/>
        <v>25</v>
      </c>
      <c r="L579" s="80">
        <f t="shared" si="870"/>
        <v>25</v>
      </c>
      <c r="M579" s="80">
        <f t="shared" si="870"/>
        <v>25</v>
      </c>
      <c r="N579" s="80">
        <f t="shared" si="870"/>
        <v>25</v>
      </c>
      <c r="O579" s="80">
        <f t="shared" si="870"/>
        <v>25</v>
      </c>
      <c r="P579" s="80">
        <f t="shared" si="870"/>
        <v>25</v>
      </c>
      <c r="Q579" s="80">
        <f t="shared" si="870"/>
        <v>25</v>
      </c>
      <c r="R579" s="80">
        <f t="shared" si="870"/>
        <v>25</v>
      </c>
      <c r="S579" s="80">
        <f t="shared" si="870"/>
        <v>25</v>
      </c>
      <c r="T579" s="80">
        <f t="shared" si="870"/>
        <v>25</v>
      </c>
      <c r="U579" s="80">
        <f t="shared" si="870"/>
        <v>25</v>
      </c>
      <c r="V579" s="80">
        <f t="shared" si="870"/>
        <v>25</v>
      </c>
      <c r="W579" s="80">
        <f t="shared" si="870"/>
        <v>25</v>
      </c>
      <c r="X579" s="80">
        <f t="shared" si="870"/>
        <v>25</v>
      </c>
      <c r="Y579" s="80">
        <f t="shared" si="870"/>
        <v>25</v>
      </c>
      <c r="Z579" s="80">
        <f t="shared" si="870"/>
        <v>25</v>
      </c>
      <c r="AA579" s="80">
        <f t="shared" si="870"/>
        <v>25</v>
      </c>
      <c r="AB579" s="80">
        <f t="shared" si="870"/>
        <v>25</v>
      </c>
      <c r="AC579" s="80">
        <f t="shared" si="870"/>
        <v>25</v>
      </c>
      <c r="AD579" s="80">
        <f t="shared" si="870"/>
        <v>25</v>
      </c>
      <c r="AE579" s="80">
        <f t="shared" si="870"/>
        <v>25</v>
      </c>
      <c r="AF579" s="80">
        <f t="shared" si="870"/>
        <v>25</v>
      </c>
      <c r="AG579" s="80">
        <f t="shared" si="870"/>
        <v>25</v>
      </c>
      <c r="AH579" s="80">
        <f t="shared" si="870"/>
        <v>25</v>
      </c>
      <c r="AI579" s="80">
        <f t="shared" ref="AI579:BB579" si="871">$G11</f>
        <v>25</v>
      </c>
      <c r="AJ579" s="80">
        <f t="shared" si="871"/>
        <v>25</v>
      </c>
      <c r="AK579" s="80">
        <f t="shared" si="871"/>
        <v>25</v>
      </c>
      <c r="AL579" s="80">
        <f t="shared" si="871"/>
        <v>25</v>
      </c>
      <c r="AM579" s="80">
        <f t="shared" si="871"/>
        <v>25</v>
      </c>
      <c r="AN579" s="80">
        <f t="shared" si="871"/>
        <v>25</v>
      </c>
      <c r="AO579" s="80">
        <f t="shared" si="871"/>
        <v>25</v>
      </c>
      <c r="AP579" s="80">
        <f t="shared" si="871"/>
        <v>25</v>
      </c>
      <c r="AQ579" s="80">
        <f t="shared" si="871"/>
        <v>25</v>
      </c>
      <c r="AR579" s="80">
        <f t="shared" si="871"/>
        <v>25</v>
      </c>
      <c r="AS579" s="80">
        <f t="shared" si="871"/>
        <v>25</v>
      </c>
      <c r="AT579" s="80">
        <f t="shared" si="871"/>
        <v>25</v>
      </c>
      <c r="AU579" s="80">
        <f t="shared" si="871"/>
        <v>25</v>
      </c>
      <c r="AV579" s="80">
        <f t="shared" si="871"/>
        <v>25</v>
      </c>
      <c r="AW579" s="80">
        <f t="shared" si="871"/>
        <v>25</v>
      </c>
      <c r="AX579" s="80">
        <f t="shared" si="871"/>
        <v>25</v>
      </c>
      <c r="AY579" s="80">
        <f t="shared" si="871"/>
        <v>25</v>
      </c>
      <c r="AZ579" s="80">
        <f t="shared" si="871"/>
        <v>25</v>
      </c>
      <c r="BA579" s="80">
        <f t="shared" si="871"/>
        <v>25</v>
      </c>
      <c r="BB579" s="80">
        <f t="shared" si="871"/>
        <v>25</v>
      </c>
    </row>
    <row r="580" spans="2:54" x14ac:dyDescent="0.25">
      <c r="B580" s="80" t="str">
        <f>_xlfn.CONCAT(B459," ",'Client Data'!G$299)</f>
        <v>Product C Price / Unit</v>
      </c>
      <c r="C580" s="80">
        <f t="shared" ref="C580:AH580" si="872">$G12</f>
        <v>24</v>
      </c>
      <c r="D580" s="80">
        <f t="shared" si="872"/>
        <v>24</v>
      </c>
      <c r="E580" s="80">
        <f t="shared" si="872"/>
        <v>24</v>
      </c>
      <c r="F580" s="80">
        <f t="shared" si="872"/>
        <v>24</v>
      </c>
      <c r="G580" s="80">
        <f t="shared" si="872"/>
        <v>24</v>
      </c>
      <c r="H580" s="80">
        <f t="shared" si="872"/>
        <v>24</v>
      </c>
      <c r="I580" s="80">
        <f t="shared" si="872"/>
        <v>24</v>
      </c>
      <c r="J580" s="80">
        <f t="shared" si="872"/>
        <v>24</v>
      </c>
      <c r="K580" s="80">
        <f t="shared" si="872"/>
        <v>24</v>
      </c>
      <c r="L580" s="80">
        <f t="shared" si="872"/>
        <v>24</v>
      </c>
      <c r="M580" s="80">
        <f t="shared" si="872"/>
        <v>24</v>
      </c>
      <c r="N580" s="80">
        <f t="shared" si="872"/>
        <v>24</v>
      </c>
      <c r="O580" s="80">
        <f t="shared" si="872"/>
        <v>24</v>
      </c>
      <c r="P580" s="80">
        <f t="shared" si="872"/>
        <v>24</v>
      </c>
      <c r="Q580" s="80">
        <f t="shared" si="872"/>
        <v>24</v>
      </c>
      <c r="R580" s="80">
        <f t="shared" si="872"/>
        <v>24</v>
      </c>
      <c r="S580" s="80">
        <f t="shared" si="872"/>
        <v>24</v>
      </c>
      <c r="T580" s="80">
        <f t="shared" si="872"/>
        <v>24</v>
      </c>
      <c r="U580" s="80">
        <f t="shared" si="872"/>
        <v>24</v>
      </c>
      <c r="V580" s="80">
        <f t="shared" si="872"/>
        <v>24</v>
      </c>
      <c r="W580" s="80">
        <f t="shared" si="872"/>
        <v>24</v>
      </c>
      <c r="X580" s="80">
        <f t="shared" si="872"/>
        <v>24</v>
      </c>
      <c r="Y580" s="80">
        <f t="shared" si="872"/>
        <v>24</v>
      </c>
      <c r="Z580" s="80">
        <f t="shared" si="872"/>
        <v>24</v>
      </c>
      <c r="AA580" s="80">
        <f t="shared" si="872"/>
        <v>24</v>
      </c>
      <c r="AB580" s="80">
        <f t="shared" si="872"/>
        <v>24</v>
      </c>
      <c r="AC580" s="80">
        <f t="shared" si="872"/>
        <v>24</v>
      </c>
      <c r="AD580" s="80">
        <f t="shared" si="872"/>
        <v>24</v>
      </c>
      <c r="AE580" s="80">
        <f t="shared" si="872"/>
        <v>24</v>
      </c>
      <c r="AF580" s="80">
        <f t="shared" si="872"/>
        <v>24</v>
      </c>
      <c r="AG580" s="80">
        <f t="shared" si="872"/>
        <v>24</v>
      </c>
      <c r="AH580" s="80">
        <f t="shared" si="872"/>
        <v>24</v>
      </c>
      <c r="AI580" s="80">
        <f t="shared" ref="AI580:BB580" si="873">$G12</f>
        <v>24</v>
      </c>
      <c r="AJ580" s="80">
        <f t="shared" si="873"/>
        <v>24</v>
      </c>
      <c r="AK580" s="80">
        <f t="shared" si="873"/>
        <v>24</v>
      </c>
      <c r="AL580" s="80">
        <f t="shared" si="873"/>
        <v>24</v>
      </c>
      <c r="AM580" s="80">
        <f t="shared" si="873"/>
        <v>24</v>
      </c>
      <c r="AN580" s="80">
        <f t="shared" si="873"/>
        <v>24</v>
      </c>
      <c r="AO580" s="80">
        <f t="shared" si="873"/>
        <v>24</v>
      </c>
      <c r="AP580" s="80">
        <f t="shared" si="873"/>
        <v>24</v>
      </c>
      <c r="AQ580" s="80">
        <f t="shared" si="873"/>
        <v>24</v>
      </c>
      <c r="AR580" s="80">
        <f t="shared" si="873"/>
        <v>24</v>
      </c>
      <c r="AS580" s="80">
        <f t="shared" si="873"/>
        <v>24</v>
      </c>
      <c r="AT580" s="80">
        <f t="shared" si="873"/>
        <v>24</v>
      </c>
      <c r="AU580" s="80">
        <f t="shared" si="873"/>
        <v>24</v>
      </c>
      <c r="AV580" s="80">
        <f t="shared" si="873"/>
        <v>24</v>
      </c>
      <c r="AW580" s="80">
        <f t="shared" si="873"/>
        <v>24</v>
      </c>
      <c r="AX580" s="80">
        <f t="shared" si="873"/>
        <v>24</v>
      </c>
      <c r="AY580" s="80">
        <f t="shared" si="873"/>
        <v>24</v>
      </c>
      <c r="AZ580" s="80">
        <f t="shared" si="873"/>
        <v>24</v>
      </c>
      <c r="BA580" s="80">
        <f t="shared" si="873"/>
        <v>24</v>
      </c>
      <c r="BB580" s="80">
        <f t="shared" si="873"/>
        <v>24</v>
      </c>
    </row>
    <row r="581" spans="2:54" x14ac:dyDescent="0.25">
      <c r="B581" s="80" t="str">
        <f>_xlfn.CONCAT(B460," ",'Client Data'!G$299)</f>
        <v>Product D Price / Unit</v>
      </c>
      <c r="C581" s="80">
        <f t="shared" ref="C581:AH581" si="874">$G13</f>
        <v>21</v>
      </c>
      <c r="D581" s="80">
        <f t="shared" si="874"/>
        <v>21</v>
      </c>
      <c r="E581" s="80">
        <f t="shared" si="874"/>
        <v>21</v>
      </c>
      <c r="F581" s="80">
        <f t="shared" si="874"/>
        <v>21</v>
      </c>
      <c r="G581" s="80">
        <f t="shared" si="874"/>
        <v>21</v>
      </c>
      <c r="H581" s="80">
        <f t="shared" si="874"/>
        <v>21</v>
      </c>
      <c r="I581" s="80">
        <f t="shared" si="874"/>
        <v>21</v>
      </c>
      <c r="J581" s="80">
        <f t="shared" si="874"/>
        <v>21</v>
      </c>
      <c r="K581" s="80">
        <f t="shared" si="874"/>
        <v>21</v>
      </c>
      <c r="L581" s="80">
        <f t="shared" si="874"/>
        <v>21</v>
      </c>
      <c r="M581" s="80">
        <f t="shared" si="874"/>
        <v>21</v>
      </c>
      <c r="N581" s="80">
        <f t="shared" si="874"/>
        <v>21</v>
      </c>
      <c r="O581" s="80">
        <f t="shared" si="874"/>
        <v>21</v>
      </c>
      <c r="P581" s="80">
        <f t="shared" si="874"/>
        <v>21</v>
      </c>
      <c r="Q581" s="80">
        <f t="shared" si="874"/>
        <v>21</v>
      </c>
      <c r="R581" s="80">
        <f t="shared" si="874"/>
        <v>21</v>
      </c>
      <c r="S581" s="80">
        <f t="shared" si="874"/>
        <v>21</v>
      </c>
      <c r="T581" s="80">
        <f t="shared" si="874"/>
        <v>21</v>
      </c>
      <c r="U581" s="80">
        <f t="shared" si="874"/>
        <v>21</v>
      </c>
      <c r="V581" s="80">
        <f t="shared" si="874"/>
        <v>21</v>
      </c>
      <c r="W581" s="80">
        <f t="shared" si="874"/>
        <v>21</v>
      </c>
      <c r="X581" s="80">
        <f t="shared" si="874"/>
        <v>21</v>
      </c>
      <c r="Y581" s="80">
        <f t="shared" si="874"/>
        <v>21</v>
      </c>
      <c r="Z581" s="80">
        <f t="shared" si="874"/>
        <v>21</v>
      </c>
      <c r="AA581" s="80">
        <f t="shared" si="874"/>
        <v>21</v>
      </c>
      <c r="AB581" s="80">
        <f t="shared" si="874"/>
        <v>21</v>
      </c>
      <c r="AC581" s="80">
        <f t="shared" si="874"/>
        <v>21</v>
      </c>
      <c r="AD581" s="80">
        <f t="shared" si="874"/>
        <v>21</v>
      </c>
      <c r="AE581" s="80">
        <f t="shared" si="874"/>
        <v>21</v>
      </c>
      <c r="AF581" s="80">
        <f t="shared" si="874"/>
        <v>21</v>
      </c>
      <c r="AG581" s="80">
        <f t="shared" si="874"/>
        <v>21</v>
      </c>
      <c r="AH581" s="80">
        <f t="shared" si="874"/>
        <v>21</v>
      </c>
      <c r="AI581" s="80">
        <f t="shared" ref="AI581:BB581" si="875">$G13</f>
        <v>21</v>
      </c>
      <c r="AJ581" s="80">
        <f t="shared" si="875"/>
        <v>21</v>
      </c>
      <c r="AK581" s="80">
        <f t="shared" si="875"/>
        <v>21</v>
      </c>
      <c r="AL581" s="80">
        <f t="shared" si="875"/>
        <v>21</v>
      </c>
      <c r="AM581" s="80">
        <f t="shared" si="875"/>
        <v>21</v>
      </c>
      <c r="AN581" s="80">
        <f t="shared" si="875"/>
        <v>21</v>
      </c>
      <c r="AO581" s="80">
        <f t="shared" si="875"/>
        <v>21</v>
      </c>
      <c r="AP581" s="80">
        <f t="shared" si="875"/>
        <v>21</v>
      </c>
      <c r="AQ581" s="80">
        <f t="shared" si="875"/>
        <v>21</v>
      </c>
      <c r="AR581" s="80">
        <f t="shared" si="875"/>
        <v>21</v>
      </c>
      <c r="AS581" s="80">
        <f t="shared" si="875"/>
        <v>21</v>
      </c>
      <c r="AT581" s="80">
        <f t="shared" si="875"/>
        <v>21</v>
      </c>
      <c r="AU581" s="80">
        <f t="shared" si="875"/>
        <v>21</v>
      </c>
      <c r="AV581" s="80">
        <f t="shared" si="875"/>
        <v>21</v>
      </c>
      <c r="AW581" s="80">
        <f t="shared" si="875"/>
        <v>21</v>
      </c>
      <c r="AX581" s="80">
        <f t="shared" si="875"/>
        <v>21</v>
      </c>
      <c r="AY581" s="80">
        <f t="shared" si="875"/>
        <v>21</v>
      </c>
      <c r="AZ581" s="80">
        <f t="shared" si="875"/>
        <v>21</v>
      </c>
      <c r="BA581" s="80">
        <f t="shared" si="875"/>
        <v>21</v>
      </c>
      <c r="BB581" s="80">
        <f t="shared" si="875"/>
        <v>21</v>
      </c>
    </row>
    <row r="582" spans="2:54" x14ac:dyDescent="0.25">
      <c r="B582" s="80" t="str">
        <f>_xlfn.CONCAT(B461," ",'Client Data'!G$299)</f>
        <v>Product E Price / Unit</v>
      </c>
      <c r="C582" s="80">
        <f t="shared" ref="C582:AH582" si="876">$G14</f>
        <v>23</v>
      </c>
      <c r="D582" s="80">
        <f t="shared" si="876"/>
        <v>23</v>
      </c>
      <c r="E582" s="80">
        <f t="shared" si="876"/>
        <v>23</v>
      </c>
      <c r="F582" s="80">
        <f t="shared" si="876"/>
        <v>23</v>
      </c>
      <c r="G582" s="80">
        <f t="shared" si="876"/>
        <v>23</v>
      </c>
      <c r="H582" s="80">
        <f t="shared" si="876"/>
        <v>23</v>
      </c>
      <c r="I582" s="80">
        <f t="shared" si="876"/>
        <v>23</v>
      </c>
      <c r="J582" s="80">
        <f t="shared" si="876"/>
        <v>23</v>
      </c>
      <c r="K582" s="80">
        <f t="shared" si="876"/>
        <v>23</v>
      </c>
      <c r="L582" s="80">
        <f t="shared" si="876"/>
        <v>23</v>
      </c>
      <c r="M582" s="80">
        <f t="shared" si="876"/>
        <v>23</v>
      </c>
      <c r="N582" s="80">
        <f t="shared" si="876"/>
        <v>23</v>
      </c>
      <c r="O582" s="80">
        <f t="shared" si="876"/>
        <v>23</v>
      </c>
      <c r="P582" s="80">
        <f t="shared" si="876"/>
        <v>23</v>
      </c>
      <c r="Q582" s="80">
        <f t="shared" si="876"/>
        <v>23</v>
      </c>
      <c r="R582" s="80">
        <f t="shared" si="876"/>
        <v>23</v>
      </c>
      <c r="S582" s="80">
        <f t="shared" si="876"/>
        <v>23</v>
      </c>
      <c r="T582" s="80">
        <f t="shared" si="876"/>
        <v>23</v>
      </c>
      <c r="U582" s="80">
        <f t="shared" si="876"/>
        <v>23</v>
      </c>
      <c r="V582" s="80">
        <f t="shared" si="876"/>
        <v>23</v>
      </c>
      <c r="W582" s="80">
        <f t="shared" si="876"/>
        <v>23</v>
      </c>
      <c r="X582" s="80">
        <f t="shared" si="876"/>
        <v>23</v>
      </c>
      <c r="Y582" s="80">
        <f t="shared" si="876"/>
        <v>23</v>
      </c>
      <c r="Z582" s="80">
        <f t="shared" si="876"/>
        <v>23</v>
      </c>
      <c r="AA582" s="80">
        <f t="shared" si="876"/>
        <v>23</v>
      </c>
      <c r="AB582" s="80">
        <f t="shared" si="876"/>
        <v>23</v>
      </c>
      <c r="AC582" s="80">
        <f t="shared" si="876"/>
        <v>23</v>
      </c>
      <c r="AD582" s="80">
        <f t="shared" si="876"/>
        <v>23</v>
      </c>
      <c r="AE582" s="80">
        <f t="shared" si="876"/>
        <v>23</v>
      </c>
      <c r="AF582" s="80">
        <f t="shared" si="876"/>
        <v>23</v>
      </c>
      <c r="AG582" s="80">
        <f t="shared" si="876"/>
        <v>23</v>
      </c>
      <c r="AH582" s="80">
        <f t="shared" si="876"/>
        <v>23</v>
      </c>
      <c r="AI582" s="80">
        <f t="shared" ref="AI582:BB582" si="877">$G14</f>
        <v>23</v>
      </c>
      <c r="AJ582" s="80">
        <f t="shared" si="877"/>
        <v>23</v>
      </c>
      <c r="AK582" s="80">
        <f t="shared" si="877"/>
        <v>23</v>
      </c>
      <c r="AL582" s="80">
        <f t="shared" si="877"/>
        <v>23</v>
      </c>
      <c r="AM582" s="80">
        <f t="shared" si="877"/>
        <v>23</v>
      </c>
      <c r="AN582" s="80">
        <f t="shared" si="877"/>
        <v>23</v>
      </c>
      <c r="AO582" s="80">
        <f t="shared" si="877"/>
        <v>23</v>
      </c>
      <c r="AP582" s="80">
        <f t="shared" si="877"/>
        <v>23</v>
      </c>
      <c r="AQ582" s="80">
        <f t="shared" si="877"/>
        <v>23</v>
      </c>
      <c r="AR582" s="80">
        <f t="shared" si="877"/>
        <v>23</v>
      </c>
      <c r="AS582" s="80">
        <f t="shared" si="877"/>
        <v>23</v>
      </c>
      <c r="AT582" s="80">
        <f t="shared" si="877"/>
        <v>23</v>
      </c>
      <c r="AU582" s="80">
        <f t="shared" si="877"/>
        <v>23</v>
      </c>
      <c r="AV582" s="80">
        <f t="shared" si="877"/>
        <v>23</v>
      </c>
      <c r="AW582" s="80">
        <f t="shared" si="877"/>
        <v>23</v>
      </c>
      <c r="AX582" s="80">
        <f t="shared" si="877"/>
        <v>23</v>
      </c>
      <c r="AY582" s="80">
        <f t="shared" si="877"/>
        <v>23</v>
      </c>
      <c r="AZ582" s="80">
        <f t="shared" si="877"/>
        <v>23</v>
      </c>
      <c r="BA582" s="80">
        <f t="shared" si="877"/>
        <v>23</v>
      </c>
      <c r="BB582" s="80">
        <f t="shared" si="877"/>
        <v>23</v>
      </c>
    </row>
    <row r="583" spans="2:54" x14ac:dyDescent="0.25">
      <c r="B583" s="80" t="str">
        <f>_xlfn.CONCAT(B462," ",'Client Data'!G$299)</f>
        <v>Product F Price / Unit</v>
      </c>
      <c r="C583" s="80">
        <f t="shared" ref="C583:AH583" si="878">$G15</f>
        <v>22</v>
      </c>
      <c r="D583" s="80">
        <f t="shared" si="878"/>
        <v>22</v>
      </c>
      <c r="E583" s="80">
        <f t="shared" si="878"/>
        <v>22</v>
      </c>
      <c r="F583" s="80">
        <f t="shared" si="878"/>
        <v>22</v>
      </c>
      <c r="G583" s="80">
        <f t="shared" si="878"/>
        <v>22</v>
      </c>
      <c r="H583" s="80">
        <f t="shared" si="878"/>
        <v>22</v>
      </c>
      <c r="I583" s="80">
        <f t="shared" si="878"/>
        <v>22</v>
      </c>
      <c r="J583" s="80">
        <f t="shared" si="878"/>
        <v>22</v>
      </c>
      <c r="K583" s="80">
        <f t="shared" si="878"/>
        <v>22</v>
      </c>
      <c r="L583" s="80">
        <f t="shared" si="878"/>
        <v>22</v>
      </c>
      <c r="M583" s="80">
        <f t="shared" si="878"/>
        <v>22</v>
      </c>
      <c r="N583" s="80">
        <f t="shared" si="878"/>
        <v>22</v>
      </c>
      <c r="O583" s="80">
        <f t="shared" si="878"/>
        <v>22</v>
      </c>
      <c r="P583" s="80">
        <f t="shared" si="878"/>
        <v>22</v>
      </c>
      <c r="Q583" s="80">
        <f t="shared" si="878"/>
        <v>22</v>
      </c>
      <c r="R583" s="80">
        <f t="shared" si="878"/>
        <v>22</v>
      </c>
      <c r="S583" s="80">
        <f t="shared" si="878"/>
        <v>22</v>
      </c>
      <c r="T583" s="80">
        <f t="shared" si="878"/>
        <v>22</v>
      </c>
      <c r="U583" s="80">
        <f t="shared" si="878"/>
        <v>22</v>
      </c>
      <c r="V583" s="80">
        <f t="shared" si="878"/>
        <v>22</v>
      </c>
      <c r="W583" s="80">
        <f t="shared" si="878"/>
        <v>22</v>
      </c>
      <c r="X583" s="80">
        <f t="shared" si="878"/>
        <v>22</v>
      </c>
      <c r="Y583" s="80">
        <f t="shared" si="878"/>
        <v>22</v>
      </c>
      <c r="Z583" s="80">
        <f t="shared" si="878"/>
        <v>22</v>
      </c>
      <c r="AA583" s="80">
        <f t="shared" si="878"/>
        <v>22</v>
      </c>
      <c r="AB583" s="80">
        <f t="shared" si="878"/>
        <v>22</v>
      </c>
      <c r="AC583" s="80">
        <f t="shared" si="878"/>
        <v>22</v>
      </c>
      <c r="AD583" s="80">
        <f t="shared" si="878"/>
        <v>22</v>
      </c>
      <c r="AE583" s="80">
        <f t="shared" si="878"/>
        <v>22</v>
      </c>
      <c r="AF583" s="80">
        <f t="shared" si="878"/>
        <v>22</v>
      </c>
      <c r="AG583" s="80">
        <f t="shared" si="878"/>
        <v>22</v>
      </c>
      <c r="AH583" s="80">
        <f t="shared" si="878"/>
        <v>22</v>
      </c>
      <c r="AI583" s="80">
        <f t="shared" ref="AI583:BB583" si="879">$G15</f>
        <v>22</v>
      </c>
      <c r="AJ583" s="80">
        <f t="shared" si="879"/>
        <v>22</v>
      </c>
      <c r="AK583" s="80">
        <f t="shared" si="879"/>
        <v>22</v>
      </c>
      <c r="AL583" s="80">
        <f t="shared" si="879"/>
        <v>22</v>
      </c>
      <c r="AM583" s="80">
        <f t="shared" si="879"/>
        <v>22</v>
      </c>
      <c r="AN583" s="80">
        <f t="shared" si="879"/>
        <v>22</v>
      </c>
      <c r="AO583" s="80">
        <f t="shared" si="879"/>
        <v>22</v>
      </c>
      <c r="AP583" s="80">
        <f t="shared" si="879"/>
        <v>22</v>
      </c>
      <c r="AQ583" s="80">
        <f t="shared" si="879"/>
        <v>22</v>
      </c>
      <c r="AR583" s="80">
        <f t="shared" si="879"/>
        <v>22</v>
      </c>
      <c r="AS583" s="80">
        <f t="shared" si="879"/>
        <v>22</v>
      </c>
      <c r="AT583" s="80">
        <f t="shared" si="879"/>
        <v>22</v>
      </c>
      <c r="AU583" s="80">
        <f t="shared" si="879"/>
        <v>22</v>
      </c>
      <c r="AV583" s="80">
        <f t="shared" si="879"/>
        <v>22</v>
      </c>
      <c r="AW583" s="80">
        <f t="shared" si="879"/>
        <v>22</v>
      </c>
      <c r="AX583" s="80">
        <f t="shared" si="879"/>
        <v>22</v>
      </c>
      <c r="AY583" s="80">
        <f t="shared" si="879"/>
        <v>22</v>
      </c>
      <c r="AZ583" s="80">
        <f t="shared" si="879"/>
        <v>22</v>
      </c>
      <c r="BA583" s="80">
        <f t="shared" si="879"/>
        <v>22</v>
      </c>
      <c r="BB583" s="80">
        <f t="shared" si="879"/>
        <v>22</v>
      </c>
    </row>
    <row r="584" spans="2:54" x14ac:dyDescent="0.25">
      <c r="B584" s="80" t="str">
        <f>_xlfn.CONCAT(B463," ",'Client Data'!G$299)</f>
        <v>Product G Price / Unit</v>
      </c>
      <c r="C584" s="80">
        <f t="shared" ref="C584:AH584" si="880">$G16</f>
        <v>24</v>
      </c>
      <c r="D584" s="80">
        <f t="shared" si="880"/>
        <v>24</v>
      </c>
      <c r="E584" s="80">
        <f t="shared" si="880"/>
        <v>24</v>
      </c>
      <c r="F584" s="80">
        <f t="shared" si="880"/>
        <v>24</v>
      </c>
      <c r="G584" s="80">
        <f t="shared" si="880"/>
        <v>24</v>
      </c>
      <c r="H584" s="80">
        <f t="shared" si="880"/>
        <v>24</v>
      </c>
      <c r="I584" s="80">
        <f t="shared" si="880"/>
        <v>24</v>
      </c>
      <c r="J584" s="80">
        <f t="shared" si="880"/>
        <v>24</v>
      </c>
      <c r="K584" s="80">
        <f t="shared" si="880"/>
        <v>24</v>
      </c>
      <c r="L584" s="80">
        <f t="shared" si="880"/>
        <v>24</v>
      </c>
      <c r="M584" s="80">
        <f t="shared" si="880"/>
        <v>24</v>
      </c>
      <c r="N584" s="80">
        <f t="shared" si="880"/>
        <v>24</v>
      </c>
      <c r="O584" s="80">
        <f t="shared" si="880"/>
        <v>24</v>
      </c>
      <c r="P584" s="80">
        <f t="shared" si="880"/>
        <v>24</v>
      </c>
      <c r="Q584" s="80">
        <f t="shared" si="880"/>
        <v>24</v>
      </c>
      <c r="R584" s="80">
        <f t="shared" si="880"/>
        <v>24</v>
      </c>
      <c r="S584" s="80">
        <f t="shared" si="880"/>
        <v>24</v>
      </c>
      <c r="T584" s="80">
        <f t="shared" si="880"/>
        <v>24</v>
      </c>
      <c r="U584" s="80">
        <f t="shared" si="880"/>
        <v>24</v>
      </c>
      <c r="V584" s="80">
        <f t="shared" si="880"/>
        <v>24</v>
      </c>
      <c r="W584" s="80">
        <f t="shared" si="880"/>
        <v>24</v>
      </c>
      <c r="X584" s="80">
        <f t="shared" si="880"/>
        <v>24</v>
      </c>
      <c r="Y584" s="80">
        <f t="shared" si="880"/>
        <v>24</v>
      </c>
      <c r="Z584" s="80">
        <f t="shared" si="880"/>
        <v>24</v>
      </c>
      <c r="AA584" s="80">
        <f t="shared" si="880"/>
        <v>24</v>
      </c>
      <c r="AB584" s="80">
        <f t="shared" si="880"/>
        <v>24</v>
      </c>
      <c r="AC584" s="80">
        <f t="shared" si="880"/>
        <v>24</v>
      </c>
      <c r="AD584" s="80">
        <f t="shared" si="880"/>
        <v>24</v>
      </c>
      <c r="AE584" s="80">
        <f t="shared" si="880"/>
        <v>24</v>
      </c>
      <c r="AF584" s="80">
        <f t="shared" si="880"/>
        <v>24</v>
      </c>
      <c r="AG584" s="80">
        <f t="shared" si="880"/>
        <v>24</v>
      </c>
      <c r="AH584" s="80">
        <f t="shared" si="880"/>
        <v>24</v>
      </c>
      <c r="AI584" s="80">
        <f t="shared" ref="AI584:BB584" si="881">$G16</f>
        <v>24</v>
      </c>
      <c r="AJ584" s="80">
        <f t="shared" si="881"/>
        <v>24</v>
      </c>
      <c r="AK584" s="80">
        <f t="shared" si="881"/>
        <v>24</v>
      </c>
      <c r="AL584" s="80">
        <f t="shared" si="881"/>
        <v>24</v>
      </c>
      <c r="AM584" s="80">
        <f t="shared" si="881"/>
        <v>24</v>
      </c>
      <c r="AN584" s="80">
        <f t="shared" si="881"/>
        <v>24</v>
      </c>
      <c r="AO584" s="80">
        <f t="shared" si="881"/>
        <v>24</v>
      </c>
      <c r="AP584" s="80">
        <f t="shared" si="881"/>
        <v>24</v>
      </c>
      <c r="AQ584" s="80">
        <f t="shared" si="881"/>
        <v>24</v>
      </c>
      <c r="AR584" s="80">
        <f t="shared" si="881"/>
        <v>24</v>
      </c>
      <c r="AS584" s="80">
        <f t="shared" si="881"/>
        <v>24</v>
      </c>
      <c r="AT584" s="80">
        <f t="shared" si="881"/>
        <v>24</v>
      </c>
      <c r="AU584" s="80">
        <f t="shared" si="881"/>
        <v>24</v>
      </c>
      <c r="AV584" s="80">
        <f t="shared" si="881"/>
        <v>24</v>
      </c>
      <c r="AW584" s="80">
        <f t="shared" si="881"/>
        <v>24</v>
      </c>
      <c r="AX584" s="80">
        <f t="shared" si="881"/>
        <v>24</v>
      </c>
      <c r="AY584" s="80">
        <f t="shared" si="881"/>
        <v>24</v>
      </c>
      <c r="AZ584" s="80">
        <f t="shared" si="881"/>
        <v>24</v>
      </c>
      <c r="BA584" s="80">
        <f t="shared" si="881"/>
        <v>24</v>
      </c>
      <c r="BB584" s="80">
        <f t="shared" si="881"/>
        <v>24</v>
      </c>
    </row>
    <row r="585" spans="2:54" x14ac:dyDescent="0.25">
      <c r="B585" s="80" t="str">
        <f>_xlfn.CONCAT(B464," ",'Client Data'!G$299)</f>
        <v>Product H Price / Unit</v>
      </c>
      <c r="C585" s="80">
        <f t="shared" ref="C585:AH585" si="882">$G17</f>
        <v>26</v>
      </c>
      <c r="D585" s="80">
        <f t="shared" si="882"/>
        <v>26</v>
      </c>
      <c r="E585" s="80">
        <f t="shared" si="882"/>
        <v>26</v>
      </c>
      <c r="F585" s="80">
        <f t="shared" si="882"/>
        <v>26</v>
      </c>
      <c r="G585" s="80">
        <f t="shared" si="882"/>
        <v>26</v>
      </c>
      <c r="H585" s="80">
        <f t="shared" si="882"/>
        <v>26</v>
      </c>
      <c r="I585" s="80">
        <f t="shared" si="882"/>
        <v>26</v>
      </c>
      <c r="J585" s="80">
        <f t="shared" si="882"/>
        <v>26</v>
      </c>
      <c r="K585" s="80">
        <f t="shared" si="882"/>
        <v>26</v>
      </c>
      <c r="L585" s="80">
        <f t="shared" si="882"/>
        <v>26</v>
      </c>
      <c r="M585" s="80">
        <f t="shared" si="882"/>
        <v>26</v>
      </c>
      <c r="N585" s="80">
        <f t="shared" si="882"/>
        <v>26</v>
      </c>
      <c r="O585" s="80">
        <f t="shared" si="882"/>
        <v>26</v>
      </c>
      <c r="P585" s="80">
        <f t="shared" si="882"/>
        <v>26</v>
      </c>
      <c r="Q585" s="80">
        <f t="shared" si="882"/>
        <v>26</v>
      </c>
      <c r="R585" s="80">
        <f t="shared" si="882"/>
        <v>26</v>
      </c>
      <c r="S585" s="80">
        <f t="shared" si="882"/>
        <v>26</v>
      </c>
      <c r="T585" s="80">
        <f t="shared" si="882"/>
        <v>26</v>
      </c>
      <c r="U585" s="80">
        <f t="shared" si="882"/>
        <v>26</v>
      </c>
      <c r="V585" s="80">
        <f t="shared" si="882"/>
        <v>26</v>
      </c>
      <c r="W585" s="80">
        <f t="shared" si="882"/>
        <v>26</v>
      </c>
      <c r="X585" s="80">
        <f t="shared" si="882"/>
        <v>26</v>
      </c>
      <c r="Y585" s="80">
        <f t="shared" si="882"/>
        <v>26</v>
      </c>
      <c r="Z585" s="80">
        <f t="shared" si="882"/>
        <v>26</v>
      </c>
      <c r="AA585" s="80">
        <f t="shared" si="882"/>
        <v>26</v>
      </c>
      <c r="AB585" s="80">
        <f t="shared" si="882"/>
        <v>26</v>
      </c>
      <c r="AC585" s="80">
        <f t="shared" si="882"/>
        <v>26</v>
      </c>
      <c r="AD585" s="80">
        <f t="shared" si="882"/>
        <v>26</v>
      </c>
      <c r="AE585" s="80">
        <f t="shared" si="882"/>
        <v>26</v>
      </c>
      <c r="AF585" s="80">
        <f t="shared" si="882"/>
        <v>26</v>
      </c>
      <c r="AG585" s="80">
        <f t="shared" si="882"/>
        <v>26</v>
      </c>
      <c r="AH585" s="80">
        <f t="shared" si="882"/>
        <v>26</v>
      </c>
      <c r="AI585" s="80">
        <f t="shared" ref="AI585:BB585" si="883">$G17</f>
        <v>26</v>
      </c>
      <c r="AJ585" s="80">
        <f t="shared" si="883"/>
        <v>26</v>
      </c>
      <c r="AK585" s="80">
        <f t="shared" si="883"/>
        <v>26</v>
      </c>
      <c r="AL585" s="80">
        <f t="shared" si="883"/>
        <v>26</v>
      </c>
      <c r="AM585" s="80">
        <f t="shared" si="883"/>
        <v>26</v>
      </c>
      <c r="AN585" s="80">
        <f t="shared" si="883"/>
        <v>26</v>
      </c>
      <c r="AO585" s="80">
        <f t="shared" si="883"/>
        <v>26</v>
      </c>
      <c r="AP585" s="80">
        <f t="shared" si="883"/>
        <v>26</v>
      </c>
      <c r="AQ585" s="80">
        <f t="shared" si="883"/>
        <v>26</v>
      </c>
      <c r="AR585" s="80">
        <f t="shared" si="883"/>
        <v>26</v>
      </c>
      <c r="AS585" s="80">
        <f t="shared" si="883"/>
        <v>26</v>
      </c>
      <c r="AT585" s="80">
        <f t="shared" si="883"/>
        <v>26</v>
      </c>
      <c r="AU585" s="80">
        <f t="shared" si="883"/>
        <v>26</v>
      </c>
      <c r="AV585" s="80">
        <f t="shared" si="883"/>
        <v>26</v>
      </c>
      <c r="AW585" s="80">
        <f t="shared" si="883"/>
        <v>26</v>
      </c>
      <c r="AX585" s="80">
        <f t="shared" si="883"/>
        <v>26</v>
      </c>
      <c r="AY585" s="80">
        <f t="shared" si="883"/>
        <v>26</v>
      </c>
      <c r="AZ585" s="80">
        <f t="shared" si="883"/>
        <v>26</v>
      </c>
      <c r="BA585" s="80">
        <f t="shared" si="883"/>
        <v>26</v>
      </c>
      <c r="BB585" s="80">
        <f t="shared" si="883"/>
        <v>26</v>
      </c>
    </row>
    <row r="586" spans="2:54" x14ac:dyDescent="0.25">
      <c r="B586" s="43" t="str">
        <f>_xlfn.CONCAT(B457," ",'Client Data'!H$299)</f>
        <v>Product A Material Cost / Unit (RM)</v>
      </c>
      <c r="C586" s="43">
        <f t="shared" ref="C586:AH586" si="884">$H10</f>
        <v>7</v>
      </c>
      <c r="D586" s="43">
        <f t="shared" si="884"/>
        <v>7</v>
      </c>
      <c r="E586" s="43">
        <f t="shared" si="884"/>
        <v>7</v>
      </c>
      <c r="F586" s="43">
        <f t="shared" si="884"/>
        <v>7</v>
      </c>
      <c r="G586" s="43">
        <f t="shared" si="884"/>
        <v>7</v>
      </c>
      <c r="H586" s="43">
        <f t="shared" si="884"/>
        <v>7</v>
      </c>
      <c r="I586" s="43">
        <f t="shared" si="884"/>
        <v>7</v>
      </c>
      <c r="J586" s="43">
        <f t="shared" si="884"/>
        <v>7</v>
      </c>
      <c r="K586" s="43">
        <f t="shared" si="884"/>
        <v>7</v>
      </c>
      <c r="L586" s="43">
        <f t="shared" si="884"/>
        <v>7</v>
      </c>
      <c r="M586" s="43">
        <f t="shared" si="884"/>
        <v>7</v>
      </c>
      <c r="N586" s="43">
        <f t="shared" si="884"/>
        <v>7</v>
      </c>
      <c r="O586" s="43">
        <f t="shared" si="884"/>
        <v>7</v>
      </c>
      <c r="P586" s="43">
        <f t="shared" si="884"/>
        <v>7</v>
      </c>
      <c r="Q586" s="43">
        <f t="shared" si="884"/>
        <v>7</v>
      </c>
      <c r="R586" s="43">
        <f t="shared" si="884"/>
        <v>7</v>
      </c>
      <c r="S586" s="43">
        <f t="shared" si="884"/>
        <v>7</v>
      </c>
      <c r="T586" s="43">
        <f t="shared" si="884"/>
        <v>7</v>
      </c>
      <c r="U586" s="43">
        <f t="shared" si="884"/>
        <v>7</v>
      </c>
      <c r="V586" s="43">
        <f t="shared" si="884"/>
        <v>7</v>
      </c>
      <c r="W586" s="43">
        <f t="shared" si="884"/>
        <v>7</v>
      </c>
      <c r="X586" s="43">
        <f t="shared" si="884"/>
        <v>7</v>
      </c>
      <c r="Y586" s="43">
        <f t="shared" si="884"/>
        <v>7</v>
      </c>
      <c r="Z586" s="43">
        <f t="shared" si="884"/>
        <v>7</v>
      </c>
      <c r="AA586" s="43">
        <f t="shared" si="884"/>
        <v>7</v>
      </c>
      <c r="AB586" s="43">
        <f t="shared" si="884"/>
        <v>7</v>
      </c>
      <c r="AC586" s="43">
        <f t="shared" si="884"/>
        <v>7</v>
      </c>
      <c r="AD586" s="43">
        <f t="shared" si="884"/>
        <v>7</v>
      </c>
      <c r="AE586" s="43">
        <f t="shared" si="884"/>
        <v>7</v>
      </c>
      <c r="AF586" s="43">
        <f t="shared" si="884"/>
        <v>7</v>
      </c>
      <c r="AG586" s="43">
        <f t="shared" si="884"/>
        <v>7</v>
      </c>
      <c r="AH586" s="43">
        <f t="shared" si="884"/>
        <v>7</v>
      </c>
      <c r="AI586" s="43">
        <f t="shared" ref="AI586:BB586" si="885">$H10</f>
        <v>7</v>
      </c>
      <c r="AJ586" s="43">
        <f t="shared" si="885"/>
        <v>7</v>
      </c>
      <c r="AK586" s="43">
        <f t="shared" si="885"/>
        <v>7</v>
      </c>
      <c r="AL586" s="43">
        <f t="shared" si="885"/>
        <v>7</v>
      </c>
      <c r="AM586" s="43">
        <f t="shared" si="885"/>
        <v>7</v>
      </c>
      <c r="AN586" s="43">
        <f t="shared" si="885"/>
        <v>7</v>
      </c>
      <c r="AO586" s="43">
        <f t="shared" si="885"/>
        <v>7</v>
      </c>
      <c r="AP586" s="43">
        <f t="shared" si="885"/>
        <v>7</v>
      </c>
      <c r="AQ586" s="43">
        <f t="shared" si="885"/>
        <v>7</v>
      </c>
      <c r="AR586" s="43">
        <f t="shared" si="885"/>
        <v>7</v>
      </c>
      <c r="AS586" s="43">
        <f t="shared" si="885"/>
        <v>7</v>
      </c>
      <c r="AT586" s="43">
        <f t="shared" si="885"/>
        <v>7</v>
      </c>
      <c r="AU586" s="43">
        <f t="shared" si="885"/>
        <v>7</v>
      </c>
      <c r="AV586" s="43">
        <f t="shared" si="885"/>
        <v>7</v>
      </c>
      <c r="AW586" s="43">
        <f t="shared" si="885"/>
        <v>7</v>
      </c>
      <c r="AX586" s="43">
        <f t="shared" si="885"/>
        <v>7</v>
      </c>
      <c r="AY586" s="43">
        <f t="shared" si="885"/>
        <v>7</v>
      </c>
      <c r="AZ586" s="43">
        <f t="shared" si="885"/>
        <v>7</v>
      </c>
      <c r="BA586" s="43">
        <f t="shared" si="885"/>
        <v>7</v>
      </c>
      <c r="BB586" s="43">
        <f t="shared" si="885"/>
        <v>7</v>
      </c>
    </row>
    <row r="587" spans="2:54" x14ac:dyDescent="0.25">
      <c r="B587" s="43" t="str">
        <f>_xlfn.CONCAT(B458," ",'Client Data'!H$299)</f>
        <v>Product B Material Cost / Unit (RM)</v>
      </c>
      <c r="C587" s="43">
        <f t="shared" ref="C587:AH587" si="886">$H11</f>
        <v>8</v>
      </c>
      <c r="D587" s="43">
        <f t="shared" si="886"/>
        <v>8</v>
      </c>
      <c r="E587" s="43">
        <f t="shared" si="886"/>
        <v>8</v>
      </c>
      <c r="F587" s="43">
        <f t="shared" si="886"/>
        <v>8</v>
      </c>
      <c r="G587" s="43">
        <f t="shared" si="886"/>
        <v>8</v>
      </c>
      <c r="H587" s="43">
        <f t="shared" si="886"/>
        <v>8</v>
      </c>
      <c r="I587" s="43">
        <f t="shared" si="886"/>
        <v>8</v>
      </c>
      <c r="J587" s="43">
        <f t="shared" si="886"/>
        <v>8</v>
      </c>
      <c r="K587" s="43">
        <f t="shared" si="886"/>
        <v>8</v>
      </c>
      <c r="L587" s="43">
        <f t="shared" si="886"/>
        <v>8</v>
      </c>
      <c r="M587" s="43">
        <f t="shared" si="886"/>
        <v>8</v>
      </c>
      <c r="N587" s="43">
        <f t="shared" si="886"/>
        <v>8</v>
      </c>
      <c r="O587" s="43">
        <f t="shared" si="886"/>
        <v>8</v>
      </c>
      <c r="P587" s="43">
        <f t="shared" si="886"/>
        <v>8</v>
      </c>
      <c r="Q587" s="43">
        <f t="shared" si="886"/>
        <v>8</v>
      </c>
      <c r="R587" s="43">
        <f t="shared" si="886"/>
        <v>8</v>
      </c>
      <c r="S587" s="43">
        <f t="shared" si="886"/>
        <v>8</v>
      </c>
      <c r="T587" s="43">
        <f t="shared" si="886"/>
        <v>8</v>
      </c>
      <c r="U587" s="43">
        <f t="shared" si="886"/>
        <v>8</v>
      </c>
      <c r="V587" s="43">
        <f t="shared" si="886"/>
        <v>8</v>
      </c>
      <c r="W587" s="43">
        <f t="shared" si="886"/>
        <v>8</v>
      </c>
      <c r="X587" s="43">
        <f t="shared" si="886"/>
        <v>8</v>
      </c>
      <c r="Y587" s="43">
        <f t="shared" si="886"/>
        <v>8</v>
      </c>
      <c r="Z587" s="43">
        <f t="shared" si="886"/>
        <v>8</v>
      </c>
      <c r="AA587" s="43">
        <f t="shared" si="886"/>
        <v>8</v>
      </c>
      <c r="AB587" s="43">
        <f t="shared" si="886"/>
        <v>8</v>
      </c>
      <c r="AC587" s="43">
        <f t="shared" si="886"/>
        <v>8</v>
      </c>
      <c r="AD587" s="43">
        <f t="shared" si="886"/>
        <v>8</v>
      </c>
      <c r="AE587" s="43">
        <f t="shared" si="886"/>
        <v>8</v>
      </c>
      <c r="AF587" s="43">
        <f t="shared" si="886"/>
        <v>8</v>
      </c>
      <c r="AG587" s="43">
        <f t="shared" si="886"/>
        <v>8</v>
      </c>
      <c r="AH587" s="43">
        <f t="shared" si="886"/>
        <v>8</v>
      </c>
      <c r="AI587" s="43">
        <f t="shared" ref="AI587:BB587" si="887">$H11</f>
        <v>8</v>
      </c>
      <c r="AJ587" s="43">
        <f t="shared" si="887"/>
        <v>8</v>
      </c>
      <c r="AK587" s="43">
        <f t="shared" si="887"/>
        <v>8</v>
      </c>
      <c r="AL587" s="43">
        <f t="shared" si="887"/>
        <v>8</v>
      </c>
      <c r="AM587" s="43">
        <f t="shared" si="887"/>
        <v>8</v>
      </c>
      <c r="AN587" s="43">
        <f t="shared" si="887"/>
        <v>8</v>
      </c>
      <c r="AO587" s="43">
        <f t="shared" si="887"/>
        <v>8</v>
      </c>
      <c r="AP587" s="43">
        <f t="shared" si="887"/>
        <v>8</v>
      </c>
      <c r="AQ587" s="43">
        <f t="shared" si="887"/>
        <v>8</v>
      </c>
      <c r="AR587" s="43">
        <f t="shared" si="887"/>
        <v>8</v>
      </c>
      <c r="AS587" s="43">
        <f t="shared" si="887"/>
        <v>8</v>
      </c>
      <c r="AT587" s="43">
        <f t="shared" si="887"/>
        <v>8</v>
      </c>
      <c r="AU587" s="43">
        <f t="shared" si="887"/>
        <v>8</v>
      </c>
      <c r="AV587" s="43">
        <f t="shared" si="887"/>
        <v>8</v>
      </c>
      <c r="AW587" s="43">
        <f t="shared" si="887"/>
        <v>8</v>
      </c>
      <c r="AX587" s="43">
        <f t="shared" si="887"/>
        <v>8</v>
      </c>
      <c r="AY587" s="43">
        <f t="shared" si="887"/>
        <v>8</v>
      </c>
      <c r="AZ587" s="43">
        <f t="shared" si="887"/>
        <v>8</v>
      </c>
      <c r="BA587" s="43">
        <f t="shared" si="887"/>
        <v>8</v>
      </c>
      <c r="BB587" s="43">
        <f t="shared" si="887"/>
        <v>8</v>
      </c>
    </row>
    <row r="588" spans="2:54" x14ac:dyDescent="0.25">
      <c r="B588" s="43" t="str">
        <f>_xlfn.CONCAT(B459," ",'Client Data'!H$299)</f>
        <v>Product C Material Cost / Unit (RM)</v>
      </c>
      <c r="C588" s="43">
        <f t="shared" ref="C588:AH588" si="888">$H12</f>
        <v>6</v>
      </c>
      <c r="D588" s="43">
        <f t="shared" si="888"/>
        <v>6</v>
      </c>
      <c r="E588" s="43">
        <f t="shared" si="888"/>
        <v>6</v>
      </c>
      <c r="F588" s="43">
        <f t="shared" si="888"/>
        <v>6</v>
      </c>
      <c r="G588" s="43">
        <f t="shared" si="888"/>
        <v>6</v>
      </c>
      <c r="H588" s="43">
        <f t="shared" si="888"/>
        <v>6</v>
      </c>
      <c r="I588" s="43">
        <f t="shared" si="888"/>
        <v>6</v>
      </c>
      <c r="J588" s="43">
        <f t="shared" si="888"/>
        <v>6</v>
      </c>
      <c r="K588" s="43">
        <f t="shared" si="888"/>
        <v>6</v>
      </c>
      <c r="L588" s="43">
        <f t="shared" si="888"/>
        <v>6</v>
      </c>
      <c r="M588" s="43">
        <f t="shared" si="888"/>
        <v>6</v>
      </c>
      <c r="N588" s="43">
        <f t="shared" si="888"/>
        <v>6</v>
      </c>
      <c r="O588" s="43">
        <f t="shared" si="888"/>
        <v>6</v>
      </c>
      <c r="P588" s="43">
        <f t="shared" si="888"/>
        <v>6</v>
      </c>
      <c r="Q588" s="43">
        <f t="shared" si="888"/>
        <v>6</v>
      </c>
      <c r="R588" s="43">
        <f t="shared" si="888"/>
        <v>6</v>
      </c>
      <c r="S588" s="43">
        <f t="shared" si="888"/>
        <v>6</v>
      </c>
      <c r="T588" s="43">
        <f t="shared" si="888"/>
        <v>6</v>
      </c>
      <c r="U588" s="43">
        <f t="shared" si="888"/>
        <v>6</v>
      </c>
      <c r="V588" s="43">
        <f t="shared" si="888"/>
        <v>6</v>
      </c>
      <c r="W588" s="43">
        <f t="shared" si="888"/>
        <v>6</v>
      </c>
      <c r="X588" s="43">
        <f t="shared" si="888"/>
        <v>6</v>
      </c>
      <c r="Y588" s="43">
        <f t="shared" si="888"/>
        <v>6</v>
      </c>
      <c r="Z588" s="43">
        <f t="shared" si="888"/>
        <v>6</v>
      </c>
      <c r="AA588" s="43">
        <f t="shared" si="888"/>
        <v>6</v>
      </c>
      <c r="AB588" s="43">
        <f t="shared" si="888"/>
        <v>6</v>
      </c>
      <c r="AC588" s="43">
        <f t="shared" si="888"/>
        <v>6</v>
      </c>
      <c r="AD588" s="43">
        <f t="shared" si="888"/>
        <v>6</v>
      </c>
      <c r="AE588" s="43">
        <f t="shared" si="888"/>
        <v>6</v>
      </c>
      <c r="AF588" s="43">
        <f t="shared" si="888"/>
        <v>6</v>
      </c>
      <c r="AG588" s="43">
        <f t="shared" si="888"/>
        <v>6</v>
      </c>
      <c r="AH588" s="43">
        <f t="shared" si="888"/>
        <v>6</v>
      </c>
      <c r="AI588" s="43">
        <f t="shared" ref="AI588:BB588" si="889">$H12</f>
        <v>6</v>
      </c>
      <c r="AJ588" s="43">
        <f t="shared" si="889"/>
        <v>6</v>
      </c>
      <c r="AK588" s="43">
        <f t="shared" si="889"/>
        <v>6</v>
      </c>
      <c r="AL588" s="43">
        <f t="shared" si="889"/>
        <v>6</v>
      </c>
      <c r="AM588" s="43">
        <f t="shared" si="889"/>
        <v>6</v>
      </c>
      <c r="AN588" s="43">
        <f t="shared" si="889"/>
        <v>6</v>
      </c>
      <c r="AO588" s="43">
        <f t="shared" si="889"/>
        <v>6</v>
      </c>
      <c r="AP588" s="43">
        <f t="shared" si="889"/>
        <v>6</v>
      </c>
      <c r="AQ588" s="43">
        <f t="shared" si="889"/>
        <v>6</v>
      </c>
      <c r="AR588" s="43">
        <f t="shared" si="889"/>
        <v>6</v>
      </c>
      <c r="AS588" s="43">
        <f t="shared" si="889"/>
        <v>6</v>
      </c>
      <c r="AT588" s="43">
        <f t="shared" si="889"/>
        <v>6</v>
      </c>
      <c r="AU588" s="43">
        <f t="shared" si="889"/>
        <v>6</v>
      </c>
      <c r="AV588" s="43">
        <f t="shared" si="889"/>
        <v>6</v>
      </c>
      <c r="AW588" s="43">
        <f t="shared" si="889"/>
        <v>6</v>
      </c>
      <c r="AX588" s="43">
        <f t="shared" si="889"/>
        <v>6</v>
      </c>
      <c r="AY588" s="43">
        <f t="shared" si="889"/>
        <v>6</v>
      </c>
      <c r="AZ588" s="43">
        <f t="shared" si="889"/>
        <v>6</v>
      </c>
      <c r="BA588" s="43">
        <f t="shared" si="889"/>
        <v>6</v>
      </c>
      <c r="BB588" s="43">
        <f t="shared" si="889"/>
        <v>6</v>
      </c>
    </row>
    <row r="589" spans="2:54" x14ac:dyDescent="0.25">
      <c r="B589" s="43" t="str">
        <f>_xlfn.CONCAT(B460," ",'Client Data'!H$299)</f>
        <v>Product D Material Cost / Unit (RM)</v>
      </c>
      <c r="C589" s="43">
        <f t="shared" ref="C589:AH589" si="890">$H13</f>
        <v>8.5</v>
      </c>
      <c r="D589" s="43">
        <f t="shared" si="890"/>
        <v>8.5</v>
      </c>
      <c r="E589" s="43">
        <f t="shared" si="890"/>
        <v>8.5</v>
      </c>
      <c r="F589" s="43">
        <f t="shared" si="890"/>
        <v>8.5</v>
      </c>
      <c r="G589" s="43">
        <f t="shared" si="890"/>
        <v>8.5</v>
      </c>
      <c r="H589" s="43">
        <f t="shared" si="890"/>
        <v>8.5</v>
      </c>
      <c r="I589" s="43">
        <f t="shared" si="890"/>
        <v>8.5</v>
      </c>
      <c r="J589" s="43">
        <f t="shared" si="890"/>
        <v>8.5</v>
      </c>
      <c r="K589" s="43">
        <f t="shared" si="890"/>
        <v>8.5</v>
      </c>
      <c r="L589" s="43">
        <f t="shared" si="890"/>
        <v>8.5</v>
      </c>
      <c r="M589" s="43">
        <f t="shared" si="890"/>
        <v>8.5</v>
      </c>
      <c r="N589" s="43">
        <f t="shared" si="890"/>
        <v>8.5</v>
      </c>
      <c r="O589" s="43">
        <f t="shared" si="890"/>
        <v>8.5</v>
      </c>
      <c r="P589" s="43">
        <f t="shared" si="890"/>
        <v>8.5</v>
      </c>
      <c r="Q589" s="43">
        <f t="shared" si="890"/>
        <v>8.5</v>
      </c>
      <c r="R589" s="43">
        <f t="shared" si="890"/>
        <v>8.5</v>
      </c>
      <c r="S589" s="43">
        <f t="shared" si="890"/>
        <v>8.5</v>
      </c>
      <c r="T589" s="43">
        <f t="shared" si="890"/>
        <v>8.5</v>
      </c>
      <c r="U589" s="43">
        <f t="shared" si="890"/>
        <v>8.5</v>
      </c>
      <c r="V589" s="43">
        <f t="shared" si="890"/>
        <v>8.5</v>
      </c>
      <c r="W589" s="43">
        <f t="shared" si="890"/>
        <v>8.5</v>
      </c>
      <c r="X589" s="43">
        <f t="shared" si="890"/>
        <v>8.5</v>
      </c>
      <c r="Y589" s="43">
        <f t="shared" si="890"/>
        <v>8.5</v>
      </c>
      <c r="Z589" s="43">
        <f t="shared" si="890"/>
        <v>8.5</v>
      </c>
      <c r="AA589" s="43">
        <f t="shared" si="890"/>
        <v>8.5</v>
      </c>
      <c r="AB589" s="43">
        <f t="shared" si="890"/>
        <v>8.5</v>
      </c>
      <c r="AC589" s="43">
        <f t="shared" si="890"/>
        <v>8.5</v>
      </c>
      <c r="AD589" s="43">
        <f t="shared" si="890"/>
        <v>8.5</v>
      </c>
      <c r="AE589" s="43">
        <f t="shared" si="890"/>
        <v>8.5</v>
      </c>
      <c r="AF589" s="43">
        <f t="shared" si="890"/>
        <v>8.5</v>
      </c>
      <c r="AG589" s="43">
        <f t="shared" si="890"/>
        <v>8.5</v>
      </c>
      <c r="AH589" s="43">
        <f t="shared" si="890"/>
        <v>8.5</v>
      </c>
      <c r="AI589" s="43">
        <f t="shared" ref="AI589:BB589" si="891">$H13</f>
        <v>8.5</v>
      </c>
      <c r="AJ589" s="43">
        <f t="shared" si="891"/>
        <v>8.5</v>
      </c>
      <c r="AK589" s="43">
        <f t="shared" si="891"/>
        <v>8.5</v>
      </c>
      <c r="AL589" s="43">
        <f t="shared" si="891"/>
        <v>8.5</v>
      </c>
      <c r="AM589" s="43">
        <f t="shared" si="891"/>
        <v>8.5</v>
      </c>
      <c r="AN589" s="43">
        <f t="shared" si="891"/>
        <v>8.5</v>
      </c>
      <c r="AO589" s="43">
        <f t="shared" si="891"/>
        <v>8.5</v>
      </c>
      <c r="AP589" s="43">
        <f t="shared" si="891"/>
        <v>8.5</v>
      </c>
      <c r="AQ589" s="43">
        <f t="shared" si="891"/>
        <v>8.5</v>
      </c>
      <c r="AR589" s="43">
        <f t="shared" si="891"/>
        <v>8.5</v>
      </c>
      <c r="AS589" s="43">
        <f t="shared" si="891"/>
        <v>8.5</v>
      </c>
      <c r="AT589" s="43">
        <f t="shared" si="891"/>
        <v>8.5</v>
      </c>
      <c r="AU589" s="43">
        <f t="shared" si="891"/>
        <v>8.5</v>
      </c>
      <c r="AV589" s="43">
        <f t="shared" si="891"/>
        <v>8.5</v>
      </c>
      <c r="AW589" s="43">
        <f t="shared" si="891"/>
        <v>8.5</v>
      </c>
      <c r="AX589" s="43">
        <f t="shared" si="891"/>
        <v>8.5</v>
      </c>
      <c r="AY589" s="43">
        <f t="shared" si="891"/>
        <v>8.5</v>
      </c>
      <c r="AZ589" s="43">
        <f t="shared" si="891"/>
        <v>8.5</v>
      </c>
      <c r="BA589" s="43">
        <f t="shared" si="891"/>
        <v>8.5</v>
      </c>
      <c r="BB589" s="43">
        <f t="shared" si="891"/>
        <v>8.5</v>
      </c>
    </row>
    <row r="590" spans="2:54" x14ac:dyDescent="0.25">
      <c r="B590" s="43" t="str">
        <f>_xlfn.CONCAT(B461," ",'Client Data'!H$299)</f>
        <v>Product E Material Cost / Unit (RM)</v>
      </c>
      <c r="C590" s="43">
        <f t="shared" ref="C590:AH590" si="892">$H14</f>
        <v>8</v>
      </c>
      <c r="D590" s="43">
        <f t="shared" si="892"/>
        <v>8</v>
      </c>
      <c r="E590" s="43">
        <f t="shared" si="892"/>
        <v>8</v>
      </c>
      <c r="F590" s="43">
        <f t="shared" si="892"/>
        <v>8</v>
      </c>
      <c r="G590" s="43">
        <f t="shared" si="892"/>
        <v>8</v>
      </c>
      <c r="H590" s="43">
        <f t="shared" si="892"/>
        <v>8</v>
      </c>
      <c r="I590" s="43">
        <f t="shared" si="892"/>
        <v>8</v>
      </c>
      <c r="J590" s="43">
        <f t="shared" si="892"/>
        <v>8</v>
      </c>
      <c r="K590" s="43">
        <f t="shared" si="892"/>
        <v>8</v>
      </c>
      <c r="L590" s="43">
        <f t="shared" si="892"/>
        <v>8</v>
      </c>
      <c r="M590" s="43">
        <f t="shared" si="892"/>
        <v>8</v>
      </c>
      <c r="N590" s="43">
        <f t="shared" si="892"/>
        <v>8</v>
      </c>
      <c r="O590" s="43">
        <f t="shared" si="892"/>
        <v>8</v>
      </c>
      <c r="P590" s="43">
        <f t="shared" si="892"/>
        <v>8</v>
      </c>
      <c r="Q590" s="43">
        <f t="shared" si="892"/>
        <v>8</v>
      </c>
      <c r="R590" s="43">
        <f t="shared" si="892"/>
        <v>8</v>
      </c>
      <c r="S590" s="43">
        <f t="shared" si="892"/>
        <v>8</v>
      </c>
      <c r="T590" s="43">
        <f t="shared" si="892"/>
        <v>8</v>
      </c>
      <c r="U590" s="43">
        <f t="shared" si="892"/>
        <v>8</v>
      </c>
      <c r="V590" s="43">
        <f t="shared" si="892"/>
        <v>8</v>
      </c>
      <c r="W590" s="43">
        <f t="shared" si="892"/>
        <v>8</v>
      </c>
      <c r="X590" s="43">
        <f t="shared" si="892"/>
        <v>8</v>
      </c>
      <c r="Y590" s="43">
        <f t="shared" si="892"/>
        <v>8</v>
      </c>
      <c r="Z590" s="43">
        <f t="shared" si="892"/>
        <v>8</v>
      </c>
      <c r="AA590" s="43">
        <f t="shared" si="892"/>
        <v>8</v>
      </c>
      <c r="AB590" s="43">
        <f t="shared" si="892"/>
        <v>8</v>
      </c>
      <c r="AC590" s="43">
        <f t="shared" si="892"/>
        <v>8</v>
      </c>
      <c r="AD590" s="43">
        <f t="shared" si="892"/>
        <v>8</v>
      </c>
      <c r="AE590" s="43">
        <f t="shared" si="892"/>
        <v>8</v>
      </c>
      <c r="AF590" s="43">
        <f t="shared" si="892"/>
        <v>8</v>
      </c>
      <c r="AG590" s="43">
        <f t="shared" si="892"/>
        <v>8</v>
      </c>
      <c r="AH590" s="43">
        <f t="shared" si="892"/>
        <v>8</v>
      </c>
      <c r="AI590" s="43">
        <f t="shared" ref="AI590:BB590" si="893">$H14</f>
        <v>8</v>
      </c>
      <c r="AJ590" s="43">
        <f t="shared" si="893"/>
        <v>8</v>
      </c>
      <c r="AK590" s="43">
        <f t="shared" si="893"/>
        <v>8</v>
      </c>
      <c r="AL590" s="43">
        <f t="shared" si="893"/>
        <v>8</v>
      </c>
      <c r="AM590" s="43">
        <f t="shared" si="893"/>
        <v>8</v>
      </c>
      <c r="AN590" s="43">
        <f t="shared" si="893"/>
        <v>8</v>
      </c>
      <c r="AO590" s="43">
        <f t="shared" si="893"/>
        <v>8</v>
      </c>
      <c r="AP590" s="43">
        <f t="shared" si="893"/>
        <v>8</v>
      </c>
      <c r="AQ590" s="43">
        <f t="shared" si="893"/>
        <v>8</v>
      </c>
      <c r="AR590" s="43">
        <f t="shared" si="893"/>
        <v>8</v>
      </c>
      <c r="AS590" s="43">
        <f t="shared" si="893"/>
        <v>8</v>
      </c>
      <c r="AT590" s="43">
        <f t="shared" si="893"/>
        <v>8</v>
      </c>
      <c r="AU590" s="43">
        <f t="shared" si="893"/>
        <v>8</v>
      </c>
      <c r="AV590" s="43">
        <f t="shared" si="893"/>
        <v>8</v>
      </c>
      <c r="AW590" s="43">
        <f t="shared" si="893"/>
        <v>8</v>
      </c>
      <c r="AX590" s="43">
        <f t="shared" si="893"/>
        <v>8</v>
      </c>
      <c r="AY590" s="43">
        <f t="shared" si="893"/>
        <v>8</v>
      </c>
      <c r="AZ590" s="43">
        <f t="shared" si="893"/>
        <v>8</v>
      </c>
      <c r="BA590" s="43">
        <f t="shared" si="893"/>
        <v>8</v>
      </c>
      <c r="BB590" s="43">
        <f t="shared" si="893"/>
        <v>8</v>
      </c>
    </row>
    <row r="591" spans="2:54" x14ac:dyDescent="0.25">
      <c r="B591" s="43" t="str">
        <f>_xlfn.CONCAT(B462," ",'Client Data'!H$299)</f>
        <v>Product F Material Cost / Unit (RM)</v>
      </c>
      <c r="C591" s="43">
        <f t="shared" ref="C591:AH591" si="894">$H15</f>
        <v>9</v>
      </c>
      <c r="D591" s="43">
        <f t="shared" si="894"/>
        <v>9</v>
      </c>
      <c r="E591" s="43">
        <f t="shared" si="894"/>
        <v>9</v>
      </c>
      <c r="F591" s="43">
        <f t="shared" si="894"/>
        <v>9</v>
      </c>
      <c r="G591" s="43">
        <f t="shared" si="894"/>
        <v>9</v>
      </c>
      <c r="H591" s="43">
        <f t="shared" si="894"/>
        <v>9</v>
      </c>
      <c r="I591" s="43">
        <f t="shared" si="894"/>
        <v>9</v>
      </c>
      <c r="J591" s="43">
        <f t="shared" si="894"/>
        <v>9</v>
      </c>
      <c r="K591" s="43">
        <f t="shared" si="894"/>
        <v>9</v>
      </c>
      <c r="L591" s="43">
        <f t="shared" si="894"/>
        <v>9</v>
      </c>
      <c r="M591" s="43">
        <f t="shared" si="894"/>
        <v>9</v>
      </c>
      <c r="N591" s="43">
        <f t="shared" si="894"/>
        <v>9</v>
      </c>
      <c r="O591" s="43">
        <f t="shared" si="894"/>
        <v>9</v>
      </c>
      <c r="P591" s="43">
        <f t="shared" si="894"/>
        <v>9</v>
      </c>
      <c r="Q591" s="43">
        <f t="shared" si="894"/>
        <v>9</v>
      </c>
      <c r="R591" s="43">
        <f t="shared" si="894"/>
        <v>9</v>
      </c>
      <c r="S591" s="43">
        <f t="shared" si="894"/>
        <v>9</v>
      </c>
      <c r="T591" s="43">
        <f t="shared" si="894"/>
        <v>9</v>
      </c>
      <c r="U591" s="43">
        <f t="shared" si="894"/>
        <v>9</v>
      </c>
      <c r="V591" s="43">
        <f t="shared" si="894"/>
        <v>9</v>
      </c>
      <c r="W591" s="43">
        <f t="shared" si="894"/>
        <v>9</v>
      </c>
      <c r="X591" s="43">
        <f t="shared" si="894"/>
        <v>9</v>
      </c>
      <c r="Y591" s="43">
        <f t="shared" si="894"/>
        <v>9</v>
      </c>
      <c r="Z591" s="43">
        <f t="shared" si="894"/>
        <v>9</v>
      </c>
      <c r="AA591" s="43">
        <f t="shared" si="894"/>
        <v>9</v>
      </c>
      <c r="AB591" s="43">
        <f t="shared" si="894"/>
        <v>9</v>
      </c>
      <c r="AC591" s="43">
        <f t="shared" si="894"/>
        <v>9</v>
      </c>
      <c r="AD591" s="43">
        <f t="shared" si="894"/>
        <v>9</v>
      </c>
      <c r="AE591" s="43">
        <f t="shared" si="894"/>
        <v>9</v>
      </c>
      <c r="AF591" s="43">
        <f t="shared" si="894"/>
        <v>9</v>
      </c>
      <c r="AG591" s="43">
        <f t="shared" si="894"/>
        <v>9</v>
      </c>
      <c r="AH591" s="43">
        <f t="shared" si="894"/>
        <v>9</v>
      </c>
      <c r="AI591" s="43">
        <f t="shared" ref="AI591:BB591" si="895">$H15</f>
        <v>9</v>
      </c>
      <c r="AJ591" s="43">
        <f t="shared" si="895"/>
        <v>9</v>
      </c>
      <c r="AK591" s="43">
        <f t="shared" si="895"/>
        <v>9</v>
      </c>
      <c r="AL591" s="43">
        <f t="shared" si="895"/>
        <v>9</v>
      </c>
      <c r="AM591" s="43">
        <f t="shared" si="895"/>
        <v>9</v>
      </c>
      <c r="AN591" s="43">
        <f t="shared" si="895"/>
        <v>9</v>
      </c>
      <c r="AO591" s="43">
        <f t="shared" si="895"/>
        <v>9</v>
      </c>
      <c r="AP591" s="43">
        <f t="shared" si="895"/>
        <v>9</v>
      </c>
      <c r="AQ591" s="43">
        <f t="shared" si="895"/>
        <v>9</v>
      </c>
      <c r="AR591" s="43">
        <f t="shared" si="895"/>
        <v>9</v>
      </c>
      <c r="AS591" s="43">
        <f t="shared" si="895"/>
        <v>9</v>
      </c>
      <c r="AT591" s="43">
        <f t="shared" si="895"/>
        <v>9</v>
      </c>
      <c r="AU591" s="43">
        <f t="shared" si="895"/>
        <v>9</v>
      </c>
      <c r="AV591" s="43">
        <f t="shared" si="895"/>
        <v>9</v>
      </c>
      <c r="AW591" s="43">
        <f t="shared" si="895"/>
        <v>9</v>
      </c>
      <c r="AX591" s="43">
        <f t="shared" si="895"/>
        <v>9</v>
      </c>
      <c r="AY591" s="43">
        <f t="shared" si="895"/>
        <v>9</v>
      </c>
      <c r="AZ591" s="43">
        <f t="shared" si="895"/>
        <v>9</v>
      </c>
      <c r="BA591" s="43">
        <f t="shared" si="895"/>
        <v>9</v>
      </c>
      <c r="BB591" s="43">
        <f t="shared" si="895"/>
        <v>9</v>
      </c>
    </row>
    <row r="592" spans="2:54" x14ac:dyDescent="0.25">
      <c r="B592" s="43" t="str">
        <f>_xlfn.CONCAT(B463," ",'Client Data'!H$299)</f>
        <v>Product G Material Cost / Unit (RM)</v>
      </c>
      <c r="C592" s="43">
        <f t="shared" ref="C592:AH592" si="896">$H16</f>
        <v>6.9</v>
      </c>
      <c r="D592" s="43">
        <f t="shared" si="896"/>
        <v>6.9</v>
      </c>
      <c r="E592" s="43">
        <f t="shared" si="896"/>
        <v>6.9</v>
      </c>
      <c r="F592" s="43">
        <f t="shared" si="896"/>
        <v>6.9</v>
      </c>
      <c r="G592" s="43">
        <f t="shared" si="896"/>
        <v>6.9</v>
      </c>
      <c r="H592" s="43">
        <f t="shared" si="896"/>
        <v>6.9</v>
      </c>
      <c r="I592" s="43">
        <f t="shared" si="896"/>
        <v>6.9</v>
      </c>
      <c r="J592" s="43">
        <f t="shared" si="896"/>
        <v>6.9</v>
      </c>
      <c r="K592" s="43">
        <f t="shared" si="896"/>
        <v>6.9</v>
      </c>
      <c r="L592" s="43">
        <f t="shared" si="896"/>
        <v>6.9</v>
      </c>
      <c r="M592" s="43">
        <f t="shared" si="896"/>
        <v>6.9</v>
      </c>
      <c r="N592" s="43">
        <f t="shared" si="896"/>
        <v>6.9</v>
      </c>
      <c r="O592" s="43">
        <f t="shared" si="896"/>
        <v>6.9</v>
      </c>
      <c r="P592" s="43">
        <f t="shared" si="896"/>
        <v>6.9</v>
      </c>
      <c r="Q592" s="43">
        <f t="shared" si="896"/>
        <v>6.9</v>
      </c>
      <c r="R592" s="43">
        <f t="shared" si="896"/>
        <v>6.9</v>
      </c>
      <c r="S592" s="43">
        <f t="shared" si="896"/>
        <v>6.9</v>
      </c>
      <c r="T592" s="43">
        <f t="shared" si="896"/>
        <v>6.9</v>
      </c>
      <c r="U592" s="43">
        <f t="shared" si="896"/>
        <v>6.9</v>
      </c>
      <c r="V592" s="43">
        <f t="shared" si="896"/>
        <v>6.9</v>
      </c>
      <c r="W592" s="43">
        <f t="shared" si="896"/>
        <v>6.9</v>
      </c>
      <c r="X592" s="43">
        <f t="shared" si="896"/>
        <v>6.9</v>
      </c>
      <c r="Y592" s="43">
        <f t="shared" si="896"/>
        <v>6.9</v>
      </c>
      <c r="Z592" s="43">
        <f t="shared" si="896"/>
        <v>6.9</v>
      </c>
      <c r="AA592" s="43">
        <f t="shared" si="896"/>
        <v>6.9</v>
      </c>
      <c r="AB592" s="43">
        <f t="shared" si="896"/>
        <v>6.9</v>
      </c>
      <c r="AC592" s="43">
        <f t="shared" si="896"/>
        <v>6.9</v>
      </c>
      <c r="AD592" s="43">
        <f t="shared" si="896"/>
        <v>6.9</v>
      </c>
      <c r="AE592" s="43">
        <f t="shared" si="896"/>
        <v>6.9</v>
      </c>
      <c r="AF592" s="43">
        <f t="shared" si="896"/>
        <v>6.9</v>
      </c>
      <c r="AG592" s="43">
        <f t="shared" si="896"/>
        <v>6.9</v>
      </c>
      <c r="AH592" s="43">
        <f t="shared" si="896"/>
        <v>6.9</v>
      </c>
      <c r="AI592" s="43">
        <f t="shared" ref="AI592:BB592" si="897">$H16</f>
        <v>6.9</v>
      </c>
      <c r="AJ592" s="43">
        <f t="shared" si="897"/>
        <v>6.9</v>
      </c>
      <c r="AK592" s="43">
        <f t="shared" si="897"/>
        <v>6.9</v>
      </c>
      <c r="AL592" s="43">
        <f t="shared" si="897"/>
        <v>6.9</v>
      </c>
      <c r="AM592" s="43">
        <f t="shared" si="897"/>
        <v>6.9</v>
      </c>
      <c r="AN592" s="43">
        <f t="shared" si="897"/>
        <v>6.9</v>
      </c>
      <c r="AO592" s="43">
        <f t="shared" si="897"/>
        <v>6.9</v>
      </c>
      <c r="AP592" s="43">
        <f t="shared" si="897"/>
        <v>6.9</v>
      </c>
      <c r="AQ592" s="43">
        <f t="shared" si="897"/>
        <v>6.9</v>
      </c>
      <c r="AR592" s="43">
        <f t="shared" si="897"/>
        <v>6.9</v>
      </c>
      <c r="AS592" s="43">
        <f t="shared" si="897"/>
        <v>6.9</v>
      </c>
      <c r="AT592" s="43">
        <f t="shared" si="897"/>
        <v>6.9</v>
      </c>
      <c r="AU592" s="43">
        <f t="shared" si="897"/>
        <v>6.9</v>
      </c>
      <c r="AV592" s="43">
        <f t="shared" si="897"/>
        <v>6.9</v>
      </c>
      <c r="AW592" s="43">
        <f t="shared" si="897"/>
        <v>6.9</v>
      </c>
      <c r="AX592" s="43">
        <f t="shared" si="897"/>
        <v>6.9</v>
      </c>
      <c r="AY592" s="43">
        <f t="shared" si="897"/>
        <v>6.9</v>
      </c>
      <c r="AZ592" s="43">
        <f t="shared" si="897"/>
        <v>6.9</v>
      </c>
      <c r="BA592" s="43">
        <f t="shared" si="897"/>
        <v>6.9</v>
      </c>
      <c r="BB592" s="43">
        <f t="shared" si="897"/>
        <v>6.9</v>
      </c>
    </row>
    <row r="593" spans="2:55" x14ac:dyDescent="0.25">
      <c r="B593" s="43" t="str">
        <f>_xlfn.CONCAT(B464," ",'Client Data'!H$299)</f>
        <v>Product H Material Cost / Unit (RM)</v>
      </c>
      <c r="C593" s="43">
        <f t="shared" ref="C593:AH593" si="898">$H17</f>
        <v>7.8</v>
      </c>
      <c r="D593" s="43">
        <f t="shared" si="898"/>
        <v>7.8</v>
      </c>
      <c r="E593" s="43">
        <f t="shared" si="898"/>
        <v>7.8</v>
      </c>
      <c r="F593" s="43">
        <f t="shared" si="898"/>
        <v>7.8</v>
      </c>
      <c r="G593" s="43">
        <f t="shared" si="898"/>
        <v>7.8</v>
      </c>
      <c r="H593" s="43">
        <f t="shared" si="898"/>
        <v>7.8</v>
      </c>
      <c r="I593" s="43">
        <f t="shared" si="898"/>
        <v>7.8</v>
      </c>
      <c r="J593" s="43">
        <f t="shared" si="898"/>
        <v>7.8</v>
      </c>
      <c r="K593" s="43">
        <f t="shared" si="898"/>
        <v>7.8</v>
      </c>
      <c r="L593" s="43">
        <f t="shared" si="898"/>
        <v>7.8</v>
      </c>
      <c r="M593" s="43">
        <f t="shared" si="898"/>
        <v>7.8</v>
      </c>
      <c r="N593" s="43">
        <f t="shared" si="898"/>
        <v>7.8</v>
      </c>
      <c r="O593" s="43">
        <f t="shared" si="898"/>
        <v>7.8</v>
      </c>
      <c r="P593" s="43">
        <f t="shared" si="898"/>
        <v>7.8</v>
      </c>
      <c r="Q593" s="43">
        <f t="shared" si="898"/>
        <v>7.8</v>
      </c>
      <c r="R593" s="43">
        <f t="shared" si="898"/>
        <v>7.8</v>
      </c>
      <c r="S593" s="43">
        <f t="shared" si="898"/>
        <v>7.8</v>
      </c>
      <c r="T593" s="43">
        <f t="shared" si="898"/>
        <v>7.8</v>
      </c>
      <c r="U593" s="43">
        <f t="shared" si="898"/>
        <v>7.8</v>
      </c>
      <c r="V593" s="43">
        <f t="shared" si="898"/>
        <v>7.8</v>
      </c>
      <c r="W593" s="43">
        <f t="shared" si="898"/>
        <v>7.8</v>
      </c>
      <c r="X593" s="43">
        <f t="shared" si="898"/>
        <v>7.8</v>
      </c>
      <c r="Y593" s="43">
        <f t="shared" si="898"/>
        <v>7.8</v>
      </c>
      <c r="Z593" s="43">
        <f t="shared" si="898"/>
        <v>7.8</v>
      </c>
      <c r="AA593" s="43">
        <f t="shared" si="898"/>
        <v>7.8</v>
      </c>
      <c r="AB593" s="43">
        <f t="shared" si="898"/>
        <v>7.8</v>
      </c>
      <c r="AC593" s="43">
        <f t="shared" si="898"/>
        <v>7.8</v>
      </c>
      <c r="AD593" s="43">
        <f t="shared" si="898"/>
        <v>7.8</v>
      </c>
      <c r="AE593" s="43">
        <f t="shared" si="898"/>
        <v>7.8</v>
      </c>
      <c r="AF593" s="43">
        <f t="shared" si="898"/>
        <v>7.8</v>
      </c>
      <c r="AG593" s="43">
        <f t="shared" si="898"/>
        <v>7.8</v>
      </c>
      <c r="AH593" s="43">
        <f t="shared" si="898"/>
        <v>7.8</v>
      </c>
      <c r="AI593" s="43">
        <f t="shared" ref="AI593:BB593" si="899">$H17</f>
        <v>7.8</v>
      </c>
      <c r="AJ593" s="43">
        <f t="shared" si="899"/>
        <v>7.8</v>
      </c>
      <c r="AK593" s="43">
        <f t="shared" si="899"/>
        <v>7.8</v>
      </c>
      <c r="AL593" s="43">
        <f t="shared" si="899"/>
        <v>7.8</v>
      </c>
      <c r="AM593" s="43">
        <f t="shared" si="899"/>
        <v>7.8</v>
      </c>
      <c r="AN593" s="43">
        <f t="shared" si="899"/>
        <v>7.8</v>
      </c>
      <c r="AO593" s="43">
        <f t="shared" si="899"/>
        <v>7.8</v>
      </c>
      <c r="AP593" s="43">
        <f t="shared" si="899"/>
        <v>7.8</v>
      </c>
      <c r="AQ593" s="43">
        <f t="shared" si="899"/>
        <v>7.8</v>
      </c>
      <c r="AR593" s="43">
        <f t="shared" si="899"/>
        <v>7.8</v>
      </c>
      <c r="AS593" s="43">
        <f t="shared" si="899"/>
        <v>7.8</v>
      </c>
      <c r="AT593" s="43">
        <f t="shared" si="899"/>
        <v>7.8</v>
      </c>
      <c r="AU593" s="43">
        <f t="shared" si="899"/>
        <v>7.8</v>
      </c>
      <c r="AV593" s="43">
        <f t="shared" si="899"/>
        <v>7.8</v>
      </c>
      <c r="AW593" s="43">
        <f t="shared" si="899"/>
        <v>7.8</v>
      </c>
      <c r="AX593" s="43">
        <f t="shared" si="899"/>
        <v>7.8</v>
      </c>
      <c r="AY593" s="43">
        <f t="shared" si="899"/>
        <v>7.8</v>
      </c>
      <c r="AZ593" s="43">
        <f t="shared" si="899"/>
        <v>7.8</v>
      </c>
      <c r="BA593" s="43">
        <f t="shared" si="899"/>
        <v>7.8</v>
      </c>
      <c r="BB593" s="43">
        <f t="shared" si="899"/>
        <v>7.8</v>
      </c>
    </row>
    <row r="594" spans="2:55" x14ac:dyDescent="0.25">
      <c r="B594" s="80" t="str">
        <f t="shared" ref="B594:B598" si="900">_xlfn.CONCAT(B457," ","Utility Cost / Unit (RM)")</f>
        <v>Product A Utility Cost / Unit (RM)</v>
      </c>
      <c r="C594" s="80">
        <f t="shared" ref="C594:AH594" si="901">$I10</f>
        <v>8.5</v>
      </c>
      <c r="D594" s="80">
        <f t="shared" si="901"/>
        <v>8.5</v>
      </c>
      <c r="E594" s="80">
        <f t="shared" si="901"/>
        <v>8.5</v>
      </c>
      <c r="F594" s="80">
        <f t="shared" si="901"/>
        <v>8.5</v>
      </c>
      <c r="G594" s="80">
        <f t="shared" si="901"/>
        <v>8.5</v>
      </c>
      <c r="H594" s="80">
        <f t="shared" si="901"/>
        <v>8.5</v>
      </c>
      <c r="I594" s="80">
        <f t="shared" si="901"/>
        <v>8.5</v>
      </c>
      <c r="J594" s="80">
        <f t="shared" si="901"/>
        <v>8.5</v>
      </c>
      <c r="K594" s="80">
        <f t="shared" si="901"/>
        <v>8.5</v>
      </c>
      <c r="L594" s="80">
        <f t="shared" si="901"/>
        <v>8.5</v>
      </c>
      <c r="M594" s="80">
        <f t="shared" si="901"/>
        <v>8.5</v>
      </c>
      <c r="N594" s="80">
        <f t="shared" si="901"/>
        <v>8.5</v>
      </c>
      <c r="O594" s="80">
        <f t="shared" si="901"/>
        <v>8.5</v>
      </c>
      <c r="P594" s="80">
        <f t="shared" si="901"/>
        <v>8.5</v>
      </c>
      <c r="Q594" s="80">
        <f t="shared" si="901"/>
        <v>8.5</v>
      </c>
      <c r="R594" s="80">
        <f t="shared" si="901"/>
        <v>8.5</v>
      </c>
      <c r="S594" s="80">
        <f t="shared" si="901"/>
        <v>8.5</v>
      </c>
      <c r="T594" s="80">
        <f t="shared" si="901"/>
        <v>8.5</v>
      </c>
      <c r="U594" s="80">
        <f t="shared" si="901"/>
        <v>8.5</v>
      </c>
      <c r="V594" s="80">
        <f t="shared" si="901"/>
        <v>8.5</v>
      </c>
      <c r="W594" s="80">
        <f t="shared" si="901"/>
        <v>8.5</v>
      </c>
      <c r="X594" s="80">
        <f t="shared" si="901"/>
        <v>8.5</v>
      </c>
      <c r="Y594" s="80">
        <f t="shared" si="901"/>
        <v>8.5</v>
      </c>
      <c r="Z594" s="80">
        <f t="shared" si="901"/>
        <v>8.5</v>
      </c>
      <c r="AA594" s="80">
        <f t="shared" si="901"/>
        <v>8.5</v>
      </c>
      <c r="AB594" s="80">
        <f t="shared" si="901"/>
        <v>8.5</v>
      </c>
      <c r="AC594" s="80">
        <f t="shared" si="901"/>
        <v>8.5</v>
      </c>
      <c r="AD594" s="80">
        <f t="shared" si="901"/>
        <v>8.5</v>
      </c>
      <c r="AE594" s="80">
        <f t="shared" si="901"/>
        <v>8.5</v>
      </c>
      <c r="AF594" s="80">
        <f t="shared" si="901"/>
        <v>8.5</v>
      </c>
      <c r="AG594" s="80">
        <f t="shared" si="901"/>
        <v>8.5</v>
      </c>
      <c r="AH594" s="80">
        <f t="shared" si="901"/>
        <v>8.5</v>
      </c>
      <c r="AI594" s="80">
        <f t="shared" ref="AI594:BB594" si="902">$I10</f>
        <v>8.5</v>
      </c>
      <c r="AJ594" s="80">
        <f t="shared" si="902"/>
        <v>8.5</v>
      </c>
      <c r="AK594" s="80">
        <f t="shared" si="902"/>
        <v>8.5</v>
      </c>
      <c r="AL594" s="80">
        <f t="shared" si="902"/>
        <v>8.5</v>
      </c>
      <c r="AM594" s="80">
        <f t="shared" si="902"/>
        <v>8.5</v>
      </c>
      <c r="AN594" s="80">
        <f t="shared" si="902"/>
        <v>8.5</v>
      </c>
      <c r="AO594" s="80">
        <f t="shared" si="902"/>
        <v>8.5</v>
      </c>
      <c r="AP594" s="80">
        <f t="shared" si="902"/>
        <v>8.5</v>
      </c>
      <c r="AQ594" s="80">
        <f t="shared" si="902"/>
        <v>8.5</v>
      </c>
      <c r="AR594" s="80">
        <f t="shared" si="902"/>
        <v>8.5</v>
      </c>
      <c r="AS594" s="80">
        <f t="shared" si="902"/>
        <v>8.5</v>
      </c>
      <c r="AT594" s="80">
        <f t="shared" si="902"/>
        <v>8.5</v>
      </c>
      <c r="AU594" s="80">
        <f t="shared" si="902"/>
        <v>8.5</v>
      </c>
      <c r="AV594" s="80">
        <f t="shared" si="902"/>
        <v>8.5</v>
      </c>
      <c r="AW594" s="80">
        <f t="shared" si="902"/>
        <v>8.5</v>
      </c>
      <c r="AX594" s="80">
        <f t="shared" si="902"/>
        <v>8.5</v>
      </c>
      <c r="AY594" s="80">
        <f t="shared" si="902"/>
        <v>8.5</v>
      </c>
      <c r="AZ594" s="80">
        <f t="shared" si="902"/>
        <v>8.5</v>
      </c>
      <c r="BA594" s="80">
        <f t="shared" si="902"/>
        <v>8.5</v>
      </c>
      <c r="BB594" s="80">
        <f t="shared" si="902"/>
        <v>8.5</v>
      </c>
    </row>
    <row r="595" spans="2:55" x14ac:dyDescent="0.25">
      <c r="B595" s="80" t="str">
        <f t="shared" si="900"/>
        <v>Product B Utility Cost / Unit (RM)</v>
      </c>
      <c r="C595" s="80">
        <f t="shared" ref="C595:AH595" si="903">$I11</f>
        <v>8.9</v>
      </c>
      <c r="D595" s="80">
        <f t="shared" si="903"/>
        <v>8.9</v>
      </c>
      <c r="E595" s="80">
        <f t="shared" si="903"/>
        <v>8.9</v>
      </c>
      <c r="F595" s="80">
        <f t="shared" si="903"/>
        <v>8.9</v>
      </c>
      <c r="G595" s="80">
        <f t="shared" si="903"/>
        <v>8.9</v>
      </c>
      <c r="H595" s="80">
        <f t="shared" si="903"/>
        <v>8.9</v>
      </c>
      <c r="I595" s="80">
        <f t="shared" si="903"/>
        <v>8.9</v>
      </c>
      <c r="J595" s="80">
        <f t="shared" si="903"/>
        <v>8.9</v>
      </c>
      <c r="K595" s="80">
        <f t="shared" si="903"/>
        <v>8.9</v>
      </c>
      <c r="L595" s="80">
        <f t="shared" si="903"/>
        <v>8.9</v>
      </c>
      <c r="M595" s="80">
        <f t="shared" si="903"/>
        <v>8.9</v>
      </c>
      <c r="N595" s="80">
        <f t="shared" si="903"/>
        <v>8.9</v>
      </c>
      <c r="O595" s="80">
        <f t="shared" si="903"/>
        <v>8.9</v>
      </c>
      <c r="P595" s="80">
        <f t="shared" si="903"/>
        <v>8.9</v>
      </c>
      <c r="Q595" s="80">
        <f t="shared" si="903"/>
        <v>8.9</v>
      </c>
      <c r="R595" s="80">
        <f t="shared" si="903"/>
        <v>8.9</v>
      </c>
      <c r="S595" s="80">
        <f t="shared" si="903"/>
        <v>8.9</v>
      </c>
      <c r="T595" s="80">
        <f t="shared" si="903"/>
        <v>8.9</v>
      </c>
      <c r="U595" s="80">
        <f t="shared" si="903"/>
        <v>8.9</v>
      </c>
      <c r="V595" s="80">
        <f t="shared" si="903"/>
        <v>8.9</v>
      </c>
      <c r="W595" s="80">
        <f t="shared" si="903"/>
        <v>8.9</v>
      </c>
      <c r="X595" s="80">
        <f t="shared" si="903"/>
        <v>8.9</v>
      </c>
      <c r="Y595" s="80">
        <f t="shared" si="903"/>
        <v>8.9</v>
      </c>
      <c r="Z595" s="80">
        <f t="shared" si="903"/>
        <v>8.9</v>
      </c>
      <c r="AA595" s="80">
        <f t="shared" si="903"/>
        <v>8.9</v>
      </c>
      <c r="AB595" s="80">
        <f t="shared" si="903"/>
        <v>8.9</v>
      </c>
      <c r="AC595" s="80">
        <f t="shared" si="903"/>
        <v>8.9</v>
      </c>
      <c r="AD595" s="80">
        <f t="shared" si="903"/>
        <v>8.9</v>
      </c>
      <c r="AE595" s="80">
        <f t="shared" si="903"/>
        <v>8.9</v>
      </c>
      <c r="AF595" s="80">
        <f t="shared" si="903"/>
        <v>8.9</v>
      </c>
      <c r="AG595" s="80">
        <f t="shared" si="903"/>
        <v>8.9</v>
      </c>
      <c r="AH595" s="80">
        <f t="shared" si="903"/>
        <v>8.9</v>
      </c>
      <c r="AI595" s="80">
        <f t="shared" ref="AI595:BB595" si="904">$I11</f>
        <v>8.9</v>
      </c>
      <c r="AJ595" s="80">
        <f t="shared" si="904"/>
        <v>8.9</v>
      </c>
      <c r="AK595" s="80">
        <f t="shared" si="904"/>
        <v>8.9</v>
      </c>
      <c r="AL595" s="80">
        <f t="shared" si="904"/>
        <v>8.9</v>
      </c>
      <c r="AM595" s="80">
        <f t="shared" si="904"/>
        <v>8.9</v>
      </c>
      <c r="AN595" s="80">
        <f t="shared" si="904"/>
        <v>8.9</v>
      </c>
      <c r="AO595" s="80">
        <f t="shared" si="904"/>
        <v>8.9</v>
      </c>
      <c r="AP595" s="80">
        <f t="shared" si="904"/>
        <v>8.9</v>
      </c>
      <c r="AQ595" s="80">
        <f t="shared" si="904"/>
        <v>8.9</v>
      </c>
      <c r="AR595" s="80">
        <f t="shared" si="904"/>
        <v>8.9</v>
      </c>
      <c r="AS595" s="80">
        <f t="shared" si="904"/>
        <v>8.9</v>
      </c>
      <c r="AT595" s="80">
        <f t="shared" si="904"/>
        <v>8.9</v>
      </c>
      <c r="AU595" s="80">
        <f t="shared" si="904"/>
        <v>8.9</v>
      </c>
      <c r="AV595" s="80">
        <f t="shared" si="904"/>
        <v>8.9</v>
      </c>
      <c r="AW595" s="80">
        <f t="shared" si="904"/>
        <v>8.9</v>
      </c>
      <c r="AX595" s="80">
        <f t="shared" si="904"/>
        <v>8.9</v>
      </c>
      <c r="AY595" s="80">
        <f t="shared" si="904"/>
        <v>8.9</v>
      </c>
      <c r="AZ595" s="80">
        <f t="shared" si="904"/>
        <v>8.9</v>
      </c>
      <c r="BA595" s="80">
        <f t="shared" si="904"/>
        <v>8.9</v>
      </c>
      <c r="BB595" s="80">
        <f t="shared" si="904"/>
        <v>8.9</v>
      </c>
    </row>
    <row r="596" spans="2:55" x14ac:dyDescent="0.25">
      <c r="B596" s="80" t="str">
        <f t="shared" si="900"/>
        <v>Product C Utility Cost / Unit (RM)</v>
      </c>
      <c r="C596" s="80">
        <f t="shared" ref="C596:AH596" si="905">$I12</f>
        <v>9</v>
      </c>
      <c r="D596" s="80">
        <f t="shared" si="905"/>
        <v>9</v>
      </c>
      <c r="E596" s="80">
        <f t="shared" si="905"/>
        <v>9</v>
      </c>
      <c r="F596" s="80">
        <f t="shared" si="905"/>
        <v>9</v>
      </c>
      <c r="G596" s="80">
        <f t="shared" si="905"/>
        <v>9</v>
      </c>
      <c r="H596" s="80">
        <f t="shared" si="905"/>
        <v>9</v>
      </c>
      <c r="I596" s="80">
        <f t="shared" si="905"/>
        <v>9</v>
      </c>
      <c r="J596" s="80">
        <f t="shared" si="905"/>
        <v>9</v>
      </c>
      <c r="K596" s="80">
        <f t="shared" si="905"/>
        <v>9</v>
      </c>
      <c r="L596" s="80">
        <f t="shared" si="905"/>
        <v>9</v>
      </c>
      <c r="M596" s="80">
        <f t="shared" si="905"/>
        <v>9</v>
      </c>
      <c r="N596" s="80">
        <f t="shared" si="905"/>
        <v>9</v>
      </c>
      <c r="O596" s="80">
        <f t="shared" si="905"/>
        <v>9</v>
      </c>
      <c r="P596" s="80">
        <f t="shared" si="905"/>
        <v>9</v>
      </c>
      <c r="Q596" s="80">
        <f t="shared" si="905"/>
        <v>9</v>
      </c>
      <c r="R596" s="80">
        <f t="shared" si="905"/>
        <v>9</v>
      </c>
      <c r="S596" s="80">
        <f t="shared" si="905"/>
        <v>9</v>
      </c>
      <c r="T596" s="80">
        <f t="shared" si="905"/>
        <v>9</v>
      </c>
      <c r="U596" s="80">
        <f t="shared" si="905"/>
        <v>9</v>
      </c>
      <c r="V596" s="80">
        <f t="shared" si="905"/>
        <v>9</v>
      </c>
      <c r="W596" s="80">
        <f t="shared" si="905"/>
        <v>9</v>
      </c>
      <c r="X596" s="80">
        <f t="shared" si="905"/>
        <v>9</v>
      </c>
      <c r="Y596" s="80">
        <f t="shared" si="905"/>
        <v>9</v>
      </c>
      <c r="Z596" s="80">
        <f t="shared" si="905"/>
        <v>9</v>
      </c>
      <c r="AA596" s="80">
        <f t="shared" si="905"/>
        <v>9</v>
      </c>
      <c r="AB596" s="80">
        <f t="shared" si="905"/>
        <v>9</v>
      </c>
      <c r="AC596" s="80">
        <f t="shared" si="905"/>
        <v>9</v>
      </c>
      <c r="AD596" s="80">
        <f t="shared" si="905"/>
        <v>9</v>
      </c>
      <c r="AE596" s="80">
        <f t="shared" si="905"/>
        <v>9</v>
      </c>
      <c r="AF596" s="80">
        <f t="shared" si="905"/>
        <v>9</v>
      </c>
      <c r="AG596" s="80">
        <f t="shared" si="905"/>
        <v>9</v>
      </c>
      <c r="AH596" s="80">
        <f t="shared" si="905"/>
        <v>9</v>
      </c>
      <c r="AI596" s="80">
        <f t="shared" ref="AI596:BB596" si="906">$I12</f>
        <v>9</v>
      </c>
      <c r="AJ596" s="80">
        <f t="shared" si="906"/>
        <v>9</v>
      </c>
      <c r="AK596" s="80">
        <f t="shared" si="906"/>
        <v>9</v>
      </c>
      <c r="AL596" s="80">
        <f t="shared" si="906"/>
        <v>9</v>
      </c>
      <c r="AM596" s="80">
        <f t="shared" si="906"/>
        <v>9</v>
      </c>
      <c r="AN596" s="80">
        <f t="shared" si="906"/>
        <v>9</v>
      </c>
      <c r="AO596" s="80">
        <f t="shared" si="906"/>
        <v>9</v>
      </c>
      <c r="AP596" s="80">
        <f t="shared" si="906"/>
        <v>9</v>
      </c>
      <c r="AQ596" s="80">
        <f t="shared" si="906"/>
        <v>9</v>
      </c>
      <c r="AR596" s="80">
        <f t="shared" si="906"/>
        <v>9</v>
      </c>
      <c r="AS596" s="80">
        <f t="shared" si="906"/>
        <v>9</v>
      </c>
      <c r="AT596" s="80">
        <f t="shared" si="906"/>
        <v>9</v>
      </c>
      <c r="AU596" s="80">
        <f t="shared" si="906"/>
        <v>9</v>
      </c>
      <c r="AV596" s="80">
        <f t="shared" si="906"/>
        <v>9</v>
      </c>
      <c r="AW596" s="80">
        <f t="shared" si="906"/>
        <v>9</v>
      </c>
      <c r="AX596" s="80">
        <f t="shared" si="906"/>
        <v>9</v>
      </c>
      <c r="AY596" s="80">
        <f t="shared" si="906"/>
        <v>9</v>
      </c>
      <c r="AZ596" s="80">
        <f t="shared" si="906"/>
        <v>9</v>
      </c>
      <c r="BA596" s="80">
        <f t="shared" si="906"/>
        <v>9</v>
      </c>
      <c r="BB596" s="80">
        <f t="shared" si="906"/>
        <v>9</v>
      </c>
    </row>
    <row r="597" spans="2:55" x14ac:dyDescent="0.25">
      <c r="B597" s="80" t="str">
        <f t="shared" si="900"/>
        <v>Product D Utility Cost / Unit (RM)</v>
      </c>
      <c r="C597" s="80">
        <f t="shared" ref="C597:AH597" si="907">$I13</f>
        <v>8</v>
      </c>
      <c r="D597" s="80">
        <f t="shared" si="907"/>
        <v>8</v>
      </c>
      <c r="E597" s="80">
        <f t="shared" si="907"/>
        <v>8</v>
      </c>
      <c r="F597" s="80">
        <f t="shared" si="907"/>
        <v>8</v>
      </c>
      <c r="G597" s="80">
        <f t="shared" si="907"/>
        <v>8</v>
      </c>
      <c r="H597" s="80">
        <f t="shared" si="907"/>
        <v>8</v>
      </c>
      <c r="I597" s="80">
        <f t="shared" si="907"/>
        <v>8</v>
      </c>
      <c r="J597" s="80">
        <f t="shared" si="907"/>
        <v>8</v>
      </c>
      <c r="K597" s="80">
        <f t="shared" si="907"/>
        <v>8</v>
      </c>
      <c r="L597" s="80">
        <f t="shared" si="907"/>
        <v>8</v>
      </c>
      <c r="M597" s="80">
        <f t="shared" si="907"/>
        <v>8</v>
      </c>
      <c r="N597" s="80">
        <f t="shared" si="907"/>
        <v>8</v>
      </c>
      <c r="O597" s="80">
        <f t="shared" si="907"/>
        <v>8</v>
      </c>
      <c r="P597" s="80">
        <f t="shared" si="907"/>
        <v>8</v>
      </c>
      <c r="Q597" s="80">
        <f t="shared" si="907"/>
        <v>8</v>
      </c>
      <c r="R597" s="80">
        <f t="shared" si="907"/>
        <v>8</v>
      </c>
      <c r="S597" s="80">
        <f t="shared" si="907"/>
        <v>8</v>
      </c>
      <c r="T597" s="80">
        <f t="shared" si="907"/>
        <v>8</v>
      </c>
      <c r="U597" s="80">
        <f t="shared" si="907"/>
        <v>8</v>
      </c>
      <c r="V597" s="80">
        <f t="shared" si="907"/>
        <v>8</v>
      </c>
      <c r="W597" s="80">
        <f t="shared" si="907"/>
        <v>8</v>
      </c>
      <c r="X597" s="80">
        <f t="shared" si="907"/>
        <v>8</v>
      </c>
      <c r="Y597" s="80">
        <f t="shared" si="907"/>
        <v>8</v>
      </c>
      <c r="Z597" s="80">
        <f t="shared" si="907"/>
        <v>8</v>
      </c>
      <c r="AA597" s="80">
        <f t="shared" si="907"/>
        <v>8</v>
      </c>
      <c r="AB597" s="80">
        <f t="shared" si="907"/>
        <v>8</v>
      </c>
      <c r="AC597" s="80">
        <f t="shared" si="907"/>
        <v>8</v>
      </c>
      <c r="AD597" s="80">
        <f t="shared" si="907"/>
        <v>8</v>
      </c>
      <c r="AE597" s="80">
        <f t="shared" si="907"/>
        <v>8</v>
      </c>
      <c r="AF597" s="80">
        <f t="shared" si="907"/>
        <v>8</v>
      </c>
      <c r="AG597" s="80">
        <f t="shared" si="907"/>
        <v>8</v>
      </c>
      <c r="AH597" s="80">
        <f t="shared" si="907"/>
        <v>8</v>
      </c>
      <c r="AI597" s="80">
        <f t="shared" ref="AI597:BB597" si="908">$I13</f>
        <v>8</v>
      </c>
      <c r="AJ597" s="80">
        <f t="shared" si="908"/>
        <v>8</v>
      </c>
      <c r="AK597" s="80">
        <f t="shared" si="908"/>
        <v>8</v>
      </c>
      <c r="AL597" s="80">
        <f t="shared" si="908"/>
        <v>8</v>
      </c>
      <c r="AM597" s="80">
        <f t="shared" si="908"/>
        <v>8</v>
      </c>
      <c r="AN597" s="80">
        <f t="shared" si="908"/>
        <v>8</v>
      </c>
      <c r="AO597" s="80">
        <f t="shared" si="908"/>
        <v>8</v>
      </c>
      <c r="AP597" s="80">
        <f t="shared" si="908"/>
        <v>8</v>
      </c>
      <c r="AQ597" s="80">
        <f t="shared" si="908"/>
        <v>8</v>
      </c>
      <c r="AR597" s="80">
        <f t="shared" si="908"/>
        <v>8</v>
      </c>
      <c r="AS597" s="80">
        <f t="shared" si="908"/>
        <v>8</v>
      </c>
      <c r="AT597" s="80">
        <f t="shared" si="908"/>
        <v>8</v>
      </c>
      <c r="AU597" s="80">
        <f t="shared" si="908"/>
        <v>8</v>
      </c>
      <c r="AV597" s="80">
        <f t="shared" si="908"/>
        <v>8</v>
      </c>
      <c r="AW597" s="80">
        <f t="shared" si="908"/>
        <v>8</v>
      </c>
      <c r="AX597" s="80">
        <f t="shared" si="908"/>
        <v>8</v>
      </c>
      <c r="AY597" s="80">
        <f t="shared" si="908"/>
        <v>8</v>
      </c>
      <c r="AZ597" s="80">
        <f t="shared" si="908"/>
        <v>8</v>
      </c>
      <c r="BA597" s="80">
        <f t="shared" si="908"/>
        <v>8</v>
      </c>
      <c r="BB597" s="80">
        <f t="shared" si="908"/>
        <v>8</v>
      </c>
    </row>
    <row r="598" spans="2:55" x14ac:dyDescent="0.25">
      <c r="B598" s="80" t="str">
        <f t="shared" si="900"/>
        <v>Product E Utility Cost / Unit (RM)</v>
      </c>
      <c r="C598" s="80">
        <f t="shared" ref="C598:AH598" si="909">$I14</f>
        <v>7.8</v>
      </c>
      <c r="D598" s="80">
        <f t="shared" si="909"/>
        <v>7.8</v>
      </c>
      <c r="E598" s="80">
        <f t="shared" si="909"/>
        <v>7.8</v>
      </c>
      <c r="F598" s="80">
        <f t="shared" si="909"/>
        <v>7.8</v>
      </c>
      <c r="G598" s="80">
        <f t="shared" si="909"/>
        <v>7.8</v>
      </c>
      <c r="H598" s="80">
        <f t="shared" si="909"/>
        <v>7.8</v>
      </c>
      <c r="I598" s="80">
        <f t="shared" si="909"/>
        <v>7.8</v>
      </c>
      <c r="J598" s="80">
        <f t="shared" si="909"/>
        <v>7.8</v>
      </c>
      <c r="K598" s="80">
        <f t="shared" si="909"/>
        <v>7.8</v>
      </c>
      <c r="L598" s="80">
        <f t="shared" si="909"/>
        <v>7.8</v>
      </c>
      <c r="M598" s="80">
        <f t="shared" si="909"/>
        <v>7.8</v>
      </c>
      <c r="N598" s="80">
        <f t="shared" si="909"/>
        <v>7.8</v>
      </c>
      <c r="O598" s="80">
        <f t="shared" si="909"/>
        <v>7.8</v>
      </c>
      <c r="P598" s="80">
        <f t="shared" si="909"/>
        <v>7.8</v>
      </c>
      <c r="Q598" s="80">
        <f t="shared" si="909"/>
        <v>7.8</v>
      </c>
      <c r="R598" s="80">
        <f t="shared" si="909"/>
        <v>7.8</v>
      </c>
      <c r="S598" s="80">
        <f t="shared" si="909"/>
        <v>7.8</v>
      </c>
      <c r="T598" s="80">
        <f t="shared" si="909"/>
        <v>7.8</v>
      </c>
      <c r="U598" s="80">
        <f t="shared" si="909"/>
        <v>7.8</v>
      </c>
      <c r="V598" s="80">
        <f t="shared" si="909"/>
        <v>7.8</v>
      </c>
      <c r="W598" s="80">
        <f t="shared" si="909"/>
        <v>7.8</v>
      </c>
      <c r="X598" s="80">
        <f t="shared" si="909"/>
        <v>7.8</v>
      </c>
      <c r="Y598" s="80">
        <f t="shared" si="909"/>
        <v>7.8</v>
      </c>
      <c r="Z598" s="80">
        <f t="shared" si="909"/>
        <v>7.8</v>
      </c>
      <c r="AA598" s="80">
        <f t="shared" si="909"/>
        <v>7.8</v>
      </c>
      <c r="AB598" s="80">
        <f t="shared" si="909"/>
        <v>7.8</v>
      </c>
      <c r="AC598" s="80">
        <f t="shared" si="909"/>
        <v>7.8</v>
      </c>
      <c r="AD598" s="80">
        <f t="shared" si="909"/>
        <v>7.8</v>
      </c>
      <c r="AE598" s="80">
        <f t="shared" si="909"/>
        <v>7.8</v>
      </c>
      <c r="AF598" s="80">
        <f t="shared" si="909"/>
        <v>7.8</v>
      </c>
      <c r="AG598" s="80">
        <f t="shared" si="909"/>
        <v>7.8</v>
      </c>
      <c r="AH598" s="80">
        <f t="shared" si="909"/>
        <v>7.8</v>
      </c>
      <c r="AI598" s="80">
        <f t="shared" ref="AI598:BB598" si="910">$I14</f>
        <v>7.8</v>
      </c>
      <c r="AJ598" s="80">
        <f t="shared" si="910"/>
        <v>7.8</v>
      </c>
      <c r="AK598" s="80">
        <f t="shared" si="910"/>
        <v>7.8</v>
      </c>
      <c r="AL598" s="80">
        <f t="shared" si="910"/>
        <v>7.8</v>
      </c>
      <c r="AM598" s="80">
        <f t="shared" si="910"/>
        <v>7.8</v>
      </c>
      <c r="AN598" s="80">
        <f t="shared" si="910"/>
        <v>7.8</v>
      </c>
      <c r="AO598" s="80">
        <f t="shared" si="910"/>
        <v>7.8</v>
      </c>
      <c r="AP598" s="80">
        <f t="shared" si="910"/>
        <v>7.8</v>
      </c>
      <c r="AQ598" s="80">
        <f t="shared" si="910"/>
        <v>7.8</v>
      </c>
      <c r="AR598" s="80">
        <f t="shared" si="910"/>
        <v>7.8</v>
      </c>
      <c r="AS598" s="80">
        <f t="shared" si="910"/>
        <v>7.8</v>
      </c>
      <c r="AT598" s="80">
        <f t="shared" si="910"/>
        <v>7.8</v>
      </c>
      <c r="AU598" s="80">
        <f t="shared" si="910"/>
        <v>7.8</v>
      </c>
      <c r="AV598" s="80">
        <f t="shared" si="910"/>
        <v>7.8</v>
      </c>
      <c r="AW598" s="80">
        <f t="shared" si="910"/>
        <v>7.8</v>
      </c>
      <c r="AX598" s="80">
        <f t="shared" si="910"/>
        <v>7.8</v>
      </c>
      <c r="AY598" s="80">
        <f t="shared" si="910"/>
        <v>7.8</v>
      </c>
      <c r="AZ598" s="80">
        <f t="shared" si="910"/>
        <v>7.8</v>
      </c>
      <c r="BA598" s="80">
        <f t="shared" si="910"/>
        <v>7.8</v>
      </c>
      <c r="BB598" s="80">
        <f t="shared" si="910"/>
        <v>7.8</v>
      </c>
    </row>
    <row r="599" spans="2:55" x14ac:dyDescent="0.25">
      <c r="B599" s="80" t="str">
        <f>_xlfn.CONCAT(B462," ","Utility Cost / Unit (RM)")</f>
        <v>Product F Utility Cost / Unit (RM)</v>
      </c>
      <c r="C599" s="80">
        <f t="shared" ref="C599:AH599" si="911">$I15</f>
        <v>7.9</v>
      </c>
      <c r="D599" s="80">
        <f t="shared" si="911"/>
        <v>7.9</v>
      </c>
      <c r="E599" s="80">
        <f t="shared" si="911"/>
        <v>7.9</v>
      </c>
      <c r="F599" s="80">
        <f t="shared" si="911"/>
        <v>7.9</v>
      </c>
      <c r="G599" s="80">
        <f t="shared" si="911"/>
        <v>7.9</v>
      </c>
      <c r="H599" s="80">
        <f t="shared" si="911"/>
        <v>7.9</v>
      </c>
      <c r="I599" s="80">
        <f t="shared" si="911"/>
        <v>7.9</v>
      </c>
      <c r="J599" s="80">
        <f t="shared" si="911"/>
        <v>7.9</v>
      </c>
      <c r="K599" s="80">
        <f t="shared" si="911"/>
        <v>7.9</v>
      </c>
      <c r="L599" s="80">
        <f t="shared" si="911"/>
        <v>7.9</v>
      </c>
      <c r="M599" s="80">
        <f t="shared" si="911"/>
        <v>7.9</v>
      </c>
      <c r="N599" s="80">
        <f t="shared" si="911"/>
        <v>7.9</v>
      </c>
      <c r="O599" s="80">
        <f t="shared" si="911"/>
        <v>7.9</v>
      </c>
      <c r="P599" s="80">
        <f t="shared" si="911"/>
        <v>7.9</v>
      </c>
      <c r="Q599" s="80">
        <f t="shared" si="911"/>
        <v>7.9</v>
      </c>
      <c r="R599" s="80">
        <f t="shared" si="911"/>
        <v>7.9</v>
      </c>
      <c r="S599" s="80">
        <f t="shared" si="911"/>
        <v>7.9</v>
      </c>
      <c r="T599" s="80">
        <f t="shared" si="911"/>
        <v>7.9</v>
      </c>
      <c r="U599" s="80">
        <f t="shared" si="911"/>
        <v>7.9</v>
      </c>
      <c r="V599" s="80">
        <f t="shared" si="911"/>
        <v>7.9</v>
      </c>
      <c r="W599" s="80">
        <f t="shared" si="911"/>
        <v>7.9</v>
      </c>
      <c r="X599" s="80">
        <f t="shared" si="911"/>
        <v>7.9</v>
      </c>
      <c r="Y599" s="80">
        <f t="shared" si="911"/>
        <v>7.9</v>
      </c>
      <c r="Z599" s="80">
        <f t="shared" si="911"/>
        <v>7.9</v>
      </c>
      <c r="AA599" s="80">
        <f t="shared" si="911"/>
        <v>7.9</v>
      </c>
      <c r="AB599" s="80">
        <f t="shared" si="911"/>
        <v>7.9</v>
      </c>
      <c r="AC599" s="80">
        <f t="shared" si="911"/>
        <v>7.9</v>
      </c>
      <c r="AD599" s="80">
        <f t="shared" si="911"/>
        <v>7.9</v>
      </c>
      <c r="AE599" s="80">
        <f t="shared" si="911"/>
        <v>7.9</v>
      </c>
      <c r="AF599" s="80">
        <f t="shared" si="911"/>
        <v>7.9</v>
      </c>
      <c r="AG599" s="80">
        <f t="shared" si="911"/>
        <v>7.9</v>
      </c>
      <c r="AH599" s="80">
        <f t="shared" si="911"/>
        <v>7.9</v>
      </c>
      <c r="AI599" s="80">
        <f t="shared" ref="AI599:BB599" si="912">$I15</f>
        <v>7.9</v>
      </c>
      <c r="AJ599" s="80">
        <f t="shared" si="912"/>
        <v>7.9</v>
      </c>
      <c r="AK599" s="80">
        <f t="shared" si="912"/>
        <v>7.9</v>
      </c>
      <c r="AL599" s="80">
        <f t="shared" si="912"/>
        <v>7.9</v>
      </c>
      <c r="AM599" s="80">
        <f t="shared" si="912"/>
        <v>7.9</v>
      </c>
      <c r="AN599" s="80">
        <f t="shared" si="912"/>
        <v>7.9</v>
      </c>
      <c r="AO599" s="80">
        <f t="shared" si="912"/>
        <v>7.9</v>
      </c>
      <c r="AP599" s="80">
        <f t="shared" si="912"/>
        <v>7.9</v>
      </c>
      <c r="AQ599" s="80">
        <f t="shared" si="912"/>
        <v>7.9</v>
      </c>
      <c r="AR599" s="80">
        <f t="shared" si="912"/>
        <v>7.9</v>
      </c>
      <c r="AS599" s="80">
        <f t="shared" si="912"/>
        <v>7.9</v>
      </c>
      <c r="AT599" s="80">
        <f t="shared" si="912"/>
        <v>7.9</v>
      </c>
      <c r="AU599" s="80">
        <f t="shared" si="912"/>
        <v>7.9</v>
      </c>
      <c r="AV599" s="80">
        <f t="shared" si="912"/>
        <v>7.9</v>
      </c>
      <c r="AW599" s="80">
        <f t="shared" si="912"/>
        <v>7.9</v>
      </c>
      <c r="AX599" s="80">
        <f t="shared" si="912"/>
        <v>7.9</v>
      </c>
      <c r="AY599" s="80">
        <f t="shared" si="912"/>
        <v>7.9</v>
      </c>
      <c r="AZ599" s="80">
        <f t="shared" si="912"/>
        <v>7.9</v>
      </c>
      <c r="BA599" s="80">
        <f t="shared" si="912"/>
        <v>7.9</v>
      </c>
      <c r="BB599" s="80">
        <f t="shared" si="912"/>
        <v>7.9</v>
      </c>
    </row>
    <row r="600" spans="2:55" x14ac:dyDescent="0.25">
      <c r="B600" s="80" t="str">
        <f t="shared" ref="B600:B601" si="913">_xlfn.CONCAT(B463," ","Utility Cost / Unit (RM)")</f>
        <v>Product G Utility Cost / Unit (RM)</v>
      </c>
      <c r="C600" s="80">
        <f t="shared" ref="C600:AH600" si="914">$I16</f>
        <v>8</v>
      </c>
      <c r="D600" s="80">
        <f t="shared" si="914"/>
        <v>8</v>
      </c>
      <c r="E600" s="80">
        <f t="shared" si="914"/>
        <v>8</v>
      </c>
      <c r="F600" s="80">
        <f t="shared" si="914"/>
        <v>8</v>
      </c>
      <c r="G600" s="80">
        <f t="shared" si="914"/>
        <v>8</v>
      </c>
      <c r="H600" s="80">
        <f t="shared" si="914"/>
        <v>8</v>
      </c>
      <c r="I600" s="80">
        <f t="shared" si="914"/>
        <v>8</v>
      </c>
      <c r="J600" s="80">
        <f t="shared" si="914"/>
        <v>8</v>
      </c>
      <c r="K600" s="80">
        <f t="shared" si="914"/>
        <v>8</v>
      </c>
      <c r="L600" s="80">
        <f t="shared" si="914"/>
        <v>8</v>
      </c>
      <c r="M600" s="80">
        <f t="shared" si="914"/>
        <v>8</v>
      </c>
      <c r="N600" s="80">
        <f t="shared" si="914"/>
        <v>8</v>
      </c>
      <c r="O600" s="80">
        <f t="shared" si="914"/>
        <v>8</v>
      </c>
      <c r="P600" s="80">
        <f t="shared" si="914"/>
        <v>8</v>
      </c>
      <c r="Q600" s="80">
        <f t="shared" si="914"/>
        <v>8</v>
      </c>
      <c r="R600" s="80">
        <f t="shared" si="914"/>
        <v>8</v>
      </c>
      <c r="S600" s="80">
        <f t="shared" si="914"/>
        <v>8</v>
      </c>
      <c r="T600" s="80">
        <f t="shared" si="914"/>
        <v>8</v>
      </c>
      <c r="U600" s="80">
        <f t="shared" si="914"/>
        <v>8</v>
      </c>
      <c r="V600" s="80">
        <f t="shared" si="914"/>
        <v>8</v>
      </c>
      <c r="W600" s="80">
        <f t="shared" si="914"/>
        <v>8</v>
      </c>
      <c r="X600" s="80">
        <f t="shared" si="914"/>
        <v>8</v>
      </c>
      <c r="Y600" s="80">
        <f t="shared" si="914"/>
        <v>8</v>
      </c>
      <c r="Z600" s="80">
        <f t="shared" si="914"/>
        <v>8</v>
      </c>
      <c r="AA600" s="80">
        <f t="shared" si="914"/>
        <v>8</v>
      </c>
      <c r="AB600" s="80">
        <f t="shared" si="914"/>
        <v>8</v>
      </c>
      <c r="AC600" s="80">
        <f t="shared" si="914"/>
        <v>8</v>
      </c>
      <c r="AD600" s="80">
        <f t="shared" si="914"/>
        <v>8</v>
      </c>
      <c r="AE600" s="80">
        <f t="shared" si="914"/>
        <v>8</v>
      </c>
      <c r="AF600" s="80">
        <f t="shared" si="914"/>
        <v>8</v>
      </c>
      <c r="AG600" s="80">
        <f t="shared" si="914"/>
        <v>8</v>
      </c>
      <c r="AH600" s="80">
        <f t="shared" si="914"/>
        <v>8</v>
      </c>
      <c r="AI600" s="80">
        <f t="shared" ref="AI600:BB600" si="915">$I16</f>
        <v>8</v>
      </c>
      <c r="AJ600" s="80">
        <f t="shared" si="915"/>
        <v>8</v>
      </c>
      <c r="AK600" s="80">
        <f t="shared" si="915"/>
        <v>8</v>
      </c>
      <c r="AL600" s="80">
        <f t="shared" si="915"/>
        <v>8</v>
      </c>
      <c r="AM600" s="80">
        <f t="shared" si="915"/>
        <v>8</v>
      </c>
      <c r="AN600" s="80">
        <f t="shared" si="915"/>
        <v>8</v>
      </c>
      <c r="AO600" s="80">
        <f t="shared" si="915"/>
        <v>8</v>
      </c>
      <c r="AP600" s="80">
        <f t="shared" si="915"/>
        <v>8</v>
      </c>
      <c r="AQ600" s="80">
        <f t="shared" si="915"/>
        <v>8</v>
      </c>
      <c r="AR600" s="80">
        <f t="shared" si="915"/>
        <v>8</v>
      </c>
      <c r="AS600" s="80">
        <f t="shared" si="915"/>
        <v>8</v>
      </c>
      <c r="AT600" s="80">
        <f t="shared" si="915"/>
        <v>8</v>
      </c>
      <c r="AU600" s="80">
        <f t="shared" si="915"/>
        <v>8</v>
      </c>
      <c r="AV600" s="80">
        <f t="shared" si="915"/>
        <v>8</v>
      </c>
      <c r="AW600" s="80">
        <f t="shared" si="915"/>
        <v>8</v>
      </c>
      <c r="AX600" s="80">
        <f t="shared" si="915"/>
        <v>8</v>
      </c>
      <c r="AY600" s="80">
        <f t="shared" si="915"/>
        <v>8</v>
      </c>
      <c r="AZ600" s="80">
        <f t="shared" si="915"/>
        <v>8</v>
      </c>
      <c r="BA600" s="80">
        <f t="shared" si="915"/>
        <v>8</v>
      </c>
      <c r="BB600" s="80">
        <f t="shared" si="915"/>
        <v>8</v>
      </c>
    </row>
    <row r="601" spans="2:55" x14ac:dyDescent="0.25">
      <c r="B601" s="80" t="str">
        <f t="shared" si="913"/>
        <v>Product H Utility Cost / Unit (RM)</v>
      </c>
      <c r="C601" s="80">
        <f t="shared" ref="C601:AH601" si="916">$I17</f>
        <v>7.5</v>
      </c>
      <c r="D601" s="80">
        <f t="shared" si="916"/>
        <v>7.5</v>
      </c>
      <c r="E601" s="80">
        <f t="shared" si="916"/>
        <v>7.5</v>
      </c>
      <c r="F601" s="80">
        <f t="shared" si="916"/>
        <v>7.5</v>
      </c>
      <c r="G601" s="80">
        <f t="shared" si="916"/>
        <v>7.5</v>
      </c>
      <c r="H601" s="80">
        <f t="shared" si="916"/>
        <v>7.5</v>
      </c>
      <c r="I601" s="80">
        <f t="shared" si="916"/>
        <v>7.5</v>
      </c>
      <c r="J601" s="80">
        <f t="shared" si="916"/>
        <v>7.5</v>
      </c>
      <c r="K601" s="80">
        <f t="shared" si="916"/>
        <v>7.5</v>
      </c>
      <c r="L601" s="80">
        <f t="shared" si="916"/>
        <v>7.5</v>
      </c>
      <c r="M601" s="80">
        <f t="shared" si="916"/>
        <v>7.5</v>
      </c>
      <c r="N601" s="80">
        <f t="shared" si="916"/>
        <v>7.5</v>
      </c>
      <c r="O601" s="80">
        <f t="shared" si="916"/>
        <v>7.5</v>
      </c>
      <c r="P601" s="80">
        <f t="shared" si="916"/>
        <v>7.5</v>
      </c>
      <c r="Q601" s="80">
        <f t="shared" si="916"/>
        <v>7.5</v>
      </c>
      <c r="R601" s="80">
        <f t="shared" si="916"/>
        <v>7.5</v>
      </c>
      <c r="S601" s="80">
        <f t="shared" si="916"/>
        <v>7.5</v>
      </c>
      <c r="T601" s="80">
        <f t="shared" si="916"/>
        <v>7.5</v>
      </c>
      <c r="U601" s="80">
        <f t="shared" si="916"/>
        <v>7.5</v>
      </c>
      <c r="V601" s="80">
        <f t="shared" si="916"/>
        <v>7.5</v>
      </c>
      <c r="W601" s="80">
        <f t="shared" si="916"/>
        <v>7.5</v>
      </c>
      <c r="X601" s="80">
        <f t="shared" si="916"/>
        <v>7.5</v>
      </c>
      <c r="Y601" s="80">
        <f t="shared" si="916"/>
        <v>7.5</v>
      </c>
      <c r="Z601" s="80">
        <f t="shared" si="916"/>
        <v>7.5</v>
      </c>
      <c r="AA601" s="80">
        <f t="shared" si="916"/>
        <v>7.5</v>
      </c>
      <c r="AB601" s="80">
        <f t="shared" si="916"/>
        <v>7.5</v>
      </c>
      <c r="AC601" s="80">
        <f t="shared" si="916"/>
        <v>7.5</v>
      </c>
      <c r="AD601" s="80">
        <f t="shared" si="916"/>
        <v>7.5</v>
      </c>
      <c r="AE601" s="80">
        <f t="shared" si="916"/>
        <v>7.5</v>
      </c>
      <c r="AF601" s="80">
        <f t="shared" si="916"/>
        <v>7.5</v>
      </c>
      <c r="AG601" s="80">
        <f t="shared" si="916"/>
        <v>7.5</v>
      </c>
      <c r="AH601" s="80">
        <f t="shared" si="916"/>
        <v>7.5</v>
      </c>
      <c r="AI601" s="80">
        <f t="shared" ref="AI601:BB601" si="917">$I17</f>
        <v>7.5</v>
      </c>
      <c r="AJ601" s="80">
        <f t="shared" si="917"/>
        <v>7.5</v>
      </c>
      <c r="AK601" s="80">
        <f t="shared" si="917"/>
        <v>7.5</v>
      </c>
      <c r="AL601" s="80">
        <f t="shared" si="917"/>
        <v>7.5</v>
      </c>
      <c r="AM601" s="80">
        <f t="shared" si="917"/>
        <v>7.5</v>
      </c>
      <c r="AN601" s="80">
        <f t="shared" si="917"/>
        <v>7.5</v>
      </c>
      <c r="AO601" s="80">
        <f t="shared" si="917"/>
        <v>7.5</v>
      </c>
      <c r="AP601" s="80">
        <f t="shared" si="917"/>
        <v>7.5</v>
      </c>
      <c r="AQ601" s="80">
        <f t="shared" si="917"/>
        <v>7.5</v>
      </c>
      <c r="AR601" s="80">
        <f t="shared" si="917"/>
        <v>7.5</v>
      </c>
      <c r="AS601" s="80">
        <f t="shared" si="917"/>
        <v>7.5</v>
      </c>
      <c r="AT601" s="80">
        <f t="shared" si="917"/>
        <v>7.5</v>
      </c>
      <c r="AU601" s="80">
        <f t="shared" si="917"/>
        <v>7.5</v>
      </c>
      <c r="AV601" s="80">
        <f t="shared" si="917"/>
        <v>7.5</v>
      </c>
      <c r="AW601" s="80">
        <f t="shared" si="917"/>
        <v>7.5</v>
      </c>
      <c r="AX601" s="80">
        <f t="shared" si="917"/>
        <v>7.5</v>
      </c>
      <c r="AY601" s="80">
        <f t="shared" si="917"/>
        <v>7.5</v>
      </c>
      <c r="AZ601" s="80">
        <f t="shared" si="917"/>
        <v>7.5</v>
      </c>
      <c r="BA601" s="80">
        <f t="shared" si="917"/>
        <v>7.5</v>
      </c>
      <c r="BB601" s="80">
        <f t="shared" si="917"/>
        <v>7.5</v>
      </c>
    </row>
    <row r="602" spans="2:55" x14ac:dyDescent="0.25">
      <c r="B602" s="113" t="str">
        <f>_xlfn.CONCAT(B457," ","Extra Rework Labor Cost")</f>
        <v>Product A Extra Rework Labor Cost</v>
      </c>
      <c r="C602" s="113">
        <f>$AB$4*$R$4*C546/(60*60)</f>
        <v>0.13666666666666666</v>
      </c>
      <c r="D602" s="113">
        <f t="shared" ref="D602:BB602" si="918">$AB$4*$R$4*D546/(60*60)</f>
        <v>0.13666666666666666</v>
      </c>
      <c r="E602" s="113">
        <f t="shared" si="918"/>
        <v>0.13666666666666666</v>
      </c>
      <c r="F602" s="113">
        <f t="shared" si="918"/>
        <v>0.13666666666666666</v>
      </c>
      <c r="G602" s="113">
        <f t="shared" si="918"/>
        <v>0.13666666666666666</v>
      </c>
      <c r="H602" s="113">
        <f t="shared" si="918"/>
        <v>0.13666666666666666</v>
      </c>
      <c r="I602" s="113">
        <f t="shared" si="918"/>
        <v>0.13666666666666666</v>
      </c>
      <c r="J602" s="113">
        <f t="shared" si="918"/>
        <v>0.13666666666666666</v>
      </c>
      <c r="K602" s="113">
        <f t="shared" si="918"/>
        <v>0.13666666666666666</v>
      </c>
      <c r="L602" s="113">
        <f t="shared" si="918"/>
        <v>0.13666666666666666</v>
      </c>
      <c r="M602" s="113">
        <f t="shared" si="918"/>
        <v>0.13666666666666666</v>
      </c>
      <c r="N602" s="113">
        <f t="shared" si="918"/>
        <v>0.13666666666666666</v>
      </c>
      <c r="O602" s="113">
        <f t="shared" si="918"/>
        <v>0.13666666666666666</v>
      </c>
      <c r="P602" s="113">
        <f t="shared" si="918"/>
        <v>0.13666666666666666</v>
      </c>
      <c r="Q602" s="113">
        <f t="shared" si="918"/>
        <v>0.13666666666666666</v>
      </c>
      <c r="R602" s="113">
        <f t="shared" si="918"/>
        <v>0.13666666666666666</v>
      </c>
      <c r="S602" s="113">
        <f t="shared" si="918"/>
        <v>0.13666666666666666</v>
      </c>
      <c r="T602" s="113">
        <f t="shared" si="918"/>
        <v>0.13666666666666666</v>
      </c>
      <c r="U602" s="113">
        <f t="shared" si="918"/>
        <v>0.13666666666666666</v>
      </c>
      <c r="V602" s="113">
        <f t="shared" si="918"/>
        <v>0.13666666666666666</v>
      </c>
      <c r="W602" s="113">
        <f t="shared" si="918"/>
        <v>0.13666666666666666</v>
      </c>
      <c r="X602" s="113">
        <f t="shared" si="918"/>
        <v>0.13666666666666666</v>
      </c>
      <c r="Y602" s="113">
        <f t="shared" si="918"/>
        <v>0.13666666666666666</v>
      </c>
      <c r="Z602" s="113">
        <f t="shared" si="918"/>
        <v>0.13666666666666666</v>
      </c>
      <c r="AA602" s="113">
        <f t="shared" si="918"/>
        <v>0.13666666666666666</v>
      </c>
      <c r="AB602" s="113">
        <f t="shared" si="918"/>
        <v>0.13666666666666666</v>
      </c>
      <c r="AC602" s="113">
        <f t="shared" si="918"/>
        <v>0.13666666666666666</v>
      </c>
      <c r="AD602" s="113">
        <f t="shared" si="918"/>
        <v>0.13666666666666666</v>
      </c>
      <c r="AE602" s="113">
        <f t="shared" si="918"/>
        <v>0.13666666666666666</v>
      </c>
      <c r="AF602" s="113">
        <f t="shared" si="918"/>
        <v>0.13666666666666666</v>
      </c>
      <c r="AG602" s="113">
        <f t="shared" si="918"/>
        <v>0.13666666666666666</v>
      </c>
      <c r="AH602" s="113">
        <f t="shared" si="918"/>
        <v>0.13666666666666666</v>
      </c>
      <c r="AI602" s="113">
        <f t="shared" si="918"/>
        <v>0.13666666666666666</v>
      </c>
      <c r="AJ602" s="113">
        <f t="shared" si="918"/>
        <v>0.13666666666666666</v>
      </c>
      <c r="AK602" s="113">
        <f t="shared" si="918"/>
        <v>0.13666666666666666</v>
      </c>
      <c r="AL602" s="113">
        <f t="shared" si="918"/>
        <v>0.13666666666666666</v>
      </c>
      <c r="AM602" s="113">
        <f t="shared" si="918"/>
        <v>0.13666666666666666</v>
      </c>
      <c r="AN602" s="113">
        <f t="shared" si="918"/>
        <v>0.13666666666666666</v>
      </c>
      <c r="AO602" s="113">
        <f t="shared" si="918"/>
        <v>0.13666666666666666</v>
      </c>
      <c r="AP602" s="113">
        <f t="shared" si="918"/>
        <v>0.13666666666666666</v>
      </c>
      <c r="AQ602" s="113">
        <f t="shared" si="918"/>
        <v>0.13666666666666666</v>
      </c>
      <c r="AR602" s="113">
        <f t="shared" si="918"/>
        <v>0.13666666666666666</v>
      </c>
      <c r="AS602" s="113">
        <f t="shared" si="918"/>
        <v>0.13666666666666666</v>
      </c>
      <c r="AT602" s="113">
        <f t="shared" si="918"/>
        <v>0.13666666666666666</v>
      </c>
      <c r="AU602" s="113">
        <f t="shared" si="918"/>
        <v>0.13666666666666666</v>
      </c>
      <c r="AV602" s="113">
        <f t="shared" si="918"/>
        <v>0.13666666666666666</v>
      </c>
      <c r="AW602" s="113">
        <f t="shared" si="918"/>
        <v>0.13666666666666666</v>
      </c>
      <c r="AX602" s="113">
        <f t="shared" si="918"/>
        <v>0.13666666666666666</v>
      </c>
      <c r="AY602" s="113">
        <f t="shared" si="918"/>
        <v>0.13666666666666666</v>
      </c>
      <c r="AZ602" s="113">
        <f t="shared" si="918"/>
        <v>0.13666666666666666</v>
      </c>
      <c r="BA602" s="113">
        <f t="shared" si="918"/>
        <v>0.13666666666666666</v>
      </c>
      <c r="BB602" s="113">
        <f t="shared" si="918"/>
        <v>0.13666666666666666</v>
      </c>
      <c r="BC602" s="19"/>
    </row>
    <row r="603" spans="2:55" x14ac:dyDescent="0.25">
      <c r="B603" s="113" t="str">
        <f t="shared" ref="B603:B609" si="919">_xlfn.CONCAT(B458," ","Extra Rework Labor Cost")</f>
        <v>Product B Extra Rework Labor Cost</v>
      </c>
      <c r="C603" s="113">
        <f t="shared" ref="C603:BB603" si="920">$AB$4*$R$4*C547/(60*60)</f>
        <v>0.15333333333333332</v>
      </c>
      <c r="D603" s="113">
        <f t="shared" si="920"/>
        <v>0.15333333333333332</v>
      </c>
      <c r="E603" s="113">
        <f t="shared" si="920"/>
        <v>0.15333333333333332</v>
      </c>
      <c r="F603" s="113">
        <f t="shared" si="920"/>
        <v>0.15333333333333332</v>
      </c>
      <c r="G603" s="113">
        <f t="shared" si="920"/>
        <v>0.15333333333333332</v>
      </c>
      <c r="H603" s="113">
        <f t="shared" si="920"/>
        <v>0.15333333333333332</v>
      </c>
      <c r="I603" s="113">
        <f t="shared" si="920"/>
        <v>0.15333333333333332</v>
      </c>
      <c r="J603" s="113">
        <f t="shared" si="920"/>
        <v>0.15333333333333332</v>
      </c>
      <c r="K603" s="113">
        <f t="shared" si="920"/>
        <v>0.15333333333333332</v>
      </c>
      <c r="L603" s="113">
        <f t="shared" si="920"/>
        <v>0.15333333333333332</v>
      </c>
      <c r="M603" s="113">
        <f t="shared" si="920"/>
        <v>0.15333333333333332</v>
      </c>
      <c r="N603" s="113">
        <f t="shared" si="920"/>
        <v>0.15333333333333332</v>
      </c>
      <c r="O603" s="113">
        <f t="shared" si="920"/>
        <v>0.15333333333333332</v>
      </c>
      <c r="P603" s="113">
        <f t="shared" si="920"/>
        <v>0.15333333333333332</v>
      </c>
      <c r="Q603" s="113">
        <f t="shared" si="920"/>
        <v>0.15333333333333332</v>
      </c>
      <c r="R603" s="113">
        <f t="shared" si="920"/>
        <v>0.15333333333333332</v>
      </c>
      <c r="S603" s="113">
        <f t="shared" si="920"/>
        <v>0.15333333333333332</v>
      </c>
      <c r="T603" s="113">
        <f t="shared" si="920"/>
        <v>0.15333333333333332</v>
      </c>
      <c r="U603" s="113">
        <f t="shared" si="920"/>
        <v>0.15333333333333332</v>
      </c>
      <c r="V603" s="113">
        <f t="shared" si="920"/>
        <v>0.15333333333333332</v>
      </c>
      <c r="W603" s="113">
        <f t="shared" si="920"/>
        <v>0.15333333333333332</v>
      </c>
      <c r="X603" s="113">
        <f t="shared" si="920"/>
        <v>0.15333333333333332</v>
      </c>
      <c r="Y603" s="113">
        <f t="shared" si="920"/>
        <v>0.15333333333333332</v>
      </c>
      <c r="Z603" s="113">
        <f t="shared" si="920"/>
        <v>0.15333333333333332</v>
      </c>
      <c r="AA603" s="113">
        <f t="shared" si="920"/>
        <v>0.15333333333333332</v>
      </c>
      <c r="AB603" s="113">
        <f t="shared" si="920"/>
        <v>0.15333333333333332</v>
      </c>
      <c r="AC603" s="113">
        <f t="shared" si="920"/>
        <v>0.15333333333333332</v>
      </c>
      <c r="AD603" s="113">
        <f t="shared" si="920"/>
        <v>0.15333333333333332</v>
      </c>
      <c r="AE603" s="113">
        <f t="shared" si="920"/>
        <v>0.15333333333333332</v>
      </c>
      <c r="AF603" s="113">
        <f t="shared" si="920"/>
        <v>0.15333333333333332</v>
      </c>
      <c r="AG603" s="113">
        <f t="shared" si="920"/>
        <v>0.15333333333333332</v>
      </c>
      <c r="AH603" s="113">
        <f t="shared" si="920"/>
        <v>0.15333333333333332</v>
      </c>
      <c r="AI603" s="113">
        <f t="shared" si="920"/>
        <v>0.15333333333333332</v>
      </c>
      <c r="AJ603" s="113">
        <f t="shared" si="920"/>
        <v>0.15333333333333332</v>
      </c>
      <c r="AK603" s="113">
        <f t="shared" si="920"/>
        <v>0.15333333333333332</v>
      </c>
      <c r="AL603" s="113">
        <f t="shared" si="920"/>
        <v>0.15333333333333332</v>
      </c>
      <c r="AM603" s="113">
        <f t="shared" si="920"/>
        <v>0.15333333333333332</v>
      </c>
      <c r="AN603" s="113">
        <f t="shared" si="920"/>
        <v>0.15333333333333332</v>
      </c>
      <c r="AO603" s="113">
        <f t="shared" si="920"/>
        <v>0.15333333333333332</v>
      </c>
      <c r="AP603" s="113">
        <f t="shared" si="920"/>
        <v>0.15333333333333332</v>
      </c>
      <c r="AQ603" s="113">
        <f t="shared" si="920"/>
        <v>0.15333333333333332</v>
      </c>
      <c r="AR603" s="113">
        <f t="shared" si="920"/>
        <v>0.15333333333333332</v>
      </c>
      <c r="AS603" s="113">
        <f t="shared" si="920"/>
        <v>0.15333333333333332</v>
      </c>
      <c r="AT603" s="113">
        <f t="shared" si="920"/>
        <v>0.15333333333333332</v>
      </c>
      <c r="AU603" s="113">
        <f t="shared" si="920"/>
        <v>0.15333333333333332</v>
      </c>
      <c r="AV603" s="113">
        <f t="shared" si="920"/>
        <v>0.15333333333333332</v>
      </c>
      <c r="AW603" s="113">
        <f t="shared" si="920"/>
        <v>0.15333333333333332</v>
      </c>
      <c r="AX603" s="113">
        <f t="shared" si="920"/>
        <v>0.15333333333333332</v>
      </c>
      <c r="AY603" s="113">
        <f t="shared" si="920"/>
        <v>0.15333333333333332</v>
      </c>
      <c r="AZ603" s="113">
        <f t="shared" si="920"/>
        <v>0.15333333333333332</v>
      </c>
      <c r="BA603" s="113">
        <f t="shared" si="920"/>
        <v>0.15333333333333332</v>
      </c>
      <c r="BB603" s="113">
        <f t="shared" si="920"/>
        <v>0.15333333333333332</v>
      </c>
      <c r="BC603" s="19"/>
    </row>
    <row r="604" spans="2:55" x14ac:dyDescent="0.25">
      <c r="B604" s="113" t="str">
        <f t="shared" si="919"/>
        <v>Product C Extra Rework Labor Cost</v>
      </c>
      <c r="C604" s="113">
        <f t="shared" ref="C604:BB604" si="921">$AB$4*$R$4*C548/(60*60)</f>
        <v>0.13333333333333333</v>
      </c>
      <c r="D604" s="113">
        <f t="shared" si="921"/>
        <v>0.13333333333333333</v>
      </c>
      <c r="E604" s="113">
        <f t="shared" si="921"/>
        <v>0.13333333333333333</v>
      </c>
      <c r="F604" s="113">
        <f t="shared" si="921"/>
        <v>0.13333333333333333</v>
      </c>
      <c r="G604" s="113">
        <f t="shared" si="921"/>
        <v>0.13333333333333333</v>
      </c>
      <c r="H604" s="113">
        <f t="shared" si="921"/>
        <v>0.13333333333333333</v>
      </c>
      <c r="I604" s="113">
        <f t="shared" si="921"/>
        <v>0.13333333333333333</v>
      </c>
      <c r="J604" s="113">
        <f t="shared" si="921"/>
        <v>0.13333333333333333</v>
      </c>
      <c r="K604" s="113">
        <f t="shared" si="921"/>
        <v>0.13333333333333333</v>
      </c>
      <c r="L604" s="113">
        <f t="shared" si="921"/>
        <v>0.13333333333333333</v>
      </c>
      <c r="M604" s="113">
        <f t="shared" si="921"/>
        <v>0.13333333333333333</v>
      </c>
      <c r="N604" s="113">
        <f t="shared" si="921"/>
        <v>0.13333333333333333</v>
      </c>
      <c r="O604" s="113">
        <f t="shared" si="921"/>
        <v>0.13333333333333333</v>
      </c>
      <c r="P604" s="113">
        <f t="shared" si="921"/>
        <v>0.13333333333333333</v>
      </c>
      <c r="Q604" s="113">
        <f t="shared" si="921"/>
        <v>0.13333333333333333</v>
      </c>
      <c r="R604" s="113">
        <f t="shared" si="921"/>
        <v>0.13333333333333333</v>
      </c>
      <c r="S604" s="113">
        <f t="shared" si="921"/>
        <v>0.13333333333333333</v>
      </c>
      <c r="T604" s="113">
        <f t="shared" si="921"/>
        <v>0.13333333333333333</v>
      </c>
      <c r="U604" s="113">
        <f t="shared" si="921"/>
        <v>0.13333333333333333</v>
      </c>
      <c r="V604" s="113">
        <f t="shared" si="921"/>
        <v>0.13333333333333333</v>
      </c>
      <c r="W604" s="113">
        <f t="shared" si="921"/>
        <v>0.13333333333333333</v>
      </c>
      <c r="X604" s="113">
        <f t="shared" si="921"/>
        <v>0.13333333333333333</v>
      </c>
      <c r="Y604" s="113">
        <f t="shared" si="921"/>
        <v>0.13333333333333333</v>
      </c>
      <c r="Z604" s="113">
        <f t="shared" si="921"/>
        <v>0.13333333333333333</v>
      </c>
      <c r="AA604" s="113">
        <f t="shared" si="921"/>
        <v>0.13333333333333333</v>
      </c>
      <c r="AB604" s="113">
        <f t="shared" si="921"/>
        <v>0.13333333333333333</v>
      </c>
      <c r="AC604" s="113">
        <f t="shared" si="921"/>
        <v>0.13333333333333333</v>
      </c>
      <c r="AD604" s="113">
        <f t="shared" si="921"/>
        <v>0.13333333333333333</v>
      </c>
      <c r="AE604" s="113">
        <f t="shared" si="921"/>
        <v>0.13333333333333333</v>
      </c>
      <c r="AF604" s="113">
        <f t="shared" si="921"/>
        <v>0.13333333333333333</v>
      </c>
      <c r="AG604" s="113">
        <f t="shared" si="921"/>
        <v>0.13333333333333333</v>
      </c>
      <c r="AH604" s="113">
        <f t="shared" si="921"/>
        <v>0.13333333333333333</v>
      </c>
      <c r="AI604" s="113">
        <f t="shared" si="921"/>
        <v>0.13333333333333333</v>
      </c>
      <c r="AJ604" s="113">
        <f t="shared" si="921"/>
        <v>0.13333333333333333</v>
      </c>
      <c r="AK604" s="113">
        <f t="shared" si="921"/>
        <v>0.13333333333333333</v>
      </c>
      <c r="AL604" s="113">
        <f t="shared" si="921"/>
        <v>0.13333333333333333</v>
      </c>
      <c r="AM604" s="113">
        <f t="shared" si="921"/>
        <v>0.13333333333333333</v>
      </c>
      <c r="AN604" s="113">
        <f t="shared" si="921"/>
        <v>0.13333333333333333</v>
      </c>
      <c r="AO604" s="113">
        <f t="shared" si="921"/>
        <v>0.13333333333333333</v>
      </c>
      <c r="AP604" s="113">
        <f t="shared" si="921"/>
        <v>0.13333333333333333</v>
      </c>
      <c r="AQ604" s="113">
        <f t="shared" si="921"/>
        <v>0.13333333333333333</v>
      </c>
      <c r="AR604" s="113">
        <f t="shared" si="921"/>
        <v>0.13333333333333333</v>
      </c>
      <c r="AS604" s="113">
        <f t="shared" si="921"/>
        <v>0.13333333333333333</v>
      </c>
      <c r="AT604" s="113">
        <f t="shared" si="921"/>
        <v>0.13333333333333333</v>
      </c>
      <c r="AU604" s="113">
        <f t="shared" si="921"/>
        <v>0.13333333333333333</v>
      </c>
      <c r="AV604" s="113">
        <f t="shared" si="921"/>
        <v>0.13333333333333333</v>
      </c>
      <c r="AW604" s="113">
        <f t="shared" si="921"/>
        <v>0.13333333333333333</v>
      </c>
      <c r="AX604" s="113">
        <f t="shared" si="921"/>
        <v>0.13333333333333333</v>
      </c>
      <c r="AY604" s="113">
        <f t="shared" si="921"/>
        <v>0.13333333333333333</v>
      </c>
      <c r="AZ604" s="113">
        <f t="shared" si="921"/>
        <v>0.13333333333333333</v>
      </c>
      <c r="BA604" s="113">
        <f t="shared" si="921"/>
        <v>0.13333333333333333</v>
      </c>
      <c r="BB604" s="113">
        <f t="shared" si="921"/>
        <v>0.13333333333333333</v>
      </c>
      <c r="BC604" s="19"/>
    </row>
    <row r="605" spans="2:55" x14ac:dyDescent="0.25">
      <c r="B605" s="113" t="str">
        <f t="shared" si="919"/>
        <v>Product D Extra Rework Labor Cost</v>
      </c>
      <c r="C605" s="113">
        <f t="shared" ref="C605:BB605" si="922">$AB$4*$R$4*C549/(60*60)</f>
        <v>0.12533333333333335</v>
      </c>
      <c r="D605" s="113">
        <f t="shared" si="922"/>
        <v>0.12533333333333335</v>
      </c>
      <c r="E605" s="113">
        <f t="shared" si="922"/>
        <v>0.12533333333333335</v>
      </c>
      <c r="F605" s="113">
        <f t="shared" si="922"/>
        <v>0.12533333333333335</v>
      </c>
      <c r="G605" s="113">
        <f t="shared" si="922"/>
        <v>0.12533333333333335</v>
      </c>
      <c r="H605" s="113">
        <f t="shared" si="922"/>
        <v>0.12533333333333335</v>
      </c>
      <c r="I605" s="113">
        <f t="shared" si="922"/>
        <v>0.12533333333333335</v>
      </c>
      <c r="J605" s="113">
        <f t="shared" si="922"/>
        <v>0.12533333333333335</v>
      </c>
      <c r="K605" s="113">
        <f t="shared" si="922"/>
        <v>0.12533333333333335</v>
      </c>
      <c r="L605" s="113">
        <f t="shared" si="922"/>
        <v>0.12533333333333335</v>
      </c>
      <c r="M605" s="113">
        <f t="shared" si="922"/>
        <v>0.12533333333333335</v>
      </c>
      <c r="N605" s="113">
        <f t="shared" si="922"/>
        <v>0.12533333333333335</v>
      </c>
      <c r="O605" s="113">
        <f t="shared" si="922"/>
        <v>0.12533333333333335</v>
      </c>
      <c r="P605" s="113">
        <f t="shared" si="922"/>
        <v>0.12533333333333335</v>
      </c>
      <c r="Q605" s="113">
        <f t="shared" si="922"/>
        <v>0.12533333333333335</v>
      </c>
      <c r="R605" s="113">
        <f t="shared" si="922"/>
        <v>0.12533333333333335</v>
      </c>
      <c r="S605" s="113">
        <f t="shared" si="922"/>
        <v>0.12533333333333335</v>
      </c>
      <c r="T605" s="113">
        <f t="shared" si="922"/>
        <v>0.12533333333333335</v>
      </c>
      <c r="U605" s="113">
        <f t="shared" si="922"/>
        <v>0.12533333333333335</v>
      </c>
      <c r="V605" s="113">
        <f t="shared" si="922"/>
        <v>0.12533333333333335</v>
      </c>
      <c r="W605" s="113">
        <f t="shared" si="922"/>
        <v>0.12533333333333335</v>
      </c>
      <c r="X605" s="113">
        <f t="shared" si="922"/>
        <v>0.12533333333333335</v>
      </c>
      <c r="Y605" s="113">
        <f t="shared" si="922"/>
        <v>0.12533333333333335</v>
      </c>
      <c r="Z605" s="113">
        <f t="shared" si="922"/>
        <v>0.12533333333333335</v>
      </c>
      <c r="AA605" s="113">
        <f t="shared" si="922"/>
        <v>0.12533333333333335</v>
      </c>
      <c r="AB605" s="113">
        <f t="shared" si="922"/>
        <v>0.12533333333333335</v>
      </c>
      <c r="AC605" s="113">
        <f t="shared" si="922"/>
        <v>0.12533333333333335</v>
      </c>
      <c r="AD605" s="113">
        <f t="shared" si="922"/>
        <v>0.12533333333333335</v>
      </c>
      <c r="AE605" s="113">
        <f t="shared" si="922"/>
        <v>0.12533333333333335</v>
      </c>
      <c r="AF605" s="113">
        <f t="shared" si="922"/>
        <v>0.12533333333333335</v>
      </c>
      <c r="AG605" s="113">
        <f t="shared" si="922"/>
        <v>0.12533333333333335</v>
      </c>
      <c r="AH605" s="113">
        <f t="shared" si="922"/>
        <v>0.12533333333333335</v>
      </c>
      <c r="AI605" s="113">
        <f t="shared" si="922"/>
        <v>0.12533333333333335</v>
      </c>
      <c r="AJ605" s="113">
        <f t="shared" si="922"/>
        <v>0.12533333333333335</v>
      </c>
      <c r="AK605" s="113">
        <f t="shared" si="922"/>
        <v>0.12533333333333335</v>
      </c>
      <c r="AL605" s="113">
        <f t="shared" si="922"/>
        <v>0.12533333333333335</v>
      </c>
      <c r="AM605" s="113">
        <f t="shared" si="922"/>
        <v>0.12533333333333335</v>
      </c>
      <c r="AN605" s="113">
        <f t="shared" si="922"/>
        <v>0.12533333333333335</v>
      </c>
      <c r="AO605" s="113">
        <f t="shared" si="922"/>
        <v>0.12533333333333335</v>
      </c>
      <c r="AP605" s="113">
        <f t="shared" si="922"/>
        <v>0.12533333333333335</v>
      </c>
      <c r="AQ605" s="113">
        <f t="shared" si="922"/>
        <v>0.12533333333333335</v>
      </c>
      <c r="AR605" s="113">
        <f t="shared" si="922"/>
        <v>0.12533333333333335</v>
      </c>
      <c r="AS605" s="113">
        <f t="shared" si="922"/>
        <v>0.12533333333333335</v>
      </c>
      <c r="AT605" s="113">
        <f t="shared" si="922"/>
        <v>0.12533333333333335</v>
      </c>
      <c r="AU605" s="113">
        <f t="shared" si="922"/>
        <v>0.12533333333333335</v>
      </c>
      <c r="AV605" s="113">
        <f t="shared" si="922"/>
        <v>0.12533333333333335</v>
      </c>
      <c r="AW605" s="113">
        <f t="shared" si="922"/>
        <v>0.12533333333333335</v>
      </c>
      <c r="AX605" s="113">
        <f t="shared" si="922"/>
        <v>0.12533333333333335</v>
      </c>
      <c r="AY605" s="113">
        <f t="shared" si="922"/>
        <v>0.12533333333333335</v>
      </c>
      <c r="AZ605" s="113">
        <f t="shared" si="922"/>
        <v>0.12533333333333335</v>
      </c>
      <c r="BA605" s="113">
        <f t="shared" si="922"/>
        <v>0.12533333333333335</v>
      </c>
      <c r="BB605" s="113">
        <f t="shared" si="922"/>
        <v>0.12533333333333335</v>
      </c>
      <c r="BC605" s="19"/>
    </row>
    <row r="606" spans="2:55" x14ac:dyDescent="0.25">
      <c r="B606" s="113" t="str">
        <f t="shared" si="919"/>
        <v>Product E Extra Rework Labor Cost</v>
      </c>
      <c r="C606" s="113">
        <f t="shared" ref="C606:BB606" si="923">$AB$4*$R$4*C550/(60*60)</f>
        <v>0.12866666666666668</v>
      </c>
      <c r="D606" s="113">
        <f t="shared" si="923"/>
        <v>0.12866666666666668</v>
      </c>
      <c r="E606" s="113">
        <f t="shared" si="923"/>
        <v>0.12866666666666668</v>
      </c>
      <c r="F606" s="113">
        <f t="shared" si="923"/>
        <v>0.12866666666666668</v>
      </c>
      <c r="G606" s="113">
        <f t="shared" si="923"/>
        <v>0.12866666666666668</v>
      </c>
      <c r="H606" s="113">
        <f t="shared" si="923"/>
        <v>0.12866666666666668</v>
      </c>
      <c r="I606" s="113">
        <f t="shared" si="923"/>
        <v>0.12866666666666668</v>
      </c>
      <c r="J606" s="113">
        <f t="shared" si="923"/>
        <v>0.12866666666666668</v>
      </c>
      <c r="K606" s="113">
        <f t="shared" si="923"/>
        <v>0.12866666666666668</v>
      </c>
      <c r="L606" s="113">
        <f t="shared" si="923"/>
        <v>0.12866666666666668</v>
      </c>
      <c r="M606" s="113">
        <f t="shared" si="923"/>
        <v>0.12866666666666668</v>
      </c>
      <c r="N606" s="113">
        <f t="shared" si="923"/>
        <v>0.12866666666666668</v>
      </c>
      <c r="O606" s="113">
        <f t="shared" si="923"/>
        <v>0.12866666666666668</v>
      </c>
      <c r="P606" s="113">
        <f t="shared" si="923"/>
        <v>0.12866666666666668</v>
      </c>
      <c r="Q606" s="113">
        <f t="shared" si="923"/>
        <v>0.12866666666666668</v>
      </c>
      <c r="R606" s="113">
        <f t="shared" si="923"/>
        <v>0.12866666666666668</v>
      </c>
      <c r="S606" s="113">
        <f t="shared" si="923"/>
        <v>0.12866666666666668</v>
      </c>
      <c r="T606" s="113">
        <f t="shared" si="923"/>
        <v>0.12866666666666668</v>
      </c>
      <c r="U606" s="113">
        <f t="shared" si="923"/>
        <v>0.12866666666666668</v>
      </c>
      <c r="V606" s="113">
        <f t="shared" si="923"/>
        <v>0.12866666666666668</v>
      </c>
      <c r="W606" s="113">
        <f t="shared" si="923"/>
        <v>0.12866666666666668</v>
      </c>
      <c r="X606" s="113">
        <f t="shared" si="923"/>
        <v>0.12866666666666668</v>
      </c>
      <c r="Y606" s="113">
        <f t="shared" si="923"/>
        <v>0.12866666666666668</v>
      </c>
      <c r="Z606" s="113">
        <f t="shared" si="923"/>
        <v>0.12866666666666668</v>
      </c>
      <c r="AA606" s="113">
        <f t="shared" si="923"/>
        <v>0.12866666666666668</v>
      </c>
      <c r="AB606" s="113">
        <f t="shared" si="923"/>
        <v>0.12866666666666668</v>
      </c>
      <c r="AC606" s="113">
        <f t="shared" si="923"/>
        <v>0.12866666666666668</v>
      </c>
      <c r="AD606" s="113">
        <f t="shared" si="923"/>
        <v>0.12866666666666668</v>
      </c>
      <c r="AE606" s="113">
        <f t="shared" si="923"/>
        <v>0.12866666666666668</v>
      </c>
      <c r="AF606" s="113">
        <f t="shared" si="923"/>
        <v>0.12866666666666668</v>
      </c>
      <c r="AG606" s="113">
        <f t="shared" si="923"/>
        <v>0.12866666666666668</v>
      </c>
      <c r="AH606" s="113">
        <f t="shared" si="923"/>
        <v>0.12866666666666668</v>
      </c>
      <c r="AI606" s="113">
        <f t="shared" si="923"/>
        <v>0.12866666666666668</v>
      </c>
      <c r="AJ606" s="113">
        <f t="shared" si="923"/>
        <v>0.12866666666666668</v>
      </c>
      <c r="AK606" s="113">
        <f t="shared" si="923"/>
        <v>0.12866666666666668</v>
      </c>
      <c r="AL606" s="113">
        <f t="shared" si="923"/>
        <v>0.12866666666666668</v>
      </c>
      <c r="AM606" s="113">
        <f t="shared" si="923"/>
        <v>0.12866666666666668</v>
      </c>
      <c r="AN606" s="113">
        <f t="shared" si="923"/>
        <v>0.12866666666666668</v>
      </c>
      <c r="AO606" s="113">
        <f t="shared" si="923"/>
        <v>0.12866666666666668</v>
      </c>
      <c r="AP606" s="113">
        <f t="shared" si="923"/>
        <v>0.12866666666666668</v>
      </c>
      <c r="AQ606" s="113">
        <f t="shared" si="923"/>
        <v>0.12866666666666668</v>
      </c>
      <c r="AR606" s="113">
        <f t="shared" si="923"/>
        <v>0.12866666666666668</v>
      </c>
      <c r="AS606" s="113">
        <f t="shared" si="923"/>
        <v>0.12866666666666668</v>
      </c>
      <c r="AT606" s="113">
        <f t="shared" si="923"/>
        <v>0.12866666666666668</v>
      </c>
      <c r="AU606" s="113">
        <f t="shared" si="923"/>
        <v>0.12866666666666668</v>
      </c>
      <c r="AV606" s="113">
        <f t="shared" si="923"/>
        <v>0.12866666666666668</v>
      </c>
      <c r="AW606" s="113">
        <f t="shared" si="923"/>
        <v>0.12866666666666668</v>
      </c>
      <c r="AX606" s="113">
        <f t="shared" si="923"/>
        <v>0.12866666666666668</v>
      </c>
      <c r="AY606" s="113">
        <f t="shared" si="923"/>
        <v>0.12866666666666668</v>
      </c>
      <c r="AZ606" s="113">
        <f t="shared" si="923"/>
        <v>0.12866666666666668</v>
      </c>
      <c r="BA606" s="113">
        <f t="shared" si="923"/>
        <v>0.12866666666666668</v>
      </c>
      <c r="BB606" s="113">
        <f t="shared" si="923"/>
        <v>0.12866666666666668</v>
      </c>
      <c r="BC606" s="19"/>
    </row>
    <row r="607" spans="2:55" x14ac:dyDescent="0.25">
      <c r="B607" s="113" t="str">
        <f t="shared" si="919"/>
        <v>Product F Extra Rework Labor Cost</v>
      </c>
      <c r="C607" s="113">
        <f t="shared" ref="C607:BB607" si="924">$AB$4*$R$4*C551/(60*60)</f>
        <v>0.13200000000000001</v>
      </c>
      <c r="D607" s="113">
        <f t="shared" si="924"/>
        <v>0.13200000000000001</v>
      </c>
      <c r="E607" s="113">
        <f t="shared" si="924"/>
        <v>0.13200000000000001</v>
      </c>
      <c r="F607" s="113">
        <f t="shared" si="924"/>
        <v>0.13200000000000001</v>
      </c>
      <c r="G607" s="113">
        <f t="shared" si="924"/>
        <v>0.13200000000000001</v>
      </c>
      <c r="H607" s="113">
        <f t="shared" si="924"/>
        <v>0.13200000000000001</v>
      </c>
      <c r="I607" s="113">
        <f t="shared" si="924"/>
        <v>0.13200000000000001</v>
      </c>
      <c r="J607" s="113">
        <f t="shared" si="924"/>
        <v>0.13200000000000001</v>
      </c>
      <c r="K607" s="113">
        <f t="shared" si="924"/>
        <v>0.13200000000000001</v>
      </c>
      <c r="L607" s="113">
        <f t="shared" si="924"/>
        <v>0.13200000000000001</v>
      </c>
      <c r="M607" s="113">
        <f t="shared" si="924"/>
        <v>0.13200000000000001</v>
      </c>
      <c r="N607" s="113">
        <f t="shared" si="924"/>
        <v>0.13200000000000001</v>
      </c>
      <c r="O607" s="113">
        <f t="shared" si="924"/>
        <v>0.13200000000000001</v>
      </c>
      <c r="P607" s="113">
        <f t="shared" si="924"/>
        <v>0.13200000000000001</v>
      </c>
      <c r="Q607" s="113">
        <f t="shared" si="924"/>
        <v>0.13200000000000001</v>
      </c>
      <c r="R607" s="113">
        <f t="shared" si="924"/>
        <v>0.13200000000000001</v>
      </c>
      <c r="S607" s="113">
        <f t="shared" si="924"/>
        <v>0.13200000000000001</v>
      </c>
      <c r="T607" s="113">
        <f t="shared" si="924"/>
        <v>0.13200000000000001</v>
      </c>
      <c r="U607" s="113">
        <f t="shared" si="924"/>
        <v>0.13200000000000001</v>
      </c>
      <c r="V607" s="113">
        <f t="shared" si="924"/>
        <v>0.13200000000000001</v>
      </c>
      <c r="W607" s="113">
        <f t="shared" si="924"/>
        <v>0.13200000000000001</v>
      </c>
      <c r="X607" s="113">
        <f t="shared" si="924"/>
        <v>0.13200000000000001</v>
      </c>
      <c r="Y607" s="113">
        <f t="shared" si="924"/>
        <v>0.13200000000000001</v>
      </c>
      <c r="Z607" s="113">
        <f t="shared" si="924"/>
        <v>0.13200000000000001</v>
      </c>
      <c r="AA607" s="113">
        <f t="shared" si="924"/>
        <v>0.13200000000000001</v>
      </c>
      <c r="AB607" s="113">
        <f t="shared" si="924"/>
        <v>0.13200000000000001</v>
      </c>
      <c r="AC607" s="113">
        <f t="shared" si="924"/>
        <v>0.13200000000000001</v>
      </c>
      <c r="AD607" s="113">
        <f t="shared" si="924"/>
        <v>0.13200000000000001</v>
      </c>
      <c r="AE607" s="113">
        <f t="shared" si="924"/>
        <v>0.13200000000000001</v>
      </c>
      <c r="AF607" s="113">
        <f t="shared" si="924"/>
        <v>0.13200000000000001</v>
      </c>
      <c r="AG607" s="113">
        <f t="shared" si="924"/>
        <v>0.13200000000000001</v>
      </c>
      <c r="AH607" s="113">
        <f t="shared" si="924"/>
        <v>0.13200000000000001</v>
      </c>
      <c r="AI607" s="113">
        <f t="shared" si="924"/>
        <v>0.13200000000000001</v>
      </c>
      <c r="AJ607" s="113">
        <f t="shared" si="924"/>
        <v>0.13200000000000001</v>
      </c>
      <c r="AK607" s="113">
        <f t="shared" si="924"/>
        <v>0.13200000000000001</v>
      </c>
      <c r="AL607" s="113">
        <f t="shared" si="924"/>
        <v>0.13200000000000001</v>
      </c>
      <c r="AM607" s="113">
        <f t="shared" si="924"/>
        <v>0.13200000000000001</v>
      </c>
      <c r="AN607" s="113">
        <f t="shared" si="924"/>
        <v>0.13200000000000001</v>
      </c>
      <c r="AO607" s="113">
        <f t="shared" si="924"/>
        <v>0.13200000000000001</v>
      </c>
      <c r="AP607" s="113">
        <f t="shared" si="924"/>
        <v>0.13200000000000001</v>
      </c>
      <c r="AQ607" s="113">
        <f t="shared" si="924"/>
        <v>0.13200000000000001</v>
      </c>
      <c r="AR607" s="113">
        <f t="shared" si="924"/>
        <v>0.13200000000000001</v>
      </c>
      <c r="AS607" s="113">
        <f t="shared" si="924"/>
        <v>0.13200000000000001</v>
      </c>
      <c r="AT607" s="113">
        <f t="shared" si="924"/>
        <v>0.13200000000000001</v>
      </c>
      <c r="AU607" s="113">
        <f t="shared" si="924"/>
        <v>0.13200000000000001</v>
      </c>
      <c r="AV607" s="113">
        <f t="shared" si="924"/>
        <v>0.13200000000000001</v>
      </c>
      <c r="AW607" s="113">
        <f t="shared" si="924"/>
        <v>0.13200000000000001</v>
      </c>
      <c r="AX607" s="113">
        <f t="shared" si="924"/>
        <v>0.13200000000000001</v>
      </c>
      <c r="AY607" s="113">
        <f t="shared" si="924"/>
        <v>0.13200000000000001</v>
      </c>
      <c r="AZ607" s="113">
        <f t="shared" si="924"/>
        <v>0.13200000000000001</v>
      </c>
      <c r="BA607" s="113">
        <f t="shared" si="924"/>
        <v>0.13200000000000001</v>
      </c>
      <c r="BB607" s="113">
        <f t="shared" si="924"/>
        <v>0.13200000000000001</v>
      </c>
      <c r="BC607" s="19"/>
    </row>
    <row r="608" spans="2:55" x14ac:dyDescent="0.25">
      <c r="B608" s="113" t="str">
        <f t="shared" si="919"/>
        <v>Product G Extra Rework Labor Cost</v>
      </c>
      <c r="C608" s="113">
        <f t="shared" ref="C608:BB608" si="925">$AB$4*$R$4*C552/(60*60)</f>
        <v>0.12266666666666666</v>
      </c>
      <c r="D608" s="113">
        <f t="shared" si="925"/>
        <v>0.12266666666666666</v>
      </c>
      <c r="E608" s="113">
        <f t="shared" si="925"/>
        <v>0.12266666666666666</v>
      </c>
      <c r="F608" s="113">
        <f t="shared" si="925"/>
        <v>0.12266666666666666</v>
      </c>
      <c r="G608" s="113">
        <f t="shared" si="925"/>
        <v>0.12266666666666666</v>
      </c>
      <c r="H608" s="113">
        <f t="shared" si="925"/>
        <v>0.12266666666666666</v>
      </c>
      <c r="I608" s="113">
        <f t="shared" si="925"/>
        <v>0.12266666666666666</v>
      </c>
      <c r="J608" s="113">
        <f t="shared" si="925"/>
        <v>0.12266666666666666</v>
      </c>
      <c r="K608" s="113">
        <f t="shared" si="925"/>
        <v>0.12266666666666666</v>
      </c>
      <c r="L608" s="113">
        <f t="shared" si="925"/>
        <v>0.12266666666666666</v>
      </c>
      <c r="M608" s="113">
        <f t="shared" si="925"/>
        <v>0.12266666666666666</v>
      </c>
      <c r="N608" s="113">
        <f t="shared" si="925"/>
        <v>0.12266666666666666</v>
      </c>
      <c r="O608" s="113">
        <f t="shared" si="925"/>
        <v>0.12266666666666666</v>
      </c>
      <c r="P608" s="113">
        <f t="shared" si="925"/>
        <v>0.12266666666666666</v>
      </c>
      <c r="Q608" s="113">
        <f t="shared" si="925"/>
        <v>0.12266666666666666</v>
      </c>
      <c r="R608" s="113">
        <f t="shared" si="925"/>
        <v>0.12266666666666666</v>
      </c>
      <c r="S608" s="113">
        <f t="shared" si="925"/>
        <v>0.12266666666666666</v>
      </c>
      <c r="T608" s="113">
        <f t="shared" si="925"/>
        <v>0.12266666666666666</v>
      </c>
      <c r="U608" s="113">
        <f t="shared" si="925"/>
        <v>0.12266666666666666</v>
      </c>
      <c r="V608" s="113">
        <f t="shared" si="925"/>
        <v>0.12266666666666666</v>
      </c>
      <c r="W608" s="113">
        <f t="shared" si="925"/>
        <v>0.12266666666666666</v>
      </c>
      <c r="X608" s="113">
        <f t="shared" si="925"/>
        <v>0.12266666666666666</v>
      </c>
      <c r="Y608" s="113">
        <f t="shared" si="925"/>
        <v>0.12266666666666666</v>
      </c>
      <c r="Z608" s="113">
        <f t="shared" si="925"/>
        <v>0.12266666666666666</v>
      </c>
      <c r="AA608" s="113">
        <f t="shared" si="925"/>
        <v>0.12266666666666666</v>
      </c>
      <c r="AB608" s="113">
        <f t="shared" si="925"/>
        <v>0.12266666666666666</v>
      </c>
      <c r="AC608" s="113">
        <f t="shared" si="925"/>
        <v>0.12266666666666666</v>
      </c>
      <c r="AD608" s="113">
        <f t="shared" si="925"/>
        <v>0.12266666666666666</v>
      </c>
      <c r="AE608" s="113">
        <f t="shared" si="925"/>
        <v>0.12266666666666666</v>
      </c>
      <c r="AF608" s="113">
        <f t="shared" si="925"/>
        <v>0.12266666666666666</v>
      </c>
      <c r="AG608" s="113">
        <f t="shared" si="925"/>
        <v>0.12266666666666666</v>
      </c>
      <c r="AH608" s="113">
        <f t="shared" si="925"/>
        <v>0.12266666666666666</v>
      </c>
      <c r="AI608" s="113">
        <f t="shared" si="925"/>
        <v>0.12266666666666666</v>
      </c>
      <c r="AJ608" s="113">
        <f t="shared" si="925"/>
        <v>0.12266666666666666</v>
      </c>
      <c r="AK608" s="113">
        <f t="shared" si="925"/>
        <v>0.12266666666666666</v>
      </c>
      <c r="AL608" s="113">
        <f t="shared" si="925"/>
        <v>0.12266666666666666</v>
      </c>
      <c r="AM608" s="113">
        <f t="shared" si="925"/>
        <v>0.12266666666666666</v>
      </c>
      <c r="AN608" s="113">
        <f t="shared" si="925"/>
        <v>0.12266666666666666</v>
      </c>
      <c r="AO608" s="113">
        <f t="shared" si="925"/>
        <v>0.12266666666666666</v>
      </c>
      <c r="AP608" s="113">
        <f t="shared" si="925"/>
        <v>0.12266666666666666</v>
      </c>
      <c r="AQ608" s="113">
        <f t="shared" si="925"/>
        <v>0.12266666666666666</v>
      </c>
      <c r="AR608" s="113">
        <f t="shared" si="925"/>
        <v>0.12266666666666666</v>
      </c>
      <c r="AS608" s="113">
        <f t="shared" si="925"/>
        <v>0.12266666666666666</v>
      </c>
      <c r="AT608" s="113">
        <f t="shared" si="925"/>
        <v>0.12266666666666666</v>
      </c>
      <c r="AU608" s="113">
        <f t="shared" si="925"/>
        <v>0.12266666666666666</v>
      </c>
      <c r="AV608" s="113">
        <f t="shared" si="925"/>
        <v>0.12266666666666666</v>
      </c>
      <c r="AW608" s="113">
        <f t="shared" si="925"/>
        <v>0.12266666666666666</v>
      </c>
      <c r="AX608" s="113">
        <f t="shared" si="925"/>
        <v>0.12266666666666666</v>
      </c>
      <c r="AY608" s="113">
        <f t="shared" si="925"/>
        <v>0.12266666666666666</v>
      </c>
      <c r="AZ608" s="113">
        <f t="shared" si="925"/>
        <v>0.12266666666666666</v>
      </c>
      <c r="BA608" s="113">
        <f t="shared" si="925"/>
        <v>0.12266666666666666</v>
      </c>
      <c r="BB608" s="113">
        <f t="shared" si="925"/>
        <v>0.12266666666666666</v>
      </c>
      <c r="BC608" s="19"/>
    </row>
    <row r="609" spans="2:56" x14ac:dyDescent="0.25">
      <c r="B609" s="113" t="str">
        <f t="shared" si="919"/>
        <v>Product H Extra Rework Labor Cost</v>
      </c>
      <c r="C609" s="113">
        <f t="shared" ref="C609:BB609" si="926">$AB$4*$R$4*C553/(60*60)</f>
        <v>0.10466666666666666</v>
      </c>
      <c r="D609" s="113">
        <f t="shared" si="926"/>
        <v>0.10466666666666666</v>
      </c>
      <c r="E609" s="113">
        <f t="shared" si="926"/>
        <v>0.10466666666666666</v>
      </c>
      <c r="F609" s="113">
        <f t="shared" si="926"/>
        <v>0.10466666666666666</v>
      </c>
      <c r="G609" s="113">
        <f t="shared" si="926"/>
        <v>0.10466666666666666</v>
      </c>
      <c r="H609" s="113">
        <f t="shared" si="926"/>
        <v>0.10466666666666666</v>
      </c>
      <c r="I609" s="113">
        <f t="shared" si="926"/>
        <v>0.10466666666666666</v>
      </c>
      <c r="J609" s="113">
        <f t="shared" si="926"/>
        <v>0.10466666666666666</v>
      </c>
      <c r="K609" s="113">
        <f t="shared" si="926"/>
        <v>0.10466666666666666</v>
      </c>
      <c r="L609" s="113">
        <f t="shared" si="926"/>
        <v>0.10466666666666666</v>
      </c>
      <c r="M609" s="113">
        <f t="shared" si="926"/>
        <v>0.10466666666666666</v>
      </c>
      <c r="N609" s="113">
        <f t="shared" si="926"/>
        <v>0.10466666666666666</v>
      </c>
      <c r="O609" s="113">
        <f t="shared" si="926"/>
        <v>0.10466666666666666</v>
      </c>
      <c r="P609" s="113">
        <f t="shared" si="926"/>
        <v>0.10466666666666666</v>
      </c>
      <c r="Q609" s="113">
        <f t="shared" si="926"/>
        <v>0.10466666666666666</v>
      </c>
      <c r="R609" s="113">
        <f t="shared" si="926"/>
        <v>0.10466666666666666</v>
      </c>
      <c r="S609" s="113">
        <f t="shared" si="926"/>
        <v>0.10466666666666666</v>
      </c>
      <c r="T609" s="113">
        <f t="shared" si="926"/>
        <v>0.10466666666666666</v>
      </c>
      <c r="U609" s="113">
        <f t="shared" si="926"/>
        <v>0.10466666666666666</v>
      </c>
      <c r="V609" s="113">
        <f t="shared" si="926"/>
        <v>0.10466666666666666</v>
      </c>
      <c r="W609" s="113">
        <f t="shared" si="926"/>
        <v>0.10466666666666666</v>
      </c>
      <c r="X609" s="113">
        <f t="shared" si="926"/>
        <v>0.10466666666666666</v>
      </c>
      <c r="Y609" s="113">
        <f t="shared" si="926"/>
        <v>0.10466666666666666</v>
      </c>
      <c r="Z609" s="113">
        <f t="shared" si="926"/>
        <v>0.10466666666666666</v>
      </c>
      <c r="AA609" s="113">
        <f t="shared" si="926"/>
        <v>0.10466666666666666</v>
      </c>
      <c r="AB609" s="113">
        <f t="shared" si="926"/>
        <v>0.10466666666666666</v>
      </c>
      <c r="AC609" s="113">
        <f t="shared" si="926"/>
        <v>0.10466666666666666</v>
      </c>
      <c r="AD609" s="113">
        <f t="shared" si="926"/>
        <v>0.10466666666666666</v>
      </c>
      <c r="AE609" s="113">
        <f t="shared" si="926"/>
        <v>0.10466666666666666</v>
      </c>
      <c r="AF609" s="113">
        <f t="shared" si="926"/>
        <v>0.10466666666666666</v>
      </c>
      <c r="AG609" s="113">
        <f t="shared" si="926"/>
        <v>0.10466666666666666</v>
      </c>
      <c r="AH609" s="113">
        <f t="shared" si="926"/>
        <v>0.10466666666666666</v>
      </c>
      <c r="AI609" s="113">
        <f t="shared" si="926"/>
        <v>0.10466666666666666</v>
      </c>
      <c r="AJ609" s="113">
        <f t="shared" si="926"/>
        <v>0.10466666666666666</v>
      </c>
      <c r="AK609" s="113">
        <f t="shared" si="926"/>
        <v>0.10466666666666666</v>
      </c>
      <c r="AL609" s="113">
        <f t="shared" si="926"/>
        <v>0.10466666666666666</v>
      </c>
      <c r="AM609" s="113">
        <f t="shared" si="926"/>
        <v>0.10466666666666666</v>
      </c>
      <c r="AN609" s="113">
        <f t="shared" si="926"/>
        <v>0.10466666666666666</v>
      </c>
      <c r="AO609" s="113">
        <f t="shared" si="926"/>
        <v>0.10466666666666666</v>
      </c>
      <c r="AP609" s="113">
        <f t="shared" si="926"/>
        <v>0.10466666666666666</v>
      </c>
      <c r="AQ609" s="113">
        <f t="shared" si="926"/>
        <v>0.10466666666666666</v>
      </c>
      <c r="AR609" s="113">
        <f t="shared" si="926"/>
        <v>0.10466666666666666</v>
      </c>
      <c r="AS609" s="113">
        <f t="shared" si="926"/>
        <v>0.10466666666666666</v>
      </c>
      <c r="AT609" s="113">
        <f t="shared" si="926"/>
        <v>0.10466666666666666</v>
      </c>
      <c r="AU609" s="113">
        <f t="shared" si="926"/>
        <v>0.10466666666666666</v>
      </c>
      <c r="AV609" s="113">
        <f t="shared" si="926"/>
        <v>0.10466666666666666</v>
      </c>
      <c r="AW609" s="113">
        <f t="shared" si="926"/>
        <v>0.10466666666666666</v>
      </c>
      <c r="AX609" s="113">
        <f t="shared" si="926"/>
        <v>0.10466666666666666</v>
      </c>
      <c r="AY609" s="113">
        <f t="shared" si="926"/>
        <v>0.10466666666666666</v>
      </c>
      <c r="AZ609" s="113">
        <f t="shared" si="926"/>
        <v>0.10466666666666666</v>
      </c>
      <c r="BA609" s="113">
        <f t="shared" si="926"/>
        <v>0.10466666666666666</v>
      </c>
      <c r="BB609" s="113">
        <f t="shared" si="926"/>
        <v>0.10466666666666666</v>
      </c>
      <c r="BC609" s="19"/>
    </row>
    <row r="610" spans="2:56" x14ac:dyDescent="0.25">
      <c r="B610" s="43" t="str">
        <f>"Overall AvgTotal Actual Labor Hours (ALH)"</f>
        <v>Overall AvgTotal Actual Labor Hours (ALH)</v>
      </c>
      <c r="C610" s="43">
        <f t="shared" ref="C610:AH610" si="927">C$186*C$187*C$188*$R$4*C785/C$793</f>
        <v>60.159151193633953</v>
      </c>
      <c r="D610" s="43">
        <f t="shared" si="927"/>
        <v>0</v>
      </c>
      <c r="E610" s="43">
        <f t="shared" si="927"/>
        <v>29.194825255840897</v>
      </c>
      <c r="F610" s="43">
        <f t="shared" si="927"/>
        <v>0</v>
      </c>
      <c r="G610" s="43">
        <f t="shared" si="927"/>
        <v>66.640548481880515</v>
      </c>
      <c r="H610" s="43">
        <f t="shared" si="927"/>
        <v>0</v>
      </c>
      <c r="I610" s="43">
        <f t="shared" si="927"/>
        <v>0</v>
      </c>
      <c r="J610" s="43">
        <f t="shared" si="927"/>
        <v>0</v>
      </c>
      <c r="K610" s="43">
        <f t="shared" si="927"/>
        <v>52.805587892898721</v>
      </c>
      <c r="L610" s="43">
        <f t="shared" si="927"/>
        <v>0</v>
      </c>
      <c r="M610" s="43">
        <f t="shared" si="927"/>
        <v>0</v>
      </c>
      <c r="N610" s="43">
        <f t="shared" si="927"/>
        <v>0</v>
      </c>
      <c r="O610" s="43">
        <f t="shared" si="927"/>
        <v>60.159151193633953</v>
      </c>
      <c r="P610" s="43">
        <f t="shared" si="927"/>
        <v>18.330975954738332</v>
      </c>
      <c r="Q610" s="43">
        <f t="shared" si="927"/>
        <v>0</v>
      </c>
      <c r="R610" s="43">
        <f t="shared" si="927"/>
        <v>0</v>
      </c>
      <c r="S610" s="43">
        <f t="shared" si="927"/>
        <v>66.640548481880515</v>
      </c>
      <c r="T610" s="43">
        <f t="shared" si="927"/>
        <v>0</v>
      </c>
      <c r="U610" s="43">
        <f t="shared" si="927"/>
        <v>0</v>
      </c>
      <c r="V610" s="43">
        <f t="shared" si="927"/>
        <v>18.884263114071608</v>
      </c>
      <c r="W610" s="43">
        <f t="shared" si="927"/>
        <v>53.617021276595743</v>
      </c>
      <c r="X610" s="43">
        <f t="shared" si="927"/>
        <v>0</v>
      </c>
      <c r="Y610" s="43">
        <f t="shared" si="927"/>
        <v>0</v>
      </c>
      <c r="Z610" s="43">
        <f t="shared" si="927"/>
        <v>0</v>
      </c>
      <c r="AA610" s="43">
        <f t="shared" si="927"/>
        <v>60.159151193633953</v>
      </c>
      <c r="AB610" s="43">
        <f t="shared" si="927"/>
        <v>0</v>
      </c>
      <c r="AC610" s="43">
        <f t="shared" si="927"/>
        <v>35.033790307009077</v>
      </c>
      <c r="AD610" s="43">
        <f t="shared" si="927"/>
        <v>0</v>
      </c>
      <c r="AE610" s="43">
        <f t="shared" si="927"/>
        <v>66.640548481880515</v>
      </c>
      <c r="AF610" s="43">
        <f t="shared" si="927"/>
        <v>0</v>
      </c>
      <c r="AG610" s="43">
        <f t="shared" si="927"/>
        <v>0</v>
      </c>
      <c r="AH610" s="43">
        <f t="shared" si="927"/>
        <v>18.884263114071608</v>
      </c>
      <c r="AI610" s="43">
        <f t="shared" ref="AI610:BB610" si="928">AI$186*AI$187*AI$188*$R$4*AI785/AI$793</f>
        <v>53.617021276595743</v>
      </c>
      <c r="AJ610" s="43">
        <f t="shared" si="928"/>
        <v>0</v>
      </c>
      <c r="AK610" s="43">
        <f t="shared" si="928"/>
        <v>0</v>
      </c>
      <c r="AL610" s="43">
        <f t="shared" si="928"/>
        <v>0</v>
      </c>
      <c r="AM610" s="43">
        <f t="shared" si="928"/>
        <v>60.159151193633953</v>
      </c>
      <c r="AN610" s="43">
        <f t="shared" si="928"/>
        <v>18.330975954738332</v>
      </c>
      <c r="AO610" s="43">
        <f t="shared" si="928"/>
        <v>0</v>
      </c>
      <c r="AP610" s="43">
        <f t="shared" si="928"/>
        <v>0</v>
      </c>
      <c r="AQ610" s="43">
        <f t="shared" si="928"/>
        <v>66.640548481880515</v>
      </c>
      <c r="AR610" s="43">
        <f t="shared" si="928"/>
        <v>0</v>
      </c>
      <c r="AS610" s="43">
        <f t="shared" si="928"/>
        <v>29.711141678129298</v>
      </c>
      <c r="AT610" s="43">
        <f t="shared" si="928"/>
        <v>0</v>
      </c>
      <c r="AU610" s="43">
        <f t="shared" si="928"/>
        <v>53.903743315508024</v>
      </c>
      <c r="AV610" s="43">
        <f t="shared" si="928"/>
        <v>29.479430688243323</v>
      </c>
      <c r="AW610" s="43">
        <f t="shared" si="928"/>
        <v>0</v>
      </c>
      <c r="AX610" s="43">
        <f t="shared" si="928"/>
        <v>0</v>
      </c>
      <c r="AY610" s="43">
        <f t="shared" si="928"/>
        <v>52.805587892898721</v>
      </c>
      <c r="AZ610" s="43">
        <f t="shared" si="928"/>
        <v>0</v>
      </c>
      <c r="BA610" s="43">
        <f t="shared" si="928"/>
        <v>0</v>
      </c>
      <c r="BB610" s="43">
        <f t="shared" si="928"/>
        <v>0</v>
      </c>
      <c r="BC610" s="19"/>
    </row>
    <row r="611" spans="2:56" x14ac:dyDescent="0.25">
      <c r="B611" s="43" t="str">
        <f t="shared" ref="B611:B617" si="929">"Overall AvgTotal Actual Labor Hours (ALH)"</f>
        <v>Overall AvgTotal Actual Labor Hours (ALH)</v>
      </c>
      <c r="C611" s="43">
        <f t="shared" ref="C611:AH611" si="930">C$186*C$187*C$188*$R$4*C786/C$793</f>
        <v>58.228116710875334</v>
      </c>
      <c r="D611" s="43">
        <f t="shared" si="930"/>
        <v>59.881188118811885</v>
      </c>
      <c r="E611" s="43">
        <f t="shared" si="930"/>
        <v>0</v>
      </c>
      <c r="F611" s="43">
        <f t="shared" si="930"/>
        <v>50.762589928057565</v>
      </c>
      <c r="G611" s="43">
        <f t="shared" si="930"/>
        <v>64.501469147894227</v>
      </c>
      <c r="H611" s="43">
        <f t="shared" si="930"/>
        <v>66.401971767869142</v>
      </c>
      <c r="I611" s="43">
        <f t="shared" si="930"/>
        <v>0</v>
      </c>
      <c r="J611" s="43">
        <f t="shared" si="930"/>
        <v>20.460646230323118</v>
      </c>
      <c r="K611" s="43">
        <f t="shared" si="930"/>
        <v>51.110593713620489</v>
      </c>
      <c r="L611" s="43">
        <f t="shared" si="930"/>
        <v>73.518233688910939</v>
      </c>
      <c r="M611" s="43">
        <f t="shared" si="930"/>
        <v>0</v>
      </c>
      <c r="N611" s="43">
        <f t="shared" si="930"/>
        <v>0</v>
      </c>
      <c r="O611" s="43">
        <f t="shared" si="930"/>
        <v>58.228116710875334</v>
      </c>
      <c r="P611" s="43">
        <f t="shared" si="930"/>
        <v>59.881188118811885</v>
      </c>
      <c r="Q611" s="43">
        <f t="shared" si="930"/>
        <v>0</v>
      </c>
      <c r="R611" s="43">
        <f t="shared" si="930"/>
        <v>0</v>
      </c>
      <c r="S611" s="43">
        <f t="shared" si="930"/>
        <v>64.501469147894227</v>
      </c>
      <c r="T611" s="43">
        <f t="shared" si="930"/>
        <v>66.461538461538467</v>
      </c>
      <c r="U611" s="43">
        <f t="shared" si="930"/>
        <v>0</v>
      </c>
      <c r="V611" s="43">
        <f t="shared" si="930"/>
        <v>0</v>
      </c>
      <c r="W611" s="43">
        <f t="shared" si="930"/>
        <v>51.895981087470446</v>
      </c>
      <c r="X611" s="43">
        <f t="shared" si="930"/>
        <v>73.518233688910939</v>
      </c>
      <c r="Y611" s="43">
        <f t="shared" si="930"/>
        <v>0</v>
      </c>
      <c r="Z611" s="43">
        <f t="shared" si="930"/>
        <v>0</v>
      </c>
      <c r="AA611" s="43">
        <f t="shared" si="930"/>
        <v>58.228116710875334</v>
      </c>
      <c r="AB611" s="43">
        <f t="shared" si="930"/>
        <v>59.808678102926336</v>
      </c>
      <c r="AC611" s="43">
        <f t="shared" si="930"/>
        <v>0</v>
      </c>
      <c r="AD611" s="43">
        <f t="shared" si="930"/>
        <v>0</v>
      </c>
      <c r="AE611" s="43">
        <f t="shared" si="930"/>
        <v>64.501469147894227</v>
      </c>
      <c r="AF611" s="43">
        <f t="shared" si="930"/>
        <v>66.401971767869142</v>
      </c>
      <c r="AG611" s="43">
        <f t="shared" si="930"/>
        <v>0</v>
      </c>
      <c r="AH611" s="43">
        <f t="shared" si="930"/>
        <v>0</v>
      </c>
      <c r="AI611" s="43">
        <f t="shared" ref="AI611:BB611" si="931">AI$186*AI$187*AI$188*$R$4*AI786/AI$793</f>
        <v>51.895981087470446</v>
      </c>
      <c r="AJ611" s="43">
        <f t="shared" si="931"/>
        <v>73.518233688910939</v>
      </c>
      <c r="AK611" s="43">
        <f t="shared" si="931"/>
        <v>0</v>
      </c>
      <c r="AL611" s="43">
        <f t="shared" si="931"/>
        <v>0</v>
      </c>
      <c r="AM611" s="43">
        <f t="shared" si="931"/>
        <v>58.228116710875334</v>
      </c>
      <c r="AN611" s="43">
        <f t="shared" si="931"/>
        <v>59.881188118811885</v>
      </c>
      <c r="AO611" s="43">
        <f t="shared" si="931"/>
        <v>0</v>
      </c>
      <c r="AP611" s="43">
        <f t="shared" si="931"/>
        <v>0</v>
      </c>
      <c r="AQ611" s="43">
        <f t="shared" si="931"/>
        <v>64.501469147894227</v>
      </c>
      <c r="AR611" s="43">
        <f t="shared" si="931"/>
        <v>66.401971767869142</v>
      </c>
      <c r="AS611" s="43">
        <f t="shared" si="931"/>
        <v>0</v>
      </c>
      <c r="AT611" s="43">
        <f t="shared" si="931"/>
        <v>32.770700636942678</v>
      </c>
      <c r="AU611" s="43">
        <f t="shared" si="931"/>
        <v>52.173499702911471</v>
      </c>
      <c r="AV611" s="43">
        <f t="shared" si="931"/>
        <v>57.77968414895691</v>
      </c>
      <c r="AW611" s="43">
        <f t="shared" si="931"/>
        <v>0</v>
      </c>
      <c r="AX611" s="43">
        <f t="shared" si="931"/>
        <v>20.460646230323118</v>
      </c>
      <c r="AY611" s="43">
        <f t="shared" si="931"/>
        <v>51.110593713620489</v>
      </c>
      <c r="AZ611" s="43">
        <f t="shared" si="931"/>
        <v>24.146663407479839</v>
      </c>
      <c r="BA611" s="43">
        <f t="shared" si="931"/>
        <v>0</v>
      </c>
      <c r="BB611" s="43">
        <f t="shared" si="931"/>
        <v>0</v>
      </c>
      <c r="BC611" s="19"/>
    </row>
    <row r="612" spans="2:56" x14ac:dyDescent="0.25">
      <c r="B612" s="43" t="str">
        <f t="shared" si="929"/>
        <v>Overall AvgTotal Actual Labor Hours (ALH)</v>
      </c>
      <c r="C612" s="43">
        <f t="shared" ref="C612:AH612" si="932">C$186*C$187*C$188*$R$4*C787/C$793</f>
        <v>71.299734748010607</v>
      </c>
      <c r="D612" s="43">
        <f t="shared" si="932"/>
        <v>52.141442715700144</v>
      </c>
      <c r="E612" s="43">
        <f t="shared" si="932"/>
        <v>56.054064491214518</v>
      </c>
      <c r="F612" s="43">
        <f t="shared" si="932"/>
        <v>0</v>
      </c>
      <c r="G612" s="43">
        <f t="shared" si="932"/>
        <v>78.98139079333987</v>
      </c>
      <c r="H612" s="43">
        <f t="shared" si="932"/>
        <v>57.819403988348647</v>
      </c>
      <c r="I612" s="43">
        <f t="shared" si="932"/>
        <v>62.579004095710282</v>
      </c>
      <c r="J612" s="43">
        <f t="shared" si="932"/>
        <v>0</v>
      </c>
      <c r="K612" s="43">
        <f t="shared" si="932"/>
        <v>62.584400465657744</v>
      </c>
      <c r="L612" s="43">
        <f t="shared" si="932"/>
        <v>64.015876953609521</v>
      </c>
      <c r="M612" s="43">
        <f t="shared" si="932"/>
        <v>69.004991680532441</v>
      </c>
      <c r="N612" s="43">
        <f t="shared" si="932"/>
        <v>0</v>
      </c>
      <c r="O612" s="43">
        <f t="shared" si="932"/>
        <v>71.299734748010607</v>
      </c>
      <c r="P612" s="43">
        <f t="shared" si="932"/>
        <v>52.141442715700144</v>
      </c>
      <c r="Q612" s="43">
        <f t="shared" si="932"/>
        <v>55.924484685031786</v>
      </c>
      <c r="R612" s="43">
        <f t="shared" si="932"/>
        <v>0</v>
      </c>
      <c r="S612" s="43">
        <f t="shared" si="932"/>
        <v>78.98139079333987</v>
      </c>
      <c r="T612" s="43">
        <f t="shared" si="932"/>
        <v>57.871271585557302</v>
      </c>
      <c r="U612" s="43">
        <f t="shared" si="932"/>
        <v>62.579004095710282</v>
      </c>
      <c r="V612" s="43">
        <f t="shared" si="932"/>
        <v>0</v>
      </c>
      <c r="W612" s="43">
        <f t="shared" si="932"/>
        <v>63.546099290780141</v>
      </c>
      <c r="X612" s="43">
        <f t="shared" si="932"/>
        <v>64.015876953609521</v>
      </c>
      <c r="Y612" s="43">
        <f t="shared" si="932"/>
        <v>68.808722446077269</v>
      </c>
      <c r="Z612" s="43">
        <f t="shared" si="932"/>
        <v>0</v>
      </c>
      <c r="AA612" s="43">
        <f t="shared" si="932"/>
        <v>71.299734748010607</v>
      </c>
      <c r="AB612" s="43">
        <f t="shared" si="932"/>
        <v>52.078304742684161</v>
      </c>
      <c r="AC612" s="43">
        <f t="shared" si="932"/>
        <v>56.054064491214518</v>
      </c>
      <c r="AD612" s="43">
        <f t="shared" si="932"/>
        <v>0</v>
      </c>
      <c r="AE612" s="43">
        <f t="shared" si="932"/>
        <v>78.98139079333987</v>
      </c>
      <c r="AF612" s="43">
        <f t="shared" si="932"/>
        <v>57.819403988348647</v>
      </c>
      <c r="AG612" s="43">
        <f t="shared" si="932"/>
        <v>62.579004095710282</v>
      </c>
      <c r="AH612" s="43">
        <f t="shared" si="932"/>
        <v>0</v>
      </c>
      <c r="AI612" s="43">
        <f t="shared" ref="AI612:BB612" si="933">AI$186*AI$187*AI$188*$R$4*AI787/AI$793</f>
        <v>63.546099290780141</v>
      </c>
      <c r="AJ612" s="43">
        <f t="shared" si="933"/>
        <v>64.015876953609521</v>
      </c>
      <c r="AK612" s="43">
        <f t="shared" si="933"/>
        <v>68.808722446077269</v>
      </c>
      <c r="AL612" s="43">
        <f t="shared" si="933"/>
        <v>0</v>
      </c>
      <c r="AM612" s="43">
        <f t="shared" si="933"/>
        <v>71.299734748010607</v>
      </c>
      <c r="AN612" s="43">
        <f t="shared" si="933"/>
        <v>52.141442715700144</v>
      </c>
      <c r="AO612" s="43">
        <f t="shared" si="933"/>
        <v>55.924484685031786</v>
      </c>
      <c r="AP612" s="43">
        <f t="shared" si="933"/>
        <v>0</v>
      </c>
      <c r="AQ612" s="43">
        <f t="shared" si="933"/>
        <v>78.98139079333987</v>
      </c>
      <c r="AR612" s="43">
        <f t="shared" si="933"/>
        <v>57.819403988348647</v>
      </c>
      <c r="AS612" s="43">
        <f t="shared" si="933"/>
        <v>57.045392022008251</v>
      </c>
      <c r="AT612" s="43">
        <f t="shared" si="933"/>
        <v>0</v>
      </c>
      <c r="AU612" s="43">
        <f t="shared" si="933"/>
        <v>63.88591800356506</v>
      </c>
      <c r="AV612" s="43">
        <f t="shared" si="933"/>
        <v>50.311561707935269</v>
      </c>
      <c r="AW612" s="43">
        <f t="shared" si="933"/>
        <v>62.579004095710282</v>
      </c>
      <c r="AX612" s="43">
        <f t="shared" si="933"/>
        <v>0</v>
      </c>
      <c r="AY612" s="43">
        <f t="shared" si="933"/>
        <v>62.584400465657744</v>
      </c>
      <c r="AZ612" s="43">
        <f t="shared" si="933"/>
        <v>63.076998288926916</v>
      </c>
      <c r="BA612" s="43">
        <f t="shared" si="933"/>
        <v>68.808722446077269</v>
      </c>
      <c r="BB612" s="43">
        <f t="shared" si="933"/>
        <v>0</v>
      </c>
      <c r="BC612" s="19"/>
    </row>
    <row r="613" spans="2:56" x14ac:dyDescent="0.25">
      <c r="B613" s="43" t="str">
        <f t="shared" si="929"/>
        <v>Overall AvgTotal Actual Labor Hours (ALH)</v>
      </c>
      <c r="C613" s="43">
        <f t="shared" ref="C613:AH613" si="934">C$186*C$187*C$188*$R$4*C788/C$793</f>
        <v>106.20689655172414</v>
      </c>
      <c r="D613" s="43">
        <f t="shared" si="934"/>
        <v>74.681753889674681</v>
      </c>
      <c r="E613" s="43">
        <f t="shared" si="934"/>
        <v>57.092102722533305</v>
      </c>
      <c r="F613" s="43">
        <f t="shared" si="934"/>
        <v>85.467625899280577</v>
      </c>
      <c r="G613" s="43">
        <f t="shared" si="934"/>
        <v>81.44955925563174</v>
      </c>
      <c r="H613" s="43">
        <f t="shared" si="934"/>
        <v>82.814250504145193</v>
      </c>
      <c r="I613" s="43">
        <f t="shared" si="934"/>
        <v>63.737874541927141</v>
      </c>
      <c r="J613" s="43">
        <f t="shared" si="934"/>
        <v>68.898094449047221</v>
      </c>
      <c r="K613" s="43">
        <f t="shared" si="934"/>
        <v>93.224679860302672</v>
      </c>
      <c r="L613" s="43">
        <f t="shared" si="934"/>
        <v>91.689407095013649</v>
      </c>
      <c r="M613" s="43">
        <f t="shared" si="934"/>
        <v>70.282861896838597</v>
      </c>
      <c r="N613" s="43">
        <f t="shared" si="934"/>
        <v>76.39871382636656</v>
      </c>
      <c r="O613" s="43">
        <f t="shared" si="934"/>
        <v>106.20689655172414</v>
      </c>
      <c r="P613" s="43">
        <f t="shared" si="934"/>
        <v>74.681753889674681</v>
      </c>
      <c r="Q613" s="43">
        <f t="shared" si="934"/>
        <v>56.96012329031015</v>
      </c>
      <c r="R613" s="43">
        <f t="shared" si="934"/>
        <v>83.284927391086626</v>
      </c>
      <c r="S613" s="43">
        <f t="shared" si="934"/>
        <v>81.44955925563174</v>
      </c>
      <c r="T613" s="43">
        <f t="shared" si="934"/>
        <v>66.310832025117733</v>
      </c>
      <c r="U613" s="43">
        <f t="shared" si="934"/>
        <v>63.737874541927141</v>
      </c>
      <c r="V613" s="43">
        <f t="shared" si="934"/>
        <v>69.242298084929232</v>
      </c>
      <c r="W613" s="43">
        <f t="shared" si="934"/>
        <v>94.657210401891248</v>
      </c>
      <c r="X613" s="43">
        <f t="shared" si="934"/>
        <v>91.689407095013649</v>
      </c>
      <c r="Y613" s="43">
        <f t="shared" si="934"/>
        <v>70.082958046930557</v>
      </c>
      <c r="Z613" s="43">
        <f t="shared" si="934"/>
        <v>59.972183588317108</v>
      </c>
      <c r="AA613" s="43">
        <f t="shared" si="934"/>
        <v>106.20689655172414</v>
      </c>
      <c r="AB613" s="43">
        <f t="shared" si="934"/>
        <v>74.591321897073669</v>
      </c>
      <c r="AC613" s="43">
        <f t="shared" si="934"/>
        <v>57.092102722533305</v>
      </c>
      <c r="AD613" s="43">
        <f t="shared" si="934"/>
        <v>85.204918032786878</v>
      </c>
      <c r="AE613" s="43">
        <f t="shared" si="934"/>
        <v>81.44955925563174</v>
      </c>
      <c r="AF613" s="43">
        <f t="shared" si="934"/>
        <v>82.814250504145193</v>
      </c>
      <c r="AG613" s="43">
        <f t="shared" si="934"/>
        <v>63.737874541927141</v>
      </c>
      <c r="AH613" s="43">
        <f t="shared" si="934"/>
        <v>69.242298084929232</v>
      </c>
      <c r="AI613" s="43">
        <f t="shared" ref="AI613:BB613" si="935">AI$186*AI$187*AI$188*$R$4*AI788/AI$793</f>
        <v>94.657210401891248</v>
      </c>
      <c r="AJ613" s="43">
        <f t="shared" si="935"/>
        <v>91.689407095013649</v>
      </c>
      <c r="AK613" s="43">
        <f t="shared" si="935"/>
        <v>70.082958046930557</v>
      </c>
      <c r="AL613" s="43">
        <f t="shared" si="935"/>
        <v>59.972183588317108</v>
      </c>
      <c r="AM613" s="43">
        <f t="shared" si="935"/>
        <v>106.20689655172414</v>
      </c>
      <c r="AN613" s="43">
        <f t="shared" si="935"/>
        <v>74.681753889674681</v>
      </c>
      <c r="AO613" s="43">
        <f t="shared" si="935"/>
        <v>56.96012329031015</v>
      </c>
      <c r="AP613" s="43">
        <f t="shared" si="935"/>
        <v>85.204918032786878</v>
      </c>
      <c r="AQ613" s="43">
        <f t="shared" si="935"/>
        <v>81.44955925563174</v>
      </c>
      <c r="AR613" s="43">
        <f t="shared" si="935"/>
        <v>82.814250504145193</v>
      </c>
      <c r="AS613" s="43">
        <f t="shared" si="935"/>
        <v>58.101788170563964</v>
      </c>
      <c r="AT613" s="43">
        <f t="shared" si="935"/>
        <v>66.210191082802552</v>
      </c>
      <c r="AU613" s="43">
        <f t="shared" si="935"/>
        <v>95.16339869281046</v>
      </c>
      <c r="AV613" s="43">
        <f t="shared" si="935"/>
        <v>72.060830571261448</v>
      </c>
      <c r="AW613" s="43">
        <f t="shared" si="935"/>
        <v>63.737874541927141</v>
      </c>
      <c r="AX613" s="43">
        <f t="shared" si="935"/>
        <v>68.898094449047221</v>
      </c>
      <c r="AY613" s="43">
        <f t="shared" si="935"/>
        <v>93.224679860302672</v>
      </c>
      <c r="AZ613" s="43">
        <f t="shared" si="935"/>
        <v>90.344659007577604</v>
      </c>
      <c r="BA613" s="43">
        <f t="shared" si="935"/>
        <v>70.082958046930557</v>
      </c>
      <c r="BB613" s="43">
        <f t="shared" si="935"/>
        <v>59.972183588317108</v>
      </c>
      <c r="BC613" s="19"/>
    </row>
    <row r="614" spans="2:56" x14ac:dyDescent="0.25">
      <c r="B614" s="43" t="str">
        <f t="shared" si="929"/>
        <v>Overall AvgTotal Actual Labor Hours (ALH)</v>
      </c>
      <c r="C614" s="43">
        <f t="shared" ref="C614:AH614" si="936">C$186*C$187*C$188*$R$4*C789/C$793</f>
        <v>40.106100795755971</v>
      </c>
      <c r="D614" s="43">
        <f t="shared" si="936"/>
        <v>95.321074964639323</v>
      </c>
      <c r="E614" s="43">
        <f t="shared" si="936"/>
        <v>70.067580614018155</v>
      </c>
      <c r="F614" s="43">
        <f t="shared" si="936"/>
        <v>74.589928057553962</v>
      </c>
      <c r="G614" s="43">
        <f t="shared" si="936"/>
        <v>44.42703232125367</v>
      </c>
      <c r="H614" s="43">
        <f t="shared" si="936"/>
        <v>89.439390544476822</v>
      </c>
      <c r="I614" s="43">
        <f t="shared" si="936"/>
        <v>78.223755119637858</v>
      </c>
      <c r="J614" s="43">
        <f t="shared" si="936"/>
        <v>60.129246064623032</v>
      </c>
      <c r="K614" s="43">
        <f t="shared" si="936"/>
        <v>35.203725261932476</v>
      </c>
      <c r="L614" s="43">
        <f t="shared" si="936"/>
        <v>63.015628876209377</v>
      </c>
      <c r="M614" s="43">
        <f t="shared" si="936"/>
        <v>51.753743760399345</v>
      </c>
      <c r="N614" s="43">
        <f t="shared" si="936"/>
        <v>66.675241157556272</v>
      </c>
      <c r="O614" s="43">
        <f t="shared" si="936"/>
        <v>40.106100795755971</v>
      </c>
      <c r="P614" s="43">
        <f t="shared" si="936"/>
        <v>95.321074964639323</v>
      </c>
      <c r="Q614" s="43">
        <f t="shared" si="936"/>
        <v>69.905605856289739</v>
      </c>
      <c r="R614" s="43">
        <f t="shared" si="936"/>
        <v>72.685027541311968</v>
      </c>
      <c r="S614" s="43">
        <f t="shared" si="936"/>
        <v>44.42703232125367</v>
      </c>
      <c r="T614" s="43">
        <f t="shared" si="936"/>
        <v>105.79591836734694</v>
      </c>
      <c r="U614" s="43">
        <f t="shared" si="936"/>
        <v>78.223755119637858</v>
      </c>
      <c r="V614" s="43">
        <f t="shared" si="936"/>
        <v>60.429641965029141</v>
      </c>
      <c r="W614" s="43">
        <f t="shared" si="936"/>
        <v>35.744680851063826</v>
      </c>
      <c r="X614" s="43">
        <f t="shared" si="936"/>
        <v>63.015628876209377</v>
      </c>
      <c r="Y614" s="43">
        <f t="shared" si="936"/>
        <v>86.010903057596593</v>
      </c>
      <c r="Z614" s="43">
        <f t="shared" si="936"/>
        <v>67.293463143254513</v>
      </c>
      <c r="AA614" s="43">
        <f t="shared" si="936"/>
        <v>40.106100795755971</v>
      </c>
      <c r="AB614" s="43">
        <f t="shared" si="936"/>
        <v>95.205650857719476</v>
      </c>
      <c r="AC614" s="43">
        <f t="shared" si="936"/>
        <v>70.067580614018155</v>
      </c>
      <c r="AD614" s="43">
        <f t="shared" si="936"/>
        <v>74.360655737704917</v>
      </c>
      <c r="AE614" s="43">
        <f t="shared" si="936"/>
        <v>44.42703232125367</v>
      </c>
      <c r="AF614" s="43">
        <f t="shared" si="936"/>
        <v>89.439390544476822</v>
      </c>
      <c r="AG614" s="43">
        <f t="shared" si="936"/>
        <v>78.223755119637858</v>
      </c>
      <c r="AH614" s="43">
        <f t="shared" si="936"/>
        <v>60.429641965029141</v>
      </c>
      <c r="AI614" s="43">
        <f t="shared" ref="AI614:BB614" si="937">AI$186*AI$187*AI$188*$R$4*AI789/AI$793</f>
        <v>35.744680851063826</v>
      </c>
      <c r="AJ614" s="43">
        <f t="shared" si="937"/>
        <v>63.015628876209377</v>
      </c>
      <c r="AK614" s="43">
        <f t="shared" si="937"/>
        <v>86.010903057596593</v>
      </c>
      <c r="AL614" s="43">
        <f t="shared" si="937"/>
        <v>67.293463143254513</v>
      </c>
      <c r="AM614" s="43">
        <f t="shared" si="937"/>
        <v>40.106100795755971</v>
      </c>
      <c r="AN614" s="43">
        <f t="shared" si="937"/>
        <v>95.321074964639323</v>
      </c>
      <c r="AO614" s="43">
        <f t="shared" si="937"/>
        <v>69.905605856289739</v>
      </c>
      <c r="AP614" s="43">
        <f t="shared" si="937"/>
        <v>74.360655737704917</v>
      </c>
      <c r="AQ614" s="43">
        <f t="shared" si="937"/>
        <v>44.42703232125367</v>
      </c>
      <c r="AR614" s="43">
        <f t="shared" si="937"/>
        <v>89.439390544476822</v>
      </c>
      <c r="AS614" s="43">
        <f t="shared" si="937"/>
        <v>71.306740027510315</v>
      </c>
      <c r="AT614" s="43">
        <f t="shared" si="937"/>
        <v>57.783439490445858</v>
      </c>
      <c r="AU614" s="43">
        <f t="shared" si="937"/>
        <v>35.935828877005349</v>
      </c>
      <c r="AV614" s="43">
        <f t="shared" si="937"/>
        <v>91.975823747319168</v>
      </c>
      <c r="AW614" s="43">
        <f t="shared" si="937"/>
        <v>78.223755119637858</v>
      </c>
      <c r="AX614" s="43">
        <f t="shared" si="937"/>
        <v>60.129246064623032</v>
      </c>
      <c r="AY614" s="43">
        <f t="shared" si="937"/>
        <v>35.203725261932476</v>
      </c>
      <c r="AZ614" s="43">
        <f t="shared" si="937"/>
        <v>115.31263749694452</v>
      </c>
      <c r="BA614" s="43">
        <f t="shared" si="937"/>
        <v>86.010903057596593</v>
      </c>
      <c r="BB614" s="43">
        <f t="shared" si="937"/>
        <v>67.293463143254513</v>
      </c>
      <c r="BC614" s="19"/>
    </row>
    <row r="615" spans="2:56" x14ac:dyDescent="0.25">
      <c r="B615" s="43" t="str">
        <f t="shared" si="929"/>
        <v>Overall AvgTotal Actual Labor Hours (ALH)</v>
      </c>
      <c r="C615" s="43">
        <f t="shared" ref="C615:AH615" si="938">C$186*C$187*C$188*$R$4*C790/C$793</f>
        <v>0</v>
      </c>
      <c r="D615" s="43">
        <f t="shared" si="938"/>
        <v>35.643564356435647</v>
      </c>
      <c r="E615" s="43">
        <f t="shared" si="938"/>
        <v>88.557636609384048</v>
      </c>
      <c r="F615" s="43">
        <f t="shared" si="938"/>
        <v>0</v>
      </c>
      <c r="G615" s="43">
        <f t="shared" si="938"/>
        <v>0</v>
      </c>
      <c r="H615" s="43">
        <f t="shared" si="938"/>
        <v>39.524983195160203</v>
      </c>
      <c r="I615" s="43">
        <f t="shared" si="938"/>
        <v>98.866134942875618</v>
      </c>
      <c r="J615" s="43">
        <f t="shared" si="938"/>
        <v>73.073736536868267</v>
      </c>
      <c r="K615" s="43">
        <f t="shared" si="938"/>
        <v>41.071012805587891</v>
      </c>
      <c r="L615" s="43">
        <f t="shared" si="938"/>
        <v>43.760853386256514</v>
      </c>
      <c r="M615" s="43">
        <f t="shared" si="938"/>
        <v>109.01830282861897</v>
      </c>
      <c r="N615" s="43">
        <f t="shared" si="938"/>
        <v>81.028938906752416</v>
      </c>
      <c r="O615" s="43">
        <f t="shared" si="938"/>
        <v>0</v>
      </c>
      <c r="P615" s="43">
        <f t="shared" si="938"/>
        <v>35.643564356435647</v>
      </c>
      <c r="Q615" s="43">
        <f t="shared" si="938"/>
        <v>88.352918512810632</v>
      </c>
      <c r="R615" s="43">
        <f t="shared" si="938"/>
        <v>88.332498748122177</v>
      </c>
      <c r="S615" s="43">
        <f t="shared" si="938"/>
        <v>0</v>
      </c>
      <c r="T615" s="43">
        <f t="shared" si="938"/>
        <v>39.560439560439562</v>
      </c>
      <c r="U615" s="43">
        <f t="shared" si="938"/>
        <v>98.866134942875618</v>
      </c>
      <c r="V615" s="43">
        <f t="shared" si="938"/>
        <v>73.438800999167356</v>
      </c>
      <c r="W615" s="43">
        <f t="shared" si="938"/>
        <v>0</v>
      </c>
      <c r="X615" s="43">
        <f t="shared" si="938"/>
        <v>43.760853386256514</v>
      </c>
      <c r="Y615" s="43">
        <f t="shared" si="938"/>
        <v>75.259540175397007</v>
      </c>
      <c r="Z615" s="43">
        <f t="shared" si="938"/>
        <v>81.780250347705149</v>
      </c>
      <c r="AA615" s="43">
        <f t="shared" si="938"/>
        <v>0</v>
      </c>
      <c r="AB615" s="43">
        <f t="shared" si="938"/>
        <v>35.600403632694245</v>
      </c>
      <c r="AC615" s="43">
        <f t="shared" si="938"/>
        <v>88.557636609384048</v>
      </c>
      <c r="AD615" s="43">
        <f t="shared" si="938"/>
        <v>36.147540983606561</v>
      </c>
      <c r="AE615" s="43">
        <f t="shared" si="938"/>
        <v>0</v>
      </c>
      <c r="AF615" s="43">
        <f t="shared" si="938"/>
        <v>39.524983195160203</v>
      </c>
      <c r="AG615" s="43">
        <f t="shared" si="938"/>
        <v>98.866134942875618</v>
      </c>
      <c r="AH615" s="43">
        <f t="shared" si="938"/>
        <v>73.438800999167356</v>
      </c>
      <c r="AI615" s="43">
        <f t="shared" ref="AI615:BB615" si="939">AI$186*AI$187*AI$188*$R$4*AI790/AI$793</f>
        <v>0</v>
      </c>
      <c r="AJ615" s="43">
        <f t="shared" si="939"/>
        <v>43.760853386256514</v>
      </c>
      <c r="AK615" s="43">
        <f t="shared" si="939"/>
        <v>75.259540175397007</v>
      </c>
      <c r="AL615" s="43">
        <f t="shared" si="939"/>
        <v>81.780250347705149</v>
      </c>
      <c r="AM615" s="43">
        <f t="shared" si="939"/>
        <v>0</v>
      </c>
      <c r="AN615" s="43">
        <f t="shared" si="939"/>
        <v>35.643564356435647</v>
      </c>
      <c r="AO615" s="43">
        <f t="shared" si="939"/>
        <v>88.352918512810632</v>
      </c>
      <c r="AP615" s="43">
        <f t="shared" si="939"/>
        <v>36.147540983606561</v>
      </c>
      <c r="AQ615" s="43">
        <f t="shared" si="939"/>
        <v>0</v>
      </c>
      <c r="AR615" s="43">
        <f t="shared" si="939"/>
        <v>39.524983195160203</v>
      </c>
      <c r="AS615" s="43">
        <f t="shared" si="939"/>
        <v>90.123796423658874</v>
      </c>
      <c r="AT615" s="43">
        <f t="shared" si="939"/>
        <v>70.222929936305732</v>
      </c>
      <c r="AU615" s="43">
        <f t="shared" si="939"/>
        <v>34.937611408199643</v>
      </c>
      <c r="AV615" s="43">
        <f t="shared" si="939"/>
        <v>34.392669136283878</v>
      </c>
      <c r="AW615" s="43">
        <f t="shared" si="939"/>
        <v>98.866134942875618</v>
      </c>
      <c r="AX615" s="43">
        <f t="shared" si="939"/>
        <v>73.073736536868267</v>
      </c>
      <c r="AY615" s="43">
        <f t="shared" si="939"/>
        <v>41.071012805587891</v>
      </c>
      <c r="AZ615" s="43">
        <f t="shared" si="939"/>
        <v>43.119041799071134</v>
      </c>
      <c r="BA615" s="43">
        <f t="shared" si="939"/>
        <v>75.259540175397007</v>
      </c>
      <c r="BB615" s="43">
        <f t="shared" si="939"/>
        <v>81.780250347705149</v>
      </c>
      <c r="BC615" s="19"/>
    </row>
    <row r="616" spans="2:56" x14ac:dyDescent="0.25">
      <c r="B616" s="43" t="str">
        <f t="shared" si="929"/>
        <v>Overall AvgTotal Actual Labor Hours (ALH)</v>
      </c>
      <c r="C616" s="43">
        <f t="shared" ref="C616:AH616" si="940">C$186*C$187*C$188*$R$4*C791/C$793</f>
        <v>0</v>
      </c>
      <c r="D616" s="43">
        <f t="shared" si="940"/>
        <v>18.330975954738332</v>
      </c>
      <c r="E616" s="43">
        <f t="shared" si="940"/>
        <v>35.033790307009077</v>
      </c>
      <c r="F616" s="43">
        <f t="shared" si="940"/>
        <v>85.467625899280577</v>
      </c>
      <c r="G616" s="43">
        <f t="shared" si="940"/>
        <v>0</v>
      </c>
      <c r="H616" s="43">
        <f t="shared" si="940"/>
        <v>0</v>
      </c>
      <c r="I616" s="43">
        <f t="shared" si="940"/>
        <v>32.593231299849108</v>
      </c>
      <c r="J616" s="43">
        <f t="shared" si="940"/>
        <v>81.42502071251036</v>
      </c>
      <c r="K616" s="43">
        <f t="shared" si="940"/>
        <v>0</v>
      </c>
      <c r="L616" s="43">
        <f t="shared" si="940"/>
        <v>0</v>
      </c>
      <c r="M616" s="43">
        <f t="shared" si="940"/>
        <v>35.940099833610645</v>
      </c>
      <c r="N616" s="43">
        <f t="shared" si="940"/>
        <v>76.39871382636656</v>
      </c>
      <c r="O616" s="43">
        <f t="shared" si="940"/>
        <v>0</v>
      </c>
      <c r="P616" s="43">
        <f t="shared" si="940"/>
        <v>0</v>
      </c>
      <c r="Q616" s="43">
        <f t="shared" si="940"/>
        <v>29.127335773454057</v>
      </c>
      <c r="R616" s="43">
        <f t="shared" si="940"/>
        <v>52.999499248873313</v>
      </c>
      <c r="S616" s="43">
        <f t="shared" si="940"/>
        <v>0</v>
      </c>
      <c r="T616" s="43">
        <f t="shared" si="940"/>
        <v>0</v>
      </c>
      <c r="U616" s="43">
        <f t="shared" si="940"/>
        <v>32.593231299849108</v>
      </c>
      <c r="V616" s="43">
        <f t="shared" si="940"/>
        <v>81.831806827643632</v>
      </c>
      <c r="W616" s="43">
        <f t="shared" si="940"/>
        <v>0</v>
      </c>
      <c r="X616" s="43">
        <f t="shared" si="940"/>
        <v>0</v>
      </c>
      <c r="Y616" s="43">
        <f t="shared" si="940"/>
        <v>35.837876273998575</v>
      </c>
      <c r="Z616" s="43">
        <f t="shared" si="940"/>
        <v>91.126564673157162</v>
      </c>
      <c r="AA616" s="43">
        <f t="shared" si="940"/>
        <v>0</v>
      </c>
      <c r="AB616" s="43">
        <f t="shared" si="940"/>
        <v>0</v>
      </c>
      <c r="AC616" s="43">
        <f t="shared" si="940"/>
        <v>29.194825255840897</v>
      </c>
      <c r="AD616" s="43">
        <f t="shared" si="940"/>
        <v>100.69672131147541</v>
      </c>
      <c r="AE616" s="43">
        <f t="shared" si="940"/>
        <v>0</v>
      </c>
      <c r="AF616" s="43">
        <f t="shared" si="940"/>
        <v>0</v>
      </c>
      <c r="AG616" s="43">
        <f t="shared" si="940"/>
        <v>32.593231299849108</v>
      </c>
      <c r="AH616" s="43">
        <f t="shared" si="940"/>
        <v>81.831806827643632</v>
      </c>
      <c r="AI616" s="43">
        <f t="shared" ref="AI616:BB616" si="941">AI$186*AI$187*AI$188*$R$4*AI791/AI$793</f>
        <v>0</v>
      </c>
      <c r="AJ616" s="43">
        <f t="shared" si="941"/>
        <v>0</v>
      </c>
      <c r="AK616" s="43">
        <f t="shared" si="941"/>
        <v>35.837876273998575</v>
      </c>
      <c r="AL616" s="43">
        <f t="shared" si="941"/>
        <v>91.126564673157162</v>
      </c>
      <c r="AM616" s="43">
        <f t="shared" si="941"/>
        <v>0</v>
      </c>
      <c r="AN616" s="43">
        <f t="shared" si="941"/>
        <v>0</v>
      </c>
      <c r="AO616" s="43">
        <f t="shared" si="941"/>
        <v>29.127335773454057</v>
      </c>
      <c r="AP616" s="43">
        <f t="shared" si="941"/>
        <v>100.69672131147541</v>
      </c>
      <c r="AQ616" s="43">
        <f t="shared" si="941"/>
        <v>0</v>
      </c>
      <c r="AR616" s="43">
        <f t="shared" si="941"/>
        <v>0</v>
      </c>
      <c r="AS616" s="43">
        <f t="shared" si="941"/>
        <v>29.711141678129298</v>
      </c>
      <c r="AT616" s="43">
        <f t="shared" si="941"/>
        <v>78.248407643312106</v>
      </c>
      <c r="AU616" s="43">
        <f t="shared" si="941"/>
        <v>0</v>
      </c>
      <c r="AV616" s="43">
        <f t="shared" si="941"/>
        <v>0</v>
      </c>
      <c r="AW616" s="43">
        <f t="shared" si="941"/>
        <v>32.593231299849108</v>
      </c>
      <c r="AX616" s="43">
        <f t="shared" si="941"/>
        <v>81.42502071251036</v>
      </c>
      <c r="AY616" s="43">
        <f t="shared" si="941"/>
        <v>0</v>
      </c>
      <c r="AZ616" s="43">
        <f t="shared" si="941"/>
        <v>0</v>
      </c>
      <c r="BA616" s="43">
        <f t="shared" si="941"/>
        <v>35.837876273998575</v>
      </c>
      <c r="BB616" s="43">
        <f t="shared" si="941"/>
        <v>91.126564673157162</v>
      </c>
      <c r="BC616" s="19"/>
    </row>
    <row r="617" spans="2:56" x14ac:dyDescent="0.25">
      <c r="B617" s="43" t="str">
        <f t="shared" si="929"/>
        <v>Overall AvgTotal Actual Labor Hours (ALH)</v>
      </c>
      <c r="C617" s="43">
        <f t="shared" ref="C617:AH617" si="942">C$186*C$187*C$188*$R$4*C792/C$793</f>
        <v>0</v>
      </c>
      <c r="D617" s="43">
        <f t="shared" si="942"/>
        <v>0</v>
      </c>
      <c r="E617" s="43">
        <f t="shared" si="942"/>
        <v>0</v>
      </c>
      <c r="F617" s="43">
        <f t="shared" si="942"/>
        <v>39.71223021582734</v>
      </c>
      <c r="G617" s="43">
        <f t="shared" si="942"/>
        <v>0</v>
      </c>
      <c r="H617" s="43">
        <f t="shared" si="942"/>
        <v>0</v>
      </c>
      <c r="I617" s="43">
        <f t="shared" si="942"/>
        <v>0</v>
      </c>
      <c r="J617" s="43">
        <f t="shared" si="942"/>
        <v>32.013256006628005</v>
      </c>
      <c r="K617" s="43">
        <f t="shared" si="942"/>
        <v>0</v>
      </c>
      <c r="L617" s="43">
        <f t="shared" si="942"/>
        <v>0</v>
      </c>
      <c r="M617" s="43">
        <f t="shared" si="942"/>
        <v>0</v>
      </c>
      <c r="N617" s="43">
        <f t="shared" si="942"/>
        <v>35.4983922829582</v>
      </c>
      <c r="O617" s="43">
        <f t="shared" si="942"/>
        <v>0</v>
      </c>
      <c r="P617" s="43">
        <f t="shared" si="942"/>
        <v>0</v>
      </c>
      <c r="Q617" s="43">
        <f t="shared" si="942"/>
        <v>35.729531882103636</v>
      </c>
      <c r="R617" s="43">
        <f t="shared" si="942"/>
        <v>38.698047070605909</v>
      </c>
      <c r="S617" s="43">
        <f t="shared" si="942"/>
        <v>0</v>
      </c>
      <c r="T617" s="43">
        <f t="shared" si="942"/>
        <v>0</v>
      </c>
      <c r="U617" s="43">
        <f t="shared" si="942"/>
        <v>0</v>
      </c>
      <c r="V617" s="43">
        <f t="shared" si="942"/>
        <v>32.173189009159032</v>
      </c>
      <c r="W617" s="43">
        <f t="shared" si="942"/>
        <v>36.539007092198574</v>
      </c>
      <c r="X617" s="43">
        <f t="shared" si="942"/>
        <v>0</v>
      </c>
      <c r="Y617" s="43">
        <f t="shared" si="942"/>
        <v>0</v>
      </c>
      <c r="Z617" s="43">
        <f t="shared" si="942"/>
        <v>35.827538247566061</v>
      </c>
      <c r="AA617" s="43">
        <f t="shared" si="942"/>
        <v>0</v>
      </c>
      <c r="AB617" s="43">
        <f t="shared" si="942"/>
        <v>18.715640766902116</v>
      </c>
      <c r="AC617" s="43">
        <f t="shared" si="942"/>
        <v>0</v>
      </c>
      <c r="AD617" s="43">
        <f t="shared" si="942"/>
        <v>39.590163934426229</v>
      </c>
      <c r="AE617" s="43">
        <f t="shared" si="942"/>
        <v>0</v>
      </c>
      <c r="AF617" s="43">
        <f t="shared" si="942"/>
        <v>0</v>
      </c>
      <c r="AG617" s="43">
        <f t="shared" si="942"/>
        <v>0</v>
      </c>
      <c r="AH617" s="43">
        <f t="shared" si="942"/>
        <v>32.173189009159032</v>
      </c>
      <c r="AI617" s="43">
        <f t="shared" ref="AI617:BB617" si="943">AI$186*AI$187*AI$188*$R$4*AI792/AI$793</f>
        <v>36.539007092198574</v>
      </c>
      <c r="AJ617" s="43">
        <f t="shared" si="943"/>
        <v>0</v>
      </c>
      <c r="AK617" s="43">
        <f t="shared" si="943"/>
        <v>0</v>
      </c>
      <c r="AL617" s="43">
        <f t="shared" si="943"/>
        <v>35.827538247566061</v>
      </c>
      <c r="AM617" s="43">
        <f t="shared" si="943"/>
        <v>0</v>
      </c>
      <c r="AN617" s="43">
        <f t="shared" si="943"/>
        <v>0</v>
      </c>
      <c r="AO617" s="43">
        <f t="shared" si="943"/>
        <v>35.729531882103636</v>
      </c>
      <c r="AP617" s="43">
        <f t="shared" si="943"/>
        <v>39.590163934426229</v>
      </c>
      <c r="AQ617" s="43">
        <f t="shared" si="943"/>
        <v>0</v>
      </c>
      <c r="AR617" s="43">
        <f t="shared" si="943"/>
        <v>0</v>
      </c>
      <c r="AS617" s="43">
        <f t="shared" si="943"/>
        <v>0</v>
      </c>
      <c r="AT617" s="43">
        <f t="shared" si="943"/>
        <v>30.764331210191084</v>
      </c>
      <c r="AU617" s="43">
        <f t="shared" si="943"/>
        <v>0</v>
      </c>
      <c r="AV617" s="43">
        <f t="shared" si="943"/>
        <v>0</v>
      </c>
      <c r="AW617" s="43">
        <f t="shared" si="943"/>
        <v>0</v>
      </c>
      <c r="AX617" s="43">
        <f t="shared" si="943"/>
        <v>32.013256006628005</v>
      </c>
      <c r="AY617" s="43">
        <f t="shared" si="943"/>
        <v>0</v>
      </c>
      <c r="AZ617" s="43">
        <f t="shared" si="943"/>
        <v>0</v>
      </c>
      <c r="BA617" s="43">
        <f t="shared" si="943"/>
        <v>0</v>
      </c>
      <c r="BB617" s="43">
        <f t="shared" si="943"/>
        <v>35.827538247566061</v>
      </c>
      <c r="BC617" s="19"/>
    </row>
    <row r="618" spans="2:56" x14ac:dyDescent="0.25">
      <c r="B618" s="113" t="str">
        <f>_xlfn.CONCAT(B457," ","Average Total Labor Hours")</f>
        <v>Product A Average Total Labor Hours</v>
      </c>
      <c r="C618" s="113">
        <f>C610</f>
        <v>60.159151193633953</v>
      </c>
      <c r="D618" s="113">
        <f t="shared" ref="D618:BB618" si="944">D610</f>
        <v>0</v>
      </c>
      <c r="E618" s="113">
        <f t="shared" si="944"/>
        <v>29.194825255840897</v>
      </c>
      <c r="F618" s="113">
        <f t="shared" si="944"/>
        <v>0</v>
      </c>
      <c r="G618" s="113">
        <f t="shared" si="944"/>
        <v>66.640548481880515</v>
      </c>
      <c r="H618" s="113">
        <f t="shared" si="944"/>
        <v>0</v>
      </c>
      <c r="I618" s="113">
        <f t="shared" si="944"/>
        <v>0</v>
      </c>
      <c r="J618" s="113">
        <f t="shared" si="944"/>
        <v>0</v>
      </c>
      <c r="K618" s="113">
        <f t="shared" si="944"/>
        <v>52.805587892898721</v>
      </c>
      <c r="L618" s="113">
        <f t="shared" si="944"/>
        <v>0</v>
      </c>
      <c r="M618" s="113">
        <f t="shared" si="944"/>
        <v>0</v>
      </c>
      <c r="N618" s="113">
        <f t="shared" si="944"/>
        <v>0</v>
      </c>
      <c r="O618" s="113">
        <f t="shared" si="944"/>
        <v>60.159151193633953</v>
      </c>
      <c r="P618" s="113">
        <f t="shared" si="944"/>
        <v>18.330975954738332</v>
      </c>
      <c r="Q618" s="113">
        <f t="shared" si="944"/>
        <v>0</v>
      </c>
      <c r="R618" s="113">
        <f t="shared" si="944"/>
        <v>0</v>
      </c>
      <c r="S618" s="113">
        <f t="shared" si="944"/>
        <v>66.640548481880515</v>
      </c>
      <c r="T618" s="113">
        <f t="shared" si="944"/>
        <v>0</v>
      </c>
      <c r="U618" s="113">
        <f t="shared" si="944"/>
        <v>0</v>
      </c>
      <c r="V618" s="113">
        <f t="shared" si="944"/>
        <v>18.884263114071608</v>
      </c>
      <c r="W618" s="113">
        <f t="shared" si="944"/>
        <v>53.617021276595743</v>
      </c>
      <c r="X618" s="113">
        <f t="shared" si="944"/>
        <v>0</v>
      </c>
      <c r="Y618" s="113">
        <f t="shared" si="944"/>
        <v>0</v>
      </c>
      <c r="Z618" s="113">
        <f t="shared" si="944"/>
        <v>0</v>
      </c>
      <c r="AA618" s="113">
        <f t="shared" si="944"/>
        <v>60.159151193633953</v>
      </c>
      <c r="AB618" s="113">
        <f t="shared" si="944"/>
        <v>0</v>
      </c>
      <c r="AC618" s="113">
        <f t="shared" si="944"/>
        <v>35.033790307009077</v>
      </c>
      <c r="AD618" s="113">
        <f t="shared" si="944"/>
        <v>0</v>
      </c>
      <c r="AE618" s="113">
        <f t="shared" si="944"/>
        <v>66.640548481880515</v>
      </c>
      <c r="AF618" s="113">
        <f t="shared" si="944"/>
        <v>0</v>
      </c>
      <c r="AG618" s="113">
        <f t="shared" si="944"/>
        <v>0</v>
      </c>
      <c r="AH618" s="113">
        <f t="shared" si="944"/>
        <v>18.884263114071608</v>
      </c>
      <c r="AI618" s="113">
        <f t="shared" si="944"/>
        <v>53.617021276595743</v>
      </c>
      <c r="AJ618" s="113">
        <f t="shared" si="944"/>
        <v>0</v>
      </c>
      <c r="AK618" s="113">
        <f t="shared" si="944"/>
        <v>0</v>
      </c>
      <c r="AL618" s="113">
        <f t="shared" si="944"/>
        <v>0</v>
      </c>
      <c r="AM618" s="113">
        <f t="shared" si="944"/>
        <v>60.159151193633953</v>
      </c>
      <c r="AN618" s="113">
        <f t="shared" si="944"/>
        <v>18.330975954738332</v>
      </c>
      <c r="AO618" s="113">
        <f t="shared" si="944"/>
        <v>0</v>
      </c>
      <c r="AP618" s="113">
        <f t="shared" si="944"/>
        <v>0</v>
      </c>
      <c r="AQ618" s="113">
        <f t="shared" si="944"/>
        <v>66.640548481880515</v>
      </c>
      <c r="AR618" s="113">
        <f t="shared" si="944"/>
        <v>0</v>
      </c>
      <c r="AS618" s="113">
        <f t="shared" si="944"/>
        <v>29.711141678129298</v>
      </c>
      <c r="AT618" s="113">
        <f t="shared" si="944"/>
        <v>0</v>
      </c>
      <c r="AU618" s="113">
        <f t="shared" si="944"/>
        <v>53.903743315508024</v>
      </c>
      <c r="AV618" s="113">
        <f t="shared" si="944"/>
        <v>29.479430688243323</v>
      </c>
      <c r="AW618" s="113">
        <f t="shared" si="944"/>
        <v>0</v>
      </c>
      <c r="AX618" s="113">
        <f t="shared" si="944"/>
        <v>0</v>
      </c>
      <c r="AY618" s="113">
        <f t="shared" si="944"/>
        <v>52.805587892898721</v>
      </c>
      <c r="AZ618" s="113">
        <f t="shared" si="944"/>
        <v>0</v>
      </c>
      <c r="BA618" s="113">
        <f t="shared" si="944"/>
        <v>0</v>
      </c>
      <c r="BB618" s="113">
        <f t="shared" si="944"/>
        <v>0</v>
      </c>
      <c r="BC618" s="19"/>
    </row>
    <row r="619" spans="2:56" x14ac:dyDescent="0.25">
      <c r="B619" s="113" t="str">
        <f t="shared" ref="B619:B625" si="945">_xlfn.CONCAT(B458," ","Average Total Labor Hours")</f>
        <v>Product B Average Total Labor Hours</v>
      </c>
      <c r="C619" s="113">
        <f t="shared" ref="C619:R625" si="946">C611</f>
        <v>58.228116710875334</v>
      </c>
      <c r="D619" s="113">
        <f t="shared" si="946"/>
        <v>59.881188118811885</v>
      </c>
      <c r="E619" s="113">
        <f t="shared" si="946"/>
        <v>0</v>
      </c>
      <c r="F619" s="113">
        <f t="shared" si="946"/>
        <v>50.762589928057565</v>
      </c>
      <c r="G619" s="113">
        <f t="shared" si="946"/>
        <v>64.501469147894227</v>
      </c>
      <c r="H619" s="113">
        <f t="shared" si="946"/>
        <v>66.401971767869142</v>
      </c>
      <c r="I619" s="113">
        <f t="shared" si="946"/>
        <v>0</v>
      </c>
      <c r="J619" s="113">
        <f t="shared" si="946"/>
        <v>20.460646230323118</v>
      </c>
      <c r="K619" s="113">
        <f t="shared" si="946"/>
        <v>51.110593713620489</v>
      </c>
      <c r="L619" s="113">
        <f t="shared" si="946"/>
        <v>73.518233688910939</v>
      </c>
      <c r="M619" s="113">
        <f t="shared" si="946"/>
        <v>0</v>
      </c>
      <c r="N619" s="113">
        <f t="shared" si="946"/>
        <v>0</v>
      </c>
      <c r="O619" s="113">
        <f t="shared" si="946"/>
        <v>58.228116710875334</v>
      </c>
      <c r="P619" s="113">
        <f t="shared" si="946"/>
        <v>59.881188118811885</v>
      </c>
      <c r="Q619" s="113">
        <f t="shared" si="946"/>
        <v>0</v>
      </c>
      <c r="R619" s="113">
        <f t="shared" si="946"/>
        <v>0</v>
      </c>
      <c r="S619" s="113">
        <f t="shared" ref="S619:BB619" si="947">S611</f>
        <v>64.501469147894227</v>
      </c>
      <c r="T619" s="113">
        <f t="shared" si="947"/>
        <v>66.461538461538467</v>
      </c>
      <c r="U619" s="113">
        <f t="shared" si="947"/>
        <v>0</v>
      </c>
      <c r="V619" s="113">
        <f t="shared" si="947"/>
        <v>0</v>
      </c>
      <c r="W619" s="113">
        <f t="shared" si="947"/>
        <v>51.895981087470446</v>
      </c>
      <c r="X619" s="113">
        <f t="shared" si="947"/>
        <v>73.518233688910939</v>
      </c>
      <c r="Y619" s="113">
        <f t="shared" si="947"/>
        <v>0</v>
      </c>
      <c r="Z619" s="113">
        <f t="shared" si="947"/>
        <v>0</v>
      </c>
      <c r="AA619" s="113">
        <f t="shared" si="947"/>
        <v>58.228116710875334</v>
      </c>
      <c r="AB619" s="113">
        <f t="shared" si="947"/>
        <v>59.808678102926336</v>
      </c>
      <c r="AC619" s="113">
        <f t="shared" si="947"/>
        <v>0</v>
      </c>
      <c r="AD619" s="113">
        <f t="shared" si="947"/>
        <v>0</v>
      </c>
      <c r="AE619" s="113">
        <f t="shared" si="947"/>
        <v>64.501469147894227</v>
      </c>
      <c r="AF619" s="113">
        <f t="shared" si="947"/>
        <v>66.401971767869142</v>
      </c>
      <c r="AG619" s="113">
        <f t="shared" si="947"/>
        <v>0</v>
      </c>
      <c r="AH619" s="113">
        <f t="shared" si="947"/>
        <v>0</v>
      </c>
      <c r="AI619" s="113">
        <f t="shared" si="947"/>
        <v>51.895981087470446</v>
      </c>
      <c r="AJ619" s="113">
        <f t="shared" si="947"/>
        <v>73.518233688910939</v>
      </c>
      <c r="AK619" s="113">
        <f t="shared" si="947"/>
        <v>0</v>
      </c>
      <c r="AL619" s="113">
        <f t="shared" si="947"/>
        <v>0</v>
      </c>
      <c r="AM619" s="113">
        <f t="shared" si="947"/>
        <v>58.228116710875334</v>
      </c>
      <c r="AN619" s="113">
        <f t="shared" si="947"/>
        <v>59.881188118811885</v>
      </c>
      <c r="AO619" s="113">
        <f t="shared" si="947"/>
        <v>0</v>
      </c>
      <c r="AP619" s="113">
        <f t="shared" si="947"/>
        <v>0</v>
      </c>
      <c r="AQ619" s="113">
        <f t="shared" si="947"/>
        <v>64.501469147894227</v>
      </c>
      <c r="AR619" s="113">
        <f t="shared" si="947"/>
        <v>66.401971767869142</v>
      </c>
      <c r="AS619" s="113">
        <f t="shared" si="947"/>
        <v>0</v>
      </c>
      <c r="AT619" s="113">
        <f t="shared" si="947"/>
        <v>32.770700636942678</v>
      </c>
      <c r="AU619" s="113">
        <f t="shared" si="947"/>
        <v>52.173499702911471</v>
      </c>
      <c r="AV619" s="113">
        <f t="shared" si="947"/>
        <v>57.77968414895691</v>
      </c>
      <c r="AW619" s="113">
        <f t="shared" si="947"/>
        <v>0</v>
      </c>
      <c r="AX619" s="113">
        <f t="shared" si="947"/>
        <v>20.460646230323118</v>
      </c>
      <c r="AY619" s="113">
        <f t="shared" si="947"/>
        <v>51.110593713620489</v>
      </c>
      <c r="AZ619" s="113">
        <f t="shared" si="947"/>
        <v>24.146663407479839</v>
      </c>
      <c r="BA619" s="113">
        <f t="shared" si="947"/>
        <v>0</v>
      </c>
      <c r="BB619" s="113">
        <f t="shared" si="947"/>
        <v>0</v>
      </c>
      <c r="BC619" s="19"/>
    </row>
    <row r="620" spans="2:56" x14ac:dyDescent="0.25">
      <c r="B620" s="113" t="str">
        <f t="shared" si="945"/>
        <v>Product C Average Total Labor Hours</v>
      </c>
      <c r="C620" s="113">
        <f t="shared" si="946"/>
        <v>71.299734748010607</v>
      </c>
      <c r="D620" s="113">
        <f t="shared" si="946"/>
        <v>52.141442715700144</v>
      </c>
      <c r="E620" s="113">
        <f t="shared" si="946"/>
        <v>56.054064491214518</v>
      </c>
      <c r="F620" s="113">
        <f t="shared" si="946"/>
        <v>0</v>
      </c>
      <c r="G620" s="113">
        <f t="shared" si="946"/>
        <v>78.98139079333987</v>
      </c>
      <c r="H620" s="113">
        <f t="shared" si="946"/>
        <v>57.819403988348647</v>
      </c>
      <c r="I620" s="113">
        <f t="shared" si="946"/>
        <v>62.579004095710282</v>
      </c>
      <c r="J620" s="113">
        <f t="shared" si="946"/>
        <v>0</v>
      </c>
      <c r="K620" s="113">
        <f t="shared" si="946"/>
        <v>62.584400465657744</v>
      </c>
      <c r="L620" s="113">
        <f t="shared" si="946"/>
        <v>64.015876953609521</v>
      </c>
      <c r="M620" s="113">
        <f t="shared" si="946"/>
        <v>69.004991680532441</v>
      </c>
      <c r="N620" s="113">
        <f t="shared" si="946"/>
        <v>0</v>
      </c>
      <c r="O620" s="113">
        <f t="shared" si="946"/>
        <v>71.299734748010607</v>
      </c>
      <c r="P620" s="113">
        <f t="shared" si="946"/>
        <v>52.141442715700144</v>
      </c>
      <c r="Q620" s="113">
        <f t="shared" si="946"/>
        <v>55.924484685031786</v>
      </c>
      <c r="R620" s="113">
        <f t="shared" si="946"/>
        <v>0</v>
      </c>
      <c r="S620" s="113">
        <f t="shared" ref="S620:BB620" si="948">S612</f>
        <v>78.98139079333987</v>
      </c>
      <c r="T620" s="113">
        <f t="shared" si="948"/>
        <v>57.871271585557302</v>
      </c>
      <c r="U620" s="113">
        <f t="shared" si="948"/>
        <v>62.579004095710282</v>
      </c>
      <c r="V620" s="113">
        <f t="shared" si="948"/>
        <v>0</v>
      </c>
      <c r="W620" s="113">
        <f t="shared" si="948"/>
        <v>63.546099290780141</v>
      </c>
      <c r="X620" s="113">
        <f t="shared" si="948"/>
        <v>64.015876953609521</v>
      </c>
      <c r="Y620" s="113">
        <f t="shared" si="948"/>
        <v>68.808722446077269</v>
      </c>
      <c r="Z620" s="113">
        <f t="shared" si="948"/>
        <v>0</v>
      </c>
      <c r="AA620" s="113">
        <f t="shared" si="948"/>
        <v>71.299734748010607</v>
      </c>
      <c r="AB620" s="113">
        <f t="shared" si="948"/>
        <v>52.078304742684161</v>
      </c>
      <c r="AC620" s="113">
        <f t="shared" si="948"/>
        <v>56.054064491214518</v>
      </c>
      <c r="AD620" s="113">
        <f t="shared" si="948"/>
        <v>0</v>
      </c>
      <c r="AE620" s="113">
        <f t="shared" si="948"/>
        <v>78.98139079333987</v>
      </c>
      <c r="AF620" s="113">
        <f t="shared" si="948"/>
        <v>57.819403988348647</v>
      </c>
      <c r="AG620" s="113">
        <f t="shared" si="948"/>
        <v>62.579004095710282</v>
      </c>
      <c r="AH620" s="113">
        <f t="shared" si="948"/>
        <v>0</v>
      </c>
      <c r="AI620" s="113">
        <f t="shared" si="948"/>
        <v>63.546099290780141</v>
      </c>
      <c r="AJ620" s="113">
        <f t="shared" si="948"/>
        <v>64.015876953609521</v>
      </c>
      <c r="AK620" s="113">
        <f t="shared" si="948"/>
        <v>68.808722446077269</v>
      </c>
      <c r="AL620" s="113">
        <f t="shared" si="948"/>
        <v>0</v>
      </c>
      <c r="AM620" s="113">
        <f t="shared" si="948"/>
        <v>71.299734748010607</v>
      </c>
      <c r="AN620" s="113">
        <f t="shared" si="948"/>
        <v>52.141442715700144</v>
      </c>
      <c r="AO620" s="113">
        <f t="shared" si="948"/>
        <v>55.924484685031786</v>
      </c>
      <c r="AP620" s="113">
        <f t="shared" si="948"/>
        <v>0</v>
      </c>
      <c r="AQ620" s="113">
        <f t="shared" si="948"/>
        <v>78.98139079333987</v>
      </c>
      <c r="AR620" s="113">
        <f t="shared" si="948"/>
        <v>57.819403988348647</v>
      </c>
      <c r="AS620" s="113">
        <f t="shared" si="948"/>
        <v>57.045392022008251</v>
      </c>
      <c r="AT620" s="113">
        <f t="shared" si="948"/>
        <v>0</v>
      </c>
      <c r="AU620" s="113">
        <f t="shared" si="948"/>
        <v>63.88591800356506</v>
      </c>
      <c r="AV620" s="113">
        <f t="shared" si="948"/>
        <v>50.311561707935269</v>
      </c>
      <c r="AW620" s="113">
        <f t="shared" si="948"/>
        <v>62.579004095710282</v>
      </c>
      <c r="AX620" s="113">
        <f t="shared" si="948"/>
        <v>0</v>
      </c>
      <c r="AY620" s="113">
        <f t="shared" si="948"/>
        <v>62.584400465657744</v>
      </c>
      <c r="AZ620" s="113">
        <f t="shared" si="948"/>
        <v>63.076998288926916</v>
      </c>
      <c r="BA620" s="113">
        <f t="shared" si="948"/>
        <v>68.808722446077269</v>
      </c>
      <c r="BB620" s="113">
        <f t="shared" si="948"/>
        <v>0</v>
      </c>
      <c r="BC620" s="19"/>
    </row>
    <row r="621" spans="2:56" x14ac:dyDescent="0.25">
      <c r="B621" s="113" t="str">
        <f t="shared" si="945"/>
        <v>Product D Average Total Labor Hours</v>
      </c>
      <c r="C621" s="113">
        <f t="shared" si="946"/>
        <v>106.20689655172414</v>
      </c>
      <c r="D621" s="113">
        <f t="shared" si="946"/>
        <v>74.681753889674681</v>
      </c>
      <c r="E621" s="113">
        <f t="shared" si="946"/>
        <v>57.092102722533305</v>
      </c>
      <c r="F621" s="113">
        <f t="shared" si="946"/>
        <v>85.467625899280577</v>
      </c>
      <c r="G621" s="113">
        <f t="shared" si="946"/>
        <v>81.44955925563174</v>
      </c>
      <c r="H621" s="113">
        <f t="shared" si="946"/>
        <v>82.814250504145193</v>
      </c>
      <c r="I621" s="113">
        <f t="shared" si="946"/>
        <v>63.737874541927141</v>
      </c>
      <c r="J621" s="113">
        <f t="shared" si="946"/>
        <v>68.898094449047221</v>
      </c>
      <c r="K621" s="113">
        <f t="shared" si="946"/>
        <v>93.224679860302672</v>
      </c>
      <c r="L621" s="113">
        <f t="shared" si="946"/>
        <v>91.689407095013649</v>
      </c>
      <c r="M621" s="113">
        <f t="shared" si="946"/>
        <v>70.282861896838597</v>
      </c>
      <c r="N621" s="113">
        <f t="shared" si="946"/>
        <v>76.39871382636656</v>
      </c>
      <c r="O621" s="113">
        <f t="shared" si="946"/>
        <v>106.20689655172414</v>
      </c>
      <c r="P621" s="113">
        <f t="shared" si="946"/>
        <v>74.681753889674681</v>
      </c>
      <c r="Q621" s="113">
        <f t="shared" si="946"/>
        <v>56.96012329031015</v>
      </c>
      <c r="R621" s="113">
        <f t="shared" si="946"/>
        <v>83.284927391086626</v>
      </c>
      <c r="S621" s="113">
        <f t="shared" ref="S621:BB621" si="949">S613</f>
        <v>81.44955925563174</v>
      </c>
      <c r="T621" s="113">
        <f t="shared" si="949"/>
        <v>66.310832025117733</v>
      </c>
      <c r="U621" s="113">
        <f t="shared" si="949"/>
        <v>63.737874541927141</v>
      </c>
      <c r="V621" s="113">
        <f t="shared" si="949"/>
        <v>69.242298084929232</v>
      </c>
      <c r="W621" s="113">
        <f t="shared" si="949"/>
        <v>94.657210401891248</v>
      </c>
      <c r="X621" s="113">
        <f t="shared" si="949"/>
        <v>91.689407095013649</v>
      </c>
      <c r="Y621" s="113">
        <f t="shared" si="949"/>
        <v>70.082958046930557</v>
      </c>
      <c r="Z621" s="113">
        <f t="shared" si="949"/>
        <v>59.972183588317108</v>
      </c>
      <c r="AA621" s="113">
        <f t="shared" si="949"/>
        <v>106.20689655172414</v>
      </c>
      <c r="AB621" s="113">
        <f t="shared" si="949"/>
        <v>74.591321897073669</v>
      </c>
      <c r="AC621" s="113">
        <f t="shared" si="949"/>
        <v>57.092102722533305</v>
      </c>
      <c r="AD621" s="113">
        <f t="shared" si="949"/>
        <v>85.204918032786878</v>
      </c>
      <c r="AE621" s="113">
        <f t="shared" si="949"/>
        <v>81.44955925563174</v>
      </c>
      <c r="AF621" s="113">
        <f t="shared" si="949"/>
        <v>82.814250504145193</v>
      </c>
      <c r="AG621" s="113">
        <f t="shared" si="949"/>
        <v>63.737874541927141</v>
      </c>
      <c r="AH621" s="113">
        <f t="shared" si="949"/>
        <v>69.242298084929232</v>
      </c>
      <c r="AI621" s="113">
        <f t="shared" si="949"/>
        <v>94.657210401891248</v>
      </c>
      <c r="AJ621" s="113">
        <f t="shared" si="949"/>
        <v>91.689407095013649</v>
      </c>
      <c r="AK621" s="113">
        <f t="shared" si="949"/>
        <v>70.082958046930557</v>
      </c>
      <c r="AL621" s="113">
        <f t="shared" si="949"/>
        <v>59.972183588317108</v>
      </c>
      <c r="AM621" s="113">
        <f t="shared" si="949"/>
        <v>106.20689655172414</v>
      </c>
      <c r="AN621" s="113">
        <f t="shared" si="949"/>
        <v>74.681753889674681</v>
      </c>
      <c r="AO621" s="113">
        <f t="shared" si="949"/>
        <v>56.96012329031015</v>
      </c>
      <c r="AP621" s="113">
        <f t="shared" si="949"/>
        <v>85.204918032786878</v>
      </c>
      <c r="AQ621" s="113">
        <f t="shared" si="949"/>
        <v>81.44955925563174</v>
      </c>
      <c r="AR621" s="113">
        <f t="shared" si="949"/>
        <v>82.814250504145193</v>
      </c>
      <c r="AS621" s="113">
        <f t="shared" si="949"/>
        <v>58.101788170563964</v>
      </c>
      <c r="AT621" s="113">
        <f t="shared" si="949"/>
        <v>66.210191082802552</v>
      </c>
      <c r="AU621" s="113">
        <f t="shared" si="949"/>
        <v>95.16339869281046</v>
      </c>
      <c r="AV621" s="113">
        <f t="shared" si="949"/>
        <v>72.060830571261448</v>
      </c>
      <c r="AW621" s="113">
        <f t="shared" si="949"/>
        <v>63.737874541927141</v>
      </c>
      <c r="AX621" s="113">
        <f t="shared" si="949"/>
        <v>68.898094449047221</v>
      </c>
      <c r="AY621" s="113">
        <f t="shared" si="949"/>
        <v>93.224679860302672</v>
      </c>
      <c r="AZ621" s="113">
        <f t="shared" si="949"/>
        <v>90.344659007577604</v>
      </c>
      <c r="BA621" s="113">
        <f t="shared" si="949"/>
        <v>70.082958046930557</v>
      </c>
      <c r="BB621" s="113">
        <f t="shared" si="949"/>
        <v>59.972183588317108</v>
      </c>
      <c r="BC621" s="19"/>
    </row>
    <row r="622" spans="2:56" x14ac:dyDescent="0.25">
      <c r="B622" s="113" t="str">
        <f t="shared" si="945"/>
        <v>Product E Average Total Labor Hours</v>
      </c>
      <c r="C622" s="113">
        <f t="shared" si="946"/>
        <v>40.106100795755971</v>
      </c>
      <c r="D622" s="113">
        <f t="shared" si="946"/>
        <v>95.321074964639323</v>
      </c>
      <c r="E622" s="113">
        <f t="shared" si="946"/>
        <v>70.067580614018155</v>
      </c>
      <c r="F622" s="113">
        <f t="shared" si="946"/>
        <v>74.589928057553962</v>
      </c>
      <c r="G622" s="113">
        <f t="shared" si="946"/>
        <v>44.42703232125367</v>
      </c>
      <c r="H622" s="113">
        <f t="shared" si="946"/>
        <v>89.439390544476822</v>
      </c>
      <c r="I622" s="113">
        <f t="shared" si="946"/>
        <v>78.223755119637858</v>
      </c>
      <c r="J622" s="113">
        <f t="shared" si="946"/>
        <v>60.129246064623032</v>
      </c>
      <c r="K622" s="113">
        <f t="shared" si="946"/>
        <v>35.203725261932476</v>
      </c>
      <c r="L622" s="113">
        <f t="shared" si="946"/>
        <v>63.015628876209377</v>
      </c>
      <c r="M622" s="113">
        <f t="shared" si="946"/>
        <v>51.753743760399345</v>
      </c>
      <c r="N622" s="113">
        <f t="shared" si="946"/>
        <v>66.675241157556272</v>
      </c>
      <c r="O622" s="113">
        <f t="shared" si="946"/>
        <v>40.106100795755971</v>
      </c>
      <c r="P622" s="113">
        <f t="shared" si="946"/>
        <v>95.321074964639323</v>
      </c>
      <c r="Q622" s="113">
        <f t="shared" si="946"/>
        <v>69.905605856289739</v>
      </c>
      <c r="R622" s="113">
        <f t="shared" si="946"/>
        <v>72.685027541311968</v>
      </c>
      <c r="S622" s="113">
        <f t="shared" ref="S622:BB622" si="950">S614</f>
        <v>44.42703232125367</v>
      </c>
      <c r="T622" s="113">
        <f t="shared" si="950"/>
        <v>105.79591836734694</v>
      </c>
      <c r="U622" s="113">
        <f t="shared" si="950"/>
        <v>78.223755119637858</v>
      </c>
      <c r="V622" s="113">
        <f t="shared" si="950"/>
        <v>60.429641965029141</v>
      </c>
      <c r="W622" s="113">
        <f t="shared" si="950"/>
        <v>35.744680851063826</v>
      </c>
      <c r="X622" s="113">
        <f t="shared" si="950"/>
        <v>63.015628876209377</v>
      </c>
      <c r="Y622" s="113">
        <f t="shared" si="950"/>
        <v>86.010903057596593</v>
      </c>
      <c r="Z622" s="113">
        <f t="shared" si="950"/>
        <v>67.293463143254513</v>
      </c>
      <c r="AA622" s="113">
        <f t="shared" si="950"/>
        <v>40.106100795755971</v>
      </c>
      <c r="AB622" s="113">
        <f t="shared" si="950"/>
        <v>95.205650857719476</v>
      </c>
      <c r="AC622" s="113">
        <f t="shared" si="950"/>
        <v>70.067580614018155</v>
      </c>
      <c r="AD622" s="113">
        <f t="shared" si="950"/>
        <v>74.360655737704917</v>
      </c>
      <c r="AE622" s="113">
        <f t="shared" si="950"/>
        <v>44.42703232125367</v>
      </c>
      <c r="AF622" s="113">
        <f t="shared" si="950"/>
        <v>89.439390544476822</v>
      </c>
      <c r="AG622" s="113">
        <f t="shared" si="950"/>
        <v>78.223755119637858</v>
      </c>
      <c r="AH622" s="113">
        <f t="shared" si="950"/>
        <v>60.429641965029141</v>
      </c>
      <c r="AI622" s="113">
        <f t="shared" si="950"/>
        <v>35.744680851063826</v>
      </c>
      <c r="AJ622" s="113">
        <f t="shared" si="950"/>
        <v>63.015628876209377</v>
      </c>
      <c r="AK622" s="113">
        <f t="shared" si="950"/>
        <v>86.010903057596593</v>
      </c>
      <c r="AL622" s="113">
        <f t="shared" si="950"/>
        <v>67.293463143254513</v>
      </c>
      <c r="AM622" s="113">
        <f t="shared" si="950"/>
        <v>40.106100795755971</v>
      </c>
      <c r="AN622" s="113">
        <f t="shared" si="950"/>
        <v>95.321074964639323</v>
      </c>
      <c r="AO622" s="113">
        <f t="shared" si="950"/>
        <v>69.905605856289739</v>
      </c>
      <c r="AP622" s="113">
        <f t="shared" si="950"/>
        <v>74.360655737704917</v>
      </c>
      <c r="AQ622" s="113">
        <f t="shared" si="950"/>
        <v>44.42703232125367</v>
      </c>
      <c r="AR622" s="113">
        <f t="shared" si="950"/>
        <v>89.439390544476822</v>
      </c>
      <c r="AS622" s="113">
        <f t="shared" si="950"/>
        <v>71.306740027510315</v>
      </c>
      <c r="AT622" s="113">
        <f t="shared" si="950"/>
        <v>57.783439490445858</v>
      </c>
      <c r="AU622" s="113">
        <f t="shared" si="950"/>
        <v>35.935828877005349</v>
      </c>
      <c r="AV622" s="113">
        <f t="shared" si="950"/>
        <v>91.975823747319168</v>
      </c>
      <c r="AW622" s="113">
        <f t="shared" si="950"/>
        <v>78.223755119637858</v>
      </c>
      <c r="AX622" s="113">
        <f t="shared" si="950"/>
        <v>60.129246064623032</v>
      </c>
      <c r="AY622" s="113">
        <f t="shared" si="950"/>
        <v>35.203725261932476</v>
      </c>
      <c r="AZ622" s="113">
        <f t="shared" si="950"/>
        <v>115.31263749694452</v>
      </c>
      <c r="BA622" s="113">
        <f t="shared" si="950"/>
        <v>86.010903057596593</v>
      </c>
      <c r="BB622" s="113">
        <f t="shared" si="950"/>
        <v>67.293463143254513</v>
      </c>
      <c r="BC622" s="19"/>
      <c r="BD622" s="119"/>
    </row>
    <row r="623" spans="2:56" x14ac:dyDescent="0.25">
      <c r="B623" s="113" t="str">
        <f t="shared" si="945"/>
        <v>Product F Average Total Labor Hours</v>
      </c>
      <c r="C623" s="113">
        <f t="shared" si="946"/>
        <v>0</v>
      </c>
      <c r="D623" s="113">
        <f t="shared" si="946"/>
        <v>35.643564356435647</v>
      </c>
      <c r="E623" s="113">
        <f t="shared" si="946"/>
        <v>88.557636609384048</v>
      </c>
      <c r="F623" s="113">
        <f t="shared" si="946"/>
        <v>0</v>
      </c>
      <c r="G623" s="113">
        <f t="shared" si="946"/>
        <v>0</v>
      </c>
      <c r="H623" s="113">
        <f t="shared" si="946"/>
        <v>39.524983195160203</v>
      </c>
      <c r="I623" s="113">
        <f t="shared" si="946"/>
        <v>98.866134942875618</v>
      </c>
      <c r="J623" s="113">
        <f t="shared" si="946"/>
        <v>73.073736536868267</v>
      </c>
      <c r="K623" s="113">
        <f t="shared" si="946"/>
        <v>41.071012805587891</v>
      </c>
      <c r="L623" s="113">
        <f t="shared" si="946"/>
        <v>43.760853386256514</v>
      </c>
      <c r="M623" s="113">
        <f t="shared" si="946"/>
        <v>109.01830282861897</v>
      </c>
      <c r="N623" s="113">
        <f t="shared" si="946"/>
        <v>81.028938906752416</v>
      </c>
      <c r="O623" s="113">
        <f t="shared" si="946"/>
        <v>0</v>
      </c>
      <c r="P623" s="113">
        <f t="shared" si="946"/>
        <v>35.643564356435647</v>
      </c>
      <c r="Q623" s="113">
        <f t="shared" si="946"/>
        <v>88.352918512810632</v>
      </c>
      <c r="R623" s="113">
        <f t="shared" si="946"/>
        <v>88.332498748122177</v>
      </c>
      <c r="S623" s="113">
        <f t="shared" ref="S623:BB623" si="951">S615</f>
        <v>0</v>
      </c>
      <c r="T623" s="113">
        <f t="shared" si="951"/>
        <v>39.560439560439562</v>
      </c>
      <c r="U623" s="113">
        <f t="shared" si="951"/>
        <v>98.866134942875618</v>
      </c>
      <c r="V623" s="113">
        <f t="shared" si="951"/>
        <v>73.438800999167356</v>
      </c>
      <c r="W623" s="113">
        <f t="shared" si="951"/>
        <v>0</v>
      </c>
      <c r="X623" s="113">
        <f t="shared" si="951"/>
        <v>43.760853386256514</v>
      </c>
      <c r="Y623" s="113">
        <f t="shared" si="951"/>
        <v>75.259540175397007</v>
      </c>
      <c r="Z623" s="113">
        <f t="shared" si="951"/>
        <v>81.780250347705149</v>
      </c>
      <c r="AA623" s="113">
        <f t="shared" si="951"/>
        <v>0</v>
      </c>
      <c r="AB623" s="113">
        <f t="shared" si="951"/>
        <v>35.600403632694245</v>
      </c>
      <c r="AC623" s="113">
        <f t="shared" si="951"/>
        <v>88.557636609384048</v>
      </c>
      <c r="AD623" s="113">
        <f t="shared" si="951"/>
        <v>36.147540983606561</v>
      </c>
      <c r="AE623" s="113">
        <f t="shared" si="951"/>
        <v>0</v>
      </c>
      <c r="AF623" s="113">
        <f t="shared" si="951"/>
        <v>39.524983195160203</v>
      </c>
      <c r="AG623" s="113">
        <f t="shared" si="951"/>
        <v>98.866134942875618</v>
      </c>
      <c r="AH623" s="113">
        <f t="shared" si="951"/>
        <v>73.438800999167356</v>
      </c>
      <c r="AI623" s="113">
        <f t="shared" si="951"/>
        <v>0</v>
      </c>
      <c r="AJ623" s="113">
        <f t="shared" si="951"/>
        <v>43.760853386256514</v>
      </c>
      <c r="AK623" s="113">
        <f t="shared" si="951"/>
        <v>75.259540175397007</v>
      </c>
      <c r="AL623" s="113">
        <f t="shared" si="951"/>
        <v>81.780250347705149</v>
      </c>
      <c r="AM623" s="113">
        <f t="shared" si="951"/>
        <v>0</v>
      </c>
      <c r="AN623" s="113">
        <f t="shared" si="951"/>
        <v>35.643564356435647</v>
      </c>
      <c r="AO623" s="113">
        <f t="shared" si="951"/>
        <v>88.352918512810632</v>
      </c>
      <c r="AP623" s="113">
        <f t="shared" si="951"/>
        <v>36.147540983606561</v>
      </c>
      <c r="AQ623" s="113">
        <f t="shared" si="951"/>
        <v>0</v>
      </c>
      <c r="AR623" s="113">
        <f t="shared" si="951"/>
        <v>39.524983195160203</v>
      </c>
      <c r="AS623" s="113">
        <f t="shared" si="951"/>
        <v>90.123796423658874</v>
      </c>
      <c r="AT623" s="113">
        <f t="shared" si="951"/>
        <v>70.222929936305732</v>
      </c>
      <c r="AU623" s="113">
        <f t="shared" si="951"/>
        <v>34.937611408199643</v>
      </c>
      <c r="AV623" s="113">
        <f t="shared" si="951"/>
        <v>34.392669136283878</v>
      </c>
      <c r="AW623" s="113">
        <f t="shared" si="951"/>
        <v>98.866134942875618</v>
      </c>
      <c r="AX623" s="113">
        <f t="shared" si="951"/>
        <v>73.073736536868267</v>
      </c>
      <c r="AY623" s="113">
        <f t="shared" si="951"/>
        <v>41.071012805587891</v>
      </c>
      <c r="AZ623" s="113">
        <f t="shared" si="951"/>
        <v>43.119041799071134</v>
      </c>
      <c r="BA623" s="113">
        <f t="shared" si="951"/>
        <v>75.259540175397007</v>
      </c>
      <c r="BB623" s="113">
        <f t="shared" si="951"/>
        <v>81.780250347705149</v>
      </c>
      <c r="BC623" s="19"/>
    </row>
    <row r="624" spans="2:56" x14ac:dyDescent="0.25">
      <c r="B624" s="113" t="str">
        <f t="shared" si="945"/>
        <v>Product G Average Total Labor Hours</v>
      </c>
      <c r="C624" s="113">
        <f t="shared" si="946"/>
        <v>0</v>
      </c>
      <c r="D624" s="113">
        <f t="shared" si="946"/>
        <v>18.330975954738332</v>
      </c>
      <c r="E624" s="113">
        <f t="shared" si="946"/>
        <v>35.033790307009077</v>
      </c>
      <c r="F624" s="113">
        <f t="shared" si="946"/>
        <v>85.467625899280577</v>
      </c>
      <c r="G624" s="113">
        <f t="shared" si="946"/>
        <v>0</v>
      </c>
      <c r="H624" s="113">
        <f t="shared" si="946"/>
        <v>0</v>
      </c>
      <c r="I624" s="113">
        <f t="shared" si="946"/>
        <v>32.593231299849108</v>
      </c>
      <c r="J624" s="113">
        <f t="shared" si="946"/>
        <v>81.42502071251036</v>
      </c>
      <c r="K624" s="113">
        <f t="shared" si="946"/>
        <v>0</v>
      </c>
      <c r="L624" s="113">
        <f t="shared" si="946"/>
        <v>0</v>
      </c>
      <c r="M624" s="113">
        <f t="shared" si="946"/>
        <v>35.940099833610645</v>
      </c>
      <c r="N624" s="113">
        <f t="shared" si="946"/>
        <v>76.39871382636656</v>
      </c>
      <c r="O624" s="113">
        <f t="shared" si="946"/>
        <v>0</v>
      </c>
      <c r="P624" s="113">
        <f t="shared" si="946"/>
        <v>0</v>
      </c>
      <c r="Q624" s="113">
        <f t="shared" si="946"/>
        <v>29.127335773454057</v>
      </c>
      <c r="R624" s="113">
        <f t="shared" si="946"/>
        <v>52.999499248873313</v>
      </c>
      <c r="S624" s="113">
        <f t="shared" ref="S624:BB624" si="952">S616</f>
        <v>0</v>
      </c>
      <c r="T624" s="113">
        <f t="shared" si="952"/>
        <v>0</v>
      </c>
      <c r="U624" s="113">
        <f t="shared" si="952"/>
        <v>32.593231299849108</v>
      </c>
      <c r="V624" s="113">
        <f t="shared" si="952"/>
        <v>81.831806827643632</v>
      </c>
      <c r="W624" s="113">
        <f t="shared" si="952"/>
        <v>0</v>
      </c>
      <c r="X624" s="113">
        <f t="shared" si="952"/>
        <v>0</v>
      </c>
      <c r="Y624" s="113">
        <f t="shared" si="952"/>
        <v>35.837876273998575</v>
      </c>
      <c r="Z624" s="113">
        <f t="shared" si="952"/>
        <v>91.126564673157162</v>
      </c>
      <c r="AA624" s="113">
        <f t="shared" si="952"/>
        <v>0</v>
      </c>
      <c r="AB624" s="113">
        <f t="shared" si="952"/>
        <v>0</v>
      </c>
      <c r="AC624" s="113">
        <f t="shared" si="952"/>
        <v>29.194825255840897</v>
      </c>
      <c r="AD624" s="113">
        <f t="shared" si="952"/>
        <v>100.69672131147541</v>
      </c>
      <c r="AE624" s="113">
        <f t="shared" si="952"/>
        <v>0</v>
      </c>
      <c r="AF624" s="113">
        <f t="shared" si="952"/>
        <v>0</v>
      </c>
      <c r="AG624" s="113">
        <f t="shared" si="952"/>
        <v>32.593231299849108</v>
      </c>
      <c r="AH624" s="113">
        <f t="shared" si="952"/>
        <v>81.831806827643632</v>
      </c>
      <c r="AI624" s="113">
        <f t="shared" si="952"/>
        <v>0</v>
      </c>
      <c r="AJ624" s="113">
        <f t="shared" si="952"/>
        <v>0</v>
      </c>
      <c r="AK624" s="113">
        <f t="shared" si="952"/>
        <v>35.837876273998575</v>
      </c>
      <c r="AL624" s="113">
        <f t="shared" si="952"/>
        <v>91.126564673157162</v>
      </c>
      <c r="AM624" s="113">
        <f t="shared" si="952"/>
        <v>0</v>
      </c>
      <c r="AN624" s="113">
        <f t="shared" si="952"/>
        <v>0</v>
      </c>
      <c r="AO624" s="113">
        <f t="shared" si="952"/>
        <v>29.127335773454057</v>
      </c>
      <c r="AP624" s="113">
        <f t="shared" si="952"/>
        <v>100.69672131147541</v>
      </c>
      <c r="AQ624" s="113">
        <f t="shared" si="952"/>
        <v>0</v>
      </c>
      <c r="AR624" s="113">
        <f t="shared" si="952"/>
        <v>0</v>
      </c>
      <c r="AS624" s="113">
        <f t="shared" si="952"/>
        <v>29.711141678129298</v>
      </c>
      <c r="AT624" s="113">
        <f t="shared" si="952"/>
        <v>78.248407643312106</v>
      </c>
      <c r="AU624" s="113">
        <f t="shared" si="952"/>
        <v>0</v>
      </c>
      <c r="AV624" s="113">
        <f t="shared" si="952"/>
        <v>0</v>
      </c>
      <c r="AW624" s="113">
        <f t="shared" si="952"/>
        <v>32.593231299849108</v>
      </c>
      <c r="AX624" s="113">
        <f t="shared" si="952"/>
        <v>81.42502071251036</v>
      </c>
      <c r="AY624" s="113">
        <f t="shared" si="952"/>
        <v>0</v>
      </c>
      <c r="AZ624" s="113">
        <f t="shared" si="952"/>
        <v>0</v>
      </c>
      <c r="BA624" s="113">
        <f t="shared" si="952"/>
        <v>35.837876273998575</v>
      </c>
      <c r="BB624" s="113">
        <f t="shared" si="952"/>
        <v>91.126564673157162</v>
      </c>
      <c r="BC624" s="19"/>
    </row>
    <row r="625" spans="2:55" x14ac:dyDescent="0.25">
      <c r="B625" s="113" t="str">
        <f t="shared" si="945"/>
        <v>Product H Average Total Labor Hours</v>
      </c>
      <c r="C625" s="113">
        <f t="shared" si="946"/>
        <v>0</v>
      </c>
      <c r="D625" s="113">
        <f t="shared" si="946"/>
        <v>0</v>
      </c>
      <c r="E625" s="113">
        <f t="shared" si="946"/>
        <v>0</v>
      </c>
      <c r="F625" s="113">
        <f t="shared" si="946"/>
        <v>39.71223021582734</v>
      </c>
      <c r="G625" s="113">
        <f t="shared" si="946"/>
        <v>0</v>
      </c>
      <c r="H625" s="113">
        <f t="shared" si="946"/>
        <v>0</v>
      </c>
      <c r="I625" s="113">
        <f t="shared" si="946"/>
        <v>0</v>
      </c>
      <c r="J625" s="113">
        <f t="shared" si="946"/>
        <v>32.013256006628005</v>
      </c>
      <c r="K625" s="113">
        <f t="shared" si="946"/>
        <v>0</v>
      </c>
      <c r="L625" s="113">
        <f t="shared" si="946"/>
        <v>0</v>
      </c>
      <c r="M625" s="113">
        <f t="shared" si="946"/>
        <v>0</v>
      </c>
      <c r="N625" s="113">
        <f t="shared" si="946"/>
        <v>35.4983922829582</v>
      </c>
      <c r="O625" s="113">
        <f t="shared" si="946"/>
        <v>0</v>
      </c>
      <c r="P625" s="113">
        <f t="shared" si="946"/>
        <v>0</v>
      </c>
      <c r="Q625" s="113">
        <f t="shared" si="946"/>
        <v>35.729531882103636</v>
      </c>
      <c r="R625" s="113">
        <f t="shared" si="946"/>
        <v>38.698047070605909</v>
      </c>
      <c r="S625" s="113">
        <f t="shared" ref="S625:BB625" si="953">S617</f>
        <v>0</v>
      </c>
      <c r="T625" s="113">
        <f t="shared" si="953"/>
        <v>0</v>
      </c>
      <c r="U625" s="113">
        <f t="shared" si="953"/>
        <v>0</v>
      </c>
      <c r="V625" s="113">
        <f t="shared" si="953"/>
        <v>32.173189009159032</v>
      </c>
      <c r="W625" s="113">
        <f t="shared" si="953"/>
        <v>36.539007092198574</v>
      </c>
      <c r="X625" s="113">
        <f t="shared" si="953"/>
        <v>0</v>
      </c>
      <c r="Y625" s="113">
        <f t="shared" si="953"/>
        <v>0</v>
      </c>
      <c r="Z625" s="113">
        <f t="shared" si="953"/>
        <v>35.827538247566061</v>
      </c>
      <c r="AA625" s="113">
        <f t="shared" si="953"/>
        <v>0</v>
      </c>
      <c r="AB625" s="113">
        <f t="shared" si="953"/>
        <v>18.715640766902116</v>
      </c>
      <c r="AC625" s="113">
        <f t="shared" si="953"/>
        <v>0</v>
      </c>
      <c r="AD625" s="113">
        <f t="shared" si="953"/>
        <v>39.590163934426229</v>
      </c>
      <c r="AE625" s="113">
        <f t="shared" si="953"/>
        <v>0</v>
      </c>
      <c r="AF625" s="113">
        <f t="shared" si="953"/>
        <v>0</v>
      </c>
      <c r="AG625" s="113">
        <f t="shared" si="953"/>
        <v>0</v>
      </c>
      <c r="AH625" s="113">
        <f t="shared" si="953"/>
        <v>32.173189009159032</v>
      </c>
      <c r="AI625" s="113">
        <f t="shared" si="953"/>
        <v>36.539007092198574</v>
      </c>
      <c r="AJ625" s="113">
        <f t="shared" si="953"/>
        <v>0</v>
      </c>
      <c r="AK625" s="113">
        <f t="shared" si="953"/>
        <v>0</v>
      </c>
      <c r="AL625" s="113">
        <f t="shared" si="953"/>
        <v>35.827538247566061</v>
      </c>
      <c r="AM625" s="113">
        <f t="shared" si="953"/>
        <v>0</v>
      </c>
      <c r="AN625" s="113">
        <f t="shared" si="953"/>
        <v>0</v>
      </c>
      <c r="AO625" s="113">
        <f t="shared" si="953"/>
        <v>35.729531882103636</v>
      </c>
      <c r="AP625" s="113">
        <f t="shared" si="953"/>
        <v>39.590163934426229</v>
      </c>
      <c r="AQ625" s="113">
        <f t="shared" si="953"/>
        <v>0</v>
      </c>
      <c r="AR625" s="113">
        <f t="shared" si="953"/>
        <v>0</v>
      </c>
      <c r="AS625" s="113">
        <f t="shared" si="953"/>
        <v>0</v>
      </c>
      <c r="AT625" s="113">
        <f t="shared" si="953"/>
        <v>30.764331210191084</v>
      </c>
      <c r="AU625" s="113">
        <f t="shared" si="953"/>
        <v>0</v>
      </c>
      <c r="AV625" s="113">
        <f t="shared" si="953"/>
        <v>0</v>
      </c>
      <c r="AW625" s="113">
        <f t="shared" si="953"/>
        <v>0</v>
      </c>
      <c r="AX625" s="113">
        <f t="shared" si="953"/>
        <v>32.013256006628005</v>
      </c>
      <c r="AY625" s="113">
        <f t="shared" si="953"/>
        <v>0</v>
      </c>
      <c r="AZ625" s="113">
        <f t="shared" si="953"/>
        <v>0</v>
      </c>
      <c r="BA625" s="113">
        <f t="shared" si="953"/>
        <v>0</v>
      </c>
      <c r="BB625" s="113">
        <f t="shared" si="953"/>
        <v>35.827538247566061</v>
      </c>
      <c r="BC625" s="19"/>
    </row>
    <row r="626" spans="2:55" x14ac:dyDescent="0.25">
      <c r="B626" s="43" t="str">
        <f>_xlfn.CONCAT(B457," ","Labor Cost / Unit (RM)")</f>
        <v>Product A Labor Cost / Unit (RM)</v>
      </c>
      <c r="C626" s="43">
        <f t="shared" ref="C626:AH626" si="954">IF(C763&gt;0,C618*$AB$4/C763,0)</f>
        <v>8.0212201591511934E-2</v>
      </c>
      <c r="D626" s="43">
        <f t="shared" si="954"/>
        <v>0</v>
      </c>
      <c r="E626" s="43">
        <f t="shared" si="954"/>
        <v>7.0067580614018146E-2</v>
      </c>
      <c r="F626" s="43">
        <f t="shared" si="954"/>
        <v>0</v>
      </c>
      <c r="G626" s="43">
        <f t="shared" si="954"/>
        <v>8.8854064642507363E-2</v>
      </c>
      <c r="H626" s="43">
        <f t="shared" si="954"/>
        <v>0</v>
      </c>
      <c r="I626" s="43">
        <f t="shared" si="954"/>
        <v>0</v>
      </c>
      <c r="J626" s="43">
        <f t="shared" si="954"/>
        <v>0</v>
      </c>
      <c r="K626" s="43">
        <f t="shared" si="954"/>
        <v>7.0407450523864962E-2</v>
      </c>
      <c r="L626" s="43">
        <f t="shared" si="954"/>
        <v>0</v>
      </c>
      <c r="M626" s="43">
        <f t="shared" si="954"/>
        <v>0</v>
      </c>
      <c r="N626" s="43">
        <f t="shared" si="954"/>
        <v>0</v>
      </c>
      <c r="O626" s="43">
        <f t="shared" si="954"/>
        <v>8.0212201591511934E-2</v>
      </c>
      <c r="P626" s="43">
        <f t="shared" si="954"/>
        <v>7.3323903818953318E-2</v>
      </c>
      <c r="Q626" s="43">
        <f t="shared" si="954"/>
        <v>0</v>
      </c>
      <c r="R626" s="43">
        <f t="shared" si="954"/>
        <v>0</v>
      </c>
      <c r="S626" s="43">
        <f t="shared" si="954"/>
        <v>8.8854064642507363E-2</v>
      </c>
      <c r="T626" s="43">
        <f t="shared" si="954"/>
        <v>0</v>
      </c>
      <c r="U626" s="43">
        <f t="shared" si="954"/>
        <v>0</v>
      </c>
      <c r="V626" s="43">
        <f t="shared" si="954"/>
        <v>7.5537052456286433E-2</v>
      </c>
      <c r="W626" s="43">
        <f t="shared" si="954"/>
        <v>7.1489361702127649E-2</v>
      </c>
      <c r="X626" s="43">
        <f t="shared" si="954"/>
        <v>0</v>
      </c>
      <c r="Y626" s="43">
        <f t="shared" si="954"/>
        <v>0</v>
      </c>
      <c r="Z626" s="43">
        <f t="shared" si="954"/>
        <v>0</v>
      </c>
      <c r="AA626" s="43">
        <f t="shared" si="954"/>
        <v>8.0212201591511934E-2</v>
      </c>
      <c r="AB626" s="43">
        <f t="shared" si="954"/>
        <v>0</v>
      </c>
      <c r="AC626" s="43">
        <f t="shared" si="954"/>
        <v>7.006758061401816E-2</v>
      </c>
      <c r="AD626" s="43">
        <f t="shared" si="954"/>
        <v>0</v>
      </c>
      <c r="AE626" s="43">
        <f t="shared" si="954"/>
        <v>8.8854064642507363E-2</v>
      </c>
      <c r="AF626" s="43">
        <f t="shared" si="954"/>
        <v>0</v>
      </c>
      <c r="AG626" s="43">
        <f t="shared" si="954"/>
        <v>0</v>
      </c>
      <c r="AH626" s="43">
        <f t="shared" si="954"/>
        <v>7.5537052456286433E-2</v>
      </c>
      <c r="AI626" s="43">
        <f t="shared" ref="AI626:BB626" si="955">IF(AI763&gt;0,AI618*$AB$4/AI763,0)</f>
        <v>7.1489361702127649E-2</v>
      </c>
      <c r="AJ626" s="43">
        <f t="shared" si="955"/>
        <v>0</v>
      </c>
      <c r="AK626" s="43">
        <f t="shared" si="955"/>
        <v>0</v>
      </c>
      <c r="AL626" s="43">
        <f t="shared" si="955"/>
        <v>0</v>
      </c>
      <c r="AM626" s="43">
        <f t="shared" si="955"/>
        <v>8.0212201591511934E-2</v>
      </c>
      <c r="AN626" s="43">
        <f t="shared" si="955"/>
        <v>7.3323903818953318E-2</v>
      </c>
      <c r="AO626" s="43">
        <f t="shared" si="955"/>
        <v>0</v>
      </c>
      <c r="AP626" s="43">
        <f t="shared" si="955"/>
        <v>0</v>
      </c>
      <c r="AQ626" s="43">
        <f t="shared" si="955"/>
        <v>8.8854064642507363E-2</v>
      </c>
      <c r="AR626" s="43">
        <f t="shared" si="955"/>
        <v>0</v>
      </c>
      <c r="AS626" s="43">
        <f t="shared" si="955"/>
        <v>7.1306740027510321E-2</v>
      </c>
      <c r="AT626" s="43">
        <f t="shared" si="955"/>
        <v>0</v>
      </c>
      <c r="AU626" s="43">
        <f t="shared" si="955"/>
        <v>7.1871657754010693E-2</v>
      </c>
      <c r="AV626" s="43">
        <f t="shared" si="955"/>
        <v>7.0750633651783967E-2</v>
      </c>
      <c r="AW626" s="43">
        <f t="shared" si="955"/>
        <v>0</v>
      </c>
      <c r="AX626" s="43">
        <f t="shared" si="955"/>
        <v>0</v>
      </c>
      <c r="AY626" s="43">
        <f t="shared" si="955"/>
        <v>7.0407450523864962E-2</v>
      </c>
      <c r="AZ626" s="43">
        <f t="shared" si="955"/>
        <v>0</v>
      </c>
      <c r="BA626" s="43">
        <f t="shared" si="955"/>
        <v>0</v>
      </c>
      <c r="BB626" s="43">
        <f t="shared" si="955"/>
        <v>0</v>
      </c>
      <c r="BC626" s="19"/>
    </row>
    <row r="627" spans="2:55" x14ac:dyDescent="0.25">
      <c r="B627" s="43" t="str">
        <f t="shared" ref="B627:B633" si="956">_xlfn.CONCAT(B458," ","Labor Cost / Unit (RM)")</f>
        <v>Product B Labor Cost / Unit (RM)</v>
      </c>
      <c r="C627" s="43">
        <f t="shared" ref="C627:AH627" si="957">IF(C764&gt;0,C619*$AB$4/C764,0)</f>
        <v>8.7342175066313005E-2</v>
      </c>
      <c r="D627" s="43">
        <f t="shared" si="957"/>
        <v>7.9841584158415843E-2</v>
      </c>
      <c r="E627" s="43">
        <f t="shared" si="957"/>
        <v>0</v>
      </c>
      <c r="F627" s="43">
        <f t="shared" si="957"/>
        <v>0.10152517985611513</v>
      </c>
      <c r="G627" s="43">
        <f t="shared" si="957"/>
        <v>9.6752203721841346E-2</v>
      </c>
      <c r="H627" s="43">
        <f t="shared" si="957"/>
        <v>8.8535962357158854E-2</v>
      </c>
      <c r="I627" s="43">
        <f t="shared" si="957"/>
        <v>0</v>
      </c>
      <c r="J627" s="43">
        <f t="shared" si="957"/>
        <v>8.1842584921292469E-2</v>
      </c>
      <c r="K627" s="43">
        <f t="shared" si="957"/>
        <v>7.6665890570430731E-2</v>
      </c>
      <c r="L627" s="43">
        <f t="shared" si="957"/>
        <v>9.8024311585214588E-2</v>
      </c>
      <c r="M627" s="43">
        <f t="shared" si="957"/>
        <v>0</v>
      </c>
      <c r="N627" s="43">
        <f t="shared" si="957"/>
        <v>0</v>
      </c>
      <c r="O627" s="43">
        <f t="shared" si="957"/>
        <v>8.7342175066313005E-2</v>
      </c>
      <c r="P627" s="43">
        <f t="shared" si="957"/>
        <v>7.9841584158415843E-2</v>
      </c>
      <c r="Q627" s="43">
        <f t="shared" si="957"/>
        <v>0</v>
      </c>
      <c r="R627" s="43">
        <f t="shared" si="957"/>
        <v>0</v>
      </c>
      <c r="S627" s="43">
        <f t="shared" si="957"/>
        <v>9.6752203721841346E-2</v>
      </c>
      <c r="T627" s="43">
        <f t="shared" si="957"/>
        <v>8.8615384615384624E-2</v>
      </c>
      <c r="U627" s="43">
        <f t="shared" si="957"/>
        <v>0</v>
      </c>
      <c r="V627" s="43">
        <f t="shared" si="957"/>
        <v>0</v>
      </c>
      <c r="W627" s="43">
        <f t="shared" si="957"/>
        <v>7.7843971631205683E-2</v>
      </c>
      <c r="X627" s="43">
        <f t="shared" si="957"/>
        <v>9.8024311585214588E-2</v>
      </c>
      <c r="Y627" s="43">
        <f t="shared" si="957"/>
        <v>0</v>
      </c>
      <c r="Z627" s="43">
        <f t="shared" si="957"/>
        <v>0</v>
      </c>
      <c r="AA627" s="43">
        <f t="shared" si="957"/>
        <v>8.7342175066313005E-2</v>
      </c>
      <c r="AB627" s="43">
        <f t="shared" si="957"/>
        <v>7.9744904137235118E-2</v>
      </c>
      <c r="AC627" s="43">
        <f t="shared" si="957"/>
        <v>0</v>
      </c>
      <c r="AD627" s="43">
        <f t="shared" si="957"/>
        <v>0</v>
      </c>
      <c r="AE627" s="43">
        <f t="shared" si="957"/>
        <v>9.6752203721841346E-2</v>
      </c>
      <c r="AF627" s="43">
        <f t="shared" si="957"/>
        <v>8.8535962357158854E-2</v>
      </c>
      <c r="AG627" s="43">
        <f t="shared" si="957"/>
        <v>0</v>
      </c>
      <c r="AH627" s="43">
        <f t="shared" si="957"/>
        <v>0</v>
      </c>
      <c r="AI627" s="43">
        <f t="shared" ref="AI627:BB627" si="958">IF(AI764&gt;0,AI619*$AB$4/AI764,0)</f>
        <v>7.7843971631205683E-2</v>
      </c>
      <c r="AJ627" s="43">
        <f t="shared" si="958"/>
        <v>9.8024311585214588E-2</v>
      </c>
      <c r="AK627" s="43">
        <f t="shared" si="958"/>
        <v>0</v>
      </c>
      <c r="AL627" s="43">
        <f t="shared" si="958"/>
        <v>0</v>
      </c>
      <c r="AM627" s="43">
        <f t="shared" si="958"/>
        <v>8.7342175066313005E-2</v>
      </c>
      <c r="AN627" s="43">
        <f t="shared" si="958"/>
        <v>7.9841584158415843E-2</v>
      </c>
      <c r="AO627" s="43">
        <f t="shared" si="958"/>
        <v>0</v>
      </c>
      <c r="AP627" s="43">
        <f t="shared" si="958"/>
        <v>0</v>
      </c>
      <c r="AQ627" s="43">
        <f t="shared" si="958"/>
        <v>9.6752203721841346E-2</v>
      </c>
      <c r="AR627" s="43">
        <f t="shared" si="958"/>
        <v>8.8535962357158854E-2</v>
      </c>
      <c r="AS627" s="43">
        <f t="shared" si="958"/>
        <v>0</v>
      </c>
      <c r="AT627" s="43">
        <f t="shared" si="958"/>
        <v>7.8649681528662432E-2</v>
      </c>
      <c r="AU627" s="43">
        <f t="shared" si="958"/>
        <v>7.8260249554367209E-2</v>
      </c>
      <c r="AV627" s="43">
        <f t="shared" si="958"/>
        <v>7.703957886527589E-2</v>
      </c>
      <c r="AW627" s="43">
        <f t="shared" si="958"/>
        <v>0</v>
      </c>
      <c r="AX627" s="43">
        <f t="shared" si="958"/>
        <v>8.1842584921292469E-2</v>
      </c>
      <c r="AY627" s="43">
        <f t="shared" si="958"/>
        <v>7.6665890570430731E-2</v>
      </c>
      <c r="AZ627" s="43">
        <f t="shared" si="958"/>
        <v>9.6586653629919361E-2</v>
      </c>
      <c r="BA627" s="43">
        <f t="shared" si="958"/>
        <v>0</v>
      </c>
      <c r="BB627" s="43">
        <f t="shared" si="958"/>
        <v>0</v>
      </c>
      <c r="BC627" s="19"/>
    </row>
    <row r="628" spans="2:55" x14ac:dyDescent="0.25">
      <c r="B628" s="43" t="str">
        <f t="shared" si="956"/>
        <v>Product C Labor Cost / Unit (RM)</v>
      </c>
      <c r="C628" s="43">
        <f t="shared" ref="C628:AH628" si="959">IF(C765&gt;0,C620*$AB$4/C765,0)</f>
        <v>8.5559681697612716E-2</v>
      </c>
      <c r="D628" s="43">
        <f t="shared" si="959"/>
        <v>7.8212164073550208E-2</v>
      </c>
      <c r="E628" s="43">
        <f t="shared" si="959"/>
        <v>7.4738752654952695E-2</v>
      </c>
      <c r="F628" s="43">
        <f t="shared" si="959"/>
        <v>0</v>
      </c>
      <c r="G628" s="43">
        <f t="shared" si="959"/>
        <v>9.4777668952007843E-2</v>
      </c>
      <c r="H628" s="43">
        <f t="shared" si="959"/>
        <v>8.6729105982522967E-2</v>
      </c>
      <c r="I628" s="43">
        <f t="shared" si="959"/>
        <v>8.3438672127613717E-2</v>
      </c>
      <c r="J628" s="43">
        <f t="shared" si="959"/>
        <v>0</v>
      </c>
      <c r="K628" s="43">
        <f t="shared" si="959"/>
        <v>7.5101280558789285E-2</v>
      </c>
      <c r="L628" s="43">
        <f t="shared" si="959"/>
        <v>9.6023815430414286E-2</v>
      </c>
      <c r="M628" s="43">
        <f t="shared" si="959"/>
        <v>9.200665557404325E-2</v>
      </c>
      <c r="N628" s="43">
        <f t="shared" si="959"/>
        <v>0</v>
      </c>
      <c r="O628" s="43">
        <f t="shared" si="959"/>
        <v>8.5559681697612716E-2</v>
      </c>
      <c r="P628" s="43">
        <f t="shared" si="959"/>
        <v>7.8212164073550208E-2</v>
      </c>
      <c r="Q628" s="43">
        <f t="shared" si="959"/>
        <v>7.456597958004238E-2</v>
      </c>
      <c r="R628" s="43">
        <f t="shared" si="959"/>
        <v>0</v>
      </c>
      <c r="S628" s="43">
        <f t="shared" si="959"/>
        <v>9.4777668952007843E-2</v>
      </c>
      <c r="T628" s="43">
        <f t="shared" si="959"/>
        <v>8.6806907378335948E-2</v>
      </c>
      <c r="U628" s="43">
        <f t="shared" si="959"/>
        <v>8.3438672127613717E-2</v>
      </c>
      <c r="V628" s="43">
        <f t="shared" si="959"/>
        <v>0</v>
      </c>
      <c r="W628" s="43">
        <f t="shared" si="959"/>
        <v>7.6255319148936171E-2</v>
      </c>
      <c r="X628" s="43">
        <f t="shared" si="959"/>
        <v>9.6023815430414286E-2</v>
      </c>
      <c r="Y628" s="43">
        <f t="shared" si="959"/>
        <v>9.1744963261436357E-2</v>
      </c>
      <c r="Z628" s="43">
        <f t="shared" si="959"/>
        <v>0</v>
      </c>
      <c r="AA628" s="43">
        <f t="shared" si="959"/>
        <v>8.5559681697612716E-2</v>
      </c>
      <c r="AB628" s="43">
        <f t="shared" si="959"/>
        <v>7.8117457114026234E-2</v>
      </c>
      <c r="AC628" s="43">
        <f t="shared" si="959"/>
        <v>7.4738752654952695E-2</v>
      </c>
      <c r="AD628" s="43">
        <f t="shared" si="959"/>
        <v>0</v>
      </c>
      <c r="AE628" s="43">
        <f t="shared" si="959"/>
        <v>9.4777668952007843E-2</v>
      </c>
      <c r="AF628" s="43">
        <f t="shared" si="959"/>
        <v>8.6729105982522967E-2</v>
      </c>
      <c r="AG628" s="43">
        <f t="shared" si="959"/>
        <v>8.3438672127613717E-2</v>
      </c>
      <c r="AH628" s="43">
        <f t="shared" si="959"/>
        <v>0</v>
      </c>
      <c r="AI628" s="43">
        <f t="shared" ref="AI628:BB628" si="960">IF(AI765&gt;0,AI620*$AB$4/AI765,0)</f>
        <v>7.6255319148936171E-2</v>
      </c>
      <c r="AJ628" s="43">
        <f t="shared" si="960"/>
        <v>9.6023815430414286E-2</v>
      </c>
      <c r="AK628" s="43">
        <f t="shared" si="960"/>
        <v>9.1744963261436357E-2</v>
      </c>
      <c r="AL628" s="43">
        <f t="shared" si="960"/>
        <v>0</v>
      </c>
      <c r="AM628" s="43">
        <f t="shared" si="960"/>
        <v>8.5559681697612716E-2</v>
      </c>
      <c r="AN628" s="43">
        <f t="shared" si="960"/>
        <v>7.8212164073550208E-2</v>
      </c>
      <c r="AO628" s="43">
        <f t="shared" si="960"/>
        <v>7.456597958004238E-2</v>
      </c>
      <c r="AP628" s="43">
        <f t="shared" si="960"/>
        <v>0</v>
      </c>
      <c r="AQ628" s="43">
        <f t="shared" si="960"/>
        <v>9.4777668952007843E-2</v>
      </c>
      <c r="AR628" s="43">
        <f t="shared" si="960"/>
        <v>8.6729105982522967E-2</v>
      </c>
      <c r="AS628" s="43">
        <f t="shared" si="960"/>
        <v>7.6060522696011004E-2</v>
      </c>
      <c r="AT628" s="43">
        <f t="shared" si="960"/>
        <v>0</v>
      </c>
      <c r="AU628" s="43">
        <f t="shared" si="960"/>
        <v>7.6663101604278069E-2</v>
      </c>
      <c r="AV628" s="43">
        <f t="shared" si="960"/>
        <v>7.5467342561902906E-2</v>
      </c>
      <c r="AW628" s="43">
        <f t="shared" si="960"/>
        <v>8.3438672127613717E-2</v>
      </c>
      <c r="AX628" s="43">
        <f t="shared" si="960"/>
        <v>0</v>
      </c>
      <c r="AY628" s="43">
        <f t="shared" si="960"/>
        <v>7.5101280558789285E-2</v>
      </c>
      <c r="AZ628" s="43">
        <f t="shared" si="960"/>
        <v>9.4615497433390372E-2</v>
      </c>
      <c r="BA628" s="43">
        <f t="shared" si="960"/>
        <v>9.1744963261436357E-2</v>
      </c>
      <c r="BB628" s="43">
        <f t="shared" si="960"/>
        <v>0</v>
      </c>
      <c r="BC628" s="19"/>
    </row>
    <row r="629" spans="2:55" x14ac:dyDescent="0.25">
      <c r="B629" s="43" t="str">
        <f t="shared" si="956"/>
        <v>Product D Labor Cost / Unit (RM)</v>
      </c>
      <c r="C629" s="43">
        <f t="shared" ref="C629:AH629" si="961">IF(C766&gt;0,C621*$AB$4/C766,0)</f>
        <v>9.8037135278514598E-2</v>
      </c>
      <c r="D629" s="43">
        <f t="shared" si="961"/>
        <v>8.9618104667609624E-2</v>
      </c>
      <c r="E629" s="43">
        <f t="shared" si="961"/>
        <v>8.5638154083799961E-2</v>
      </c>
      <c r="F629" s="43">
        <f t="shared" si="961"/>
        <v>0.11395683453237411</v>
      </c>
      <c r="G629" s="43">
        <f t="shared" si="961"/>
        <v>0.10859941234084232</v>
      </c>
      <c r="H629" s="43">
        <f t="shared" si="961"/>
        <v>9.9377100604974219E-2</v>
      </c>
      <c r="I629" s="43">
        <f t="shared" si="961"/>
        <v>9.5606811812890713E-2</v>
      </c>
      <c r="J629" s="43">
        <f t="shared" si="961"/>
        <v>9.1864125932062959E-2</v>
      </c>
      <c r="K629" s="43">
        <f t="shared" si="961"/>
        <v>8.6053550640279391E-2</v>
      </c>
      <c r="L629" s="43">
        <f t="shared" si="961"/>
        <v>0.11002728851401639</v>
      </c>
      <c r="M629" s="43">
        <f t="shared" si="961"/>
        <v>0.10542429284525789</v>
      </c>
      <c r="N629" s="43">
        <f t="shared" si="961"/>
        <v>0.10186495176848874</v>
      </c>
      <c r="O629" s="43">
        <f t="shared" si="961"/>
        <v>9.8037135278514598E-2</v>
      </c>
      <c r="P629" s="43">
        <f t="shared" si="961"/>
        <v>8.9618104667609624E-2</v>
      </c>
      <c r="Q629" s="43">
        <f t="shared" si="961"/>
        <v>8.5440184935465222E-2</v>
      </c>
      <c r="R629" s="43">
        <f t="shared" si="961"/>
        <v>0.11104656985478217</v>
      </c>
      <c r="S629" s="43">
        <f t="shared" si="961"/>
        <v>0.10859941234084232</v>
      </c>
      <c r="T629" s="43">
        <f t="shared" si="961"/>
        <v>9.9466248037676591E-2</v>
      </c>
      <c r="U629" s="43">
        <f t="shared" si="961"/>
        <v>9.5606811812890713E-2</v>
      </c>
      <c r="V629" s="43">
        <f t="shared" si="961"/>
        <v>9.232306411323897E-2</v>
      </c>
      <c r="W629" s="43">
        <f t="shared" si="961"/>
        <v>8.7375886524822699E-2</v>
      </c>
      <c r="X629" s="43">
        <f t="shared" si="961"/>
        <v>0.11002728851401639</v>
      </c>
      <c r="Y629" s="43">
        <f t="shared" si="961"/>
        <v>0.10512443707039583</v>
      </c>
      <c r="Z629" s="43">
        <f t="shared" si="961"/>
        <v>0.10280945757997219</v>
      </c>
      <c r="AA629" s="43">
        <f t="shared" si="961"/>
        <v>9.8037135278514598E-2</v>
      </c>
      <c r="AB629" s="43">
        <f t="shared" si="961"/>
        <v>8.9509586276488404E-2</v>
      </c>
      <c r="AC629" s="43">
        <f t="shared" si="961"/>
        <v>8.5638154083799961E-2</v>
      </c>
      <c r="AD629" s="43">
        <f t="shared" si="961"/>
        <v>0.11360655737704917</v>
      </c>
      <c r="AE629" s="43">
        <f t="shared" si="961"/>
        <v>0.10859941234084232</v>
      </c>
      <c r="AF629" s="43">
        <f t="shared" si="961"/>
        <v>9.9377100604974219E-2</v>
      </c>
      <c r="AG629" s="43">
        <f t="shared" si="961"/>
        <v>9.5606811812890713E-2</v>
      </c>
      <c r="AH629" s="43">
        <f t="shared" si="961"/>
        <v>9.232306411323897E-2</v>
      </c>
      <c r="AI629" s="43">
        <f t="shared" ref="AI629:BB629" si="962">IF(AI766&gt;0,AI621*$AB$4/AI766,0)</f>
        <v>8.7375886524822699E-2</v>
      </c>
      <c r="AJ629" s="43">
        <f t="shared" si="962"/>
        <v>0.11002728851401639</v>
      </c>
      <c r="AK629" s="43">
        <f t="shared" si="962"/>
        <v>0.10512443707039583</v>
      </c>
      <c r="AL629" s="43">
        <f t="shared" si="962"/>
        <v>0.10280945757997219</v>
      </c>
      <c r="AM629" s="43">
        <f t="shared" si="962"/>
        <v>9.8037135278514598E-2</v>
      </c>
      <c r="AN629" s="43">
        <f t="shared" si="962"/>
        <v>8.9618104667609624E-2</v>
      </c>
      <c r="AO629" s="43">
        <f t="shared" si="962"/>
        <v>8.5440184935465222E-2</v>
      </c>
      <c r="AP629" s="43">
        <f t="shared" si="962"/>
        <v>0.11360655737704917</v>
      </c>
      <c r="AQ629" s="43">
        <f t="shared" si="962"/>
        <v>0.10859941234084232</v>
      </c>
      <c r="AR629" s="43">
        <f t="shared" si="962"/>
        <v>9.9377100604974219E-2</v>
      </c>
      <c r="AS629" s="43">
        <f t="shared" si="962"/>
        <v>8.7152682255845951E-2</v>
      </c>
      <c r="AT629" s="43">
        <f t="shared" si="962"/>
        <v>8.8280254777070064E-2</v>
      </c>
      <c r="AU629" s="43">
        <f t="shared" si="962"/>
        <v>8.7843137254901962E-2</v>
      </c>
      <c r="AV629" s="43">
        <f t="shared" si="962"/>
        <v>8.6472996685513739E-2</v>
      </c>
      <c r="AW629" s="43">
        <f t="shared" si="962"/>
        <v>9.5606811812890713E-2</v>
      </c>
      <c r="AX629" s="43">
        <f t="shared" si="962"/>
        <v>9.1864125932062959E-2</v>
      </c>
      <c r="AY629" s="43">
        <f t="shared" si="962"/>
        <v>8.6053550640279391E-2</v>
      </c>
      <c r="AZ629" s="43">
        <f t="shared" si="962"/>
        <v>0.10841359080909313</v>
      </c>
      <c r="BA629" s="43">
        <f t="shared" si="962"/>
        <v>0.10512443707039583</v>
      </c>
      <c r="BB629" s="43">
        <f t="shared" si="962"/>
        <v>0.10280945757997219</v>
      </c>
      <c r="BC629" s="19"/>
    </row>
    <row r="630" spans="2:55" x14ac:dyDescent="0.25">
      <c r="B630" s="43" t="str">
        <f t="shared" si="956"/>
        <v>Product E Labor Cost / Unit (RM)</v>
      </c>
      <c r="C630" s="43">
        <f t="shared" ref="C630:AH630" si="963">IF(C767&gt;0,C622*$AB$4/C767,0)</f>
        <v>9.6254641909814337E-2</v>
      </c>
      <c r="D630" s="43">
        <f t="shared" si="963"/>
        <v>8.798868458274399E-2</v>
      </c>
      <c r="E630" s="43">
        <f t="shared" si="963"/>
        <v>8.4081096736821792E-2</v>
      </c>
      <c r="F630" s="43">
        <f t="shared" si="963"/>
        <v>0.11188489208633096</v>
      </c>
      <c r="G630" s="43">
        <f t="shared" si="963"/>
        <v>0.1066248775710088</v>
      </c>
      <c r="H630" s="43">
        <f t="shared" si="963"/>
        <v>9.7570244230338346E-2</v>
      </c>
      <c r="I630" s="43">
        <f t="shared" si="963"/>
        <v>9.3868506143565428E-2</v>
      </c>
      <c r="J630" s="43">
        <f t="shared" si="963"/>
        <v>9.0193869096934554E-2</v>
      </c>
      <c r="K630" s="43">
        <f t="shared" si="963"/>
        <v>8.4488940628637946E-2</v>
      </c>
      <c r="L630" s="43">
        <f t="shared" si="963"/>
        <v>0.10802679235921607</v>
      </c>
      <c r="M630" s="43">
        <f t="shared" si="963"/>
        <v>0.10350748752079869</v>
      </c>
      <c r="N630" s="43">
        <f t="shared" si="963"/>
        <v>0.1000128617363344</v>
      </c>
      <c r="O630" s="43">
        <f t="shared" si="963"/>
        <v>9.6254641909814337E-2</v>
      </c>
      <c r="P630" s="43">
        <f t="shared" si="963"/>
        <v>8.798868458274399E-2</v>
      </c>
      <c r="Q630" s="43">
        <f t="shared" si="963"/>
        <v>8.3886727027547681E-2</v>
      </c>
      <c r="R630" s="43">
        <f t="shared" si="963"/>
        <v>0.10902754131196796</v>
      </c>
      <c r="S630" s="43">
        <f t="shared" si="963"/>
        <v>0.1066248775710088</v>
      </c>
      <c r="T630" s="43">
        <f t="shared" si="963"/>
        <v>9.7657770800627958E-2</v>
      </c>
      <c r="U630" s="43">
        <f t="shared" si="963"/>
        <v>9.3868506143565428E-2</v>
      </c>
      <c r="V630" s="43">
        <f t="shared" si="963"/>
        <v>9.0644462947543719E-2</v>
      </c>
      <c r="W630" s="43">
        <f t="shared" si="963"/>
        <v>8.5787234042553173E-2</v>
      </c>
      <c r="X630" s="43">
        <f t="shared" si="963"/>
        <v>0.10802679235921607</v>
      </c>
      <c r="Y630" s="43">
        <f t="shared" si="963"/>
        <v>0.10321308366911591</v>
      </c>
      <c r="Z630" s="43">
        <f t="shared" si="963"/>
        <v>0.10094019471488178</v>
      </c>
      <c r="AA630" s="43">
        <f t="shared" si="963"/>
        <v>9.6254641909814337E-2</v>
      </c>
      <c r="AB630" s="43">
        <f t="shared" si="963"/>
        <v>8.7882139253279506E-2</v>
      </c>
      <c r="AC630" s="43">
        <f t="shared" si="963"/>
        <v>8.4081096736821792E-2</v>
      </c>
      <c r="AD630" s="43">
        <f t="shared" si="963"/>
        <v>0.11154098360655737</v>
      </c>
      <c r="AE630" s="43">
        <f t="shared" si="963"/>
        <v>0.1066248775710088</v>
      </c>
      <c r="AF630" s="43">
        <f t="shared" si="963"/>
        <v>9.7570244230338346E-2</v>
      </c>
      <c r="AG630" s="43">
        <f t="shared" si="963"/>
        <v>9.3868506143565428E-2</v>
      </c>
      <c r="AH630" s="43">
        <f t="shared" si="963"/>
        <v>9.0644462947543719E-2</v>
      </c>
      <c r="AI630" s="43">
        <f t="shared" ref="AI630:BB630" si="964">IF(AI767&gt;0,AI622*$AB$4/AI767,0)</f>
        <v>8.5787234042553173E-2</v>
      </c>
      <c r="AJ630" s="43">
        <f t="shared" si="964"/>
        <v>0.10802679235921607</v>
      </c>
      <c r="AK630" s="43">
        <f t="shared" si="964"/>
        <v>0.10321308366911591</v>
      </c>
      <c r="AL630" s="43">
        <f t="shared" si="964"/>
        <v>0.10094019471488178</v>
      </c>
      <c r="AM630" s="43">
        <f t="shared" si="964"/>
        <v>9.6254641909814337E-2</v>
      </c>
      <c r="AN630" s="43">
        <f t="shared" si="964"/>
        <v>8.798868458274399E-2</v>
      </c>
      <c r="AO630" s="43">
        <f t="shared" si="964"/>
        <v>8.3886727027547681E-2</v>
      </c>
      <c r="AP630" s="43">
        <f t="shared" si="964"/>
        <v>0.11154098360655737</v>
      </c>
      <c r="AQ630" s="43">
        <f t="shared" si="964"/>
        <v>0.1066248775710088</v>
      </c>
      <c r="AR630" s="43">
        <f t="shared" si="964"/>
        <v>9.7570244230338346E-2</v>
      </c>
      <c r="AS630" s="43">
        <f t="shared" si="964"/>
        <v>8.5568088033012371E-2</v>
      </c>
      <c r="AT630" s="43">
        <f t="shared" si="964"/>
        <v>8.6675159235668792E-2</v>
      </c>
      <c r="AU630" s="43">
        <f t="shared" si="964"/>
        <v>8.6245989304812837E-2</v>
      </c>
      <c r="AV630" s="43">
        <f t="shared" si="964"/>
        <v>8.4900760382140769E-2</v>
      </c>
      <c r="AW630" s="43">
        <f t="shared" si="964"/>
        <v>9.3868506143565428E-2</v>
      </c>
      <c r="AX630" s="43">
        <f t="shared" si="964"/>
        <v>9.0193869096934554E-2</v>
      </c>
      <c r="AY630" s="43">
        <f t="shared" si="964"/>
        <v>8.4488940628637946E-2</v>
      </c>
      <c r="AZ630" s="43">
        <f t="shared" si="964"/>
        <v>0.10644243461256418</v>
      </c>
      <c r="BA630" s="43">
        <f t="shared" si="964"/>
        <v>0.10321308366911591</v>
      </c>
      <c r="BB630" s="43">
        <f t="shared" si="964"/>
        <v>0.10094019471488178</v>
      </c>
      <c r="BC630" s="19"/>
    </row>
    <row r="631" spans="2:55" x14ac:dyDescent="0.25">
      <c r="B631" s="43" t="str">
        <f t="shared" si="956"/>
        <v>Product F Labor Cost / Unit (RM)</v>
      </c>
      <c r="C631" s="43">
        <f t="shared" ref="C631:AH631" si="965">IF(C768&gt;0,C623*$AB$4/C768,0)</f>
        <v>0</v>
      </c>
      <c r="D631" s="43">
        <f t="shared" si="965"/>
        <v>8.5544554455445551E-2</v>
      </c>
      <c r="E631" s="43">
        <f t="shared" si="965"/>
        <v>8.1745510716354497E-2</v>
      </c>
      <c r="F631" s="43">
        <f t="shared" si="965"/>
        <v>0</v>
      </c>
      <c r="G631" s="43">
        <f t="shared" si="965"/>
        <v>0</v>
      </c>
      <c r="H631" s="43">
        <f t="shared" si="965"/>
        <v>9.4859959668384494E-2</v>
      </c>
      <c r="I631" s="43">
        <f t="shared" si="965"/>
        <v>9.1261047639577486E-2</v>
      </c>
      <c r="J631" s="43">
        <f t="shared" si="965"/>
        <v>8.7688483844241924E-2</v>
      </c>
      <c r="K631" s="43">
        <f t="shared" si="965"/>
        <v>8.2142025611175784E-2</v>
      </c>
      <c r="L631" s="43">
        <f t="shared" si="965"/>
        <v>0.10502604812701563</v>
      </c>
      <c r="M631" s="43">
        <f t="shared" si="965"/>
        <v>0.10063227953410982</v>
      </c>
      <c r="N631" s="43">
        <f t="shared" si="965"/>
        <v>9.7234726688102902E-2</v>
      </c>
      <c r="O631" s="43">
        <f t="shared" si="965"/>
        <v>0</v>
      </c>
      <c r="P631" s="43">
        <f t="shared" si="965"/>
        <v>8.5544554455445551E-2</v>
      </c>
      <c r="Q631" s="43">
        <f t="shared" si="965"/>
        <v>8.1556540165671362E-2</v>
      </c>
      <c r="R631" s="43">
        <f t="shared" si="965"/>
        <v>0.1059989984977466</v>
      </c>
      <c r="S631" s="43">
        <f t="shared" si="965"/>
        <v>0</v>
      </c>
      <c r="T631" s="43">
        <f t="shared" si="965"/>
        <v>9.4945054945054952E-2</v>
      </c>
      <c r="U631" s="43">
        <f t="shared" si="965"/>
        <v>9.1261047639577486E-2</v>
      </c>
      <c r="V631" s="43">
        <f t="shared" si="965"/>
        <v>8.8126561199000822E-2</v>
      </c>
      <c r="W631" s="43">
        <f t="shared" si="965"/>
        <v>0</v>
      </c>
      <c r="X631" s="43">
        <f t="shared" si="965"/>
        <v>0.10502604812701563</v>
      </c>
      <c r="Y631" s="43">
        <f t="shared" si="965"/>
        <v>0.100346053567196</v>
      </c>
      <c r="Z631" s="43">
        <f t="shared" si="965"/>
        <v>9.8136300417246178E-2</v>
      </c>
      <c r="AA631" s="43">
        <f t="shared" si="965"/>
        <v>0</v>
      </c>
      <c r="AB631" s="43">
        <f t="shared" si="965"/>
        <v>8.5440968718466181E-2</v>
      </c>
      <c r="AC631" s="43">
        <f t="shared" si="965"/>
        <v>8.1745510716354497E-2</v>
      </c>
      <c r="AD631" s="43">
        <f t="shared" si="965"/>
        <v>0.10844262295081969</v>
      </c>
      <c r="AE631" s="43">
        <f t="shared" si="965"/>
        <v>0</v>
      </c>
      <c r="AF631" s="43">
        <f t="shared" si="965"/>
        <v>9.4859959668384494E-2</v>
      </c>
      <c r="AG631" s="43">
        <f t="shared" si="965"/>
        <v>9.1261047639577486E-2</v>
      </c>
      <c r="AH631" s="43">
        <f t="shared" si="965"/>
        <v>8.8126561199000822E-2</v>
      </c>
      <c r="AI631" s="43">
        <f t="shared" ref="AI631:BB631" si="966">IF(AI768&gt;0,AI623*$AB$4/AI768,0)</f>
        <v>0</v>
      </c>
      <c r="AJ631" s="43">
        <f t="shared" si="966"/>
        <v>0.10502604812701563</v>
      </c>
      <c r="AK631" s="43">
        <f t="shared" si="966"/>
        <v>0.100346053567196</v>
      </c>
      <c r="AL631" s="43">
        <f t="shared" si="966"/>
        <v>9.8136300417246178E-2</v>
      </c>
      <c r="AM631" s="43">
        <f t="shared" si="966"/>
        <v>0</v>
      </c>
      <c r="AN631" s="43">
        <f t="shared" si="966"/>
        <v>8.5544554455445551E-2</v>
      </c>
      <c r="AO631" s="43">
        <f t="shared" si="966"/>
        <v>8.1556540165671362E-2</v>
      </c>
      <c r="AP631" s="43">
        <f t="shared" si="966"/>
        <v>0.10844262295081969</v>
      </c>
      <c r="AQ631" s="43">
        <f t="shared" si="966"/>
        <v>0</v>
      </c>
      <c r="AR631" s="43">
        <f t="shared" si="966"/>
        <v>9.4859959668384494E-2</v>
      </c>
      <c r="AS631" s="43">
        <f t="shared" si="966"/>
        <v>8.3191196698762043E-2</v>
      </c>
      <c r="AT631" s="43">
        <f t="shared" si="966"/>
        <v>8.4267515923566891E-2</v>
      </c>
      <c r="AU631" s="43">
        <f t="shared" si="966"/>
        <v>8.3850267379679141E-2</v>
      </c>
      <c r="AV631" s="43">
        <f t="shared" si="966"/>
        <v>8.2542405927081314E-2</v>
      </c>
      <c r="AW631" s="43">
        <f t="shared" si="966"/>
        <v>9.1261047639577486E-2</v>
      </c>
      <c r="AX631" s="43">
        <f t="shared" si="966"/>
        <v>8.7688483844241924E-2</v>
      </c>
      <c r="AY631" s="43">
        <f t="shared" si="966"/>
        <v>8.2142025611175784E-2</v>
      </c>
      <c r="AZ631" s="43">
        <f t="shared" si="966"/>
        <v>0.10348570031777071</v>
      </c>
      <c r="BA631" s="43">
        <f t="shared" si="966"/>
        <v>0.100346053567196</v>
      </c>
      <c r="BB631" s="43">
        <f t="shared" si="966"/>
        <v>9.8136300417246178E-2</v>
      </c>
      <c r="BC631" s="19"/>
    </row>
    <row r="632" spans="2:55" x14ac:dyDescent="0.25">
      <c r="B632" s="43" t="str">
        <f t="shared" si="956"/>
        <v>Product G Labor Cost / Unit (RM)</v>
      </c>
      <c r="C632" s="43">
        <f t="shared" ref="C632:AH632" si="967">IF(C769&gt;0,C624*$AB$4/C769,0)</f>
        <v>0</v>
      </c>
      <c r="D632" s="43">
        <f t="shared" si="967"/>
        <v>7.3323903818953318E-2</v>
      </c>
      <c r="E632" s="43">
        <f t="shared" si="967"/>
        <v>7.006758061401816E-2</v>
      </c>
      <c r="F632" s="43">
        <f t="shared" si="967"/>
        <v>9.3237410071942459E-2</v>
      </c>
      <c r="G632" s="43">
        <f t="shared" si="967"/>
        <v>0</v>
      </c>
      <c r="H632" s="43">
        <f t="shared" si="967"/>
        <v>0</v>
      </c>
      <c r="I632" s="43">
        <f t="shared" si="967"/>
        <v>7.8223755119637861E-2</v>
      </c>
      <c r="J632" s="43">
        <f t="shared" si="967"/>
        <v>7.516155758077879E-2</v>
      </c>
      <c r="K632" s="43">
        <f t="shared" si="967"/>
        <v>0</v>
      </c>
      <c r="L632" s="43">
        <f t="shared" si="967"/>
        <v>0</v>
      </c>
      <c r="M632" s="43">
        <f t="shared" si="967"/>
        <v>8.6256239600665544E-2</v>
      </c>
      <c r="N632" s="43">
        <f t="shared" si="967"/>
        <v>8.3344051446945344E-2</v>
      </c>
      <c r="O632" s="43">
        <f t="shared" si="967"/>
        <v>0</v>
      </c>
      <c r="P632" s="43">
        <f t="shared" si="967"/>
        <v>0</v>
      </c>
      <c r="Q632" s="43">
        <f t="shared" si="967"/>
        <v>6.9905605856289729E-2</v>
      </c>
      <c r="R632" s="43">
        <f t="shared" si="967"/>
        <v>9.0856284426639955E-2</v>
      </c>
      <c r="S632" s="43">
        <f t="shared" si="967"/>
        <v>0</v>
      </c>
      <c r="T632" s="43">
        <f t="shared" si="967"/>
        <v>0</v>
      </c>
      <c r="U632" s="43">
        <f t="shared" si="967"/>
        <v>7.8223755119637861E-2</v>
      </c>
      <c r="V632" s="43">
        <f t="shared" si="967"/>
        <v>7.5537052456286433E-2</v>
      </c>
      <c r="W632" s="43">
        <f t="shared" si="967"/>
        <v>0</v>
      </c>
      <c r="X632" s="43">
        <f t="shared" si="967"/>
        <v>0</v>
      </c>
      <c r="Y632" s="43">
        <f t="shared" si="967"/>
        <v>8.601090305759658E-2</v>
      </c>
      <c r="Z632" s="43">
        <f t="shared" si="967"/>
        <v>8.4116828929068146E-2</v>
      </c>
      <c r="AA632" s="43">
        <f t="shared" si="967"/>
        <v>0</v>
      </c>
      <c r="AB632" s="43">
        <f t="shared" si="967"/>
        <v>0</v>
      </c>
      <c r="AC632" s="43">
        <f t="shared" si="967"/>
        <v>7.0067580614018146E-2</v>
      </c>
      <c r="AD632" s="43">
        <f t="shared" si="967"/>
        <v>9.2950819672131146E-2</v>
      </c>
      <c r="AE632" s="43">
        <f t="shared" si="967"/>
        <v>0</v>
      </c>
      <c r="AF632" s="43">
        <f t="shared" si="967"/>
        <v>0</v>
      </c>
      <c r="AG632" s="43">
        <f t="shared" si="967"/>
        <v>7.8223755119637861E-2</v>
      </c>
      <c r="AH632" s="43">
        <f t="shared" si="967"/>
        <v>7.5537052456286433E-2</v>
      </c>
      <c r="AI632" s="43">
        <f t="shared" ref="AI632:BB632" si="968">IF(AI769&gt;0,AI624*$AB$4/AI769,0)</f>
        <v>0</v>
      </c>
      <c r="AJ632" s="43">
        <f t="shared" si="968"/>
        <v>0</v>
      </c>
      <c r="AK632" s="43">
        <f t="shared" si="968"/>
        <v>8.601090305759658E-2</v>
      </c>
      <c r="AL632" s="43">
        <f t="shared" si="968"/>
        <v>8.4116828929068146E-2</v>
      </c>
      <c r="AM632" s="43">
        <f t="shared" si="968"/>
        <v>0</v>
      </c>
      <c r="AN632" s="43">
        <f t="shared" si="968"/>
        <v>0</v>
      </c>
      <c r="AO632" s="43">
        <f t="shared" si="968"/>
        <v>6.9905605856289729E-2</v>
      </c>
      <c r="AP632" s="43">
        <f t="shared" si="968"/>
        <v>9.2950819672131146E-2</v>
      </c>
      <c r="AQ632" s="43">
        <f t="shared" si="968"/>
        <v>0</v>
      </c>
      <c r="AR632" s="43">
        <f t="shared" si="968"/>
        <v>0</v>
      </c>
      <c r="AS632" s="43">
        <f t="shared" si="968"/>
        <v>7.1306740027510321E-2</v>
      </c>
      <c r="AT632" s="43">
        <f t="shared" si="968"/>
        <v>7.2229299363057331E-2</v>
      </c>
      <c r="AU632" s="43">
        <f t="shared" si="968"/>
        <v>0</v>
      </c>
      <c r="AV632" s="43">
        <f t="shared" si="968"/>
        <v>0</v>
      </c>
      <c r="AW632" s="43">
        <f t="shared" si="968"/>
        <v>7.8223755119637861E-2</v>
      </c>
      <c r="AX632" s="43">
        <f t="shared" si="968"/>
        <v>7.516155758077879E-2</v>
      </c>
      <c r="AY632" s="43">
        <f t="shared" si="968"/>
        <v>0</v>
      </c>
      <c r="AZ632" s="43">
        <f t="shared" si="968"/>
        <v>0</v>
      </c>
      <c r="BA632" s="43">
        <f t="shared" si="968"/>
        <v>8.601090305759658E-2</v>
      </c>
      <c r="BB632" s="43">
        <f t="shared" si="968"/>
        <v>8.4116828929068146E-2</v>
      </c>
      <c r="BC632" s="19"/>
    </row>
    <row r="633" spans="2:55" x14ac:dyDescent="0.25">
      <c r="B633" s="43" t="str">
        <f t="shared" si="956"/>
        <v>Product H Labor Cost / Unit (RM)</v>
      </c>
      <c r="C633" s="43">
        <f t="shared" ref="C633:AH633" si="969">IF(C770&gt;0,C625*$AB$4/C770,0)</f>
        <v>0</v>
      </c>
      <c r="D633" s="43">
        <f t="shared" si="969"/>
        <v>0</v>
      </c>
      <c r="E633" s="43">
        <f t="shared" si="969"/>
        <v>0</v>
      </c>
      <c r="F633" s="43">
        <f t="shared" si="969"/>
        <v>9.5309352517985627E-2</v>
      </c>
      <c r="G633" s="43">
        <f t="shared" si="969"/>
        <v>0</v>
      </c>
      <c r="H633" s="43">
        <f t="shared" si="969"/>
        <v>0</v>
      </c>
      <c r="I633" s="43">
        <f t="shared" si="969"/>
        <v>0</v>
      </c>
      <c r="J633" s="43">
        <f t="shared" si="969"/>
        <v>7.683181441590721E-2</v>
      </c>
      <c r="K633" s="43">
        <f t="shared" si="969"/>
        <v>0</v>
      </c>
      <c r="L633" s="43">
        <f t="shared" si="969"/>
        <v>0</v>
      </c>
      <c r="M633" s="43">
        <f t="shared" si="969"/>
        <v>0</v>
      </c>
      <c r="N633" s="43">
        <f t="shared" si="969"/>
        <v>8.519614147909968E-2</v>
      </c>
      <c r="O633" s="43">
        <f t="shared" si="969"/>
        <v>0</v>
      </c>
      <c r="P633" s="43">
        <f t="shared" si="969"/>
        <v>0</v>
      </c>
      <c r="Q633" s="43">
        <f t="shared" si="969"/>
        <v>7.145906376420727E-2</v>
      </c>
      <c r="R633" s="43">
        <f t="shared" si="969"/>
        <v>9.2875312969454185E-2</v>
      </c>
      <c r="S633" s="43">
        <f t="shared" si="969"/>
        <v>0</v>
      </c>
      <c r="T633" s="43">
        <f t="shared" si="969"/>
        <v>0</v>
      </c>
      <c r="U633" s="43">
        <f t="shared" si="969"/>
        <v>0</v>
      </c>
      <c r="V633" s="43">
        <f t="shared" si="969"/>
        <v>7.721565362198167E-2</v>
      </c>
      <c r="W633" s="43">
        <f t="shared" si="969"/>
        <v>7.3078014184397147E-2</v>
      </c>
      <c r="X633" s="43">
        <f t="shared" si="969"/>
        <v>0</v>
      </c>
      <c r="Y633" s="43">
        <f t="shared" si="969"/>
        <v>0</v>
      </c>
      <c r="Z633" s="43">
        <f t="shared" si="969"/>
        <v>8.5986091794158545E-2</v>
      </c>
      <c r="AA633" s="43">
        <f t="shared" si="969"/>
        <v>0</v>
      </c>
      <c r="AB633" s="43">
        <f t="shared" si="969"/>
        <v>7.4862563067608467E-2</v>
      </c>
      <c r="AC633" s="43">
        <f t="shared" si="969"/>
        <v>0</v>
      </c>
      <c r="AD633" s="43">
        <f t="shared" si="969"/>
        <v>9.5016393442622957E-2</v>
      </c>
      <c r="AE633" s="43">
        <f t="shared" si="969"/>
        <v>0</v>
      </c>
      <c r="AF633" s="43">
        <f t="shared" si="969"/>
        <v>0</v>
      </c>
      <c r="AG633" s="43">
        <f t="shared" si="969"/>
        <v>0</v>
      </c>
      <c r="AH633" s="43">
        <f t="shared" si="969"/>
        <v>7.721565362198167E-2</v>
      </c>
      <c r="AI633" s="43">
        <f t="shared" ref="AI633:BB633" si="970">IF(AI770&gt;0,AI625*$AB$4/AI770,0)</f>
        <v>7.3078014184397147E-2</v>
      </c>
      <c r="AJ633" s="43">
        <f t="shared" si="970"/>
        <v>0</v>
      </c>
      <c r="AK633" s="43">
        <f t="shared" si="970"/>
        <v>0</v>
      </c>
      <c r="AL633" s="43">
        <f t="shared" si="970"/>
        <v>8.5986091794158545E-2</v>
      </c>
      <c r="AM633" s="43">
        <f t="shared" si="970"/>
        <v>0</v>
      </c>
      <c r="AN633" s="43">
        <f t="shared" si="970"/>
        <v>0</v>
      </c>
      <c r="AO633" s="43">
        <f t="shared" si="970"/>
        <v>7.145906376420727E-2</v>
      </c>
      <c r="AP633" s="43">
        <f t="shared" si="970"/>
        <v>9.5016393442622957E-2</v>
      </c>
      <c r="AQ633" s="43">
        <f t="shared" si="970"/>
        <v>0</v>
      </c>
      <c r="AR633" s="43">
        <f t="shared" si="970"/>
        <v>0</v>
      </c>
      <c r="AS633" s="43">
        <f t="shared" si="970"/>
        <v>0</v>
      </c>
      <c r="AT633" s="43">
        <f t="shared" si="970"/>
        <v>7.3834394904458603E-2</v>
      </c>
      <c r="AU633" s="43">
        <f t="shared" si="970"/>
        <v>0</v>
      </c>
      <c r="AV633" s="43">
        <f t="shared" si="970"/>
        <v>0</v>
      </c>
      <c r="AW633" s="43">
        <f t="shared" si="970"/>
        <v>0</v>
      </c>
      <c r="AX633" s="43">
        <f t="shared" si="970"/>
        <v>7.683181441590721E-2</v>
      </c>
      <c r="AY633" s="43">
        <f t="shared" si="970"/>
        <v>0</v>
      </c>
      <c r="AZ633" s="43">
        <f t="shared" si="970"/>
        <v>0</v>
      </c>
      <c r="BA633" s="43">
        <f t="shared" si="970"/>
        <v>0</v>
      </c>
      <c r="BB633" s="43">
        <f t="shared" si="970"/>
        <v>8.5986091794158545E-2</v>
      </c>
      <c r="BC633" s="19"/>
    </row>
    <row r="634" spans="2:55" x14ac:dyDescent="0.25">
      <c r="B634" s="113" t="str">
        <f>_xlfn.CONCAT(B457," ","Variable Cost / Unit (RM)")</f>
        <v>Product A Variable Cost / Unit (RM)</v>
      </c>
      <c r="C634" s="113">
        <f t="shared" ref="C634:AH634" si="971">IF(C763&gt;0,C626+C594+C586,0)</f>
        <v>15.580212201591513</v>
      </c>
      <c r="D634" s="113">
        <f t="shared" si="971"/>
        <v>0</v>
      </c>
      <c r="E634" s="113">
        <f t="shared" si="971"/>
        <v>15.570067580614019</v>
      </c>
      <c r="F634" s="113">
        <f t="shared" si="971"/>
        <v>0</v>
      </c>
      <c r="G634" s="113">
        <f t="shared" si="971"/>
        <v>15.588854064642508</v>
      </c>
      <c r="H634" s="113">
        <f t="shared" si="971"/>
        <v>0</v>
      </c>
      <c r="I634" s="113">
        <f t="shared" si="971"/>
        <v>0</v>
      </c>
      <c r="J634" s="113">
        <f t="shared" si="971"/>
        <v>0</v>
      </c>
      <c r="K634" s="113">
        <f t="shared" si="971"/>
        <v>15.570407450523865</v>
      </c>
      <c r="L634" s="113">
        <f t="shared" si="971"/>
        <v>0</v>
      </c>
      <c r="M634" s="113">
        <f t="shared" si="971"/>
        <v>0</v>
      </c>
      <c r="N634" s="113">
        <f t="shared" si="971"/>
        <v>0</v>
      </c>
      <c r="O634" s="113">
        <f t="shared" si="971"/>
        <v>15.580212201591513</v>
      </c>
      <c r="P634" s="113">
        <f t="shared" si="971"/>
        <v>15.573323903818954</v>
      </c>
      <c r="Q634" s="113">
        <f t="shared" si="971"/>
        <v>0</v>
      </c>
      <c r="R634" s="113">
        <f t="shared" si="971"/>
        <v>0</v>
      </c>
      <c r="S634" s="113">
        <f t="shared" si="971"/>
        <v>15.588854064642508</v>
      </c>
      <c r="T634" s="113">
        <f t="shared" si="971"/>
        <v>0</v>
      </c>
      <c r="U634" s="113">
        <f t="shared" si="971"/>
        <v>0</v>
      </c>
      <c r="V634" s="113">
        <f t="shared" si="971"/>
        <v>15.575537052456287</v>
      </c>
      <c r="W634" s="113">
        <f t="shared" si="971"/>
        <v>15.571489361702127</v>
      </c>
      <c r="X634" s="113">
        <f t="shared" si="971"/>
        <v>0</v>
      </c>
      <c r="Y634" s="113">
        <f t="shared" si="971"/>
        <v>0</v>
      </c>
      <c r="Z634" s="113">
        <f t="shared" si="971"/>
        <v>0</v>
      </c>
      <c r="AA634" s="113">
        <f t="shared" si="971"/>
        <v>15.580212201591513</v>
      </c>
      <c r="AB634" s="113">
        <f t="shared" si="971"/>
        <v>0</v>
      </c>
      <c r="AC634" s="113">
        <f t="shared" si="971"/>
        <v>15.570067580614019</v>
      </c>
      <c r="AD634" s="113">
        <f t="shared" si="971"/>
        <v>0</v>
      </c>
      <c r="AE634" s="113">
        <f t="shared" si="971"/>
        <v>15.588854064642508</v>
      </c>
      <c r="AF634" s="113">
        <f t="shared" si="971"/>
        <v>0</v>
      </c>
      <c r="AG634" s="113">
        <f t="shared" si="971"/>
        <v>0</v>
      </c>
      <c r="AH634" s="113">
        <f t="shared" si="971"/>
        <v>15.575537052456287</v>
      </c>
      <c r="AI634" s="113">
        <f t="shared" ref="AI634:BB634" si="972">IF(AI763&gt;0,AI626+AI594+AI586,0)</f>
        <v>15.571489361702127</v>
      </c>
      <c r="AJ634" s="113">
        <f t="shared" si="972"/>
        <v>0</v>
      </c>
      <c r="AK634" s="113">
        <f t="shared" si="972"/>
        <v>0</v>
      </c>
      <c r="AL634" s="113">
        <f t="shared" si="972"/>
        <v>0</v>
      </c>
      <c r="AM634" s="113">
        <f t="shared" si="972"/>
        <v>15.580212201591513</v>
      </c>
      <c r="AN634" s="113">
        <f t="shared" si="972"/>
        <v>15.573323903818954</v>
      </c>
      <c r="AO634" s="113">
        <f t="shared" si="972"/>
        <v>0</v>
      </c>
      <c r="AP634" s="113">
        <f t="shared" si="972"/>
        <v>0</v>
      </c>
      <c r="AQ634" s="113">
        <f t="shared" si="972"/>
        <v>15.588854064642508</v>
      </c>
      <c r="AR634" s="113">
        <f t="shared" si="972"/>
        <v>0</v>
      </c>
      <c r="AS634" s="113">
        <f t="shared" si="972"/>
        <v>15.571306740027511</v>
      </c>
      <c r="AT634" s="113">
        <f t="shared" si="972"/>
        <v>0</v>
      </c>
      <c r="AU634" s="113">
        <f t="shared" si="972"/>
        <v>15.571871657754011</v>
      </c>
      <c r="AV634" s="113">
        <f t="shared" si="972"/>
        <v>15.570750633651784</v>
      </c>
      <c r="AW634" s="113">
        <f t="shared" si="972"/>
        <v>0</v>
      </c>
      <c r="AX634" s="113">
        <f t="shared" si="972"/>
        <v>0</v>
      </c>
      <c r="AY634" s="113">
        <f t="shared" si="972"/>
        <v>15.570407450523865</v>
      </c>
      <c r="AZ634" s="113">
        <f t="shared" si="972"/>
        <v>0</v>
      </c>
      <c r="BA634" s="113">
        <f t="shared" si="972"/>
        <v>0</v>
      </c>
      <c r="BB634" s="113">
        <f t="shared" si="972"/>
        <v>0</v>
      </c>
      <c r="BC634" s="19"/>
    </row>
    <row r="635" spans="2:55" x14ac:dyDescent="0.25">
      <c r="B635" s="113" t="str">
        <f t="shared" ref="B635:B641" si="973">_xlfn.CONCAT(B458," ","Variable Cost / Unit (RM)")</f>
        <v>Product B Variable Cost / Unit (RM)</v>
      </c>
      <c r="C635" s="113">
        <f t="shared" ref="C635:AH635" si="974">IF(C764&gt;0,C627+C595+C587,0)</f>
        <v>16.987342175066313</v>
      </c>
      <c r="D635" s="113">
        <f t="shared" si="974"/>
        <v>16.979841584158414</v>
      </c>
      <c r="E635" s="113">
        <f t="shared" si="974"/>
        <v>0</v>
      </c>
      <c r="F635" s="113">
        <f t="shared" si="974"/>
        <v>17.001525179856117</v>
      </c>
      <c r="G635" s="113">
        <f t="shared" si="974"/>
        <v>16.99675220372184</v>
      </c>
      <c r="H635" s="113">
        <f t="shared" si="974"/>
        <v>16.988535962357162</v>
      </c>
      <c r="I635" s="113">
        <f t="shared" si="974"/>
        <v>0</v>
      </c>
      <c r="J635" s="113">
        <f t="shared" si="974"/>
        <v>16.981842584921292</v>
      </c>
      <c r="K635" s="113">
        <f t="shared" si="974"/>
        <v>16.97666589057043</v>
      </c>
      <c r="L635" s="113">
        <f t="shared" si="974"/>
        <v>16.998024311585215</v>
      </c>
      <c r="M635" s="113">
        <f t="shared" si="974"/>
        <v>0</v>
      </c>
      <c r="N635" s="113">
        <f t="shared" si="974"/>
        <v>0</v>
      </c>
      <c r="O635" s="113">
        <f t="shared" si="974"/>
        <v>16.987342175066313</v>
      </c>
      <c r="P635" s="113">
        <f t="shared" si="974"/>
        <v>16.979841584158414</v>
      </c>
      <c r="Q635" s="113">
        <f t="shared" si="974"/>
        <v>0</v>
      </c>
      <c r="R635" s="113">
        <f t="shared" si="974"/>
        <v>0</v>
      </c>
      <c r="S635" s="113">
        <f t="shared" si="974"/>
        <v>16.99675220372184</v>
      </c>
      <c r="T635" s="113">
        <f t="shared" si="974"/>
        <v>16.988615384615386</v>
      </c>
      <c r="U635" s="113">
        <f t="shared" si="974"/>
        <v>0</v>
      </c>
      <c r="V635" s="113">
        <f t="shared" si="974"/>
        <v>0</v>
      </c>
      <c r="W635" s="113">
        <f t="shared" si="974"/>
        <v>16.977843971631206</v>
      </c>
      <c r="X635" s="113">
        <f t="shared" si="974"/>
        <v>16.998024311585215</v>
      </c>
      <c r="Y635" s="113">
        <f t="shared" si="974"/>
        <v>0</v>
      </c>
      <c r="Z635" s="113">
        <f t="shared" si="974"/>
        <v>0</v>
      </c>
      <c r="AA635" s="113">
        <f t="shared" si="974"/>
        <v>16.987342175066313</v>
      </c>
      <c r="AB635" s="113">
        <f t="shared" si="974"/>
        <v>16.979744904137235</v>
      </c>
      <c r="AC635" s="113">
        <f t="shared" si="974"/>
        <v>0</v>
      </c>
      <c r="AD635" s="113">
        <f t="shared" si="974"/>
        <v>0</v>
      </c>
      <c r="AE635" s="113">
        <f t="shared" si="974"/>
        <v>16.99675220372184</v>
      </c>
      <c r="AF635" s="113">
        <f t="shared" si="974"/>
        <v>16.988535962357162</v>
      </c>
      <c r="AG635" s="113">
        <f t="shared" si="974"/>
        <v>0</v>
      </c>
      <c r="AH635" s="113">
        <f t="shared" si="974"/>
        <v>0</v>
      </c>
      <c r="AI635" s="113">
        <f t="shared" ref="AI635:BB635" si="975">IF(AI764&gt;0,AI627+AI595+AI587,0)</f>
        <v>16.977843971631206</v>
      </c>
      <c r="AJ635" s="113">
        <f t="shared" si="975"/>
        <v>16.998024311585215</v>
      </c>
      <c r="AK635" s="113">
        <f t="shared" si="975"/>
        <v>0</v>
      </c>
      <c r="AL635" s="113">
        <f t="shared" si="975"/>
        <v>0</v>
      </c>
      <c r="AM635" s="113">
        <f t="shared" si="975"/>
        <v>16.987342175066313</v>
      </c>
      <c r="AN635" s="113">
        <f t="shared" si="975"/>
        <v>16.979841584158414</v>
      </c>
      <c r="AO635" s="113">
        <f t="shared" si="975"/>
        <v>0</v>
      </c>
      <c r="AP635" s="113">
        <f t="shared" si="975"/>
        <v>0</v>
      </c>
      <c r="AQ635" s="113">
        <f t="shared" si="975"/>
        <v>16.99675220372184</v>
      </c>
      <c r="AR635" s="113">
        <f t="shared" si="975"/>
        <v>16.988535962357162</v>
      </c>
      <c r="AS635" s="113">
        <f t="shared" si="975"/>
        <v>0</v>
      </c>
      <c r="AT635" s="113">
        <f t="shared" si="975"/>
        <v>16.978649681528665</v>
      </c>
      <c r="AU635" s="113">
        <f t="shared" si="975"/>
        <v>16.978260249554367</v>
      </c>
      <c r="AV635" s="113">
        <f t="shared" si="975"/>
        <v>16.977039578865277</v>
      </c>
      <c r="AW635" s="113">
        <f t="shared" si="975"/>
        <v>0</v>
      </c>
      <c r="AX635" s="113">
        <f t="shared" si="975"/>
        <v>16.981842584921292</v>
      </c>
      <c r="AY635" s="113">
        <f t="shared" si="975"/>
        <v>16.97666589057043</v>
      </c>
      <c r="AZ635" s="113">
        <f t="shared" si="975"/>
        <v>16.996586653629919</v>
      </c>
      <c r="BA635" s="113">
        <f t="shared" si="975"/>
        <v>0</v>
      </c>
      <c r="BB635" s="113">
        <f t="shared" si="975"/>
        <v>0</v>
      </c>
      <c r="BC635" s="19"/>
    </row>
    <row r="636" spans="2:55" x14ac:dyDescent="0.25">
      <c r="B636" s="113" t="str">
        <f t="shared" si="973"/>
        <v>Product C Variable Cost / Unit (RM)</v>
      </c>
      <c r="C636" s="113">
        <f t="shared" ref="C636:AH636" si="976">IF(C765&gt;0,C628+C596+C588,0)</f>
        <v>15.085559681697612</v>
      </c>
      <c r="D636" s="113">
        <f t="shared" si="976"/>
        <v>15.07821216407355</v>
      </c>
      <c r="E636" s="113">
        <f t="shared" si="976"/>
        <v>15.074738752654953</v>
      </c>
      <c r="F636" s="113">
        <f t="shared" si="976"/>
        <v>0</v>
      </c>
      <c r="G636" s="113">
        <f t="shared" si="976"/>
        <v>15.094777668952007</v>
      </c>
      <c r="H636" s="113">
        <f t="shared" si="976"/>
        <v>15.086729105982522</v>
      </c>
      <c r="I636" s="113">
        <f t="shared" si="976"/>
        <v>15.083438672127613</v>
      </c>
      <c r="J636" s="113">
        <f t="shared" si="976"/>
        <v>0</v>
      </c>
      <c r="K636" s="113">
        <f t="shared" si="976"/>
        <v>15.075101280558789</v>
      </c>
      <c r="L636" s="113">
        <f t="shared" si="976"/>
        <v>15.096023815430414</v>
      </c>
      <c r="M636" s="113">
        <f t="shared" si="976"/>
        <v>15.092006655574043</v>
      </c>
      <c r="N636" s="113">
        <f t="shared" si="976"/>
        <v>0</v>
      </c>
      <c r="O636" s="113">
        <f t="shared" si="976"/>
        <v>15.085559681697612</v>
      </c>
      <c r="P636" s="113">
        <f t="shared" si="976"/>
        <v>15.07821216407355</v>
      </c>
      <c r="Q636" s="113">
        <f t="shared" si="976"/>
        <v>15.074565979580042</v>
      </c>
      <c r="R636" s="113">
        <f t="shared" si="976"/>
        <v>0</v>
      </c>
      <c r="S636" s="113">
        <f t="shared" si="976"/>
        <v>15.094777668952007</v>
      </c>
      <c r="T636" s="113">
        <f t="shared" si="976"/>
        <v>15.086806907378335</v>
      </c>
      <c r="U636" s="113">
        <f t="shared" si="976"/>
        <v>15.083438672127613</v>
      </c>
      <c r="V636" s="113">
        <f t="shared" si="976"/>
        <v>0</v>
      </c>
      <c r="W636" s="113">
        <f t="shared" si="976"/>
        <v>15.076255319148936</v>
      </c>
      <c r="X636" s="113">
        <f t="shared" si="976"/>
        <v>15.096023815430414</v>
      </c>
      <c r="Y636" s="113">
        <f t="shared" si="976"/>
        <v>15.091744963261437</v>
      </c>
      <c r="Z636" s="113">
        <f t="shared" si="976"/>
        <v>0</v>
      </c>
      <c r="AA636" s="113">
        <f t="shared" si="976"/>
        <v>15.085559681697612</v>
      </c>
      <c r="AB636" s="113">
        <f t="shared" si="976"/>
        <v>15.078117457114026</v>
      </c>
      <c r="AC636" s="113">
        <f t="shared" si="976"/>
        <v>15.074738752654953</v>
      </c>
      <c r="AD636" s="113">
        <f t="shared" si="976"/>
        <v>0</v>
      </c>
      <c r="AE636" s="113">
        <f t="shared" si="976"/>
        <v>15.094777668952007</v>
      </c>
      <c r="AF636" s="113">
        <f t="shared" si="976"/>
        <v>15.086729105982522</v>
      </c>
      <c r="AG636" s="113">
        <f t="shared" si="976"/>
        <v>15.083438672127613</v>
      </c>
      <c r="AH636" s="113">
        <f t="shared" si="976"/>
        <v>0</v>
      </c>
      <c r="AI636" s="113">
        <f t="shared" ref="AI636:BB636" si="977">IF(AI765&gt;0,AI628+AI596+AI588,0)</f>
        <v>15.076255319148936</v>
      </c>
      <c r="AJ636" s="113">
        <f t="shared" si="977"/>
        <v>15.096023815430414</v>
      </c>
      <c r="AK636" s="113">
        <f t="shared" si="977"/>
        <v>15.091744963261437</v>
      </c>
      <c r="AL636" s="113">
        <f t="shared" si="977"/>
        <v>0</v>
      </c>
      <c r="AM636" s="113">
        <f t="shared" si="977"/>
        <v>15.085559681697612</v>
      </c>
      <c r="AN636" s="113">
        <f t="shared" si="977"/>
        <v>15.07821216407355</v>
      </c>
      <c r="AO636" s="113">
        <f t="shared" si="977"/>
        <v>15.074565979580042</v>
      </c>
      <c r="AP636" s="113">
        <f t="shared" si="977"/>
        <v>0</v>
      </c>
      <c r="AQ636" s="113">
        <f t="shared" si="977"/>
        <v>15.094777668952007</v>
      </c>
      <c r="AR636" s="113">
        <f t="shared" si="977"/>
        <v>15.086729105982522</v>
      </c>
      <c r="AS636" s="113">
        <f t="shared" si="977"/>
        <v>15.076060522696011</v>
      </c>
      <c r="AT636" s="113">
        <f t="shared" si="977"/>
        <v>0</v>
      </c>
      <c r="AU636" s="113">
        <f t="shared" si="977"/>
        <v>15.076663101604279</v>
      </c>
      <c r="AV636" s="113">
        <f t="shared" si="977"/>
        <v>15.075467342561902</v>
      </c>
      <c r="AW636" s="113">
        <f t="shared" si="977"/>
        <v>15.083438672127613</v>
      </c>
      <c r="AX636" s="113">
        <f t="shared" si="977"/>
        <v>0</v>
      </c>
      <c r="AY636" s="113">
        <f t="shared" si="977"/>
        <v>15.075101280558789</v>
      </c>
      <c r="AZ636" s="113">
        <f t="shared" si="977"/>
        <v>15.09461549743339</v>
      </c>
      <c r="BA636" s="113">
        <f t="shared" si="977"/>
        <v>15.091744963261437</v>
      </c>
      <c r="BB636" s="113">
        <f t="shared" si="977"/>
        <v>0</v>
      </c>
      <c r="BC636" s="19"/>
    </row>
    <row r="637" spans="2:55" x14ac:dyDescent="0.25">
      <c r="B637" s="113" t="str">
        <f t="shared" si="973"/>
        <v>Product D Variable Cost / Unit (RM)</v>
      </c>
      <c r="C637" s="113">
        <f t="shared" ref="C637:AH637" si="978">IF(C766&gt;0,C629+C597+C589,0)</f>
        <v>16.598037135278517</v>
      </c>
      <c r="D637" s="113">
        <f t="shared" si="978"/>
        <v>16.589618104667608</v>
      </c>
      <c r="E637" s="113">
        <f t="shared" si="978"/>
        <v>16.585638154083799</v>
      </c>
      <c r="F637" s="113">
        <f t="shared" si="978"/>
        <v>16.613956834532374</v>
      </c>
      <c r="G637" s="113">
        <f t="shared" si="978"/>
        <v>16.608599412340844</v>
      </c>
      <c r="H637" s="113">
        <f t="shared" si="978"/>
        <v>16.599377100604976</v>
      </c>
      <c r="I637" s="113">
        <f t="shared" si="978"/>
        <v>16.595606811812893</v>
      </c>
      <c r="J637" s="113">
        <f t="shared" si="978"/>
        <v>16.591864125932062</v>
      </c>
      <c r="K637" s="113">
        <f t="shared" si="978"/>
        <v>16.58605355064028</v>
      </c>
      <c r="L637" s="113">
        <f t="shared" si="978"/>
        <v>16.610027288514019</v>
      </c>
      <c r="M637" s="113">
        <f t="shared" si="978"/>
        <v>16.605424292845257</v>
      </c>
      <c r="N637" s="113">
        <f t="shared" si="978"/>
        <v>16.601864951768491</v>
      </c>
      <c r="O637" s="113">
        <f t="shared" si="978"/>
        <v>16.598037135278517</v>
      </c>
      <c r="P637" s="113">
        <f t="shared" si="978"/>
        <v>16.589618104667608</v>
      </c>
      <c r="Q637" s="113">
        <f t="shared" si="978"/>
        <v>16.585440184935464</v>
      </c>
      <c r="R637" s="113">
        <f t="shared" si="978"/>
        <v>16.611046569854782</v>
      </c>
      <c r="S637" s="113">
        <f t="shared" si="978"/>
        <v>16.608599412340844</v>
      </c>
      <c r="T637" s="113">
        <f t="shared" si="978"/>
        <v>16.599466248037679</v>
      </c>
      <c r="U637" s="113">
        <f t="shared" si="978"/>
        <v>16.595606811812893</v>
      </c>
      <c r="V637" s="113">
        <f t="shared" si="978"/>
        <v>16.592323064113238</v>
      </c>
      <c r="W637" s="113">
        <f t="shared" si="978"/>
        <v>16.587375886524825</v>
      </c>
      <c r="X637" s="113">
        <f t="shared" si="978"/>
        <v>16.610027288514019</v>
      </c>
      <c r="Y637" s="113">
        <f t="shared" si="978"/>
        <v>16.605124437070394</v>
      </c>
      <c r="Z637" s="113">
        <f t="shared" si="978"/>
        <v>16.602809457579973</v>
      </c>
      <c r="AA637" s="113">
        <f t="shared" si="978"/>
        <v>16.598037135278517</v>
      </c>
      <c r="AB637" s="113">
        <f t="shared" si="978"/>
        <v>16.589509586276488</v>
      </c>
      <c r="AC637" s="113">
        <f t="shared" si="978"/>
        <v>16.585638154083799</v>
      </c>
      <c r="AD637" s="113">
        <f t="shared" si="978"/>
        <v>16.613606557377047</v>
      </c>
      <c r="AE637" s="113">
        <f t="shared" si="978"/>
        <v>16.608599412340844</v>
      </c>
      <c r="AF637" s="113">
        <f t="shared" si="978"/>
        <v>16.599377100604976</v>
      </c>
      <c r="AG637" s="113">
        <f t="shared" si="978"/>
        <v>16.595606811812893</v>
      </c>
      <c r="AH637" s="113">
        <f t="shared" si="978"/>
        <v>16.592323064113238</v>
      </c>
      <c r="AI637" s="113">
        <f t="shared" ref="AI637:BB637" si="979">IF(AI766&gt;0,AI629+AI597+AI589,0)</f>
        <v>16.587375886524825</v>
      </c>
      <c r="AJ637" s="113">
        <f t="shared" si="979"/>
        <v>16.610027288514019</v>
      </c>
      <c r="AK637" s="113">
        <f t="shared" si="979"/>
        <v>16.605124437070394</v>
      </c>
      <c r="AL637" s="113">
        <f t="shared" si="979"/>
        <v>16.602809457579973</v>
      </c>
      <c r="AM637" s="113">
        <f t="shared" si="979"/>
        <v>16.598037135278517</v>
      </c>
      <c r="AN637" s="113">
        <f t="shared" si="979"/>
        <v>16.589618104667608</v>
      </c>
      <c r="AO637" s="113">
        <f t="shared" si="979"/>
        <v>16.585440184935464</v>
      </c>
      <c r="AP637" s="113">
        <f t="shared" si="979"/>
        <v>16.613606557377047</v>
      </c>
      <c r="AQ637" s="113">
        <f t="shared" si="979"/>
        <v>16.608599412340844</v>
      </c>
      <c r="AR637" s="113">
        <f t="shared" si="979"/>
        <v>16.599377100604976</v>
      </c>
      <c r="AS637" s="113">
        <f t="shared" si="979"/>
        <v>16.587152682255848</v>
      </c>
      <c r="AT637" s="113">
        <f t="shared" si="979"/>
        <v>16.588280254777068</v>
      </c>
      <c r="AU637" s="113">
        <f t="shared" si="979"/>
        <v>16.5878431372549</v>
      </c>
      <c r="AV637" s="113">
        <f t="shared" si="979"/>
        <v>16.586472996685515</v>
      </c>
      <c r="AW637" s="113">
        <f t="shared" si="979"/>
        <v>16.595606811812893</v>
      </c>
      <c r="AX637" s="113">
        <f t="shared" si="979"/>
        <v>16.591864125932062</v>
      </c>
      <c r="AY637" s="113">
        <f t="shared" si="979"/>
        <v>16.58605355064028</v>
      </c>
      <c r="AZ637" s="113">
        <f t="shared" si="979"/>
        <v>16.608413590809093</v>
      </c>
      <c r="BA637" s="113">
        <f t="shared" si="979"/>
        <v>16.605124437070394</v>
      </c>
      <c r="BB637" s="113">
        <f t="shared" si="979"/>
        <v>16.602809457579973</v>
      </c>
      <c r="BC637" s="19"/>
    </row>
    <row r="638" spans="2:55" x14ac:dyDescent="0.25">
      <c r="B638" s="113" t="str">
        <f t="shared" si="973"/>
        <v>Product E Variable Cost / Unit (RM)</v>
      </c>
      <c r="C638" s="113">
        <f t="shared" ref="C638:AH638" si="980">IF(C767&gt;0,C630+C598+C590,0)</f>
        <v>15.896254641909813</v>
      </c>
      <c r="D638" s="113">
        <f t="shared" si="980"/>
        <v>15.887988684582744</v>
      </c>
      <c r="E638" s="113">
        <f t="shared" si="980"/>
        <v>15.884081096736821</v>
      </c>
      <c r="F638" s="113">
        <f t="shared" si="980"/>
        <v>15.911884892086331</v>
      </c>
      <c r="G638" s="113">
        <f t="shared" si="980"/>
        <v>15.906624877571009</v>
      </c>
      <c r="H638" s="113">
        <f t="shared" si="980"/>
        <v>15.897570244230337</v>
      </c>
      <c r="I638" s="113">
        <f t="shared" si="980"/>
        <v>15.893868506143566</v>
      </c>
      <c r="J638" s="113">
        <f t="shared" si="980"/>
        <v>15.890193869096933</v>
      </c>
      <c r="K638" s="113">
        <f t="shared" si="980"/>
        <v>15.884488940628637</v>
      </c>
      <c r="L638" s="113">
        <f t="shared" si="980"/>
        <v>15.908026792359216</v>
      </c>
      <c r="M638" s="113">
        <f t="shared" si="980"/>
        <v>15.903507487520798</v>
      </c>
      <c r="N638" s="113">
        <f t="shared" si="980"/>
        <v>15.900012861736334</v>
      </c>
      <c r="O638" s="113">
        <f t="shared" si="980"/>
        <v>15.896254641909813</v>
      </c>
      <c r="P638" s="113">
        <f t="shared" si="980"/>
        <v>15.887988684582744</v>
      </c>
      <c r="Q638" s="113">
        <f t="shared" si="980"/>
        <v>15.883886727027548</v>
      </c>
      <c r="R638" s="113">
        <f t="shared" si="980"/>
        <v>15.909027541311968</v>
      </c>
      <c r="S638" s="113">
        <f t="shared" si="980"/>
        <v>15.906624877571009</v>
      </c>
      <c r="T638" s="113">
        <f t="shared" si="980"/>
        <v>15.897657770800627</v>
      </c>
      <c r="U638" s="113">
        <f t="shared" si="980"/>
        <v>15.893868506143566</v>
      </c>
      <c r="V638" s="113">
        <f t="shared" si="980"/>
        <v>15.890644462947543</v>
      </c>
      <c r="W638" s="113">
        <f t="shared" si="980"/>
        <v>15.885787234042553</v>
      </c>
      <c r="X638" s="113">
        <f t="shared" si="980"/>
        <v>15.908026792359216</v>
      </c>
      <c r="Y638" s="113">
        <f t="shared" si="980"/>
        <v>15.903213083669115</v>
      </c>
      <c r="Z638" s="113">
        <f t="shared" si="980"/>
        <v>15.900940194714881</v>
      </c>
      <c r="AA638" s="113">
        <f t="shared" si="980"/>
        <v>15.896254641909813</v>
      </c>
      <c r="AB638" s="113">
        <f t="shared" si="980"/>
        <v>15.887882139253279</v>
      </c>
      <c r="AC638" s="113">
        <f t="shared" si="980"/>
        <v>15.884081096736821</v>
      </c>
      <c r="AD638" s="113">
        <f t="shared" si="980"/>
        <v>15.911540983606557</v>
      </c>
      <c r="AE638" s="113">
        <f t="shared" si="980"/>
        <v>15.906624877571009</v>
      </c>
      <c r="AF638" s="113">
        <f t="shared" si="980"/>
        <v>15.897570244230337</v>
      </c>
      <c r="AG638" s="113">
        <f t="shared" si="980"/>
        <v>15.893868506143566</v>
      </c>
      <c r="AH638" s="113">
        <f t="shared" si="980"/>
        <v>15.890644462947543</v>
      </c>
      <c r="AI638" s="113">
        <f t="shared" ref="AI638:BB638" si="981">IF(AI767&gt;0,AI630+AI598+AI590,0)</f>
        <v>15.885787234042553</v>
      </c>
      <c r="AJ638" s="113">
        <f t="shared" si="981"/>
        <v>15.908026792359216</v>
      </c>
      <c r="AK638" s="113">
        <f t="shared" si="981"/>
        <v>15.903213083669115</v>
      </c>
      <c r="AL638" s="113">
        <f t="shared" si="981"/>
        <v>15.900940194714881</v>
      </c>
      <c r="AM638" s="113">
        <f t="shared" si="981"/>
        <v>15.896254641909813</v>
      </c>
      <c r="AN638" s="113">
        <f t="shared" si="981"/>
        <v>15.887988684582744</v>
      </c>
      <c r="AO638" s="113">
        <f t="shared" si="981"/>
        <v>15.883886727027548</v>
      </c>
      <c r="AP638" s="113">
        <f t="shared" si="981"/>
        <v>15.911540983606557</v>
      </c>
      <c r="AQ638" s="113">
        <f t="shared" si="981"/>
        <v>15.906624877571009</v>
      </c>
      <c r="AR638" s="113">
        <f t="shared" si="981"/>
        <v>15.897570244230337</v>
      </c>
      <c r="AS638" s="113">
        <f t="shared" si="981"/>
        <v>15.885568088033011</v>
      </c>
      <c r="AT638" s="113">
        <f t="shared" si="981"/>
        <v>15.886675159235669</v>
      </c>
      <c r="AU638" s="113">
        <f t="shared" si="981"/>
        <v>15.886245989304813</v>
      </c>
      <c r="AV638" s="113">
        <f t="shared" si="981"/>
        <v>15.884900760382141</v>
      </c>
      <c r="AW638" s="113">
        <f t="shared" si="981"/>
        <v>15.893868506143566</v>
      </c>
      <c r="AX638" s="113">
        <f t="shared" si="981"/>
        <v>15.890193869096933</v>
      </c>
      <c r="AY638" s="113">
        <f t="shared" si="981"/>
        <v>15.884488940628637</v>
      </c>
      <c r="AZ638" s="113">
        <f t="shared" si="981"/>
        <v>15.906442434612565</v>
      </c>
      <c r="BA638" s="113">
        <f t="shared" si="981"/>
        <v>15.903213083669115</v>
      </c>
      <c r="BB638" s="113">
        <f t="shared" si="981"/>
        <v>15.900940194714881</v>
      </c>
      <c r="BC638" s="19"/>
    </row>
    <row r="639" spans="2:55" x14ac:dyDescent="0.25">
      <c r="B639" s="113" t="str">
        <f t="shared" si="973"/>
        <v>Product F Variable Cost / Unit (RM)</v>
      </c>
      <c r="C639" s="113">
        <f t="shared" ref="C639:AH639" si="982">IF(C768&gt;0,C631+C599+C591,0)</f>
        <v>0</v>
      </c>
      <c r="D639" s="113">
        <f t="shared" si="982"/>
        <v>16.985544554455444</v>
      </c>
      <c r="E639" s="113">
        <f t="shared" si="982"/>
        <v>16.981745510716355</v>
      </c>
      <c r="F639" s="113">
        <f t="shared" si="982"/>
        <v>0</v>
      </c>
      <c r="G639" s="113">
        <f t="shared" si="982"/>
        <v>0</v>
      </c>
      <c r="H639" s="113">
        <f t="shared" si="982"/>
        <v>16.994859959668386</v>
      </c>
      <c r="I639" s="113">
        <f t="shared" si="982"/>
        <v>16.991261047639579</v>
      </c>
      <c r="J639" s="113">
        <f t="shared" si="982"/>
        <v>16.987688483844241</v>
      </c>
      <c r="K639" s="113">
        <f t="shared" si="982"/>
        <v>16.982142025611175</v>
      </c>
      <c r="L639" s="113">
        <f t="shared" si="982"/>
        <v>17.005026048127014</v>
      </c>
      <c r="M639" s="113">
        <f t="shared" si="982"/>
        <v>17.000632279534109</v>
      </c>
      <c r="N639" s="113">
        <f t="shared" si="982"/>
        <v>16.997234726688102</v>
      </c>
      <c r="O639" s="113">
        <f t="shared" si="982"/>
        <v>0</v>
      </c>
      <c r="P639" s="113">
        <f t="shared" si="982"/>
        <v>16.985544554455444</v>
      </c>
      <c r="Q639" s="113">
        <f t="shared" si="982"/>
        <v>16.98155654016567</v>
      </c>
      <c r="R639" s="113">
        <f t="shared" si="982"/>
        <v>17.005998998497745</v>
      </c>
      <c r="S639" s="113">
        <f t="shared" si="982"/>
        <v>0</v>
      </c>
      <c r="T639" s="113">
        <f t="shared" si="982"/>
        <v>16.994945054945056</v>
      </c>
      <c r="U639" s="113">
        <f t="shared" si="982"/>
        <v>16.991261047639579</v>
      </c>
      <c r="V639" s="113">
        <f t="shared" si="982"/>
        <v>16.988126561199003</v>
      </c>
      <c r="W639" s="113">
        <f t="shared" si="982"/>
        <v>0</v>
      </c>
      <c r="X639" s="113">
        <f t="shared" si="982"/>
        <v>17.005026048127014</v>
      </c>
      <c r="Y639" s="113">
        <f t="shared" si="982"/>
        <v>17.000346053567196</v>
      </c>
      <c r="Z639" s="113">
        <f t="shared" si="982"/>
        <v>16.998136300417247</v>
      </c>
      <c r="AA639" s="113">
        <f t="shared" si="982"/>
        <v>0</v>
      </c>
      <c r="AB639" s="113">
        <f t="shared" si="982"/>
        <v>16.985440968718468</v>
      </c>
      <c r="AC639" s="113">
        <f t="shared" si="982"/>
        <v>16.981745510716355</v>
      </c>
      <c r="AD639" s="113">
        <f t="shared" si="982"/>
        <v>17.00844262295082</v>
      </c>
      <c r="AE639" s="113">
        <f t="shared" si="982"/>
        <v>0</v>
      </c>
      <c r="AF639" s="113">
        <f t="shared" si="982"/>
        <v>16.994859959668386</v>
      </c>
      <c r="AG639" s="113">
        <f t="shared" si="982"/>
        <v>16.991261047639579</v>
      </c>
      <c r="AH639" s="113">
        <f t="shared" si="982"/>
        <v>16.988126561199003</v>
      </c>
      <c r="AI639" s="113">
        <f t="shared" ref="AI639:BB639" si="983">IF(AI768&gt;0,AI631+AI599+AI591,0)</f>
        <v>0</v>
      </c>
      <c r="AJ639" s="113">
        <f t="shared" si="983"/>
        <v>17.005026048127014</v>
      </c>
      <c r="AK639" s="113">
        <f t="shared" si="983"/>
        <v>17.000346053567196</v>
      </c>
      <c r="AL639" s="113">
        <f t="shared" si="983"/>
        <v>16.998136300417247</v>
      </c>
      <c r="AM639" s="113">
        <f t="shared" si="983"/>
        <v>0</v>
      </c>
      <c r="AN639" s="113">
        <f t="shared" si="983"/>
        <v>16.985544554455444</v>
      </c>
      <c r="AO639" s="113">
        <f t="shared" si="983"/>
        <v>16.98155654016567</v>
      </c>
      <c r="AP639" s="113">
        <f t="shared" si="983"/>
        <v>17.00844262295082</v>
      </c>
      <c r="AQ639" s="113">
        <f t="shared" si="983"/>
        <v>0</v>
      </c>
      <c r="AR639" s="113">
        <f t="shared" si="983"/>
        <v>16.994859959668386</v>
      </c>
      <c r="AS639" s="113">
        <f t="shared" si="983"/>
        <v>16.983191196698762</v>
      </c>
      <c r="AT639" s="113">
        <f t="shared" si="983"/>
        <v>16.984267515923566</v>
      </c>
      <c r="AU639" s="113">
        <f t="shared" si="983"/>
        <v>16.98385026737968</v>
      </c>
      <c r="AV639" s="113">
        <f t="shared" si="983"/>
        <v>16.982542405927081</v>
      </c>
      <c r="AW639" s="113">
        <f t="shared" si="983"/>
        <v>16.991261047639579</v>
      </c>
      <c r="AX639" s="113">
        <f t="shared" si="983"/>
        <v>16.987688483844241</v>
      </c>
      <c r="AY639" s="113">
        <f t="shared" si="983"/>
        <v>16.982142025611175</v>
      </c>
      <c r="AZ639" s="113">
        <f t="shared" si="983"/>
        <v>17.003485700317771</v>
      </c>
      <c r="BA639" s="113">
        <f t="shared" si="983"/>
        <v>17.000346053567196</v>
      </c>
      <c r="BB639" s="113">
        <f t="shared" si="983"/>
        <v>16.998136300417247</v>
      </c>
      <c r="BC639" s="19"/>
    </row>
    <row r="640" spans="2:55" x14ac:dyDescent="0.25">
      <c r="B640" s="113" t="str">
        <f t="shared" si="973"/>
        <v>Product G Variable Cost / Unit (RM)</v>
      </c>
      <c r="C640" s="113">
        <f t="shared" ref="C640:AH640" si="984">IF(C769&gt;0,C632+C600+C592,0)</f>
        <v>0</v>
      </c>
      <c r="D640" s="113">
        <f t="shared" si="984"/>
        <v>14.973323903818955</v>
      </c>
      <c r="E640" s="113">
        <f t="shared" si="984"/>
        <v>14.970067580614019</v>
      </c>
      <c r="F640" s="113">
        <f t="shared" si="984"/>
        <v>14.993237410071943</v>
      </c>
      <c r="G640" s="113">
        <f t="shared" si="984"/>
        <v>0</v>
      </c>
      <c r="H640" s="113">
        <f t="shared" si="984"/>
        <v>0</v>
      </c>
      <c r="I640" s="113">
        <f t="shared" si="984"/>
        <v>14.978223755119638</v>
      </c>
      <c r="J640" s="113">
        <f t="shared" si="984"/>
        <v>14.97516155758078</v>
      </c>
      <c r="K640" s="113">
        <f t="shared" si="984"/>
        <v>0</v>
      </c>
      <c r="L640" s="113">
        <f t="shared" si="984"/>
        <v>0</v>
      </c>
      <c r="M640" s="113">
        <f t="shared" si="984"/>
        <v>14.986256239600666</v>
      </c>
      <c r="N640" s="113">
        <f t="shared" si="984"/>
        <v>14.983344051446945</v>
      </c>
      <c r="O640" s="113">
        <f t="shared" si="984"/>
        <v>0</v>
      </c>
      <c r="P640" s="113">
        <f t="shared" si="984"/>
        <v>0</v>
      </c>
      <c r="Q640" s="113">
        <f t="shared" si="984"/>
        <v>14.96990560585629</v>
      </c>
      <c r="R640" s="113">
        <f t="shared" si="984"/>
        <v>14.99085628442664</v>
      </c>
      <c r="S640" s="113">
        <f t="shared" si="984"/>
        <v>0</v>
      </c>
      <c r="T640" s="113">
        <f t="shared" si="984"/>
        <v>0</v>
      </c>
      <c r="U640" s="113">
        <f t="shared" si="984"/>
        <v>14.978223755119638</v>
      </c>
      <c r="V640" s="113">
        <f t="shared" si="984"/>
        <v>14.975537052456287</v>
      </c>
      <c r="W640" s="113">
        <f t="shared" si="984"/>
        <v>0</v>
      </c>
      <c r="X640" s="113">
        <f t="shared" si="984"/>
        <v>0</v>
      </c>
      <c r="Y640" s="113">
        <f t="shared" si="984"/>
        <v>14.986010903057597</v>
      </c>
      <c r="Z640" s="113">
        <f t="shared" si="984"/>
        <v>14.984116828929068</v>
      </c>
      <c r="AA640" s="113">
        <f t="shared" si="984"/>
        <v>0</v>
      </c>
      <c r="AB640" s="113">
        <f t="shared" si="984"/>
        <v>0</v>
      </c>
      <c r="AC640" s="113">
        <f t="shared" si="984"/>
        <v>14.970067580614019</v>
      </c>
      <c r="AD640" s="113">
        <f t="shared" si="984"/>
        <v>14.992950819672132</v>
      </c>
      <c r="AE640" s="113">
        <f t="shared" si="984"/>
        <v>0</v>
      </c>
      <c r="AF640" s="113">
        <f t="shared" si="984"/>
        <v>0</v>
      </c>
      <c r="AG640" s="113">
        <f t="shared" si="984"/>
        <v>14.978223755119638</v>
      </c>
      <c r="AH640" s="113">
        <f t="shared" si="984"/>
        <v>14.975537052456287</v>
      </c>
      <c r="AI640" s="113">
        <f t="shared" ref="AI640:BB640" si="985">IF(AI769&gt;0,AI632+AI600+AI592,0)</f>
        <v>0</v>
      </c>
      <c r="AJ640" s="113">
        <f t="shared" si="985"/>
        <v>0</v>
      </c>
      <c r="AK640" s="113">
        <f t="shared" si="985"/>
        <v>14.986010903057597</v>
      </c>
      <c r="AL640" s="113">
        <f t="shared" si="985"/>
        <v>14.984116828929068</v>
      </c>
      <c r="AM640" s="113">
        <f t="shared" si="985"/>
        <v>0</v>
      </c>
      <c r="AN640" s="113">
        <f t="shared" si="985"/>
        <v>0</v>
      </c>
      <c r="AO640" s="113">
        <f t="shared" si="985"/>
        <v>14.96990560585629</v>
      </c>
      <c r="AP640" s="113">
        <f t="shared" si="985"/>
        <v>14.992950819672132</v>
      </c>
      <c r="AQ640" s="113">
        <f t="shared" si="985"/>
        <v>0</v>
      </c>
      <c r="AR640" s="113">
        <f t="shared" si="985"/>
        <v>0</v>
      </c>
      <c r="AS640" s="113">
        <f t="shared" si="985"/>
        <v>14.971306740027511</v>
      </c>
      <c r="AT640" s="113">
        <f t="shared" si="985"/>
        <v>14.972229299363057</v>
      </c>
      <c r="AU640" s="113">
        <f t="shared" si="985"/>
        <v>0</v>
      </c>
      <c r="AV640" s="113">
        <f t="shared" si="985"/>
        <v>0</v>
      </c>
      <c r="AW640" s="113">
        <f t="shared" si="985"/>
        <v>14.978223755119638</v>
      </c>
      <c r="AX640" s="113">
        <f t="shared" si="985"/>
        <v>14.97516155758078</v>
      </c>
      <c r="AY640" s="113">
        <f t="shared" si="985"/>
        <v>0</v>
      </c>
      <c r="AZ640" s="113">
        <f t="shared" si="985"/>
        <v>0</v>
      </c>
      <c r="BA640" s="113">
        <f t="shared" si="985"/>
        <v>14.986010903057597</v>
      </c>
      <c r="BB640" s="113">
        <f t="shared" si="985"/>
        <v>14.984116828929068</v>
      </c>
      <c r="BC640" s="19"/>
    </row>
    <row r="641" spans="2:56" x14ac:dyDescent="0.25">
      <c r="B641" s="113" t="str">
        <f t="shared" si="973"/>
        <v>Product H Variable Cost / Unit (RM)</v>
      </c>
      <c r="C641" s="113">
        <f t="shared" ref="C641:AH641" si="986">IF(C770&gt;0,C633+C601+C593,0)</f>
        <v>0</v>
      </c>
      <c r="D641" s="113">
        <f t="shared" si="986"/>
        <v>0</v>
      </c>
      <c r="E641" s="113">
        <f t="shared" si="986"/>
        <v>0</v>
      </c>
      <c r="F641" s="113">
        <f t="shared" si="986"/>
        <v>15.395309352517986</v>
      </c>
      <c r="G641" s="113">
        <f t="shared" si="986"/>
        <v>0</v>
      </c>
      <c r="H641" s="113">
        <f t="shared" si="986"/>
        <v>0</v>
      </c>
      <c r="I641" s="113">
        <f t="shared" si="986"/>
        <v>0</v>
      </c>
      <c r="J641" s="113">
        <f t="shared" si="986"/>
        <v>15.376831814415908</v>
      </c>
      <c r="K641" s="113">
        <f t="shared" si="986"/>
        <v>0</v>
      </c>
      <c r="L641" s="113">
        <f t="shared" si="986"/>
        <v>0</v>
      </c>
      <c r="M641" s="113">
        <f t="shared" si="986"/>
        <v>0</v>
      </c>
      <c r="N641" s="113">
        <f t="shared" si="986"/>
        <v>15.385196141479099</v>
      </c>
      <c r="O641" s="113">
        <f t="shared" si="986"/>
        <v>0</v>
      </c>
      <c r="P641" s="113">
        <f t="shared" si="986"/>
        <v>0</v>
      </c>
      <c r="Q641" s="113">
        <f t="shared" si="986"/>
        <v>15.371459063764206</v>
      </c>
      <c r="R641" s="113">
        <f t="shared" si="986"/>
        <v>15.392875312969455</v>
      </c>
      <c r="S641" s="113">
        <f t="shared" si="986"/>
        <v>0</v>
      </c>
      <c r="T641" s="113">
        <f t="shared" si="986"/>
        <v>0</v>
      </c>
      <c r="U641" s="113">
        <f t="shared" si="986"/>
        <v>0</v>
      </c>
      <c r="V641" s="113">
        <f t="shared" si="986"/>
        <v>15.377215653621981</v>
      </c>
      <c r="W641" s="113">
        <f t="shared" si="986"/>
        <v>15.373078014184397</v>
      </c>
      <c r="X641" s="113">
        <f t="shared" si="986"/>
        <v>0</v>
      </c>
      <c r="Y641" s="113">
        <f t="shared" si="986"/>
        <v>0</v>
      </c>
      <c r="Z641" s="113">
        <f t="shared" si="986"/>
        <v>15.385986091794159</v>
      </c>
      <c r="AA641" s="113">
        <f t="shared" si="986"/>
        <v>0</v>
      </c>
      <c r="AB641" s="113">
        <f t="shared" si="986"/>
        <v>15.374862563067609</v>
      </c>
      <c r="AC641" s="113">
        <f t="shared" si="986"/>
        <v>0</v>
      </c>
      <c r="AD641" s="113">
        <f t="shared" si="986"/>
        <v>15.395016393442623</v>
      </c>
      <c r="AE641" s="113">
        <f t="shared" si="986"/>
        <v>0</v>
      </c>
      <c r="AF641" s="113">
        <f t="shared" si="986"/>
        <v>0</v>
      </c>
      <c r="AG641" s="113">
        <f t="shared" si="986"/>
        <v>0</v>
      </c>
      <c r="AH641" s="113">
        <f t="shared" si="986"/>
        <v>15.377215653621981</v>
      </c>
      <c r="AI641" s="113">
        <f t="shared" ref="AI641:BB641" si="987">IF(AI770&gt;0,AI633+AI601+AI593,0)</f>
        <v>15.373078014184397</v>
      </c>
      <c r="AJ641" s="113">
        <f t="shared" si="987"/>
        <v>0</v>
      </c>
      <c r="AK641" s="113">
        <f t="shared" si="987"/>
        <v>0</v>
      </c>
      <c r="AL641" s="113">
        <f t="shared" si="987"/>
        <v>15.385986091794159</v>
      </c>
      <c r="AM641" s="113">
        <f t="shared" si="987"/>
        <v>0</v>
      </c>
      <c r="AN641" s="113">
        <f t="shared" si="987"/>
        <v>0</v>
      </c>
      <c r="AO641" s="113">
        <f t="shared" si="987"/>
        <v>15.371459063764206</v>
      </c>
      <c r="AP641" s="113">
        <f t="shared" si="987"/>
        <v>15.395016393442623</v>
      </c>
      <c r="AQ641" s="113">
        <f t="shared" si="987"/>
        <v>0</v>
      </c>
      <c r="AR641" s="113">
        <f t="shared" si="987"/>
        <v>0</v>
      </c>
      <c r="AS641" s="113">
        <f t="shared" si="987"/>
        <v>0</v>
      </c>
      <c r="AT641" s="113">
        <f t="shared" si="987"/>
        <v>15.373834394904458</v>
      </c>
      <c r="AU641" s="113">
        <f t="shared" si="987"/>
        <v>0</v>
      </c>
      <c r="AV641" s="113">
        <f t="shared" si="987"/>
        <v>0</v>
      </c>
      <c r="AW641" s="113">
        <f t="shared" si="987"/>
        <v>0</v>
      </c>
      <c r="AX641" s="113">
        <f t="shared" si="987"/>
        <v>15.376831814415908</v>
      </c>
      <c r="AY641" s="113">
        <f t="shared" si="987"/>
        <v>0</v>
      </c>
      <c r="AZ641" s="113">
        <f t="shared" si="987"/>
        <v>0</v>
      </c>
      <c r="BA641" s="113">
        <f t="shared" si="987"/>
        <v>0</v>
      </c>
      <c r="BB641" s="113">
        <f t="shared" si="987"/>
        <v>15.385986091794159</v>
      </c>
      <c r="BC641" s="19"/>
    </row>
    <row r="642" spans="2:56" x14ac:dyDescent="0.25">
      <c r="B642" s="19" t="s">
        <v>406</v>
      </c>
      <c r="C642" s="19">
        <f t="shared" ref="C642:AH642" si="988">C634*C763</f>
        <v>140221.90981432362</v>
      </c>
      <c r="D642" s="19">
        <f t="shared" si="988"/>
        <v>0</v>
      </c>
      <c r="E642" s="19">
        <f t="shared" si="988"/>
        <v>77850.337903070089</v>
      </c>
      <c r="F642" s="19">
        <f t="shared" si="988"/>
        <v>0</v>
      </c>
      <c r="G642" s="19">
        <f t="shared" si="988"/>
        <v>140299.68658178256</v>
      </c>
      <c r="H642" s="19">
        <f t="shared" si="988"/>
        <v>0</v>
      </c>
      <c r="I642" s="19">
        <f t="shared" si="988"/>
        <v>0</v>
      </c>
      <c r="J642" s="19">
        <f t="shared" si="988"/>
        <v>0</v>
      </c>
      <c r="K642" s="19">
        <f t="shared" si="988"/>
        <v>140133.66705471478</v>
      </c>
      <c r="L642" s="19">
        <f t="shared" si="988"/>
        <v>0</v>
      </c>
      <c r="M642" s="19">
        <f t="shared" si="988"/>
        <v>0</v>
      </c>
      <c r="N642" s="19">
        <f t="shared" si="988"/>
        <v>0</v>
      </c>
      <c r="O642" s="19">
        <f t="shared" si="988"/>
        <v>140221.90981432362</v>
      </c>
      <c r="P642" s="19">
        <f t="shared" si="988"/>
        <v>46719.971711456863</v>
      </c>
      <c r="Q642" s="19">
        <f t="shared" si="988"/>
        <v>0</v>
      </c>
      <c r="R642" s="19">
        <f t="shared" si="988"/>
        <v>0</v>
      </c>
      <c r="S642" s="19">
        <f t="shared" si="988"/>
        <v>140299.68658178256</v>
      </c>
      <c r="T642" s="19">
        <f t="shared" si="988"/>
        <v>0</v>
      </c>
      <c r="U642" s="19">
        <f t="shared" si="988"/>
        <v>0</v>
      </c>
      <c r="V642" s="19">
        <f t="shared" si="988"/>
        <v>46726.611157368861</v>
      </c>
      <c r="W642" s="19">
        <f t="shared" si="988"/>
        <v>140143.40425531915</v>
      </c>
      <c r="X642" s="19">
        <f t="shared" si="988"/>
        <v>0</v>
      </c>
      <c r="Y642" s="19">
        <f t="shared" si="988"/>
        <v>0</v>
      </c>
      <c r="Z642" s="19">
        <f t="shared" si="988"/>
        <v>0</v>
      </c>
      <c r="AA642" s="19">
        <f t="shared" si="988"/>
        <v>140221.90981432362</v>
      </c>
      <c r="AB642" s="19">
        <f t="shared" si="988"/>
        <v>0</v>
      </c>
      <c r="AC642" s="19">
        <f t="shared" si="988"/>
        <v>93420.40548368411</v>
      </c>
      <c r="AD642" s="19">
        <f t="shared" si="988"/>
        <v>0</v>
      </c>
      <c r="AE642" s="19">
        <f t="shared" si="988"/>
        <v>140299.68658178256</v>
      </c>
      <c r="AF642" s="19">
        <f t="shared" si="988"/>
        <v>0</v>
      </c>
      <c r="AG642" s="19">
        <f t="shared" si="988"/>
        <v>0</v>
      </c>
      <c r="AH642" s="19">
        <f t="shared" si="988"/>
        <v>46726.611157368861</v>
      </c>
      <c r="AI642" s="19">
        <f t="shared" ref="AI642:BB642" si="989">AI634*AI763</f>
        <v>140143.40425531915</v>
      </c>
      <c r="AJ642" s="19">
        <f t="shared" si="989"/>
        <v>0</v>
      </c>
      <c r="AK642" s="19">
        <f t="shared" si="989"/>
        <v>0</v>
      </c>
      <c r="AL642" s="19">
        <f t="shared" si="989"/>
        <v>0</v>
      </c>
      <c r="AM642" s="19">
        <f t="shared" si="989"/>
        <v>140221.90981432362</v>
      </c>
      <c r="AN642" s="19">
        <f t="shared" si="989"/>
        <v>46719.971711456863</v>
      </c>
      <c r="AO642" s="19">
        <f t="shared" si="989"/>
        <v>0</v>
      </c>
      <c r="AP642" s="19">
        <f t="shared" si="989"/>
        <v>0</v>
      </c>
      <c r="AQ642" s="19">
        <f t="shared" si="989"/>
        <v>140299.68658178256</v>
      </c>
      <c r="AR642" s="19">
        <f t="shared" si="989"/>
        <v>0</v>
      </c>
      <c r="AS642" s="19">
        <f t="shared" si="989"/>
        <v>77856.533700137559</v>
      </c>
      <c r="AT642" s="19">
        <f t="shared" si="989"/>
        <v>0</v>
      </c>
      <c r="AU642" s="19">
        <f t="shared" si="989"/>
        <v>140146.84491978609</v>
      </c>
      <c r="AV642" s="19">
        <f t="shared" si="989"/>
        <v>77853.753168258918</v>
      </c>
      <c r="AW642" s="19">
        <f t="shared" si="989"/>
        <v>0</v>
      </c>
      <c r="AX642" s="19">
        <f t="shared" si="989"/>
        <v>0</v>
      </c>
      <c r="AY642" s="19">
        <f t="shared" si="989"/>
        <v>140133.66705471478</v>
      </c>
      <c r="AZ642" s="19">
        <f t="shared" si="989"/>
        <v>0</v>
      </c>
      <c r="BA642" s="19">
        <f t="shared" si="989"/>
        <v>0</v>
      </c>
      <c r="BB642" s="19">
        <f t="shared" si="989"/>
        <v>0</v>
      </c>
      <c r="BC642" s="19">
        <f>SUM(C642:BB642)</f>
        <v>2336661.5691170804</v>
      </c>
      <c r="BD642" s="129"/>
    </row>
    <row r="643" spans="2:56" x14ac:dyDescent="0.25">
      <c r="B643" s="19" t="s">
        <v>407</v>
      </c>
      <c r="C643" s="19">
        <f t="shared" ref="C643:AH643" si="990">C635*C764</f>
        <v>135898.73740053052</v>
      </c>
      <c r="D643" s="19">
        <f t="shared" si="990"/>
        <v>152818.57425742573</v>
      </c>
      <c r="E643" s="19">
        <f t="shared" si="990"/>
        <v>0</v>
      </c>
      <c r="F643" s="19">
        <f t="shared" si="990"/>
        <v>102009.1510791367</v>
      </c>
      <c r="G643" s="19">
        <f t="shared" si="990"/>
        <v>135974.01762977472</v>
      </c>
      <c r="H643" s="19">
        <f t="shared" si="990"/>
        <v>152896.82366121447</v>
      </c>
      <c r="I643" s="19">
        <f t="shared" si="990"/>
        <v>0</v>
      </c>
      <c r="J643" s="19">
        <f t="shared" si="990"/>
        <v>50945.527754763876</v>
      </c>
      <c r="K643" s="19">
        <f t="shared" si="990"/>
        <v>135813.32712456345</v>
      </c>
      <c r="L643" s="19">
        <f t="shared" si="990"/>
        <v>152982.21880426694</v>
      </c>
      <c r="M643" s="19">
        <f t="shared" si="990"/>
        <v>0</v>
      </c>
      <c r="N643" s="19">
        <f t="shared" si="990"/>
        <v>0</v>
      </c>
      <c r="O643" s="19">
        <f t="shared" si="990"/>
        <v>135898.73740053052</v>
      </c>
      <c r="P643" s="19">
        <f t="shared" si="990"/>
        <v>152818.57425742573</v>
      </c>
      <c r="Q643" s="19">
        <f t="shared" si="990"/>
        <v>0</v>
      </c>
      <c r="R643" s="19">
        <f t="shared" si="990"/>
        <v>0</v>
      </c>
      <c r="S643" s="19">
        <f t="shared" si="990"/>
        <v>135974.01762977472</v>
      </c>
      <c r="T643" s="19">
        <f t="shared" si="990"/>
        <v>152897.53846153847</v>
      </c>
      <c r="U643" s="19">
        <f t="shared" si="990"/>
        <v>0</v>
      </c>
      <c r="V643" s="19">
        <f t="shared" si="990"/>
        <v>0</v>
      </c>
      <c r="W643" s="19">
        <f t="shared" si="990"/>
        <v>135822.75177304965</v>
      </c>
      <c r="X643" s="19">
        <f t="shared" si="990"/>
        <v>152982.21880426694</v>
      </c>
      <c r="Y643" s="19">
        <f t="shared" si="990"/>
        <v>0</v>
      </c>
      <c r="Z643" s="19">
        <f t="shared" si="990"/>
        <v>0</v>
      </c>
      <c r="AA643" s="19">
        <f t="shared" si="990"/>
        <v>135898.73740053052</v>
      </c>
      <c r="AB643" s="19">
        <f t="shared" si="990"/>
        <v>152817.70413723512</v>
      </c>
      <c r="AC643" s="19">
        <f t="shared" si="990"/>
        <v>0</v>
      </c>
      <c r="AD643" s="19">
        <f t="shared" si="990"/>
        <v>0</v>
      </c>
      <c r="AE643" s="19">
        <f t="shared" si="990"/>
        <v>135974.01762977472</v>
      </c>
      <c r="AF643" s="19">
        <f t="shared" si="990"/>
        <v>152896.82366121447</v>
      </c>
      <c r="AG643" s="19">
        <f t="shared" si="990"/>
        <v>0</v>
      </c>
      <c r="AH643" s="19">
        <f t="shared" si="990"/>
        <v>0</v>
      </c>
      <c r="AI643" s="19">
        <f t="shared" ref="AI643:BB643" si="991">AI635*AI764</f>
        <v>135822.75177304965</v>
      </c>
      <c r="AJ643" s="19">
        <f t="shared" si="991"/>
        <v>152982.21880426694</v>
      </c>
      <c r="AK643" s="19">
        <f t="shared" si="991"/>
        <v>0</v>
      </c>
      <c r="AL643" s="19">
        <f t="shared" si="991"/>
        <v>0</v>
      </c>
      <c r="AM643" s="19">
        <f t="shared" si="991"/>
        <v>135898.73740053052</v>
      </c>
      <c r="AN643" s="19">
        <f t="shared" si="991"/>
        <v>152818.57425742573</v>
      </c>
      <c r="AO643" s="19">
        <f t="shared" si="991"/>
        <v>0</v>
      </c>
      <c r="AP643" s="19">
        <f t="shared" si="991"/>
        <v>0</v>
      </c>
      <c r="AQ643" s="19">
        <f t="shared" si="991"/>
        <v>135974.01762977472</v>
      </c>
      <c r="AR643" s="19">
        <f t="shared" si="991"/>
        <v>152896.82366121447</v>
      </c>
      <c r="AS643" s="19">
        <f t="shared" si="991"/>
        <v>0</v>
      </c>
      <c r="AT643" s="19">
        <f t="shared" si="991"/>
        <v>84893.248407643332</v>
      </c>
      <c r="AU643" s="19">
        <f t="shared" si="991"/>
        <v>135826.08199643495</v>
      </c>
      <c r="AV643" s="19">
        <f t="shared" si="991"/>
        <v>152793.35620978748</v>
      </c>
      <c r="AW643" s="19">
        <f t="shared" si="991"/>
        <v>0</v>
      </c>
      <c r="AX643" s="19">
        <f t="shared" si="991"/>
        <v>50945.527754763876</v>
      </c>
      <c r="AY643" s="19">
        <f t="shared" si="991"/>
        <v>135813.32712456345</v>
      </c>
      <c r="AZ643" s="19">
        <f t="shared" si="991"/>
        <v>50989.759960889758</v>
      </c>
      <c r="BA643" s="19">
        <f t="shared" si="991"/>
        <v>0</v>
      </c>
      <c r="BB643" s="19">
        <f t="shared" si="991"/>
        <v>0</v>
      </c>
      <c r="BC643" s="19">
        <f t="shared" ref="BC643:BC649" si="992">SUM(C643:BB643)</f>
        <v>3940973.9238473629</v>
      </c>
      <c r="BD643" s="129"/>
    </row>
    <row r="644" spans="2:56" x14ac:dyDescent="0.25">
      <c r="B644" s="19" t="s">
        <v>408</v>
      </c>
      <c r="C644" s="19">
        <f t="shared" ref="C644:AH644" si="993">C636*C765</f>
        <v>150855.59681697612</v>
      </c>
      <c r="D644" s="19">
        <f t="shared" si="993"/>
        <v>120625.6973125884</v>
      </c>
      <c r="E644" s="19">
        <f t="shared" si="993"/>
        <v>135672.64877389459</v>
      </c>
      <c r="F644" s="19">
        <f t="shared" si="993"/>
        <v>0</v>
      </c>
      <c r="G644" s="19">
        <f t="shared" si="993"/>
        <v>150947.77668952008</v>
      </c>
      <c r="H644" s="19">
        <f t="shared" si="993"/>
        <v>120693.83284786018</v>
      </c>
      <c r="I644" s="19">
        <f t="shared" si="993"/>
        <v>135750.94804914852</v>
      </c>
      <c r="J644" s="19">
        <f t="shared" si="993"/>
        <v>0</v>
      </c>
      <c r="K644" s="19">
        <f t="shared" si="993"/>
        <v>150751.01280558787</v>
      </c>
      <c r="L644" s="19">
        <f t="shared" si="993"/>
        <v>120768.19052344331</v>
      </c>
      <c r="M644" s="19">
        <f t="shared" si="993"/>
        <v>135828.05990016638</v>
      </c>
      <c r="N644" s="19">
        <f t="shared" si="993"/>
        <v>0</v>
      </c>
      <c r="O644" s="19">
        <f t="shared" si="993"/>
        <v>150855.59681697612</v>
      </c>
      <c r="P644" s="19">
        <f t="shared" si="993"/>
        <v>120625.6973125884</v>
      </c>
      <c r="Q644" s="19">
        <f t="shared" si="993"/>
        <v>135671.09381622038</v>
      </c>
      <c r="R644" s="19">
        <f t="shared" si="993"/>
        <v>0</v>
      </c>
      <c r="S644" s="19">
        <f t="shared" si="993"/>
        <v>150947.77668952008</v>
      </c>
      <c r="T644" s="19">
        <f t="shared" si="993"/>
        <v>120694.45525902668</v>
      </c>
      <c r="U644" s="19">
        <f t="shared" si="993"/>
        <v>135750.94804914852</v>
      </c>
      <c r="V644" s="19">
        <f t="shared" si="993"/>
        <v>0</v>
      </c>
      <c r="W644" s="19">
        <f t="shared" si="993"/>
        <v>150762.55319148937</v>
      </c>
      <c r="X644" s="19">
        <f t="shared" si="993"/>
        <v>120768.19052344331</v>
      </c>
      <c r="Y644" s="19">
        <f t="shared" si="993"/>
        <v>135825.70466935294</v>
      </c>
      <c r="Z644" s="19">
        <f t="shared" si="993"/>
        <v>0</v>
      </c>
      <c r="AA644" s="19">
        <f t="shared" si="993"/>
        <v>150855.59681697612</v>
      </c>
      <c r="AB644" s="19">
        <f t="shared" si="993"/>
        <v>120624.9396569122</v>
      </c>
      <c r="AC644" s="19">
        <f t="shared" si="993"/>
        <v>135672.64877389459</v>
      </c>
      <c r="AD644" s="19">
        <f t="shared" si="993"/>
        <v>0</v>
      </c>
      <c r="AE644" s="19">
        <f t="shared" si="993"/>
        <v>150947.77668952008</v>
      </c>
      <c r="AF644" s="19">
        <f t="shared" si="993"/>
        <v>120693.83284786018</v>
      </c>
      <c r="AG644" s="19">
        <f t="shared" si="993"/>
        <v>135750.94804914852</v>
      </c>
      <c r="AH644" s="19">
        <f t="shared" si="993"/>
        <v>0</v>
      </c>
      <c r="AI644" s="19">
        <f t="shared" ref="AI644:BB644" si="994">AI636*AI765</f>
        <v>150762.55319148937</v>
      </c>
      <c r="AJ644" s="19">
        <f t="shared" si="994"/>
        <v>120768.19052344331</v>
      </c>
      <c r="AK644" s="19">
        <f t="shared" si="994"/>
        <v>135825.70466935294</v>
      </c>
      <c r="AL644" s="19">
        <f t="shared" si="994"/>
        <v>0</v>
      </c>
      <c r="AM644" s="19">
        <f t="shared" si="994"/>
        <v>150855.59681697612</v>
      </c>
      <c r="AN644" s="19">
        <f t="shared" si="994"/>
        <v>120625.6973125884</v>
      </c>
      <c r="AO644" s="19">
        <f t="shared" si="994"/>
        <v>135671.09381622038</v>
      </c>
      <c r="AP644" s="19">
        <f t="shared" si="994"/>
        <v>0</v>
      </c>
      <c r="AQ644" s="19">
        <f t="shared" si="994"/>
        <v>150947.77668952008</v>
      </c>
      <c r="AR644" s="19">
        <f t="shared" si="994"/>
        <v>120693.83284786018</v>
      </c>
      <c r="AS644" s="19">
        <f t="shared" si="994"/>
        <v>135684.54470426409</v>
      </c>
      <c r="AT644" s="19">
        <f t="shared" si="994"/>
        <v>0</v>
      </c>
      <c r="AU644" s="19">
        <f t="shared" si="994"/>
        <v>150766.63101604278</v>
      </c>
      <c r="AV644" s="19">
        <f t="shared" si="994"/>
        <v>120603.73874049522</v>
      </c>
      <c r="AW644" s="19">
        <f t="shared" si="994"/>
        <v>135750.94804914852</v>
      </c>
      <c r="AX644" s="19">
        <f t="shared" si="994"/>
        <v>0</v>
      </c>
      <c r="AY644" s="19">
        <f t="shared" si="994"/>
        <v>150751.01280558787</v>
      </c>
      <c r="AZ644" s="19">
        <f t="shared" si="994"/>
        <v>120756.92397946712</v>
      </c>
      <c r="BA644" s="19">
        <f t="shared" si="994"/>
        <v>135825.70466935294</v>
      </c>
      <c r="BB644" s="19">
        <f t="shared" si="994"/>
        <v>0</v>
      </c>
      <c r="BC644" s="19">
        <f t="shared" si="992"/>
        <v>5294631.4727130728</v>
      </c>
      <c r="BD644" s="129"/>
    </row>
    <row r="645" spans="2:56" x14ac:dyDescent="0.25">
      <c r="B645" s="19" t="s">
        <v>409</v>
      </c>
      <c r="C645" s="19">
        <f t="shared" ref="C645:AH645" si="995">C637*C766</f>
        <v>215774.48275862072</v>
      </c>
      <c r="D645" s="19">
        <f t="shared" si="995"/>
        <v>165896.18104667607</v>
      </c>
      <c r="E645" s="19">
        <f t="shared" si="995"/>
        <v>132685.10523267041</v>
      </c>
      <c r="F645" s="19">
        <f t="shared" si="995"/>
        <v>149525.61151079135</v>
      </c>
      <c r="G645" s="19">
        <f t="shared" si="995"/>
        <v>149477.39471106761</v>
      </c>
      <c r="H645" s="19">
        <f t="shared" si="995"/>
        <v>165993.77100604976</v>
      </c>
      <c r="I645" s="19">
        <f t="shared" si="995"/>
        <v>132764.85449450315</v>
      </c>
      <c r="J645" s="19">
        <f t="shared" si="995"/>
        <v>149326.77713338856</v>
      </c>
      <c r="K645" s="19">
        <f t="shared" si="995"/>
        <v>215618.69615832364</v>
      </c>
      <c r="L645" s="19">
        <f t="shared" si="995"/>
        <v>166100.27288514018</v>
      </c>
      <c r="M645" s="19">
        <f t="shared" si="995"/>
        <v>132843.39434276204</v>
      </c>
      <c r="N645" s="19">
        <f t="shared" si="995"/>
        <v>149416.7845659164</v>
      </c>
      <c r="O645" s="19">
        <f t="shared" si="995"/>
        <v>215774.48275862072</v>
      </c>
      <c r="P645" s="19">
        <f t="shared" si="995"/>
        <v>165896.18104667607</v>
      </c>
      <c r="Q645" s="19">
        <f t="shared" si="995"/>
        <v>132683.52147948372</v>
      </c>
      <c r="R645" s="19">
        <f t="shared" si="995"/>
        <v>149499.41912869303</v>
      </c>
      <c r="S645" s="19">
        <f t="shared" si="995"/>
        <v>149477.39471106761</v>
      </c>
      <c r="T645" s="19">
        <f t="shared" si="995"/>
        <v>132795.72998430143</v>
      </c>
      <c r="U645" s="19">
        <f t="shared" si="995"/>
        <v>132764.85449450315</v>
      </c>
      <c r="V645" s="19">
        <f t="shared" si="995"/>
        <v>149330.90757701913</v>
      </c>
      <c r="W645" s="19">
        <f t="shared" si="995"/>
        <v>215635.88652482274</v>
      </c>
      <c r="X645" s="19">
        <f t="shared" si="995"/>
        <v>166100.27288514018</v>
      </c>
      <c r="Y645" s="19">
        <f t="shared" si="995"/>
        <v>132840.99549656315</v>
      </c>
      <c r="Z645" s="19">
        <f t="shared" si="995"/>
        <v>116219.66620305981</v>
      </c>
      <c r="AA645" s="19">
        <f t="shared" si="995"/>
        <v>215774.48275862072</v>
      </c>
      <c r="AB645" s="19">
        <f t="shared" si="995"/>
        <v>165895.09586276489</v>
      </c>
      <c r="AC645" s="19">
        <f t="shared" si="995"/>
        <v>132685.10523267041</v>
      </c>
      <c r="AD645" s="19">
        <f t="shared" si="995"/>
        <v>149522.45901639343</v>
      </c>
      <c r="AE645" s="19">
        <f t="shared" si="995"/>
        <v>149477.39471106761</v>
      </c>
      <c r="AF645" s="19">
        <f t="shared" si="995"/>
        <v>165993.77100604976</v>
      </c>
      <c r="AG645" s="19">
        <f t="shared" si="995"/>
        <v>132764.85449450315</v>
      </c>
      <c r="AH645" s="19">
        <f t="shared" si="995"/>
        <v>149330.90757701913</v>
      </c>
      <c r="AI645" s="19">
        <f t="shared" ref="AI645:BB645" si="996">AI637*AI766</f>
        <v>215635.88652482274</v>
      </c>
      <c r="AJ645" s="19">
        <f t="shared" si="996"/>
        <v>166100.27288514018</v>
      </c>
      <c r="AK645" s="19">
        <f t="shared" si="996"/>
        <v>132840.99549656315</v>
      </c>
      <c r="AL645" s="19">
        <f t="shared" si="996"/>
        <v>116219.66620305981</v>
      </c>
      <c r="AM645" s="19">
        <f t="shared" si="996"/>
        <v>215774.48275862072</v>
      </c>
      <c r="AN645" s="19">
        <f t="shared" si="996"/>
        <v>165896.18104667607</v>
      </c>
      <c r="AO645" s="19">
        <f t="shared" si="996"/>
        <v>132683.52147948372</v>
      </c>
      <c r="AP645" s="19">
        <f t="shared" si="996"/>
        <v>149522.45901639343</v>
      </c>
      <c r="AQ645" s="19">
        <f t="shared" si="996"/>
        <v>149477.39471106761</v>
      </c>
      <c r="AR645" s="19">
        <f t="shared" si="996"/>
        <v>165993.77100604976</v>
      </c>
      <c r="AS645" s="19">
        <f t="shared" si="996"/>
        <v>132697.22145804678</v>
      </c>
      <c r="AT645" s="19">
        <f t="shared" si="996"/>
        <v>149294.52229299361</v>
      </c>
      <c r="AU645" s="19">
        <f t="shared" si="996"/>
        <v>215641.96078431371</v>
      </c>
      <c r="AV645" s="19">
        <f t="shared" si="996"/>
        <v>165864.72996685514</v>
      </c>
      <c r="AW645" s="19">
        <f t="shared" si="996"/>
        <v>132764.85449450315</v>
      </c>
      <c r="AX645" s="19">
        <f t="shared" si="996"/>
        <v>149326.77713338856</v>
      </c>
      <c r="AY645" s="19">
        <f t="shared" si="996"/>
        <v>215618.69615832364</v>
      </c>
      <c r="AZ645" s="19">
        <f t="shared" si="996"/>
        <v>166084.13590809092</v>
      </c>
      <c r="BA645" s="19">
        <f t="shared" si="996"/>
        <v>132840.99549656315</v>
      </c>
      <c r="BB645" s="19">
        <f t="shared" si="996"/>
        <v>116219.66620305981</v>
      </c>
      <c r="BC645" s="19">
        <f t="shared" si="992"/>
        <v>8232384.8998189652</v>
      </c>
      <c r="BD645" s="129"/>
    </row>
    <row r="646" spans="2:56" x14ac:dyDescent="0.25">
      <c r="B646" s="19" t="s">
        <v>410</v>
      </c>
      <c r="C646" s="19">
        <f t="shared" ref="C646:AH646" si="997">C638*C767</f>
        <v>79481.273209549065</v>
      </c>
      <c r="D646" s="19">
        <f t="shared" si="997"/>
        <v>206543.85289957566</v>
      </c>
      <c r="E646" s="19">
        <f t="shared" si="997"/>
        <v>158840.81096736822</v>
      </c>
      <c r="F646" s="19">
        <f t="shared" si="997"/>
        <v>127295.07913669065</v>
      </c>
      <c r="G646" s="19">
        <f t="shared" si="997"/>
        <v>79533.124387855045</v>
      </c>
      <c r="H646" s="19">
        <f t="shared" si="997"/>
        <v>174873.27268653372</v>
      </c>
      <c r="I646" s="19">
        <f t="shared" si="997"/>
        <v>158938.68506143565</v>
      </c>
      <c r="J646" s="19">
        <f t="shared" si="997"/>
        <v>127121.55095277546</v>
      </c>
      <c r="K646" s="19">
        <f t="shared" si="997"/>
        <v>79422.444703143192</v>
      </c>
      <c r="L646" s="19">
        <f t="shared" si="997"/>
        <v>111356.18754651451</v>
      </c>
      <c r="M646" s="19">
        <f t="shared" si="997"/>
        <v>95421.044925124792</v>
      </c>
      <c r="N646" s="19">
        <f t="shared" si="997"/>
        <v>127200.10289389067</v>
      </c>
      <c r="O646" s="19">
        <f t="shared" si="997"/>
        <v>79481.273209549065</v>
      </c>
      <c r="P646" s="19">
        <f t="shared" si="997"/>
        <v>206543.85289957566</v>
      </c>
      <c r="Q646" s="19">
        <f t="shared" si="997"/>
        <v>158838.86727027548</v>
      </c>
      <c r="R646" s="19">
        <f t="shared" si="997"/>
        <v>127272.22033049574</v>
      </c>
      <c r="S646" s="19">
        <f t="shared" si="997"/>
        <v>79533.124387855045</v>
      </c>
      <c r="T646" s="19">
        <f t="shared" si="997"/>
        <v>206669.55102040817</v>
      </c>
      <c r="U646" s="19">
        <f t="shared" si="997"/>
        <v>158938.68506143565</v>
      </c>
      <c r="V646" s="19">
        <f t="shared" si="997"/>
        <v>127125.15570358034</v>
      </c>
      <c r="W646" s="19">
        <f t="shared" si="997"/>
        <v>79428.936170212764</v>
      </c>
      <c r="X646" s="19">
        <f t="shared" si="997"/>
        <v>111356.18754651451</v>
      </c>
      <c r="Y646" s="19">
        <f t="shared" si="997"/>
        <v>159032.13083669115</v>
      </c>
      <c r="Z646" s="19">
        <f t="shared" si="997"/>
        <v>127207.52155771905</v>
      </c>
      <c r="AA646" s="19">
        <f t="shared" si="997"/>
        <v>79481.273209549065</v>
      </c>
      <c r="AB646" s="19">
        <f t="shared" si="997"/>
        <v>206542.46781029261</v>
      </c>
      <c r="AC646" s="19">
        <f t="shared" si="997"/>
        <v>158840.81096736822</v>
      </c>
      <c r="AD646" s="19">
        <f t="shared" si="997"/>
        <v>127292.32786885246</v>
      </c>
      <c r="AE646" s="19">
        <f t="shared" si="997"/>
        <v>79533.124387855045</v>
      </c>
      <c r="AF646" s="19">
        <f t="shared" si="997"/>
        <v>174873.27268653372</v>
      </c>
      <c r="AG646" s="19">
        <f t="shared" si="997"/>
        <v>158938.68506143565</v>
      </c>
      <c r="AH646" s="19">
        <f t="shared" si="997"/>
        <v>127125.15570358034</v>
      </c>
      <c r="AI646" s="19">
        <f t="shared" ref="AI646:BB646" si="998">AI638*AI767</f>
        <v>79428.936170212764</v>
      </c>
      <c r="AJ646" s="19">
        <f t="shared" si="998"/>
        <v>111356.18754651451</v>
      </c>
      <c r="AK646" s="19">
        <f t="shared" si="998"/>
        <v>159032.13083669115</v>
      </c>
      <c r="AL646" s="19">
        <f t="shared" si="998"/>
        <v>127207.52155771905</v>
      </c>
      <c r="AM646" s="19">
        <f t="shared" si="998"/>
        <v>79481.273209549065</v>
      </c>
      <c r="AN646" s="19">
        <f t="shared" si="998"/>
        <v>206543.85289957566</v>
      </c>
      <c r="AO646" s="19">
        <f t="shared" si="998"/>
        <v>158838.86727027548</v>
      </c>
      <c r="AP646" s="19">
        <f t="shared" si="998"/>
        <v>127292.32786885246</v>
      </c>
      <c r="AQ646" s="19">
        <f t="shared" si="998"/>
        <v>79533.124387855045</v>
      </c>
      <c r="AR646" s="19">
        <f t="shared" si="998"/>
        <v>174873.27268653372</v>
      </c>
      <c r="AS646" s="19">
        <f t="shared" si="998"/>
        <v>158855.68088033012</v>
      </c>
      <c r="AT646" s="19">
        <f t="shared" si="998"/>
        <v>127093.40127388535</v>
      </c>
      <c r="AU646" s="19">
        <f t="shared" si="998"/>
        <v>79431.229946524065</v>
      </c>
      <c r="AV646" s="19">
        <f t="shared" si="998"/>
        <v>206503.70988496783</v>
      </c>
      <c r="AW646" s="19">
        <f t="shared" si="998"/>
        <v>158938.68506143565</v>
      </c>
      <c r="AX646" s="19">
        <f t="shared" si="998"/>
        <v>127121.55095277546</v>
      </c>
      <c r="AY646" s="19">
        <f t="shared" si="998"/>
        <v>79422.444703143192</v>
      </c>
      <c r="AZ646" s="19">
        <f t="shared" si="998"/>
        <v>206783.75164996335</v>
      </c>
      <c r="BA646" s="19">
        <f t="shared" si="998"/>
        <v>159032.13083669115</v>
      </c>
      <c r="BB646" s="19">
        <f t="shared" si="998"/>
        <v>127207.52155771905</v>
      </c>
      <c r="BC646" s="19">
        <f t="shared" si="992"/>
        <v>6994059.654241452</v>
      </c>
      <c r="BD646" s="129"/>
    </row>
    <row r="647" spans="2:56" x14ac:dyDescent="0.25">
      <c r="B647" s="19" t="s">
        <v>411</v>
      </c>
      <c r="C647" s="19">
        <f t="shared" ref="C647:AH647" si="999">C639*C768</f>
        <v>0</v>
      </c>
      <c r="D647" s="19">
        <f t="shared" si="999"/>
        <v>84927.722772277222</v>
      </c>
      <c r="E647" s="19">
        <f t="shared" si="999"/>
        <v>220762.6916393126</v>
      </c>
      <c r="F647" s="19">
        <f t="shared" si="999"/>
        <v>0</v>
      </c>
      <c r="G647" s="19">
        <f t="shared" si="999"/>
        <v>0</v>
      </c>
      <c r="H647" s="19">
        <f t="shared" si="999"/>
        <v>84974.299798341934</v>
      </c>
      <c r="I647" s="19">
        <f t="shared" si="999"/>
        <v>220886.39361931453</v>
      </c>
      <c r="J647" s="19">
        <f t="shared" si="999"/>
        <v>169876.88483844241</v>
      </c>
      <c r="K647" s="19">
        <f t="shared" si="999"/>
        <v>101892.85215366705</v>
      </c>
      <c r="L647" s="19">
        <f t="shared" si="999"/>
        <v>85025.130240635073</v>
      </c>
      <c r="M647" s="19">
        <f t="shared" si="999"/>
        <v>221008.21963394343</v>
      </c>
      <c r="N647" s="19">
        <f t="shared" si="999"/>
        <v>169972.34726688103</v>
      </c>
      <c r="O647" s="19">
        <f t="shared" si="999"/>
        <v>0</v>
      </c>
      <c r="P647" s="19">
        <f t="shared" si="999"/>
        <v>84927.722772277222</v>
      </c>
      <c r="Q647" s="19">
        <f t="shared" si="999"/>
        <v>220760.23502215371</v>
      </c>
      <c r="R647" s="19">
        <f t="shared" si="999"/>
        <v>170059.98998497744</v>
      </c>
      <c r="S647" s="19">
        <f t="shared" si="999"/>
        <v>0</v>
      </c>
      <c r="T647" s="19">
        <f t="shared" si="999"/>
        <v>84974.725274725279</v>
      </c>
      <c r="U647" s="19">
        <f t="shared" si="999"/>
        <v>220886.39361931453</v>
      </c>
      <c r="V647" s="19">
        <f t="shared" si="999"/>
        <v>169881.26561199003</v>
      </c>
      <c r="W647" s="19">
        <f t="shared" si="999"/>
        <v>0</v>
      </c>
      <c r="X647" s="19">
        <f t="shared" si="999"/>
        <v>85025.130240635073</v>
      </c>
      <c r="Y647" s="19">
        <f t="shared" si="999"/>
        <v>153003.11448210475</v>
      </c>
      <c r="Z647" s="19">
        <f t="shared" si="999"/>
        <v>169981.36300417248</v>
      </c>
      <c r="AA647" s="19">
        <f t="shared" si="999"/>
        <v>0</v>
      </c>
      <c r="AB647" s="19">
        <f t="shared" si="999"/>
        <v>84927.204843592335</v>
      </c>
      <c r="AC647" s="19">
        <f t="shared" si="999"/>
        <v>220762.6916393126</v>
      </c>
      <c r="AD647" s="19">
        <f t="shared" si="999"/>
        <v>68033.770491803283</v>
      </c>
      <c r="AE647" s="19">
        <f t="shared" si="999"/>
        <v>0</v>
      </c>
      <c r="AF647" s="19">
        <f t="shared" si="999"/>
        <v>84974.299798341934</v>
      </c>
      <c r="AG647" s="19">
        <f t="shared" si="999"/>
        <v>220886.39361931453</v>
      </c>
      <c r="AH647" s="19">
        <f t="shared" si="999"/>
        <v>169881.26561199003</v>
      </c>
      <c r="AI647" s="19">
        <f t="shared" ref="AI647:BB647" si="1000">AI639*AI768</f>
        <v>0</v>
      </c>
      <c r="AJ647" s="19">
        <f t="shared" si="1000"/>
        <v>85025.130240635073</v>
      </c>
      <c r="AK647" s="19">
        <f t="shared" si="1000"/>
        <v>153003.11448210475</v>
      </c>
      <c r="AL647" s="19">
        <f t="shared" si="1000"/>
        <v>169981.36300417248</v>
      </c>
      <c r="AM647" s="19">
        <f t="shared" si="1000"/>
        <v>0</v>
      </c>
      <c r="AN647" s="19">
        <f t="shared" si="1000"/>
        <v>84927.722772277222</v>
      </c>
      <c r="AO647" s="19">
        <f t="shared" si="1000"/>
        <v>220760.23502215371</v>
      </c>
      <c r="AP647" s="19">
        <f t="shared" si="1000"/>
        <v>68033.770491803283</v>
      </c>
      <c r="AQ647" s="19">
        <f t="shared" si="1000"/>
        <v>0</v>
      </c>
      <c r="AR647" s="19">
        <f t="shared" si="1000"/>
        <v>84974.299798341934</v>
      </c>
      <c r="AS647" s="19">
        <f t="shared" si="1000"/>
        <v>220781.48555708391</v>
      </c>
      <c r="AT647" s="19">
        <f t="shared" si="1000"/>
        <v>169842.67515923566</v>
      </c>
      <c r="AU647" s="19">
        <f t="shared" si="1000"/>
        <v>84919.251336898393</v>
      </c>
      <c r="AV647" s="19">
        <f t="shared" si="1000"/>
        <v>84912.712029635411</v>
      </c>
      <c r="AW647" s="19">
        <f t="shared" si="1000"/>
        <v>220886.39361931453</v>
      </c>
      <c r="AX647" s="19">
        <f t="shared" si="1000"/>
        <v>169876.88483844241</v>
      </c>
      <c r="AY647" s="19">
        <f t="shared" si="1000"/>
        <v>101892.85215366705</v>
      </c>
      <c r="AZ647" s="19">
        <f t="shared" si="1000"/>
        <v>85017.42850158886</v>
      </c>
      <c r="BA647" s="19">
        <f t="shared" si="1000"/>
        <v>153003.11448210475</v>
      </c>
      <c r="BB647" s="19">
        <f t="shared" si="1000"/>
        <v>169981.36300417248</v>
      </c>
      <c r="BC647" s="19">
        <f t="shared" si="992"/>
        <v>5896111.904473152</v>
      </c>
      <c r="BD647" s="129"/>
    </row>
    <row r="648" spans="2:56" x14ac:dyDescent="0.25">
      <c r="B648" s="19" t="s">
        <v>412</v>
      </c>
      <c r="C648" s="19">
        <f t="shared" ref="C648:AH648" si="1001">C640*C769</f>
        <v>0</v>
      </c>
      <c r="D648" s="19">
        <f t="shared" si="1001"/>
        <v>44919.971711456863</v>
      </c>
      <c r="E648" s="19">
        <f t="shared" si="1001"/>
        <v>89820.40548368411</v>
      </c>
      <c r="F648" s="19">
        <f t="shared" si="1001"/>
        <v>164925.61151079138</v>
      </c>
      <c r="G648" s="19">
        <f t="shared" si="1001"/>
        <v>0</v>
      </c>
      <c r="H648" s="19">
        <f t="shared" si="1001"/>
        <v>0</v>
      </c>
      <c r="I648" s="19">
        <f t="shared" si="1001"/>
        <v>74891.118775598195</v>
      </c>
      <c r="J648" s="19">
        <f t="shared" si="1001"/>
        <v>194677.10024855012</v>
      </c>
      <c r="K648" s="19">
        <f t="shared" si="1001"/>
        <v>0</v>
      </c>
      <c r="L648" s="19">
        <f t="shared" si="1001"/>
        <v>0</v>
      </c>
      <c r="M648" s="19">
        <f t="shared" si="1001"/>
        <v>74931.281198003329</v>
      </c>
      <c r="N648" s="19">
        <f t="shared" si="1001"/>
        <v>164816.7845659164</v>
      </c>
      <c r="O648" s="19">
        <f t="shared" si="1001"/>
        <v>0</v>
      </c>
      <c r="P648" s="19">
        <f t="shared" si="1001"/>
        <v>0</v>
      </c>
      <c r="Q648" s="19">
        <f t="shared" si="1001"/>
        <v>74849.528029281457</v>
      </c>
      <c r="R648" s="19">
        <f t="shared" si="1001"/>
        <v>104935.99399098648</v>
      </c>
      <c r="S648" s="19">
        <f t="shared" si="1001"/>
        <v>0</v>
      </c>
      <c r="T648" s="19">
        <f t="shared" si="1001"/>
        <v>0</v>
      </c>
      <c r="U648" s="19">
        <f t="shared" si="1001"/>
        <v>74891.118775598195</v>
      </c>
      <c r="V648" s="19">
        <f t="shared" si="1001"/>
        <v>194681.98168193173</v>
      </c>
      <c r="W648" s="19">
        <f t="shared" si="1001"/>
        <v>0</v>
      </c>
      <c r="X648" s="19">
        <f t="shared" si="1001"/>
        <v>0</v>
      </c>
      <c r="Y648" s="19">
        <f t="shared" si="1001"/>
        <v>74930.054515287979</v>
      </c>
      <c r="Z648" s="19">
        <f t="shared" si="1001"/>
        <v>194793.51877607789</v>
      </c>
      <c r="AA648" s="19">
        <f t="shared" si="1001"/>
        <v>0</v>
      </c>
      <c r="AB648" s="19">
        <f t="shared" si="1001"/>
        <v>0</v>
      </c>
      <c r="AC648" s="19">
        <f t="shared" si="1001"/>
        <v>74850.337903070103</v>
      </c>
      <c r="AD648" s="19">
        <f t="shared" si="1001"/>
        <v>194908.36065573772</v>
      </c>
      <c r="AE648" s="19">
        <f t="shared" si="1001"/>
        <v>0</v>
      </c>
      <c r="AF648" s="19">
        <f t="shared" si="1001"/>
        <v>0</v>
      </c>
      <c r="AG648" s="19">
        <f t="shared" si="1001"/>
        <v>74891.118775598195</v>
      </c>
      <c r="AH648" s="19">
        <f t="shared" si="1001"/>
        <v>194681.98168193173</v>
      </c>
      <c r="AI648" s="19">
        <f t="shared" ref="AI648:BB648" si="1002">AI640*AI769</f>
        <v>0</v>
      </c>
      <c r="AJ648" s="19">
        <f t="shared" si="1002"/>
        <v>0</v>
      </c>
      <c r="AK648" s="19">
        <f t="shared" si="1002"/>
        <v>74930.054515287979</v>
      </c>
      <c r="AL648" s="19">
        <f t="shared" si="1002"/>
        <v>194793.51877607789</v>
      </c>
      <c r="AM648" s="19">
        <f t="shared" si="1002"/>
        <v>0</v>
      </c>
      <c r="AN648" s="19">
        <f t="shared" si="1002"/>
        <v>0</v>
      </c>
      <c r="AO648" s="19">
        <f t="shared" si="1002"/>
        <v>74849.528029281457</v>
      </c>
      <c r="AP648" s="19">
        <f t="shared" si="1002"/>
        <v>194908.36065573772</v>
      </c>
      <c r="AQ648" s="19">
        <f t="shared" si="1002"/>
        <v>0</v>
      </c>
      <c r="AR648" s="19">
        <f t="shared" si="1002"/>
        <v>0</v>
      </c>
      <c r="AS648" s="19">
        <f t="shared" si="1002"/>
        <v>74856.533700137559</v>
      </c>
      <c r="AT648" s="19">
        <f t="shared" si="1002"/>
        <v>194638.98089171975</v>
      </c>
      <c r="AU648" s="19">
        <f t="shared" si="1002"/>
        <v>0</v>
      </c>
      <c r="AV648" s="19">
        <f t="shared" si="1002"/>
        <v>0</v>
      </c>
      <c r="AW648" s="19">
        <f t="shared" si="1002"/>
        <v>74891.118775598195</v>
      </c>
      <c r="AX648" s="19">
        <f t="shared" si="1002"/>
        <v>194677.10024855012</v>
      </c>
      <c r="AY648" s="19">
        <f t="shared" si="1002"/>
        <v>0</v>
      </c>
      <c r="AZ648" s="19">
        <f t="shared" si="1002"/>
        <v>0</v>
      </c>
      <c r="BA648" s="19">
        <f t="shared" si="1002"/>
        <v>74930.054515287979</v>
      </c>
      <c r="BB648" s="19">
        <f t="shared" si="1002"/>
        <v>194793.51877607789</v>
      </c>
      <c r="BC648" s="19">
        <f t="shared" si="992"/>
        <v>3415665.0371632585</v>
      </c>
      <c r="BD648" s="129"/>
    </row>
    <row r="649" spans="2:56" x14ac:dyDescent="0.25">
      <c r="B649" s="19" t="s">
        <v>413</v>
      </c>
      <c r="C649" s="19">
        <f t="shared" ref="C649:AH649" si="1003">C641*C770</f>
        <v>0</v>
      </c>
      <c r="D649" s="19">
        <f t="shared" si="1003"/>
        <v>0</v>
      </c>
      <c r="E649" s="19">
        <f t="shared" si="1003"/>
        <v>0</v>
      </c>
      <c r="F649" s="19">
        <f t="shared" si="1003"/>
        <v>76976.546762589933</v>
      </c>
      <c r="G649" s="19">
        <f t="shared" si="1003"/>
        <v>0</v>
      </c>
      <c r="H649" s="19">
        <f t="shared" si="1003"/>
        <v>0</v>
      </c>
      <c r="I649" s="19">
        <f t="shared" si="1003"/>
        <v>0</v>
      </c>
      <c r="J649" s="19">
        <f t="shared" si="1003"/>
        <v>76884.159072079536</v>
      </c>
      <c r="K649" s="19">
        <f t="shared" si="1003"/>
        <v>0</v>
      </c>
      <c r="L649" s="19">
        <f t="shared" si="1003"/>
        <v>0</v>
      </c>
      <c r="M649" s="19">
        <f t="shared" si="1003"/>
        <v>0</v>
      </c>
      <c r="N649" s="19">
        <f t="shared" si="1003"/>
        <v>76925.980707395502</v>
      </c>
      <c r="O649" s="19">
        <f t="shared" si="1003"/>
        <v>0</v>
      </c>
      <c r="P649" s="19">
        <f t="shared" si="1003"/>
        <v>0</v>
      </c>
      <c r="Q649" s="19">
        <f t="shared" si="1003"/>
        <v>92228.754382585234</v>
      </c>
      <c r="R649" s="19">
        <f t="shared" si="1003"/>
        <v>76964.376564847276</v>
      </c>
      <c r="S649" s="19">
        <f t="shared" si="1003"/>
        <v>0</v>
      </c>
      <c r="T649" s="19">
        <f t="shared" si="1003"/>
        <v>0</v>
      </c>
      <c r="U649" s="19">
        <f t="shared" si="1003"/>
        <v>0</v>
      </c>
      <c r="V649" s="19">
        <f t="shared" si="1003"/>
        <v>76886.078268109908</v>
      </c>
      <c r="W649" s="19">
        <f t="shared" si="1003"/>
        <v>92238.468085106389</v>
      </c>
      <c r="X649" s="19">
        <f t="shared" si="1003"/>
        <v>0</v>
      </c>
      <c r="Y649" s="19">
        <f t="shared" si="1003"/>
        <v>0</v>
      </c>
      <c r="Z649" s="19">
        <f t="shared" si="1003"/>
        <v>76929.93045897079</v>
      </c>
      <c r="AA649" s="19">
        <f t="shared" si="1003"/>
        <v>0</v>
      </c>
      <c r="AB649" s="19">
        <f t="shared" si="1003"/>
        <v>46124.587689202825</v>
      </c>
      <c r="AC649" s="19">
        <f t="shared" si="1003"/>
        <v>0</v>
      </c>
      <c r="AD649" s="19">
        <f t="shared" si="1003"/>
        <v>76975.081967213118</v>
      </c>
      <c r="AE649" s="19">
        <f t="shared" si="1003"/>
        <v>0</v>
      </c>
      <c r="AF649" s="19">
        <f t="shared" si="1003"/>
        <v>0</v>
      </c>
      <c r="AG649" s="19">
        <f t="shared" si="1003"/>
        <v>0</v>
      </c>
      <c r="AH649" s="19">
        <f t="shared" si="1003"/>
        <v>76886.078268109908</v>
      </c>
      <c r="AI649" s="19">
        <f t="shared" ref="AI649:BB649" si="1004">AI641*AI770</f>
        <v>92238.468085106389</v>
      </c>
      <c r="AJ649" s="19">
        <f t="shared" si="1004"/>
        <v>0</v>
      </c>
      <c r="AK649" s="19">
        <f t="shared" si="1004"/>
        <v>0</v>
      </c>
      <c r="AL649" s="19">
        <f t="shared" si="1004"/>
        <v>76929.93045897079</v>
      </c>
      <c r="AM649" s="19">
        <f t="shared" si="1004"/>
        <v>0</v>
      </c>
      <c r="AN649" s="19">
        <f t="shared" si="1004"/>
        <v>0</v>
      </c>
      <c r="AO649" s="19">
        <f t="shared" si="1004"/>
        <v>92228.754382585234</v>
      </c>
      <c r="AP649" s="19">
        <f t="shared" si="1004"/>
        <v>76975.081967213118</v>
      </c>
      <c r="AQ649" s="19">
        <f t="shared" si="1004"/>
        <v>0</v>
      </c>
      <c r="AR649" s="19">
        <f t="shared" si="1004"/>
        <v>0</v>
      </c>
      <c r="AS649" s="19">
        <f t="shared" si="1004"/>
        <v>0</v>
      </c>
      <c r="AT649" s="19">
        <f t="shared" si="1004"/>
        <v>76869.171974522294</v>
      </c>
      <c r="AU649" s="19">
        <f t="shared" si="1004"/>
        <v>0</v>
      </c>
      <c r="AV649" s="19">
        <f t="shared" si="1004"/>
        <v>0</v>
      </c>
      <c r="AW649" s="19">
        <f t="shared" si="1004"/>
        <v>0</v>
      </c>
      <c r="AX649" s="19">
        <f t="shared" si="1004"/>
        <v>76884.159072079536</v>
      </c>
      <c r="AY649" s="19">
        <f t="shared" si="1004"/>
        <v>0</v>
      </c>
      <c r="AZ649" s="19">
        <f t="shared" si="1004"/>
        <v>0</v>
      </c>
      <c r="BA649" s="19">
        <f t="shared" si="1004"/>
        <v>0</v>
      </c>
      <c r="BB649" s="19">
        <f t="shared" si="1004"/>
        <v>76929.93045897079</v>
      </c>
      <c r="BC649" s="19">
        <f t="shared" si="992"/>
        <v>1415075.5386256587</v>
      </c>
      <c r="BD649" s="129"/>
    </row>
    <row r="650" spans="2:56" x14ac:dyDescent="0.25">
      <c r="B650" s="43" t="str">
        <f t="shared" ref="B650:B657" si="1005">_xlfn.CONCAT(B457," ","Contribution Margin / Unit")</f>
        <v>Product A Contribution Margin / Unit</v>
      </c>
      <c r="C650" s="43">
        <f t="shared" ref="C650:AH650" si="1006">IF(C763&gt;0,$G10-C634,0)</f>
        <v>10.419787798408487</v>
      </c>
      <c r="D650" s="43">
        <f t="shared" si="1006"/>
        <v>0</v>
      </c>
      <c r="E650" s="43">
        <f t="shared" si="1006"/>
        <v>10.429932419385981</v>
      </c>
      <c r="F650" s="43">
        <f t="shared" si="1006"/>
        <v>0</v>
      </c>
      <c r="G650" s="43">
        <f t="shared" si="1006"/>
        <v>10.411145935357492</v>
      </c>
      <c r="H650" s="43">
        <f t="shared" si="1006"/>
        <v>0</v>
      </c>
      <c r="I650" s="43">
        <f t="shared" si="1006"/>
        <v>0</v>
      </c>
      <c r="J650" s="43">
        <f t="shared" si="1006"/>
        <v>0</v>
      </c>
      <c r="K650" s="43">
        <f t="shared" si="1006"/>
        <v>10.429592549476135</v>
      </c>
      <c r="L650" s="43">
        <f t="shared" si="1006"/>
        <v>0</v>
      </c>
      <c r="M650" s="43">
        <f t="shared" si="1006"/>
        <v>0</v>
      </c>
      <c r="N650" s="43">
        <f t="shared" si="1006"/>
        <v>0</v>
      </c>
      <c r="O650" s="43">
        <f t="shared" si="1006"/>
        <v>10.419787798408487</v>
      </c>
      <c r="P650" s="43">
        <f t="shared" si="1006"/>
        <v>10.426676096181046</v>
      </c>
      <c r="Q650" s="43">
        <f t="shared" si="1006"/>
        <v>0</v>
      </c>
      <c r="R650" s="43">
        <f t="shared" si="1006"/>
        <v>0</v>
      </c>
      <c r="S650" s="43">
        <f t="shared" si="1006"/>
        <v>10.411145935357492</v>
      </c>
      <c r="T650" s="43">
        <f t="shared" si="1006"/>
        <v>0</v>
      </c>
      <c r="U650" s="43">
        <f t="shared" si="1006"/>
        <v>0</v>
      </c>
      <c r="V650" s="43">
        <f t="shared" si="1006"/>
        <v>10.424462947543713</v>
      </c>
      <c r="W650" s="43">
        <f t="shared" si="1006"/>
        <v>10.428510638297873</v>
      </c>
      <c r="X650" s="43">
        <f t="shared" si="1006"/>
        <v>0</v>
      </c>
      <c r="Y650" s="43">
        <f t="shared" si="1006"/>
        <v>0</v>
      </c>
      <c r="Z650" s="43">
        <f t="shared" si="1006"/>
        <v>0</v>
      </c>
      <c r="AA650" s="43">
        <f t="shared" si="1006"/>
        <v>10.419787798408487</v>
      </c>
      <c r="AB650" s="43">
        <f t="shared" si="1006"/>
        <v>0</v>
      </c>
      <c r="AC650" s="43">
        <f t="shared" si="1006"/>
        <v>10.429932419385981</v>
      </c>
      <c r="AD650" s="43">
        <f t="shared" si="1006"/>
        <v>0</v>
      </c>
      <c r="AE650" s="43">
        <f t="shared" si="1006"/>
        <v>10.411145935357492</v>
      </c>
      <c r="AF650" s="43">
        <f t="shared" si="1006"/>
        <v>0</v>
      </c>
      <c r="AG650" s="43">
        <f t="shared" si="1006"/>
        <v>0</v>
      </c>
      <c r="AH650" s="43">
        <f t="shared" si="1006"/>
        <v>10.424462947543713</v>
      </c>
      <c r="AI650" s="43">
        <f t="shared" ref="AI650:BB650" si="1007">IF(AI763&gt;0,$G10-AI634,0)</f>
        <v>10.428510638297873</v>
      </c>
      <c r="AJ650" s="43">
        <f t="shared" si="1007"/>
        <v>0</v>
      </c>
      <c r="AK650" s="43">
        <f t="shared" si="1007"/>
        <v>0</v>
      </c>
      <c r="AL650" s="43">
        <f t="shared" si="1007"/>
        <v>0</v>
      </c>
      <c r="AM650" s="43">
        <f t="shared" si="1007"/>
        <v>10.419787798408487</v>
      </c>
      <c r="AN650" s="43">
        <f t="shared" si="1007"/>
        <v>10.426676096181046</v>
      </c>
      <c r="AO650" s="43">
        <f t="shared" si="1007"/>
        <v>0</v>
      </c>
      <c r="AP650" s="43">
        <f t="shared" si="1007"/>
        <v>0</v>
      </c>
      <c r="AQ650" s="43">
        <f t="shared" si="1007"/>
        <v>10.411145935357492</v>
      </c>
      <c r="AR650" s="43">
        <f t="shared" si="1007"/>
        <v>0</v>
      </c>
      <c r="AS650" s="43">
        <f t="shared" si="1007"/>
        <v>10.428693259972489</v>
      </c>
      <c r="AT650" s="43">
        <f t="shared" si="1007"/>
        <v>0</v>
      </c>
      <c r="AU650" s="43">
        <f t="shared" si="1007"/>
        <v>10.428128342245989</v>
      </c>
      <c r="AV650" s="43">
        <f t="shared" si="1007"/>
        <v>10.429249366348216</v>
      </c>
      <c r="AW650" s="43">
        <f t="shared" si="1007"/>
        <v>0</v>
      </c>
      <c r="AX650" s="43">
        <f t="shared" si="1007"/>
        <v>0</v>
      </c>
      <c r="AY650" s="43">
        <f t="shared" si="1007"/>
        <v>10.429592549476135</v>
      </c>
      <c r="AZ650" s="43">
        <f t="shared" si="1007"/>
        <v>0</v>
      </c>
      <c r="BA650" s="43">
        <f t="shared" si="1007"/>
        <v>0</v>
      </c>
      <c r="BB650" s="43">
        <f t="shared" si="1007"/>
        <v>0</v>
      </c>
      <c r="BC650" s="19"/>
      <c r="BD650" s="129"/>
    </row>
    <row r="651" spans="2:56" x14ac:dyDescent="0.25">
      <c r="B651" s="43" t="str">
        <f t="shared" si="1005"/>
        <v>Product B Contribution Margin / Unit</v>
      </c>
      <c r="C651" s="43">
        <f t="shared" ref="C651:AH651" si="1008">IF(C764&gt;0,$G11-C635,0)</f>
        <v>8.0126578249336866</v>
      </c>
      <c r="D651" s="43">
        <f t="shared" si="1008"/>
        <v>8.0201584158415855</v>
      </c>
      <c r="E651" s="43">
        <f t="shared" si="1008"/>
        <v>0</v>
      </c>
      <c r="F651" s="43">
        <f t="shared" si="1008"/>
        <v>7.9984748201438833</v>
      </c>
      <c r="G651" s="43">
        <f t="shared" si="1008"/>
        <v>8.0032477962781599</v>
      </c>
      <c r="H651" s="43">
        <f t="shared" si="1008"/>
        <v>8.0114640376428383</v>
      </c>
      <c r="I651" s="43">
        <f t="shared" si="1008"/>
        <v>0</v>
      </c>
      <c r="J651" s="43">
        <f t="shared" si="1008"/>
        <v>8.0181574150787078</v>
      </c>
      <c r="K651" s="43">
        <f t="shared" si="1008"/>
        <v>8.0233341094295696</v>
      </c>
      <c r="L651" s="43">
        <f t="shared" si="1008"/>
        <v>8.0019756884147846</v>
      </c>
      <c r="M651" s="43">
        <f t="shared" si="1008"/>
        <v>0</v>
      </c>
      <c r="N651" s="43">
        <f t="shared" si="1008"/>
        <v>0</v>
      </c>
      <c r="O651" s="43">
        <f t="shared" si="1008"/>
        <v>8.0126578249336866</v>
      </c>
      <c r="P651" s="43">
        <f t="shared" si="1008"/>
        <v>8.0201584158415855</v>
      </c>
      <c r="Q651" s="43">
        <f t="shared" si="1008"/>
        <v>0</v>
      </c>
      <c r="R651" s="43">
        <f t="shared" si="1008"/>
        <v>0</v>
      </c>
      <c r="S651" s="43">
        <f t="shared" si="1008"/>
        <v>8.0032477962781599</v>
      </c>
      <c r="T651" s="43">
        <f t="shared" si="1008"/>
        <v>8.011384615384614</v>
      </c>
      <c r="U651" s="43">
        <f t="shared" si="1008"/>
        <v>0</v>
      </c>
      <c r="V651" s="43">
        <f t="shared" si="1008"/>
        <v>0</v>
      </c>
      <c r="W651" s="43">
        <f t="shared" si="1008"/>
        <v>8.0221560283687943</v>
      </c>
      <c r="X651" s="43">
        <f t="shared" si="1008"/>
        <v>8.0019756884147846</v>
      </c>
      <c r="Y651" s="43">
        <f t="shared" si="1008"/>
        <v>0</v>
      </c>
      <c r="Z651" s="43">
        <f t="shared" si="1008"/>
        <v>0</v>
      </c>
      <c r="AA651" s="43">
        <f t="shared" si="1008"/>
        <v>8.0126578249336866</v>
      </c>
      <c r="AB651" s="43">
        <f t="shared" si="1008"/>
        <v>8.0202550958627654</v>
      </c>
      <c r="AC651" s="43">
        <f t="shared" si="1008"/>
        <v>0</v>
      </c>
      <c r="AD651" s="43">
        <f t="shared" si="1008"/>
        <v>0</v>
      </c>
      <c r="AE651" s="43">
        <f t="shared" si="1008"/>
        <v>8.0032477962781599</v>
      </c>
      <c r="AF651" s="43">
        <f t="shared" si="1008"/>
        <v>8.0114640376428383</v>
      </c>
      <c r="AG651" s="43">
        <f t="shared" si="1008"/>
        <v>0</v>
      </c>
      <c r="AH651" s="43">
        <f t="shared" si="1008"/>
        <v>0</v>
      </c>
      <c r="AI651" s="43">
        <f t="shared" ref="AI651:BB651" si="1009">IF(AI764&gt;0,$G11-AI635,0)</f>
        <v>8.0221560283687943</v>
      </c>
      <c r="AJ651" s="43">
        <f t="shared" si="1009"/>
        <v>8.0019756884147846</v>
      </c>
      <c r="AK651" s="43">
        <f t="shared" si="1009"/>
        <v>0</v>
      </c>
      <c r="AL651" s="43">
        <f t="shared" si="1009"/>
        <v>0</v>
      </c>
      <c r="AM651" s="43">
        <f t="shared" si="1009"/>
        <v>8.0126578249336866</v>
      </c>
      <c r="AN651" s="43">
        <f t="shared" si="1009"/>
        <v>8.0201584158415855</v>
      </c>
      <c r="AO651" s="43">
        <f t="shared" si="1009"/>
        <v>0</v>
      </c>
      <c r="AP651" s="43">
        <f t="shared" si="1009"/>
        <v>0</v>
      </c>
      <c r="AQ651" s="43">
        <f t="shared" si="1009"/>
        <v>8.0032477962781599</v>
      </c>
      <c r="AR651" s="43">
        <f t="shared" si="1009"/>
        <v>8.0114640376428383</v>
      </c>
      <c r="AS651" s="43">
        <f t="shared" si="1009"/>
        <v>0</v>
      </c>
      <c r="AT651" s="43">
        <f t="shared" si="1009"/>
        <v>8.0213503184713346</v>
      </c>
      <c r="AU651" s="43">
        <f t="shared" si="1009"/>
        <v>8.0217397504456329</v>
      </c>
      <c r="AV651" s="43">
        <f t="shared" si="1009"/>
        <v>8.022960421134723</v>
      </c>
      <c r="AW651" s="43">
        <f t="shared" si="1009"/>
        <v>0</v>
      </c>
      <c r="AX651" s="43">
        <f t="shared" si="1009"/>
        <v>8.0181574150787078</v>
      </c>
      <c r="AY651" s="43">
        <f t="shared" si="1009"/>
        <v>8.0233341094295696</v>
      </c>
      <c r="AZ651" s="43">
        <f t="shared" si="1009"/>
        <v>8.0034133463700812</v>
      </c>
      <c r="BA651" s="43">
        <f t="shared" si="1009"/>
        <v>0</v>
      </c>
      <c r="BB651" s="43">
        <f t="shared" si="1009"/>
        <v>0</v>
      </c>
      <c r="BC651" s="19"/>
      <c r="BD651" s="129"/>
    </row>
    <row r="652" spans="2:56" x14ac:dyDescent="0.25">
      <c r="B652" s="43" t="str">
        <f t="shared" si="1005"/>
        <v>Product C Contribution Margin / Unit</v>
      </c>
      <c r="C652" s="43">
        <f t="shared" ref="C652:AH652" si="1010">IF(C765&gt;0,$G12-C636,0)</f>
        <v>8.9144403183023879</v>
      </c>
      <c r="D652" s="43">
        <f t="shared" si="1010"/>
        <v>8.92178783592645</v>
      </c>
      <c r="E652" s="43">
        <f t="shared" si="1010"/>
        <v>8.9252612473450466</v>
      </c>
      <c r="F652" s="43">
        <f t="shared" si="1010"/>
        <v>0</v>
      </c>
      <c r="G652" s="43">
        <f t="shared" si="1010"/>
        <v>8.9052223310479928</v>
      </c>
      <c r="H652" s="43">
        <f t="shared" si="1010"/>
        <v>8.9132708940174776</v>
      </c>
      <c r="I652" s="43">
        <f t="shared" si="1010"/>
        <v>8.9165613278723868</v>
      </c>
      <c r="J652" s="43">
        <f t="shared" si="1010"/>
        <v>0</v>
      </c>
      <c r="K652" s="43">
        <f t="shared" si="1010"/>
        <v>8.9248987194412113</v>
      </c>
      <c r="L652" s="43">
        <f t="shared" si="1010"/>
        <v>8.9039761845695864</v>
      </c>
      <c r="M652" s="43">
        <f t="shared" si="1010"/>
        <v>8.9079933444259574</v>
      </c>
      <c r="N652" s="43">
        <f t="shared" si="1010"/>
        <v>0</v>
      </c>
      <c r="O652" s="43">
        <f t="shared" si="1010"/>
        <v>8.9144403183023879</v>
      </c>
      <c r="P652" s="43">
        <f t="shared" si="1010"/>
        <v>8.92178783592645</v>
      </c>
      <c r="Q652" s="43">
        <f t="shared" si="1010"/>
        <v>8.9254340204199583</v>
      </c>
      <c r="R652" s="43">
        <f t="shared" si="1010"/>
        <v>0</v>
      </c>
      <c r="S652" s="43">
        <f t="shared" si="1010"/>
        <v>8.9052223310479928</v>
      </c>
      <c r="T652" s="43">
        <f t="shared" si="1010"/>
        <v>8.9131930926216647</v>
      </c>
      <c r="U652" s="43">
        <f t="shared" si="1010"/>
        <v>8.9165613278723868</v>
      </c>
      <c r="V652" s="43">
        <f t="shared" si="1010"/>
        <v>0</v>
      </c>
      <c r="W652" s="43">
        <f t="shared" si="1010"/>
        <v>8.9237446808510636</v>
      </c>
      <c r="X652" s="43">
        <f t="shared" si="1010"/>
        <v>8.9039761845695864</v>
      </c>
      <c r="Y652" s="43">
        <f t="shared" si="1010"/>
        <v>8.9082550367385629</v>
      </c>
      <c r="Z652" s="43">
        <f t="shared" si="1010"/>
        <v>0</v>
      </c>
      <c r="AA652" s="43">
        <f t="shared" si="1010"/>
        <v>8.9144403183023879</v>
      </c>
      <c r="AB652" s="43">
        <f t="shared" si="1010"/>
        <v>8.9218825428859745</v>
      </c>
      <c r="AC652" s="43">
        <f t="shared" si="1010"/>
        <v>8.9252612473450466</v>
      </c>
      <c r="AD652" s="43">
        <f t="shared" si="1010"/>
        <v>0</v>
      </c>
      <c r="AE652" s="43">
        <f t="shared" si="1010"/>
        <v>8.9052223310479928</v>
      </c>
      <c r="AF652" s="43">
        <f t="shared" si="1010"/>
        <v>8.9132708940174776</v>
      </c>
      <c r="AG652" s="43">
        <f t="shared" si="1010"/>
        <v>8.9165613278723868</v>
      </c>
      <c r="AH652" s="43">
        <f t="shared" si="1010"/>
        <v>0</v>
      </c>
      <c r="AI652" s="43">
        <f t="shared" ref="AI652:BB652" si="1011">IF(AI765&gt;0,$G12-AI636,0)</f>
        <v>8.9237446808510636</v>
      </c>
      <c r="AJ652" s="43">
        <f t="shared" si="1011"/>
        <v>8.9039761845695864</v>
      </c>
      <c r="AK652" s="43">
        <f t="shared" si="1011"/>
        <v>8.9082550367385629</v>
      </c>
      <c r="AL652" s="43">
        <f t="shared" si="1011"/>
        <v>0</v>
      </c>
      <c r="AM652" s="43">
        <f t="shared" si="1011"/>
        <v>8.9144403183023879</v>
      </c>
      <c r="AN652" s="43">
        <f t="shared" si="1011"/>
        <v>8.92178783592645</v>
      </c>
      <c r="AO652" s="43">
        <f t="shared" si="1011"/>
        <v>8.9254340204199583</v>
      </c>
      <c r="AP652" s="43">
        <f t="shared" si="1011"/>
        <v>0</v>
      </c>
      <c r="AQ652" s="43">
        <f t="shared" si="1011"/>
        <v>8.9052223310479928</v>
      </c>
      <c r="AR652" s="43">
        <f t="shared" si="1011"/>
        <v>8.9132708940174776</v>
      </c>
      <c r="AS652" s="43">
        <f t="shared" si="1011"/>
        <v>8.9239394773039891</v>
      </c>
      <c r="AT652" s="43">
        <f t="shared" si="1011"/>
        <v>0</v>
      </c>
      <c r="AU652" s="43">
        <f t="shared" si="1011"/>
        <v>8.9233368983957213</v>
      </c>
      <c r="AV652" s="43">
        <f t="shared" si="1011"/>
        <v>8.9245326574380979</v>
      </c>
      <c r="AW652" s="43">
        <f t="shared" si="1011"/>
        <v>8.9165613278723868</v>
      </c>
      <c r="AX652" s="43">
        <f t="shared" si="1011"/>
        <v>0</v>
      </c>
      <c r="AY652" s="43">
        <f t="shared" si="1011"/>
        <v>8.9248987194412113</v>
      </c>
      <c r="AZ652" s="43">
        <f t="shared" si="1011"/>
        <v>8.9053845025666103</v>
      </c>
      <c r="BA652" s="43">
        <f t="shared" si="1011"/>
        <v>8.9082550367385629</v>
      </c>
      <c r="BB652" s="43">
        <f t="shared" si="1011"/>
        <v>0</v>
      </c>
      <c r="BC652" s="19"/>
      <c r="BD652" s="129"/>
    </row>
    <row r="653" spans="2:56" x14ac:dyDescent="0.25">
      <c r="B653" s="43" t="str">
        <f t="shared" si="1005"/>
        <v>Product D Contribution Margin / Unit</v>
      </c>
      <c r="C653" s="43">
        <f t="shared" ref="C653:AH653" si="1012">IF(C766&gt;0,$G13-C637,0)</f>
        <v>4.401962864721483</v>
      </c>
      <c r="D653" s="43">
        <f t="shared" si="1012"/>
        <v>4.4103818953323923</v>
      </c>
      <c r="E653" s="43">
        <f t="shared" si="1012"/>
        <v>4.4143618459162006</v>
      </c>
      <c r="F653" s="43">
        <f t="shared" si="1012"/>
        <v>4.3860431654676262</v>
      </c>
      <c r="G653" s="43">
        <f t="shared" si="1012"/>
        <v>4.391400587659156</v>
      </c>
      <c r="H653" s="43">
        <f t="shared" si="1012"/>
        <v>4.4006228993950245</v>
      </c>
      <c r="I653" s="43">
        <f t="shared" si="1012"/>
        <v>4.4043931881871075</v>
      </c>
      <c r="J653" s="43">
        <f t="shared" si="1012"/>
        <v>4.4081358740679377</v>
      </c>
      <c r="K653" s="43">
        <f t="shared" si="1012"/>
        <v>4.4139464493597202</v>
      </c>
      <c r="L653" s="43">
        <f t="shared" si="1012"/>
        <v>4.3899727114859814</v>
      </c>
      <c r="M653" s="43">
        <f t="shared" si="1012"/>
        <v>4.3945757071547433</v>
      </c>
      <c r="N653" s="43">
        <f t="shared" si="1012"/>
        <v>4.3981350482315094</v>
      </c>
      <c r="O653" s="43">
        <f t="shared" si="1012"/>
        <v>4.401962864721483</v>
      </c>
      <c r="P653" s="43">
        <f t="shared" si="1012"/>
        <v>4.4103818953323923</v>
      </c>
      <c r="Q653" s="43">
        <f t="shared" si="1012"/>
        <v>4.4145598150645355</v>
      </c>
      <c r="R653" s="43">
        <f t="shared" si="1012"/>
        <v>4.388953430145218</v>
      </c>
      <c r="S653" s="43">
        <f t="shared" si="1012"/>
        <v>4.391400587659156</v>
      </c>
      <c r="T653" s="43">
        <f t="shared" si="1012"/>
        <v>4.4005337519623211</v>
      </c>
      <c r="U653" s="43">
        <f t="shared" si="1012"/>
        <v>4.4043931881871075</v>
      </c>
      <c r="V653" s="43">
        <f t="shared" si="1012"/>
        <v>4.4076769358867622</v>
      </c>
      <c r="W653" s="43">
        <f t="shared" si="1012"/>
        <v>4.4126241134751751</v>
      </c>
      <c r="X653" s="43">
        <f t="shared" si="1012"/>
        <v>4.3899727114859814</v>
      </c>
      <c r="Y653" s="43">
        <f t="shared" si="1012"/>
        <v>4.3948755629296059</v>
      </c>
      <c r="Z653" s="43">
        <f t="shared" si="1012"/>
        <v>4.3971905424200273</v>
      </c>
      <c r="AA653" s="43">
        <f t="shared" si="1012"/>
        <v>4.401962864721483</v>
      </c>
      <c r="AB653" s="43">
        <f t="shared" si="1012"/>
        <v>4.4104904137235117</v>
      </c>
      <c r="AC653" s="43">
        <f t="shared" si="1012"/>
        <v>4.4143618459162006</v>
      </c>
      <c r="AD653" s="43">
        <f t="shared" si="1012"/>
        <v>4.3863934426229534</v>
      </c>
      <c r="AE653" s="43">
        <f t="shared" si="1012"/>
        <v>4.391400587659156</v>
      </c>
      <c r="AF653" s="43">
        <f t="shared" si="1012"/>
        <v>4.4006228993950245</v>
      </c>
      <c r="AG653" s="43">
        <f t="shared" si="1012"/>
        <v>4.4043931881871075</v>
      </c>
      <c r="AH653" s="43">
        <f t="shared" si="1012"/>
        <v>4.4076769358867622</v>
      </c>
      <c r="AI653" s="43">
        <f t="shared" ref="AI653:BB653" si="1013">IF(AI766&gt;0,$G13-AI637,0)</f>
        <v>4.4126241134751751</v>
      </c>
      <c r="AJ653" s="43">
        <f t="shared" si="1013"/>
        <v>4.3899727114859814</v>
      </c>
      <c r="AK653" s="43">
        <f t="shared" si="1013"/>
        <v>4.3948755629296059</v>
      </c>
      <c r="AL653" s="43">
        <f t="shared" si="1013"/>
        <v>4.3971905424200273</v>
      </c>
      <c r="AM653" s="43">
        <f t="shared" si="1013"/>
        <v>4.401962864721483</v>
      </c>
      <c r="AN653" s="43">
        <f t="shared" si="1013"/>
        <v>4.4103818953323923</v>
      </c>
      <c r="AO653" s="43">
        <f t="shared" si="1013"/>
        <v>4.4145598150645355</v>
      </c>
      <c r="AP653" s="43">
        <f t="shared" si="1013"/>
        <v>4.3863934426229534</v>
      </c>
      <c r="AQ653" s="43">
        <f t="shared" si="1013"/>
        <v>4.391400587659156</v>
      </c>
      <c r="AR653" s="43">
        <f t="shared" si="1013"/>
        <v>4.4006228993950245</v>
      </c>
      <c r="AS653" s="43">
        <f t="shared" si="1013"/>
        <v>4.4128473177441521</v>
      </c>
      <c r="AT653" s="43">
        <f t="shared" si="1013"/>
        <v>4.411719745222932</v>
      </c>
      <c r="AU653" s="43">
        <f t="shared" si="1013"/>
        <v>4.4121568627450998</v>
      </c>
      <c r="AV653" s="43">
        <f t="shared" si="1013"/>
        <v>4.4135270033144849</v>
      </c>
      <c r="AW653" s="43">
        <f t="shared" si="1013"/>
        <v>4.4043931881871075</v>
      </c>
      <c r="AX653" s="43">
        <f t="shared" si="1013"/>
        <v>4.4081358740679377</v>
      </c>
      <c r="AY653" s="43">
        <f t="shared" si="1013"/>
        <v>4.4139464493597202</v>
      </c>
      <c r="AZ653" s="43">
        <f t="shared" si="1013"/>
        <v>4.3915864091909071</v>
      </c>
      <c r="BA653" s="43">
        <f t="shared" si="1013"/>
        <v>4.3948755629296059</v>
      </c>
      <c r="BB653" s="43">
        <f t="shared" si="1013"/>
        <v>4.3971905424200273</v>
      </c>
      <c r="BC653" s="19"/>
      <c r="BD653" s="129"/>
    </row>
    <row r="654" spans="2:56" x14ac:dyDescent="0.25">
      <c r="B654" s="43" t="str">
        <f t="shared" si="1005"/>
        <v>Product E Contribution Margin / Unit</v>
      </c>
      <c r="C654" s="43">
        <f t="shared" ref="C654:AH654" si="1014">IF(C767&gt;0,$G14-C638,0)</f>
        <v>7.1037453580901868</v>
      </c>
      <c r="D654" s="43">
        <f t="shared" si="1014"/>
        <v>7.1120113154172557</v>
      </c>
      <c r="E654" s="43">
        <f t="shared" si="1014"/>
        <v>7.1159189032631787</v>
      </c>
      <c r="F654" s="43">
        <f t="shared" si="1014"/>
        <v>7.0881151079136693</v>
      </c>
      <c r="G654" s="43">
        <f t="shared" si="1014"/>
        <v>7.0933751224289914</v>
      </c>
      <c r="H654" s="43">
        <f t="shared" si="1014"/>
        <v>7.1024297557696627</v>
      </c>
      <c r="I654" s="43">
        <f t="shared" si="1014"/>
        <v>7.1061314938564344</v>
      </c>
      <c r="J654" s="43">
        <f t="shared" si="1014"/>
        <v>7.1098061309030669</v>
      </c>
      <c r="K654" s="43">
        <f t="shared" si="1014"/>
        <v>7.1155110593713626</v>
      </c>
      <c r="L654" s="43">
        <f t="shared" si="1014"/>
        <v>7.091973207640784</v>
      </c>
      <c r="M654" s="43">
        <f t="shared" si="1014"/>
        <v>7.0964925124792018</v>
      </c>
      <c r="N654" s="43">
        <f t="shared" si="1014"/>
        <v>7.0999871382636659</v>
      </c>
      <c r="O654" s="43">
        <f t="shared" si="1014"/>
        <v>7.1037453580901868</v>
      </c>
      <c r="P654" s="43">
        <f t="shared" si="1014"/>
        <v>7.1120113154172557</v>
      </c>
      <c r="Q654" s="43">
        <f t="shared" si="1014"/>
        <v>7.1161132729724521</v>
      </c>
      <c r="R654" s="43">
        <f t="shared" si="1014"/>
        <v>7.0909724586880323</v>
      </c>
      <c r="S654" s="43">
        <f t="shared" si="1014"/>
        <v>7.0933751224289914</v>
      </c>
      <c r="T654" s="43">
        <f t="shared" si="1014"/>
        <v>7.1023422291993725</v>
      </c>
      <c r="U654" s="43">
        <f t="shared" si="1014"/>
        <v>7.1061314938564344</v>
      </c>
      <c r="V654" s="43">
        <f t="shared" si="1014"/>
        <v>7.1093555370524566</v>
      </c>
      <c r="W654" s="43">
        <f t="shared" si="1014"/>
        <v>7.114212765957447</v>
      </c>
      <c r="X654" s="43">
        <f t="shared" si="1014"/>
        <v>7.091973207640784</v>
      </c>
      <c r="Y654" s="43">
        <f t="shared" si="1014"/>
        <v>7.0967869163308848</v>
      </c>
      <c r="Z654" s="43">
        <f t="shared" si="1014"/>
        <v>7.099059805285119</v>
      </c>
      <c r="AA654" s="43">
        <f t="shared" si="1014"/>
        <v>7.1037453580901868</v>
      </c>
      <c r="AB654" s="43">
        <f t="shared" si="1014"/>
        <v>7.1121178607467215</v>
      </c>
      <c r="AC654" s="43">
        <f t="shared" si="1014"/>
        <v>7.1159189032631787</v>
      </c>
      <c r="AD654" s="43">
        <f t="shared" si="1014"/>
        <v>7.0884590163934433</v>
      </c>
      <c r="AE654" s="43">
        <f t="shared" si="1014"/>
        <v>7.0933751224289914</v>
      </c>
      <c r="AF654" s="43">
        <f t="shared" si="1014"/>
        <v>7.1024297557696627</v>
      </c>
      <c r="AG654" s="43">
        <f t="shared" si="1014"/>
        <v>7.1061314938564344</v>
      </c>
      <c r="AH654" s="43">
        <f t="shared" si="1014"/>
        <v>7.1093555370524566</v>
      </c>
      <c r="AI654" s="43">
        <f t="shared" ref="AI654:BB654" si="1015">IF(AI767&gt;0,$G14-AI638,0)</f>
        <v>7.114212765957447</v>
      </c>
      <c r="AJ654" s="43">
        <f t="shared" si="1015"/>
        <v>7.091973207640784</v>
      </c>
      <c r="AK654" s="43">
        <f t="shared" si="1015"/>
        <v>7.0967869163308848</v>
      </c>
      <c r="AL654" s="43">
        <f t="shared" si="1015"/>
        <v>7.099059805285119</v>
      </c>
      <c r="AM654" s="43">
        <f t="shared" si="1015"/>
        <v>7.1037453580901868</v>
      </c>
      <c r="AN654" s="43">
        <f t="shared" si="1015"/>
        <v>7.1120113154172557</v>
      </c>
      <c r="AO654" s="43">
        <f t="shared" si="1015"/>
        <v>7.1161132729724521</v>
      </c>
      <c r="AP654" s="43">
        <f t="shared" si="1015"/>
        <v>7.0884590163934433</v>
      </c>
      <c r="AQ654" s="43">
        <f t="shared" si="1015"/>
        <v>7.0933751224289914</v>
      </c>
      <c r="AR654" s="43">
        <f t="shared" si="1015"/>
        <v>7.1024297557696627</v>
      </c>
      <c r="AS654" s="43">
        <f t="shared" si="1015"/>
        <v>7.1144319119669888</v>
      </c>
      <c r="AT654" s="43">
        <f t="shared" si="1015"/>
        <v>7.1133248407643315</v>
      </c>
      <c r="AU654" s="43">
        <f t="shared" si="1015"/>
        <v>7.1137540106951871</v>
      </c>
      <c r="AV654" s="43">
        <f t="shared" si="1015"/>
        <v>7.1150992396178587</v>
      </c>
      <c r="AW654" s="43">
        <f t="shared" si="1015"/>
        <v>7.1061314938564344</v>
      </c>
      <c r="AX654" s="43">
        <f t="shared" si="1015"/>
        <v>7.1098061309030669</v>
      </c>
      <c r="AY654" s="43">
        <f t="shared" si="1015"/>
        <v>7.1155110593713626</v>
      </c>
      <c r="AZ654" s="43">
        <f t="shared" si="1015"/>
        <v>7.0935575653874352</v>
      </c>
      <c r="BA654" s="43">
        <f t="shared" si="1015"/>
        <v>7.0967869163308848</v>
      </c>
      <c r="BB654" s="43">
        <f t="shared" si="1015"/>
        <v>7.099059805285119</v>
      </c>
      <c r="BC654" s="19"/>
      <c r="BD654" s="129"/>
    </row>
    <row r="655" spans="2:56" x14ac:dyDescent="0.25">
      <c r="B655" s="43" t="str">
        <f t="shared" si="1005"/>
        <v>Product F Contribution Margin / Unit</v>
      </c>
      <c r="C655" s="43">
        <f t="shared" ref="C655:AH655" si="1016">IF(C768&gt;0,$G15-C639,0)</f>
        <v>0</v>
      </c>
      <c r="D655" s="43">
        <f t="shared" si="1016"/>
        <v>5.0144554455445558</v>
      </c>
      <c r="E655" s="43">
        <f t="shared" si="1016"/>
        <v>5.0182544892836454</v>
      </c>
      <c r="F655" s="43">
        <f t="shared" si="1016"/>
        <v>0</v>
      </c>
      <c r="G655" s="43">
        <f t="shared" si="1016"/>
        <v>0</v>
      </c>
      <c r="H655" s="43">
        <f t="shared" si="1016"/>
        <v>5.0051400403316144</v>
      </c>
      <c r="I655" s="43">
        <f t="shared" si="1016"/>
        <v>5.0087389523604209</v>
      </c>
      <c r="J655" s="43">
        <f t="shared" si="1016"/>
        <v>5.0123115161557585</v>
      </c>
      <c r="K655" s="43">
        <f t="shared" si="1016"/>
        <v>5.017857974388825</v>
      </c>
      <c r="L655" s="43">
        <f t="shared" si="1016"/>
        <v>4.9949739518729857</v>
      </c>
      <c r="M655" s="43">
        <f t="shared" si="1016"/>
        <v>4.9993677204658908</v>
      </c>
      <c r="N655" s="43">
        <f t="shared" si="1016"/>
        <v>5.0027652733118977</v>
      </c>
      <c r="O655" s="43">
        <f t="shared" si="1016"/>
        <v>0</v>
      </c>
      <c r="P655" s="43">
        <f t="shared" si="1016"/>
        <v>5.0144554455445558</v>
      </c>
      <c r="Q655" s="43">
        <f t="shared" si="1016"/>
        <v>5.0184434598343302</v>
      </c>
      <c r="R655" s="43">
        <f t="shared" si="1016"/>
        <v>4.9940010015022551</v>
      </c>
      <c r="S655" s="43">
        <f t="shared" si="1016"/>
        <v>0</v>
      </c>
      <c r="T655" s="43">
        <f t="shared" si="1016"/>
        <v>5.005054945054944</v>
      </c>
      <c r="U655" s="43">
        <f t="shared" si="1016"/>
        <v>5.0087389523604209</v>
      </c>
      <c r="V655" s="43">
        <f t="shared" si="1016"/>
        <v>5.0118734388009969</v>
      </c>
      <c r="W655" s="43">
        <f t="shared" si="1016"/>
        <v>0</v>
      </c>
      <c r="X655" s="43">
        <f t="shared" si="1016"/>
        <v>4.9949739518729857</v>
      </c>
      <c r="Y655" s="43">
        <f t="shared" si="1016"/>
        <v>4.9996539464328045</v>
      </c>
      <c r="Z655" s="43">
        <f t="shared" si="1016"/>
        <v>5.0018636995827528</v>
      </c>
      <c r="AA655" s="43">
        <f t="shared" si="1016"/>
        <v>0</v>
      </c>
      <c r="AB655" s="43">
        <f t="shared" si="1016"/>
        <v>5.0145590312815322</v>
      </c>
      <c r="AC655" s="43">
        <f t="shared" si="1016"/>
        <v>5.0182544892836454</v>
      </c>
      <c r="AD655" s="43">
        <f t="shared" si="1016"/>
        <v>4.9915573770491797</v>
      </c>
      <c r="AE655" s="43">
        <f t="shared" si="1016"/>
        <v>0</v>
      </c>
      <c r="AF655" s="43">
        <f t="shared" si="1016"/>
        <v>5.0051400403316144</v>
      </c>
      <c r="AG655" s="43">
        <f t="shared" si="1016"/>
        <v>5.0087389523604209</v>
      </c>
      <c r="AH655" s="43">
        <f t="shared" si="1016"/>
        <v>5.0118734388009969</v>
      </c>
      <c r="AI655" s="43">
        <f t="shared" ref="AI655:BB655" si="1017">IF(AI768&gt;0,$G15-AI639,0)</f>
        <v>0</v>
      </c>
      <c r="AJ655" s="43">
        <f t="shared" si="1017"/>
        <v>4.9949739518729857</v>
      </c>
      <c r="AK655" s="43">
        <f t="shared" si="1017"/>
        <v>4.9996539464328045</v>
      </c>
      <c r="AL655" s="43">
        <f t="shared" si="1017"/>
        <v>5.0018636995827528</v>
      </c>
      <c r="AM655" s="43">
        <f t="shared" si="1017"/>
        <v>0</v>
      </c>
      <c r="AN655" s="43">
        <f t="shared" si="1017"/>
        <v>5.0144554455445558</v>
      </c>
      <c r="AO655" s="43">
        <f t="shared" si="1017"/>
        <v>5.0184434598343302</v>
      </c>
      <c r="AP655" s="43">
        <f t="shared" si="1017"/>
        <v>4.9915573770491797</v>
      </c>
      <c r="AQ655" s="43">
        <f t="shared" si="1017"/>
        <v>0</v>
      </c>
      <c r="AR655" s="43">
        <f t="shared" si="1017"/>
        <v>5.0051400403316144</v>
      </c>
      <c r="AS655" s="43">
        <f t="shared" si="1017"/>
        <v>5.0168088033012381</v>
      </c>
      <c r="AT655" s="43">
        <f t="shared" si="1017"/>
        <v>5.0157324840764339</v>
      </c>
      <c r="AU655" s="43">
        <f t="shared" si="1017"/>
        <v>5.0161497326203204</v>
      </c>
      <c r="AV655" s="43">
        <f t="shared" si="1017"/>
        <v>5.0174575940729191</v>
      </c>
      <c r="AW655" s="43">
        <f t="shared" si="1017"/>
        <v>5.0087389523604209</v>
      </c>
      <c r="AX655" s="43">
        <f t="shared" si="1017"/>
        <v>5.0123115161557585</v>
      </c>
      <c r="AY655" s="43">
        <f t="shared" si="1017"/>
        <v>5.017857974388825</v>
      </c>
      <c r="AZ655" s="43">
        <f t="shared" si="1017"/>
        <v>4.9965142996822287</v>
      </c>
      <c r="BA655" s="43">
        <f t="shared" si="1017"/>
        <v>4.9996539464328045</v>
      </c>
      <c r="BB655" s="43">
        <f t="shared" si="1017"/>
        <v>5.0018636995827528</v>
      </c>
      <c r="BC655" s="19"/>
      <c r="BD655" s="129"/>
    </row>
    <row r="656" spans="2:56" x14ac:dyDescent="0.25">
      <c r="B656" s="43" t="str">
        <f t="shared" si="1005"/>
        <v>Product G Contribution Margin / Unit</v>
      </c>
      <c r="C656" s="43">
        <f t="shared" ref="C656:AH656" si="1018">IF(C769&gt;0,$G16-C640,0)</f>
        <v>0</v>
      </c>
      <c r="D656" s="43">
        <f t="shared" si="1018"/>
        <v>9.0266760961810455</v>
      </c>
      <c r="E656" s="43">
        <f t="shared" si="1018"/>
        <v>9.0299324193859807</v>
      </c>
      <c r="F656" s="43">
        <f t="shared" si="1018"/>
        <v>9.0067625899280568</v>
      </c>
      <c r="G656" s="43">
        <f t="shared" si="1018"/>
        <v>0</v>
      </c>
      <c r="H656" s="43">
        <f t="shared" si="1018"/>
        <v>0</v>
      </c>
      <c r="I656" s="43">
        <f t="shared" si="1018"/>
        <v>9.0217762448803622</v>
      </c>
      <c r="J656" s="43">
        <f t="shared" si="1018"/>
        <v>9.0248384424192203</v>
      </c>
      <c r="K656" s="43">
        <f t="shared" si="1018"/>
        <v>0</v>
      </c>
      <c r="L656" s="43">
        <f t="shared" si="1018"/>
        <v>0</v>
      </c>
      <c r="M656" s="43">
        <f t="shared" si="1018"/>
        <v>9.0137437603993344</v>
      </c>
      <c r="N656" s="43">
        <f t="shared" si="1018"/>
        <v>9.0166559485530549</v>
      </c>
      <c r="O656" s="43">
        <f t="shared" si="1018"/>
        <v>0</v>
      </c>
      <c r="P656" s="43">
        <f t="shared" si="1018"/>
        <v>0</v>
      </c>
      <c r="Q656" s="43">
        <f t="shared" si="1018"/>
        <v>9.0300943941437097</v>
      </c>
      <c r="R656" s="43">
        <f t="shared" si="1018"/>
        <v>9.0091437155733605</v>
      </c>
      <c r="S656" s="43">
        <f t="shared" si="1018"/>
        <v>0</v>
      </c>
      <c r="T656" s="43">
        <f t="shared" si="1018"/>
        <v>0</v>
      </c>
      <c r="U656" s="43">
        <f t="shared" si="1018"/>
        <v>9.0217762448803622</v>
      </c>
      <c r="V656" s="43">
        <f t="shared" si="1018"/>
        <v>9.0244629475437126</v>
      </c>
      <c r="W656" s="43">
        <f t="shared" si="1018"/>
        <v>0</v>
      </c>
      <c r="X656" s="43">
        <f t="shared" si="1018"/>
        <v>0</v>
      </c>
      <c r="Y656" s="43">
        <f t="shared" si="1018"/>
        <v>9.013989096942403</v>
      </c>
      <c r="Z656" s="43">
        <f t="shared" si="1018"/>
        <v>9.0158831710709322</v>
      </c>
      <c r="AA656" s="43">
        <f t="shared" si="1018"/>
        <v>0</v>
      </c>
      <c r="AB656" s="43">
        <f t="shared" si="1018"/>
        <v>0</v>
      </c>
      <c r="AC656" s="43">
        <f t="shared" si="1018"/>
        <v>9.0299324193859807</v>
      </c>
      <c r="AD656" s="43">
        <f t="shared" si="1018"/>
        <v>9.0070491803278685</v>
      </c>
      <c r="AE656" s="43">
        <f t="shared" si="1018"/>
        <v>0</v>
      </c>
      <c r="AF656" s="43">
        <f t="shared" si="1018"/>
        <v>0</v>
      </c>
      <c r="AG656" s="43">
        <f t="shared" si="1018"/>
        <v>9.0217762448803622</v>
      </c>
      <c r="AH656" s="43">
        <f t="shared" si="1018"/>
        <v>9.0244629475437126</v>
      </c>
      <c r="AI656" s="43">
        <f t="shared" ref="AI656:BB656" si="1019">IF(AI769&gt;0,$G16-AI640,0)</f>
        <v>0</v>
      </c>
      <c r="AJ656" s="43">
        <f t="shared" si="1019"/>
        <v>0</v>
      </c>
      <c r="AK656" s="43">
        <f t="shared" si="1019"/>
        <v>9.013989096942403</v>
      </c>
      <c r="AL656" s="43">
        <f t="shared" si="1019"/>
        <v>9.0158831710709322</v>
      </c>
      <c r="AM656" s="43">
        <f t="shared" si="1019"/>
        <v>0</v>
      </c>
      <c r="AN656" s="43">
        <f t="shared" si="1019"/>
        <v>0</v>
      </c>
      <c r="AO656" s="43">
        <f t="shared" si="1019"/>
        <v>9.0300943941437097</v>
      </c>
      <c r="AP656" s="43">
        <f t="shared" si="1019"/>
        <v>9.0070491803278685</v>
      </c>
      <c r="AQ656" s="43">
        <f t="shared" si="1019"/>
        <v>0</v>
      </c>
      <c r="AR656" s="43">
        <f t="shared" si="1019"/>
        <v>0</v>
      </c>
      <c r="AS656" s="43">
        <f t="shared" si="1019"/>
        <v>9.0286932599724885</v>
      </c>
      <c r="AT656" s="43">
        <f t="shared" si="1019"/>
        <v>9.0277707006369425</v>
      </c>
      <c r="AU656" s="43">
        <f t="shared" si="1019"/>
        <v>0</v>
      </c>
      <c r="AV656" s="43">
        <f t="shared" si="1019"/>
        <v>0</v>
      </c>
      <c r="AW656" s="43">
        <f t="shared" si="1019"/>
        <v>9.0217762448803622</v>
      </c>
      <c r="AX656" s="43">
        <f t="shared" si="1019"/>
        <v>9.0248384424192203</v>
      </c>
      <c r="AY656" s="43">
        <f t="shared" si="1019"/>
        <v>0</v>
      </c>
      <c r="AZ656" s="43">
        <f t="shared" si="1019"/>
        <v>0</v>
      </c>
      <c r="BA656" s="43">
        <f t="shared" si="1019"/>
        <v>9.013989096942403</v>
      </c>
      <c r="BB656" s="43">
        <f t="shared" si="1019"/>
        <v>9.0158831710709322</v>
      </c>
      <c r="BC656" s="19"/>
      <c r="BD656" s="129"/>
    </row>
    <row r="657" spans="2:56" x14ac:dyDescent="0.25">
      <c r="B657" s="43" t="str">
        <f t="shared" si="1005"/>
        <v>Product H Contribution Margin / Unit</v>
      </c>
      <c r="C657" s="43">
        <f t="shared" ref="C657:AH657" si="1020">IF(C770&gt;0,$G17-C641,0)</f>
        <v>0</v>
      </c>
      <c r="D657" s="43">
        <f t="shared" si="1020"/>
        <v>0</v>
      </c>
      <c r="E657" s="43">
        <f t="shared" si="1020"/>
        <v>0</v>
      </c>
      <c r="F657" s="43">
        <f t="shared" si="1020"/>
        <v>10.604690647482014</v>
      </c>
      <c r="G657" s="43">
        <f t="shared" si="1020"/>
        <v>0</v>
      </c>
      <c r="H657" s="43">
        <f t="shared" si="1020"/>
        <v>0</v>
      </c>
      <c r="I657" s="43">
        <f t="shared" si="1020"/>
        <v>0</v>
      </c>
      <c r="J657" s="43">
        <f t="shared" si="1020"/>
        <v>10.623168185584092</v>
      </c>
      <c r="K657" s="43">
        <f t="shared" si="1020"/>
        <v>0</v>
      </c>
      <c r="L657" s="43">
        <f t="shared" si="1020"/>
        <v>0</v>
      </c>
      <c r="M657" s="43">
        <f t="shared" si="1020"/>
        <v>0</v>
      </c>
      <c r="N657" s="43">
        <f t="shared" si="1020"/>
        <v>10.614803858520901</v>
      </c>
      <c r="O657" s="43">
        <f t="shared" si="1020"/>
        <v>0</v>
      </c>
      <c r="P657" s="43">
        <f t="shared" si="1020"/>
        <v>0</v>
      </c>
      <c r="Q657" s="43">
        <f t="shared" si="1020"/>
        <v>10.628540936235794</v>
      </c>
      <c r="R657" s="43">
        <f t="shared" si="1020"/>
        <v>10.607124687030545</v>
      </c>
      <c r="S657" s="43">
        <f t="shared" si="1020"/>
        <v>0</v>
      </c>
      <c r="T657" s="43">
        <f t="shared" si="1020"/>
        <v>0</v>
      </c>
      <c r="U657" s="43">
        <f t="shared" si="1020"/>
        <v>0</v>
      </c>
      <c r="V657" s="43">
        <f t="shared" si="1020"/>
        <v>10.622784346378019</v>
      </c>
      <c r="W657" s="43">
        <f t="shared" si="1020"/>
        <v>10.626921985815603</v>
      </c>
      <c r="X657" s="43">
        <f t="shared" si="1020"/>
        <v>0</v>
      </c>
      <c r="Y657" s="43">
        <f t="shared" si="1020"/>
        <v>0</v>
      </c>
      <c r="Z657" s="43">
        <f t="shared" si="1020"/>
        <v>10.614013908205841</v>
      </c>
      <c r="AA657" s="43">
        <f t="shared" si="1020"/>
        <v>0</v>
      </c>
      <c r="AB657" s="43">
        <f t="shared" si="1020"/>
        <v>10.625137436932391</v>
      </c>
      <c r="AC657" s="43">
        <f t="shared" si="1020"/>
        <v>0</v>
      </c>
      <c r="AD657" s="43">
        <f t="shared" si="1020"/>
        <v>10.604983606557377</v>
      </c>
      <c r="AE657" s="43">
        <f t="shared" si="1020"/>
        <v>0</v>
      </c>
      <c r="AF657" s="43">
        <f t="shared" si="1020"/>
        <v>0</v>
      </c>
      <c r="AG657" s="43">
        <f t="shared" si="1020"/>
        <v>0</v>
      </c>
      <c r="AH657" s="43">
        <f t="shared" si="1020"/>
        <v>10.622784346378019</v>
      </c>
      <c r="AI657" s="43">
        <f t="shared" ref="AI657:BB657" si="1021">IF(AI770&gt;0,$G17-AI641,0)</f>
        <v>10.626921985815603</v>
      </c>
      <c r="AJ657" s="43">
        <f t="shared" si="1021"/>
        <v>0</v>
      </c>
      <c r="AK657" s="43">
        <f t="shared" si="1021"/>
        <v>0</v>
      </c>
      <c r="AL657" s="43">
        <f t="shared" si="1021"/>
        <v>10.614013908205841</v>
      </c>
      <c r="AM657" s="43">
        <f t="shared" si="1021"/>
        <v>0</v>
      </c>
      <c r="AN657" s="43">
        <f t="shared" si="1021"/>
        <v>0</v>
      </c>
      <c r="AO657" s="43">
        <f t="shared" si="1021"/>
        <v>10.628540936235794</v>
      </c>
      <c r="AP657" s="43">
        <f t="shared" si="1021"/>
        <v>10.604983606557377</v>
      </c>
      <c r="AQ657" s="43">
        <f t="shared" si="1021"/>
        <v>0</v>
      </c>
      <c r="AR657" s="43">
        <f t="shared" si="1021"/>
        <v>0</v>
      </c>
      <c r="AS657" s="43">
        <f t="shared" si="1021"/>
        <v>0</v>
      </c>
      <c r="AT657" s="43">
        <f t="shared" si="1021"/>
        <v>10.626165605095542</v>
      </c>
      <c r="AU657" s="43">
        <f t="shared" si="1021"/>
        <v>0</v>
      </c>
      <c r="AV657" s="43">
        <f t="shared" si="1021"/>
        <v>0</v>
      </c>
      <c r="AW657" s="43">
        <f t="shared" si="1021"/>
        <v>0</v>
      </c>
      <c r="AX657" s="43">
        <f t="shared" si="1021"/>
        <v>10.623168185584092</v>
      </c>
      <c r="AY657" s="43">
        <f t="shared" si="1021"/>
        <v>0</v>
      </c>
      <c r="AZ657" s="43">
        <f t="shared" si="1021"/>
        <v>0</v>
      </c>
      <c r="BA657" s="43">
        <f t="shared" si="1021"/>
        <v>0</v>
      </c>
      <c r="BB657" s="43">
        <f t="shared" si="1021"/>
        <v>10.614013908205841</v>
      </c>
      <c r="BC657" s="19"/>
      <c r="BD657" s="129"/>
    </row>
    <row r="658" spans="2:56" x14ac:dyDescent="0.25">
      <c r="B658" s="113" t="str">
        <f t="shared" ref="B658:B665" si="1022">_xlfn.CONCAT(B457," ","Opportunity Cost / Rework Unit")</f>
        <v>Product A Opportunity Cost / Rework Unit</v>
      </c>
      <c r="C658" s="113">
        <f t="shared" ref="C658" si="1023">C650*C546/C554</f>
        <v>23.733961096374887</v>
      </c>
      <c r="D658" s="113">
        <f t="shared" ref="D658:BB658" si="1024">D650*D546/D554</f>
        <v>0</v>
      </c>
      <c r="E658" s="113">
        <f t="shared" si="1024"/>
        <v>23.757068288601403</v>
      </c>
      <c r="F658" s="113">
        <f t="shared" si="1024"/>
        <v>0</v>
      </c>
      <c r="G658" s="113">
        <f t="shared" si="1024"/>
        <v>23.714276852758733</v>
      </c>
      <c r="H658" s="113">
        <f t="shared" si="1024"/>
        <v>0</v>
      </c>
      <c r="I658" s="113">
        <f t="shared" si="1024"/>
        <v>0</v>
      </c>
      <c r="J658" s="113">
        <f t="shared" si="1024"/>
        <v>0</v>
      </c>
      <c r="K658" s="113">
        <f t="shared" si="1024"/>
        <v>23.756294140473418</v>
      </c>
      <c r="L658" s="113">
        <f t="shared" si="1024"/>
        <v>0</v>
      </c>
      <c r="M658" s="113">
        <f t="shared" si="1024"/>
        <v>0</v>
      </c>
      <c r="N658" s="113">
        <f t="shared" si="1024"/>
        <v>0</v>
      </c>
      <c r="O658" s="113">
        <f t="shared" si="1024"/>
        <v>23.733961096374887</v>
      </c>
      <c r="P658" s="113">
        <f t="shared" si="1024"/>
        <v>23.749651107967939</v>
      </c>
      <c r="Q658" s="113">
        <f t="shared" si="1024"/>
        <v>0</v>
      </c>
      <c r="R658" s="113">
        <f t="shared" si="1024"/>
        <v>0</v>
      </c>
      <c r="S658" s="113">
        <f t="shared" si="1024"/>
        <v>23.714276852758733</v>
      </c>
      <c r="T658" s="113">
        <f t="shared" si="1024"/>
        <v>0</v>
      </c>
      <c r="U658" s="113">
        <f t="shared" si="1024"/>
        <v>0</v>
      </c>
      <c r="V658" s="113">
        <f t="shared" si="1024"/>
        <v>23.744610047182903</v>
      </c>
      <c r="W658" s="113">
        <f t="shared" si="1024"/>
        <v>23.753829787234043</v>
      </c>
      <c r="X658" s="113">
        <f t="shared" si="1024"/>
        <v>0</v>
      </c>
      <c r="Y658" s="113">
        <f t="shared" si="1024"/>
        <v>0</v>
      </c>
      <c r="Z658" s="113">
        <f t="shared" si="1024"/>
        <v>0</v>
      </c>
      <c r="AA658" s="113">
        <f t="shared" si="1024"/>
        <v>23.733961096374887</v>
      </c>
      <c r="AB658" s="113">
        <f t="shared" si="1024"/>
        <v>0</v>
      </c>
      <c r="AC658" s="113">
        <f t="shared" si="1024"/>
        <v>23.757068288601403</v>
      </c>
      <c r="AD658" s="113">
        <f t="shared" si="1024"/>
        <v>0</v>
      </c>
      <c r="AE658" s="113">
        <f t="shared" si="1024"/>
        <v>23.714276852758733</v>
      </c>
      <c r="AF658" s="113">
        <f t="shared" si="1024"/>
        <v>0</v>
      </c>
      <c r="AG658" s="113">
        <f t="shared" si="1024"/>
        <v>0</v>
      </c>
      <c r="AH658" s="113">
        <f t="shared" si="1024"/>
        <v>23.744610047182903</v>
      </c>
      <c r="AI658" s="113">
        <f t="shared" si="1024"/>
        <v>23.753829787234043</v>
      </c>
      <c r="AJ658" s="113">
        <f t="shared" si="1024"/>
        <v>0</v>
      </c>
      <c r="AK658" s="113">
        <f t="shared" si="1024"/>
        <v>0</v>
      </c>
      <c r="AL658" s="113">
        <f t="shared" si="1024"/>
        <v>0</v>
      </c>
      <c r="AM658" s="113">
        <f t="shared" si="1024"/>
        <v>23.733961096374887</v>
      </c>
      <c r="AN658" s="113">
        <f t="shared" si="1024"/>
        <v>23.749651107967939</v>
      </c>
      <c r="AO658" s="113">
        <f t="shared" si="1024"/>
        <v>0</v>
      </c>
      <c r="AP658" s="113">
        <f t="shared" si="1024"/>
        <v>0</v>
      </c>
      <c r="AQ658" s="113">
        <f t="shared" si="1024"/>
        <v>23.714276852758733</v>
      </c>
      <c r="AR658" s="113">
        <f t="shared" si="1024"/>
        <v>0</v>
      </c>
      <c r="AS658" s="113">
        <f t="shared" si="1024"/>
        <v>23.754245758826226</v>
      </c>
      <c r="AT658" s="113">
        <f t="shared" si="1024"/>
        <v>0</v>
      </c>
      <c r="AU658" s="113">
        <f t="shared" si="1024"/>
        <v>23.752959001782532</v>
      </c>
      <c r="AV658" s="113">
        <f t="shared" si="1024"/>
        <v>23.75551244557094</v>
      </c>
      <c r="AW658" s="113">
        <f t="shared" si="1024"/>
        <v>0</v>
      </c>
      <c r="AX658" s="113">
        <f t="shared" si="1024"/>
        <v>0</v>
      </c>
      <c r="AY658" s="113">
        <f t="shared" si="1024"/>
        <v>23.756294140473418</v>
      </c>
      <c r="AZ658" s="113">
        <f t="shared" si="1024"/>
        <v>0</v>
      </c>
      <c r="BA658" s="113">
        <f t="shared" si="1024"/>
        <v>0</v>
      </c>
      <c r="BB658" s="113">
        <f t="shared" si="1024"/>
        <v>0</v>
      </c>
      <c r="BC658" s="19"/>
    </row>
    <row r="659" spans="2:56" x14ac:dyDescent="0.25">
      <c r="B659" s="113" t="str">
        <f t="shared" si="1022"/>
        <v>Product B Opportunity Cost / Rework Unit</v>
      </c>
      <c r="C659" s="113">
        <f t="shared" ref="C659:BB659" si="1025">C651*C547/C555</f>
        <v>18.805217344232119</v>
      </c>
      <c r="D659" s="113">
        <f t="shared" si="1025"/>
        <v>18.822820771873108</v>
      </c>
      <c r="E659" s="113">
        <f t="shared" si="1025"/>
        <v>0</v>
      </c>
      <c r="F659" s="113">
        <f t="shared" si="1025"/>
        <v>18.771930700337684</v>
      </c>
      <c r="G659" s="113">
        <f t="shared" si="1025"/>
        <v>18.7831325831018</v>
      </c>
      <c r="H659" s="113">
        <f t="shared" si="1025"/>
        <v>18.802415598549516</v>
      </c>
      <c r="I659" s="113">
        <f t="shared" si="1025"/>
        <v>0</v>
      </c>
      <c r="J659" s="113">
        <f t="shared" si="1025"/>
        <v>18.818124545592884</v>
      </c>
      <c r="K659" s="113">
        <f t="shared" si="1025"/>
        <v>18.830273930293885</v>
      </c>
      <c r="L659" s="113">
        <f t="shared" si="1025"/>
        <v>18.780147023830615</v>
      </c>
      <c r="M659" s="113">
        <f t="shared" si="1025"/>
        <v>0</v>
      </c>
      <c r="N659" s="113">
        <f t="shared" si="1025"/>
        <v>0</v>
      </c>
      <c r="O659" s="113">
        <f t="shared" si="1025"/>
        <v>18.805217344232119</v>
      </c>
      <c r="P659" s="113">
        <f t="shared" si="1025"/>
        <v>18.822820771873108</v>
      </c>
      <c r="Q659" s="113">
        <f t="shared" si="1025"/>
        <v>0</v>
      </c>
      <c r="R659" s="113">
        <f t="shared" si="1025"/>
        <v>0</v>
      </c>
      <c r="S659" s="113">
        <f t="shared" si="1025"/>
        <v>18.7831325831018</v>
      </c>
      <c r="T659" s="113">
        <f t="shared" si="1025"/>
        <v>18.802229199372054</v>
      </c>
      <c r="U659" s="113">
        <f t="shared" si="1025"/>
        <v>0</v>
      </c>
      <c r="V659" s="113">
        <f t="shared" si="1025"/>
        <v>0</v>
      </c>
      <c r="W659" s="113">
        <f t="shared" si="1025"/>
        <v>18.827509046171659</v>
      </c>
      <c r="X659" s="113">
        <f t="shared" si="1025"/>
        <v>18.780147023830615</v>
      </c>
      <c r="Y659" s="113">
        <f t="shared" si="1025"/>
        <v>0</v>
      </c>
      <c r="Z659" s="113">
        <f t="shared" si="1025"/>
        <v>0</v>
      </c>
      <c r="AA659" s="113">
        <f t="shared" si="1025"/>
        <v>18.805217344232119</v>
      </c>
      <c r="AB659" s="113">
        <f t="shared" si="1025"/>
        <v>18.823047673963632</v>
      </c>
      <c r="AC659" s="113">
        <f t="shared" si="1025"/>
        <v>0</v>
      </c>
      <c r="AD659" s="113">
        <f t="shared" si="1025"/>
        <v>0</v>
      </c>
      <c r="AE659" s="113">
        <f t="shared" si="1025"/>
        <v>18.7831325831018</v>
      </c>
      <c r="AF659" s="113">
        <f t="shared" si="1025"/>
        <v>18.802415598549516</v>
      </c>
      <c r="AG659" s="113">
        <f t="shared" si="1025"/>
        <v>0</v>
      </c>
      <c r="AH659" s="113">
        <f t="shared" si="1025"/>
        <v>0</v>
      </c>
      <c r="AI659" s="113">
        <f t="shared" si="1025"/>
        <v>18.827509046171659</v>
      </c>
      <c r="AJ659" s="113">
        <f t="shared" si="1025"/>
        <v>18.780147023830615</v>
      </c>
      <c r="AK659" s="113">
        <f t="shared" si="1025"/>
        <v>0</v>
      </c>
      <c r="AL659" s="113">
        <f t="shared" si="1025"/>
        <v>0</v>
      </c>
      <c r="AM659" s="113">
        <f t="shared" si="1025"/>
        <v>18.805217344232119</v>
      </c>
      <c r="AN659" s="113">
        <f t="shared" si="1025"/>
        <v>18.822820771873108</v>
      </c>
      <c r="AO659" s="113">
        <f t="shared" si="1025"/>
        <v>0</v>
      </c>
      <c r="AP659" s="113">
        <f t="shared" si="1025"/>
        <v>0</v>
      </c>
      <c r="AQ659" s="113">
        <f t="shared" si="1025"/>
        <v>18.7831325831018</v>
      </c>
      <c r="AR659" s="113">
        <f t="shared" si="1025"/>
        <v>18.802415598549516</v>
      </c>
      <c r="AS659" s="113">
        <f t="shared" si="1025"/>
        <v>0</v>
      </c>
      <c r="AT659" s="113">
        <f t="shared" si="1025"/>
        <v>18.825618094371499</v>
      </c>
      <c r="AU659" s="113">
        <f t="shared" si="1025"/>
        <v>18.826532067372401</v>
      </c>
      <c r="AV659" s="113">
        <f t="shared" si="1025"/>
        <v>18.829396906744758</v>
      </c>
      <c r="AW659" s="113">
        <f t="shared" si="1025"/>
        <v>0</v>
      </c>
      <c r="AX659" s="113">
        <f t="shared" si="1025"/>
        <v>18.818124545592884</v>
      </c>
      <c r="AY659" s="113">
        <f t="shared" si="1025"/>
        <v>18.830273930293885</v>
      </c>
      <c r="AZ659" s="113">
        <f t="shared" si="1025"/>
        <v>18.783521119031821</v>
      </c>
      <c r="BA659" s="113">
        <f t="shared" si="1025"/>
        <v>0</v>
      </c>
      <c r="BB659" s="113">
        <f t="shared" si="1025"/>
        <v>0</v>
      </c>
      <c r="BC659" s="19"/>
    </row>
    <row r="660" spans="2:56" x14ac:dyDescent="0.25">
      <c r="B660" s="113" t="str">
        <f t="shared" si="1022"/>
        <v>Product C Opportunity Cost / Rework Unit</v>
      </c>
      <c r="C660" s="113">
        <f t="shared" ref="C660:BB660" si="1026">C652*C548/C556</f>
        <v>18.571750663129976</v>
      </c>
      <c r="D660" s="113">
        <f t="shared" si="1026"/>
        <v>18.58705799151344</v>
      </c>
      <c r="E660" s="113">
        <f t="shared" si="1026"/>
        <v>18.594294265302182</v>
      </c>
      <c r="F660" s="113">
        <f t="shared" si="1026"/>
        <v>0</v>
      </c>
      <c r="G660" s="113">
        <f t="shared" si="1026"/>
        <v>18.552546523016652</v>
      </c>
      <c r="H660" s="113">
        <f t="shared" si="1026"/>
        <v>18.569314362536414</v>
      </c>
      <c r="I660" s="113">
        <f t="shared" si="1026"/>
        <v>18.576169433067474</v>
      </c>
      <c r="J660" s="113">
        <f t="shared" si="1026"/>
        <v>0</v>
      </c>
      <c r="K660" s="113">
        <f t="shared" si="1026"/>
        <v>18.593538998835857</v>
      </c>
      <c r="L660" s="113">
        <f t="shared" si="1026"/>
        <v>18.549950384519974</v>
      </c>
      <c r="M660" s="113">
        <f t="shared" si="1026"/>
        <v>18.558319467554082</v>
      </c>
      <c r="N660" s="113">
        <f t="shared" si="1026"/>
        <v>0</v>
      </c>
      <c r="O660" s="113">
        <f t="shared" si="1026"/>
        <v>18.571750663129976</v>
      </c>
      <c r="P660" s="113">
        <f t="shared" si="1026"/>
        <v>18.58705799151344</v>
      </c>
      <c r="Q660" s="113">
        <f t="shared" si="1026"/>
        <v>18.594654209208247</v>
      </c>
      <c r="R660" s="113">
        <f t="shared" si="1026"/>
        <v>0</v>
      </c>
      <c r="S660" s="113">
        <f t="shared" si="1026"/>
        <v>18.552546523016652</v>
      </c>
      <c r="T660" s="113">
        <f t="shared" si="1026"/>
        <v>18.569152276295139</v>
      </c>
      <c r="U660" s="113">
        <f t="shared" si="1026"/>
        <v>18.576169433067474</v>
      </c>
      <c r="V660" s="113">
        <f t="shared" si="1026"/>
        <v>0</v>
      </c>
      <c r="W660" s="113">
        <f t="shared" si="1026"/>
        <v>18.591134751773051</v>
      </c>
      <c r="X660" s="113">
        <f t="shared" si="1026"/>
        <v>18.549950384519974</v>
      </c>
      <c r="Y660" s="113">
        <f t="shared" si="1026"/>
        <v>18.558864659872008</v>
      </c>
      <c r="Z660" s="113">
        <f t="shared" si="1026"/>
        <v>0</v>
      </c>
      <c r="AA660" s="113">
        <f t="shared" si="1026"/>
        <v>18.571750663129976</v>
      </c>
      <c r="AB660" s="113">
        <f t="shared" si="1026"/>
        <v>18.587255297679114</v>
      </c>
      <c r="AC660" s="113">
        <f t="shared" si="1026"/>
        <v>18.594294265302182</v>
      </c>
      <c r="AD660" s="113">
        <f t="shared" si="1026"/>
        <v>0</v>
      </c>
      <c r="AE660" s="113">
        <f t="shared" si="1026"/>
        <v>18.552546523016652</v>
      </c>
      <c r="AF660" s="113">
        <f t="shared" si="1026"/>
        <v>18.569314362536414</v>
      </c>
      <c r="AG660" s="113">
        <f t="shared" si="1026"/>
        <v>18.576169433067474</v>
      </c>
      <c r="AH660" s="113">
        <f t="shared" si="1026"/>
        <v>0</v>
      </c>
      <c r="AI660" s="113">
        <f t="shared" si="1026"/>
        <v>18.591134751773051</v>
      </c>
      <c r="AJ660" s="113">
        <f t="shared" si="1026"/>
        <v>18.549950384519974</v>
      </c>
      <c r="AK660" s="113">
        <f t="shared" si="1026"/>
        <v>18.558864659872008</v>
      </c>
      <c r="AL660" s="113">
        <f t="shared" si="1026"/>
        <v>0</v>
      </c>
      <c r="AM660" s="113">
        <f t="shared" si="1026"/>
        <v>18.571750663129976</v>
      </c>
      <c r="AN660" s="113">
        <f t="shared" si="1026"/>
        <v>18.58705799151344</v>
      </c>
      <c r="AO660" s="113">
        <f t="shared" si="1026"/>
        <v>18.594654209208247</v>
      </c>
      <c r="AP660" s="113">
        <f t="shared" si="1026"/>
        <v>0</v>
      </c>
      <c r="AQ660" s="113">
        <f t="shared" si="1026"/>
        <v>18.552546523016652</v>
      </c>
      <c r="AR660" s="113">
        <f t="shared" si="1026"/>
        <v>18.569314362536414</v>
      </c>
      <c r="AS660" s="113">
        <f t="shared" si="1026"/>
        <v>18.591540577716646</v>
      </c>
      <c r="AT660" s="113">
        <f t="shared" si="1026"/>
        <v>0</v>
      </c>
      <c r="AU660" s="113">
        <f t="shared" si="1026"/>
        <v>18.590285204991087</v>
      </c>
      <c r="AV660" s="113">
        <f t="shared" si="1026"/>
        <v>18.592776369662705</v>
      </c>
      <c r="AW660" s="113">
        <f t="shared" si="1026"/>
        <v>18.576169433067474</v>
      </c>
      <c r="AX660" s="113">
        <f t="shared" si="1026"/>
        <v>0</v>
      </c>
      <c r="AY660" s="113">
        <f t="shared" si="1026"/>
        <v>18.593538998835857</v>
      </c>
      <c r="AZ660" s="113">
        <f t="shared" si="1026"/>
        <v>18.552884380347106</v>
      </c>
      <c r="BA660" s="113">
        <f t="shared" si="1026"/>
        <v>18.558864659872008</v>
      </c>
      <c r="BB660" s="113">
        <f t="shared" si="1026"/>
        <v>0</v>
      </c>
      <c r="BC660" s="19"/>
    </row>
    <row r="661" spans="2:56" x14ac:dyDescent="0.25">
      <c r="B661" s="113" t="str">
        <f t="shared" si="1022"/>
        <v>Product D Opportunity Cost / Rework Unit</v>
      </c>
      <c r="C661" s="113">
        <f t="shared" ref="C661:BB661" si="1027">C653*C549/C557</f>
        <v>7.5233547142512629</v>
      </c>
      <c r="D661" s="113">
        <f t="shared" si="1027"/>
        <v>7.5377436029317257</v>
      </c>
      <c r="E661" s="113">
        <f t="shared" si="1027"/>
        <v>7.5445457002931429</v>
      </c>
      <c r="F661" s="113">
        <f t="shared" si="1027"/>
        <v>7.4961465009810349</v>
      </c>
      <c r="G661" s="113">
        <f t="shared" si="1027"/>
        <v>7.5053028225447402</v>
      </c>
      <c r="H661" s="113">
        <f t="shared" si="1027"/>
        <v>7.5210645916933148</v>
      </c>
      <c r="I661" s="113">
        <f t="shared" si="1027"/>
        <v>7.5275083579925113</v>
      </c>
      <c r="J661" s="113">
        <f t="shared" si="1027"/>
        <v>7.5339049484070211</v>
      </c>
      <c r="K661" s="113">
        <f t="shared" si="1027"/>
        <v>7.5438357498147948</v>
      </c>
      <c r="L661" s="113">
        <f t="shared" si="1027"/>
        <v>7.50286245235786</v>
      </c>
      <c r="M661" s="113">
        <f t="shared" si="1027"/>
        <v>7.5107293904099244</v>
      </c>
      <c r="N661" s="113">
        <f t="shared" si="1027"/>
        <v>7.5168126278865799</v>
      </c>
      <c r="O661" s="113">
        <f t="shared" si="1027"/>
        <v>7.5233547142512629</v>
      </c>
      <c r="P661" s="113">
        <f t="shared" si="1027"/>
        <v>7.5377436029317257</v>
      </c>
      <c r="Q661" s="113">
        <f t="shared" si="1027"/>
        <v>7.5448840475648433</v>
      </c>
      <c r="R661" s="113">
        <f t="shared" si="1027"/>
        <v>7.5011204078845557</v>
      </c>
      <c r="S661" s="113">
        <f t="shared" si="1027"/>
        <v>7.5053028225447402</v>
      </c>
      <c r="T661" s="113">
        <f t="shared" si="1027"/>
        <v>7.5209122306265126</v>
      </c>
      <c r="U661" s="113">
        <f t="shared" si="1027"/>
        <v>7.5275083579925113</v>
      </c>
      <c r="V661" s="113">
        <f t="shared" si="1027"/>
        <v>7.5331205813337396</v>
      </c>
      <c r="W661" s="113">
        <f t="shared" si="1027"/>
        <v>7.541575757575754</v>
      </c>
      <c r="X661" s="113">
        <f t="shared" si="1027"/>
        <v>7.50286245235786</v>
      </c>
      <c r="Y661" s="113">
        <f t="shared" si="1027"/>
        <v>7.5112418711887816</v>
      </c>
      <c r="Z661" s="113">
        <f t="shared" si="1027"/>
        <v>7.5151983815905927</v>
      </c>
      <c r="AA661" s="113">
        <f t="shared" si="1027"/>
        <v>7.5233547142512629</v>
      </c>
      <c r="AB661" s="113">
        <f t="shared" si="1027"/>
        <v>7.5379290707274569</v>
      </c>
      <c r="AC661" s="113">
        <f t="shared" si="1027"/>
        <v>7.5445457002931429</v>
      </c>
      <c r="AD661" s="113">
        <f t="shared" si="1027"/>
        <v>7.4967451564828655</v>
      </c>
      <c r="AE661" s="113">
        <f t="shared" si="1027"/>
        <v>7.5053028225447402</v>
      </c>
      <c r="AF661" s="113">
        <f t="shared" si="1027"/>
        <v>7.5210645916933148</v>
      </c>
      <c r="AG661" s="113">
        <f t="shared" si="1027"/>
        <v>7.5275083579925113</v>
      </c>
      <c r="AH661" s="113">
        <f t="shared" si="1027"/>
        <v>7.5331205813337396</v>
      </c>
      <c r="AI661" s="113">
        <f t="shared" si="1027"/>
        <v>7.541575757575754</v>
      </c>
      <c r="AJ661" s="113">
        <f t="shared" si="1027"/>
        <v>7.50286245235786</v>
      </c>
      <c r="AK661" s="113">
        <f t="shared" si="1027"/>
        <v>7.5112418711887816</v>
      </c>
      <c r="AL661" s="113">
        <f t="shared" si="1027"/>
        <v>7.5151983815905927</v>
      </c>
      <c r="AM661" s="113">
        <f t="shared" si="1027"/>
        <v>7.5233547142512629</v>
      </c>
      <c r="AN661" s="113">
        <f t="shared" si="1027"/>
        <v>7.5377436029317257</v>
      </c>
      <c r="AO661" s="113">
        <f t="shared" si="1027"/>
        <v>7.5448840475648433</v>
      </c>
      <c r="AP661" s="113">
        <f t="shared" si="1027"/>
        <v>7.4967451564828655</v>
      </c>
      <c r="AQ661" s="113">
        <f t="shared" si="1027"/>
        <v>7.5053028225447402</v>
      </c>
      <c r="AR661" s="113">
        <f t="shared" si="1027"/>
        <v>7.5210645916933148</v>
      </c>
      <c r="AS661" s="113">
        <f t="shared" si="1027"/>
        <v>7.5419572339627328</v>
      </c>
      <c r="AT661" s="113">
        <f t="shared" si="1027"/>
        <v>7.5400301100173746</v>
      </c>
      <c r="AU661" s="113">
        <f t="shared" si="1027"/>
        <v>7.5407771836007162</v>
      </c>
      <c r="AV661" s="113">
        <f t="shared" si="1027"/>
        <v>7.5431188783920282</v>
      </c>
      <c r="AW661" s="113">
        <f t="shared" si="1027"/>
        <v>7.5275083579925113</v>
      </c>
      <c r="AX661" s="113">
        <f t="shared" si="1027"/>
        <v>7.5339049484070211</v>
      </c>
      <c r="AY661" s="113">
        <f t="shared" si="1027"/>
        <v>7.5438357498147948</v>
      </c>
      <c r="AZ661" s="113">
        <f t="shared" si="1027"/>
        <v>7.5056204084353686</v>
      </c>
      <c r="BA661" s="113">
        <f t="shared" si="1027"/>
        <v>7.5112418711887816</v>
      </c>
      <c r="BB661" s="113">
        <f t="shared" si="1027"/>
        <v>7.5151983815905927</v>
      </c>
      <c r="BC661" s="19"/>
    </row>
    <row r="662" spans="2:56" x14ac:dyDescent="0.25">
      <c r="B662" s="113" t="str">
        <f t="shared" si="1022"/>
        <v>Product E Opportunity Cost / Rework Unit</v>
      </c>
      <c r="C662" s="113">
        <f t="shared" ref="C662:BB662" si="1028">C654*C550/C558</f>
        <v>12.694656056587093</v>
      </c>
      <c r="D662" s="113">
        <f t="shared" si="1028"/>
        <v>12.709427628477131</v>
      </c>
      <c r="E662" s="113">
        <f t="shared" si="1028"/>
        <v>12.716410632683273</v>
      </c>
      <c r="F662" s="113">
        <f t="shared" si="1028"/>
        <v>12.6667242206235</v>
      </c>
      <c r="G662" s="113">
        <f t="shared" si="1028"/>
        <v>12.676124061377735</v>
      </c>
      <c r="H662" s="113">
        <f t="shared" si="1028"/>
        <v>12.692305026514305</v>
      </c>
      <c r="I662" s="113">
        <f t="shared" si="1028"/>
        <v>12.698920169576775</v>
      </c>
      <c r="J662" s="113">
        <f t="shared" si="1028"/>
        <v>12.705486882076775</v>
      </c>
      <c r="K662" s="113">
        <f t="shared" si="1028"/>
        <v>12.715681800543267</v>
      </c>
      <c r="L662" s="113">
        <f t="shared" si="1028"/>
        <v>12.673618787728438</v>
      </c>
      <c r="M662" s="113">
        <f t="shared" si="1028"/>
        <v>12.681694952856351</v>
      </c>
      <c r="N662" s="113">
        <f t="shared" si="1028"/>
        <v>12.687939978563772</v>
      </c>
      <c r="O662" s="113">
        <f t="shared" si="1028"/>
        <v>12.694656056587093</v>
      </c>
      <c r="P662" s="113">
        <f t="shared" si="1028"/>
        <v>12.709427628477131</v>
      </c>
      <c r="Q662" s="113">
        <f t="shared" si="1028"/>
        <v>12.716757978552621</v>
      </c>
      <c r="R662" s="113">
        <f t="shared" si="1028"/>
        <v>12.671830412285095</v>
      </c>
      <c r="S662" s="113">
        <f t="shared" si="1028"/>
        <v>12.676124061377735</v>
      </c>
      <c r="T662" s="113">
        <f t="shared" si="1028"/>
        <v>12.692148613291472</v>
      </c>
      <c r="U662" s="113">
        <f t="shared" si="1028"/>
        <v>12.698920169576775</v>
      </c>
      <c r="V662" s="113">
        <f t="shared" si="1028"/>
        <v>12.704681654177076</v>
      </c>
      <c r="W662" s="113">
        <f t="shared" si="1028"/>
        <v>12.713361702127658</v>
      </c>
      <c r="X662" s="113">
        <f t="shared" si="1028"/>
        <v>12.673618787728438</v>
      </c>
      <c r="Y662" s="113">
        <f t="shared" si="1028"/>
        <v>12.682221063443155</v>
      </c>
      <c r="Z662" s="113">
        <f t="shared" si="1028"/>
        <v>12.686282800185445</v>
      </c>
      <c r="AA662" s="113">
        <f t="shared" si="1028"/>
        <v>12.694656056587093</v>
      </c>
      <c r="AB662" s="113">
        <f t="shared" si="1028"/>
        <v>12.709618028927011</v>
      </c>
      <c r="AC662" s="113">
        <f t="shared" si="1028"/>
        <v>12.716410632683273</v>
      </c>
      <c r="AD662" s="113">
        <f t="shared" si="1028"/>
        <v>12.667338797814208</v>
      </c>
      <c r="AE662" s="113">
        <f t="shared" si="1028"/>
        <v>12.676124061377735</v>
      </c>
      <c r="AF662" s="113">
        <f t="shared" si="1028"/>
        <v>12.692305026514305</v>
      </c>
      <c r="AG662" s="113">
        <f t="shared" si="1028"/>
        <v>12.698920169576775</v>
      </c>
      <c r="AH662" s="113">
        <f t="shared" si="1028"/>
        <v>12.704681654177076</v>
      </c>
      <c r="AI662" s="113">
        <f t="shared" si="1028"/>
        <v>12.713361702127658</v>
      </c>
      <c r="AJ662" s="113">
        <f t="shared" si="1028"/>
        <v>12.673618787728438</v>
      </c>
      <c r="AK662" s="113">
        <f t="shared" si="1028"/>
        <v>12.682221063443155</v>
      </c>
      <c r="AL662" s="113">
        <f t="shared" si="1028"/>
        <v>12.686282800185445</v>
      </c>
      <c r="AM662" s="113">
        <f t="shared" si="1028"/>
        <v>12.694656056587093</v>
      </c>
      <c r="AN662" s="113">
        <f t="shared" si="1028"/>
        <v>12.709427628477131</v>
      </c>
      <c r="AO662" s="113">
        <f t="shared" si="1028"/>
        <v>12.716757978552621</v>
      </c>
      <c r="AP662" s="113">
        <f t="shared" si="1028"/>
        <v>12.667338797814208</v>
      </c>
      <c r="AQ662" s="113">
        <f t="shared" si="1028"/>
        <v>12.676124061377735</v>
      </c>
      <c r="AR662" s="113">
        <f t="shared" si="1028"/>
        <v>12.692305026514305</v>
      </c>
      <c r="AS662" s="113">
        <f t="shared" si="1028"/>
        <v>12.713753324163228</v>
      </c>
      <c r="AT662" s="113">
        <f t="shared" si="1028"/>
        <v>12.711774946921444</v>
      </c>
      <c r="AU662" s="113">
        <f t="shared" si="1028"/>
        <v>12.712541889483067</v>
      </c>
      <c r="AV662" s="113">
        <f t="shared" si="1028"/>
        <v>12.714945863391172</v>
      </c>
      <c r="AW662" s="113">
        <f t="shared" si="1028"/>
        <v>12.698920169576775</v>
      </c>
      <c r="AX662" s="113">
        <f t="shared" si="1028"/>
        <v>12.705486882076775</v>
      </c>
      <c r="AY662" s="113">
        <f t="shared" si="1028"/>
        <v>12.715681800543267</v>
      </c>
      <c r="AZ662" s="113">
        <f t="shared" si="1028"/>
        <v>12.676450093701622</v>
      </c>
      <c r="BA662" s="113">
        <f t="shared" si="1028"/>
        <v>12.682221063443155</v>
      </c>
      <c r="BB662" s="113">
        <f t="shared" si="1028"/>
        <v>12.686282800185445</v>
      </c>
      <c r="BC662" s="19"/>
    </row>
    <row r="663" spans="2:56" x14ac:dyDescent="0.25">
      <c r="B663" s="113" t="str">
        <f t="shared" si="1022"/>
        <v>Product F Opportunity Cost / Rework Unit</v>
      </c>
      <c r="C663" s="113">
        <f t="shared" ref="C663:BB663" si="1029">C655*C551/C559</f>
        <v>0</v>
      </c>
      <c r="D663" s="113">
        <f t="shared" si="1029"/>
        <v>9.4558302687411615</v>
      </c>
      <c r="E663" s="113">
        <f t="shared" si="1029"/>
        <v>9.4629941797920161</v>
      </c>
      <c r="F663" s="113">
        <f t="shared" si="1029"/>
        <v>0</v>
      </c>
      <c r="G663" s="113">
        <f t="shared" si="1029"/>
        <v>0</v>
      </c>
      <c r="H663" s="113">
        <f t="shared" si="1029"/>
        <v>9.4382640760539029</v>
      </c>
      <c r="I663" s="113">
        <f t="shared" si="1029"/>
        <v>9.4450505958796516</v>
      </c>
      <c r="J663" s="113">
        <f t="shared" si="1029"/>
        <v>9.4517874304651457</v>
      </c>
      <c r="K663" s="113">
        <f t="shared" si="1029"/>
        <v>9.462246465990356</v>
      </c>
      <c r="L663" s="113">
        <f t="shared" si="1029"/>
        <v>9.4190937378176294</v>
      </c>
      <c r="M663" s="113">
        <f t="shared" si="1029"/>
        <v>9.4273791300213947</v>
      </c>
      <c r="N663" s="113">
        <f t="shared" si="1029"/>
        <v>9.4337859439595793</v>
      </c>
      <c r="O663" s="113">
        <f t="shared" si="1029"/>
        <v>0</v>
      </c>
      <c r="P663" s="113">
        <f t="shared" si="1029"/>
        <v>9.4558302687411615</v>
      </c>
      <c r="Q663" s="113">
        <f t="shared" si="1029"/>
        <v>9.4633505242590239</v>
      </c>
      <c r="R663" s="113">
        <f t="shared" si="1029"/>
        <v>9.417259031404253</v>
      </c>
      <c r="S663" s="113">
        <f t="shared" si="1029"/>
        <v>0</v>
      </c>
      <c r="T663" s="113">
        <f t="shared" si="1029"/>
        <v>9.4381036106750376</v>
      </c>
      <c r="U663" s="113">
        <f t="shared" si="1029"/>
        <v>9.4450505958796516</v>
      </c>
      <c r="V663" s="113">
        <f t="shared" si="1029"/>
        <v>9.4509613417390224</v>
      </c>
      <c r="W663" s="113">
        <f t="shared" si="1029"/>
        <v>0</v>
      </c>
      <c r="X663" s="113">
        <f t="shared" si="1029"/>
        <v>9.4190937378176294</v>
      </c>
      <c r="Y663" s="113">
        <f t="shared" si="1029"/>
        <v>9.4279188704161463</v>
      </c>
      <c r="Z663" s="113">
        <f t="shared" si="1029"/>
        <v>9.4320858334989062</v>
      </c>
      <c r="AA663" s="113">
        <f t="shared" si="1029"/>
        <v>0</v>
      </c>
      <c r="AB663" s="113">
        <f t="shared" si="1029"/>
        <v>9.4560256018451749</v>
      </c>
      <c r="AC663" s="113">
        <f t="shared" si="1029"/>
        <v>9.4629941797920161</v>
      </c>
      <c r="AD663" s="113">
        <f t="shared" si="1029"/>
        <v>9.4126510538641668</v>
      </c>
      <c r="AE663" s="113">
        <f t="shared" si="1029"/>
        <v>0</v>
      </c>
      <c r="AF663" s="113">
        <f t="shared" si="1029"/>
        <v>9.4382640760539029</v>
      </c>
      <c r="AG663" s="113">
        <f t="shared" si="1029"/>
        <v>9.4450505958796516</v>
      </c>
      <c r="AH663" s="113">
        <f t="shared" si="1029"/>
        <v>9.4509613417390224</v>
      </c>
      <c r="AI663" s="113">
        <f t="shared" si="1029"/>
        <v>0</v>
      </c>
      <c r="AJ663" s="113">
        <f t="shared" si="1029"/>
        <v>9.4190937378176294</v>
      </c>
      <c r="AK663" s="113">
        <f t="shared" si="1029"/>
        <v>9.4279188704161463</v>
      </c>
      <c r="AL663" s="113">
        <f t="shared" si="1029"/>
        <v>9.4320858334989062</v>
      </c>
      <c r="AM663" s="113">
        <f t="shared" si="1029"/>
        <v>0</v>
      </c>
      <c r="AN663" s="113">
        <f t="shared" si="1029"/>
        <v>9.4558302687411615</v>
      </c>
      <c r="AO663" s="113">
        <f t="shared" si="1029"/>
        <v>9.4633505242590239</v>
      </c>
      <c r="AP663" s="113">
        <f t="shared" si="1029"/>
        <v>9.4126510538641668</v>
      </c>
      <c r="AQ663" s="113">
        <f t="shared" si="1029"/>
        <v>0</v>
      </c>
      <c r="AR663" s="113">
        <f t="shared" si="1029"/>
        <v>9.4382640760539029</v>
      </c>
      <c r="AS663" s="113">
        <f t="shared" si="1029"/>
        <v>9.4602680290823358</v>
      </c>
      <c r="AT663" s="113">
        <f t="shared" si="1029"/>
        <v>9.4582383985441343</v>
      </c>
      <c r="AU663" s="113">
        <f t="shared" si="1029"/>
        <v>9.4590252100840324</v>
      </c>
      <c r="AV663" s="113">
        <f t="shared" si="1029"/>
        <v>9.4614914631089331</v>
      </c>
      <c r="AW663" s="113">
        <f t="shared" si="1029"/>
        <v>9.4450505958796516</v>
      </c>
      <c r="AX663" s="113">
        <f t="shared" si="1029"/>
        <v>9.4517874304651457</v>
      </c>
      <c r="AY663" s="113">
        <f t="shared" si="1029"/>
        <v>9.462246465990356</v>
      </c>
      <c r="AZ663" s="113">
        <f t="shared" si="1029"/>
        <v>9.4219983936864899</v>
      </c>
      <c r="BA663" s="113">
        <f t="shared" si="1029"/>
        <v>9.4279188704161463</v>
      </c>
      <c r="BB663" s="113">
        <f t="shared" si="1029"/>
        <v>9.4320858334989062</v>
      </c>
      <c r="BC663" s="19"/>
    </row>
    <row r="664" spans="2:56" x14ac:dyDescent="0.25">
      <c r="B664" s="113" t="str">
        <f t="shared" si="1022"/>
        <v>Product G Opportunity Cost / Rework Unit</v>
      </c>
      <c r="C664" s="113">
        <f t="shared" ref="C664:BB664" si="1030">C656*C552/C560</f>
        <v>0</v>
      </c>
      <c r="D664" s="113">
        <f t="shared" si="1030"/>
        <v>18.454537796636803</v>
      </c>
      <c r="E664" s="113">
        <f t="shared" si="1030"/>
        <v>18.461195168522448</v>
      </c>
      <c r="F664" s="113">
        <f t="shared" si="1030"/>
        <v>18.41382573940847</v>
      </c>
      <c r="G664" s="113">
        <f t="shared" si="1030"/>
        <v>0</v>
      </c>
      <c r="H664" s="113">
        <f t="shared" si="1030"/>
        <v>0</v>
      </c>
      <c r="I664" s="113">
        <f t="shared" si="1030"/>
        <v>18.444520322866516</v>
      </c>
      <c r="J664" s="113">
        <f t="shared" si="1030"/>
        <v>18.450780815612625</v>
      </c>
      <c r="K664" s="113">
        <f t="shared" si="1030"/>
        <v>0</v>
      </c>
      <c r="L664" s="113">
        <f t="shared" si="1030"/>
        <v>0</v>
      </c>
      <c r="M664" s="113">
        <f t="shared" si="1030"/>
        <v>18.428098354594194</v>
      </c>
      <c r="N664" s="113">
        <f t="shared" si="1030"/>
        <v>18.434052161486242</v>
      </c>
      <c r="O664" s="113">
        <f t="shared" si="1030"/>
        <v>0</v>
      </c>
      <c r="P664" s="113">
        <f t="shared" si="1030"/>
        <v>0</v>
      </c>
      <c r="Q664" s="113">
        <f t="shared" si="1030"/>
        <v>18.461526316916025</v>
      </c>
      <c r="R664" s="113">
        <f t="shared" si="1030"/>
        <v>18.418693818505535</v>
      </c>
      <c r="S664" s="113">
        <f t="shared" si="1030"/>
        <v>0</v>
      </c>
      <c r="T664" s="113">
        <f t="shared" si="1030"/>
        <v>0</v>
      </c>
      <c r="U664" s="113">
        <f t="shared" si="1030"/>
        <v>18.444520322866516</v>
      </c>
      <c r="V664" s="113">
        <f t="shared" si="1030"/>
        <v>18.450013137200479</v>
      </c>
      <c r="W664" s="113">
        <f t="shared" si="1030"/>
        <v>0</v>
      </c>
      <c r="X664" s="113">
        <f t="shared" si="1030"/>
        <v>0</v>
      </c>
      <c r="Y664" s="113">
        <f t="shared" si="1030"/>
        <v>18.428599931526691</v>
      </c>
      <c r="Z664" s="113">
        <f t="shared" si="1030"/>
        <v>18.432472260856127</v>
      </c>
      <c r="AA664" s="113">
        <f t="shared" si="1030"/>
        <v>0</v>
      </c>
      <c r="AB664" s="113">
        <f t="shared" si="1030"/>
        <v>0</v>
      </c>
      <c r="AC664" s="113">
        <f t="shared" si="1030"/>
        <v>18.461195168522448</v>
      </c>
      <c r="AD664" s="113">
        <f t="shared" si="1030"/>
        <v>18.414411657559199</v>
      </c>
      <c r="AE664" s="113">
        <f t="shared" si="1030"/>
        <v>0</v>
      </c>
      <c r="AF664" s="113">
        <f t="shared" si="1030"/>
        <v>0</v>
      </c>
      <c r="AG664" s="113">
        <f t="shared" si="1030"/>
        <v>18.444520322866516</v>
      </c>
      <c r="AH664" s="113">
        <f t="shared" si="1030"/>
        <v>18.450013137200479</v>
      </c>
      <c r="AI664" s="113">
        <f t="shared" si="1030"/>
        <v>0</v>
      </c>
      <c r="AJ664" s="113">
        <f t="shared" si="1030"/>
        <v>0</v>
      </c>
      <c r="AK664" s="113">
        <f t="shared" si="1030"/>
        <v>18.428599931526691</v>
      </c>
      <c r="AL664" s="113">
        <f t="shared" si="1030"/>
        <v>18.432472260856127</v>
      </c>
      <c r="AM664" s="113">
        <f t="shared" si="1030"/>
        <v>0</v>
      </c>
      <c r="AN664" s="113">
        <f t="shared" si="1030"/>
        <v>0</v>
      </c>
      <c r="AO664" s="113">
        <f t="shared" si="1030"/>
        <v>18.461526316916025</v>
      </c>
      <c r="AP664" s="113">
        <f t="shared" si="1030"/>
        <v>18.414411657559199</v>
      </c>
      <c r="AQ664" s="113">
        <f t="shared" si="1030"/>
        <v>0</v>
      </c>
      <c r="AR664" s="113">
        <f t="shared" si="1030"/>
        <v>0</v>
      </c>
      <c r="AS664" s="113">
        <f t="shared" si="1030"/>
        <v>18.458661775943753</v>
      </c>
      <c r="AT664" s="113">
        <f t="shared" si="1030"/>
        <v>18.456775654635525</v>
      </c>
      <c r="AU664" s="113">
        <f t="shared" si="1030"/>
        <v>0</v>
      </c>
      <c r="AV664" s="113">
        <f t="shared" si="1030"/>
        <v>0</v>
      </c>
      <c r="AW664" s="113">
        <f t="shared" si="1030"/>
        <v>18.444520322866516</v>
      </c>
      <c r="AX664" s="113">
        <f t="shared" si="1030"/>
        <v>18.450780815612625</v>
      </c>
      <c r="AY664" s="113">
        <f t="shared" si="1030"/>
        <v>0</v>
      </c>
      <c r="AZ664" s="113">
        <f t="shared" si="1030"/>
        <v>0</v>
      </c>
      <c r="BA664" s="113">
        <f t="shared" si="1030"/>
        <v>18.428599931526691</v>
      </c>
      <c r="BB664" s="113">
        <f t="shared" si="1030"/>
        <v>18.432472260856127</v>
      </c>
      <c r="BC664" s="19"/>
    </row>
    <row r="665" spans="2:56" x14ac:dyDescent="0.25">
      <c r="B665" s="113" t="str">
        <f t="shared" si="1022"/>
        <v>Product H Opportunity Cost / Rework Unit</v>
      </c>
      <c r="C665" s="113">
        <f t="shared" ref="C665:BB665" si="1031">C657*C553/C561</f>
        <v>0</v>
      </c>
      <c r="D665" s="113">
        <f t="shared" si="1031"/>
        <v>0</v>
      </c>
      <c r="E665" s="113">
        <f t="shared" si="1031"/>
        <v>0</v>
      </c>
      <c r="F665" s="113">
        <f t="shared" si="1031"/>
        <v>18.097135126681266</v>
      </c>
      <c r="G665" s="113">
        <f t="shared" si="1031"/>
        <v>0</v>
      </c>
      <c r="H665" s="113">
        <f t="shared" si="1031"/>
        <v>0</v>
      </c>
      <c r="I665" s="113">
        <f t="shared" si="1031"/>
        <v>0</v>
      </c>
      <c r="J665" s="113">
        <f t="shared" si="1031"/>
        <v>18.128667447138071</v>
      </c>
      <c r="K665" s="113">
        <f t="shared" si="1031"/>
        <v>0</v>
      </c>
      <c r="L665" s="113">
        <f t="shared" si="1031"/>
        <v>0</v>
      </c>
      <c r="M665" s="113">
        <f t="shared" si="1031"/>
        <v>0</v>
      </c>
      <c r="N665" s="113">
        <f t="shared" si="1031"/>
        <v>18.114393541171538</v>
      </c>
      <c r="O665" s="113">
        <f t="shared" si="1031"/>
        <v>0</v>
      </c>
      <c r="P665" s="113">
        <f t="shared" si="1031"/>
        <v>0</v>
      </c>
      <c r="Q665" s="113">
        <f t="shared" si="1031"/>
        <v>18.137836162924128</v>
      </c>
      <c r="R665" s="113">
        <f t="shared" si="1031"/>
        <v>18.101288868084733</v>
      </c>
      <c r="S665" s="113">
        <f t="shared" si="1031"/>
        <v>0</v>
      </c>
      <c r="T665" s="113">
        <f t="shared" si="1031"/>
        <v>0</v>
      </c>
      <c r="U665" s="113">
        <f t="shared" si="1031"/>
        <v>0</v>
      </c>
      <c r="V665" s="113">
        <f t="shared" si="1031"/>
        <v>18.128012417188575</v>
      </c>
      <c r="W665" s="113">
        <f t="shared" si="1031"/>
        <v>18.135073388837498</v>
      </c>
      <c r="X665" s="113">
        <f t="shared" si="1031"/>
        <v>0</v>
      </c>
      <c r="Y665" s="113">
        <f t="shared" si="1031"/>
        <v>0</v>
      </c>
      <c r="Z665" s="113">
        <f t="shared" si="1031"/>
        <v>18.113045473786055</v>
      </c>
      <c r="AA665" s="113">
        <f t="shared" si="1031"/>
        <v>0</v>
      </c>
      <c r="AB665" s="113">
        <f t="shared" si="1031"/>
        <v>18.132028017373756</v>
      </c>
      <c r="AC665" s="113">
        <f t="shared" si="1031"/>
        <v>0</v>
      </c>
      <c r="AD665" s="113">
        <f t="shared" si="1031"/>
        <v>18.097635067712048</v>
      </c>
      <c r="AE665" s="113">
        <f t="shared" si="1031"/>
        <v>0</v>
      </c>
      <c r="AF665" s="113">
        <f t="shared" si="1031"/>
        <v>0</v>
      </c>
      <c r="AG665" s="113">
        <f t="shared" si="1031"/>
        <v>0</v>
      </c>
      <c r="AH665" s="113">
        <f t="shared" si="1031"/>
        <v>18.128012417188575</v>
      </c>
      <c r="AI665" s="113">
        <f t="shared" si="1031"/>
        <v>18.135073388837498</v>
      </c>
      <c r="AJ665" s="113">
        <f t="shared" si="1031"/>
        <v>0</v>
      </c>
      <c r="AK665" s="113">
        <f t="shared" si="1031"/>
        <v>0</v>
      </c>
      <c r="AL665" s="113">
        <f t="shared" si="1031"/>
        <v>18.113045473786055</v>
      </c>
      <c r="AM665" s="113">
        <f t="shared" si="1031"/>
        <v>0</v>
      </c>
      <c r="AN665" s="113">
        <f t="shared" si="1031"/>
        <v>0</v>
      </c>
      <c r="AO665" s="113">
        <f t="shared" si="1031"/>
        <v>18.137836162924128</v>
      </c>
      <c r="AP665" s="113">
        <f t="shared" si="1031"/>
        <v>18.097635067712048</v>
      </c>
      <c r="AQ665" s="113">
        <f t="shared" si="1031"/>
        <v>0</v>
      </c>
      <c r="AR665" s="113">
        <f t="shared" si="1031"/>
        <v>0</v>
      </c>
      <c r="AS665" s="113">
        <f t="shared" si="1031"/>
        <v>0</v>
      </c>
      <c r="AT665" s="113">
        <f t="shared" si="1031"/>
        <v>18.133782608695654</v>
      </c>
      <c r="AU665" s="113">
        <f t="shared" si="1031"/>
        <v>0</v>
      </c>
      <c r="AV665" s="113">
        <f t="shared" si="1031"/>
        <v>0</v>
      </c>
      <c r="AW665" s="113">
        <f t="shared" si="1031"/>
        <v>0</v>
      </c>
      <c r="AX665" s="113">
        <f t="shared" si="1031"/>
        <v>18.128667447138071</v>
      </c>
      <c r="AY665" s="113">
        <f t="shared" si="1031"/>
        <v>0</v>
      </c>
      <c r="AZ665" s="113">
        <f t="shared" si="1031"/>
        <v>0</v>
      </c>
      <c r="BA665" s="113">
        <f t="shared" si="1031"/>
        <v>0</v>
      </c>
      <c r="BB665" s="113">
        <f t="shared" si="1031"/>
        <v>18.113045473786055</v>
      </c>
      <c r="BC665" s="19"/>
    </row>
    <row r="666" spans="2:56" x14ac:dyDescent="0.25">
      <c r="B666" s="43" t="str">
        <f t="shared" ref="B666:B673" si="1032">_xlfn.CONCAT(B457," ","Oppportunity Cost / Hour")</f>
        <v>Product A Oppportunity Cost / Hour</v>
      </c>
      <c r="C666" s="43">
        <f t="shared" ref="C666:AH666" si="1033">C650/C554*60*60</f>
        <v>4167.9151193633952</v>
      </c>
      <c r="D666" s="43">
        <f t="shared" si="1033"/>
        <v>0</v>
      </c>
      <c r="E666" s="43">
        <f t="shared" si="1033"/>
        <v>4171.9729677543928</v>
      </c>
      <c r="F666" s="43">
        <f t="shared" si="1033"/>
        <v>0</v>
      </c>
      <c r="G666" s="43">
        <f t="shared" si="1033"/>
        <v>4164.4583741429969</v>
      </c>
      <c r="H666" s="43">
        <f t="shared" si="1033"/>
        <v>0</v>
      </c>
      <c r="I666" s="43">
        <f t="shared" si="1033"/>
        <v>0</v>
      </c>
      <c r="J666" s="43">
        <f t="shared" si="1033"/>
        <v>0</v>
      </c>
      <c r="K666" s="43">
        <f t="shared" si="1033"/>
        <v>4171.8370197904542</v>
      </c>
      <c r="L666" s="43">
        <f t="shared" si="1033"/>
        <v>0</v>
      </c>
      <c r="M666" s="43">
        <f t="shared" si="1033"/>
        <v>0</v>
      </c>
      <c r="N666" s="43">
        <f t="shared" si="1033"/>
        <v>0</v>
      </c>
      <c r="O666" s="43">
        <f t="shared" si="1033"/>
        <v>4167.9151193633952</v>
      </c>
      <c r="P666" s="43">
        <f t="shared" si="1033"/>
        <v>4170.670438472418</v>
      </c>
      <c r="Q666" s="43">
        <f t="shared" si="1033"/>
        <v>0</v>
      </c>
      <c r="R666" s="43">
        <f t="shared" si="1033"/>
        <v>0</v>
      </c>
      <c r="S666" s="43">
        <f t="shared" si="1033"/>
        <v>4164.4583741429969</v>
      </c>
      <c r="T666" s="43">
        <f t="shared" si="1033"/>
        <v>0</v>
      </c>
      <c r="U666" s="43">
        <f t="shared" si="1033"/>
        <v>0</v>
      </c>
      <c r="V666" s="43">
        <f t="shared" si="1033"/>
        <v>4169.7851790174846</v>
      </c>
      <c r="W666" s="43">
        <f t="shared" si="1033"/>
        <v>4171.4042553191493</v>
      </c>
      <c r="X666" s="43">
        <f t="shared" si="1033"/>
        <v>0</v>
      </c>
      <c r="Y666" s="43">
        <f t="shared" si="1033"/>
        <v>0</v>
      </c>
      <c r="Z666" s="43">
        <f t="shared" si="1033"/>
        <v>0</v>
      </c>
      <c r="AA666" s="43">
        <f t="shared" si="1033"/>
        <v>4167.9151193633952</v>
      </c>
      <c r="AB666" s="43">
        <f t="shared" si="1033"/>
        <v>0</v>
      </c>
      <c r="AC666" s="43">
        <f t="shared" si="1033"/>
        <v>4171.9729677543928</v>
      </c>
      <c r="AD666" s="43">
        <f t="shared" si="1033"/>
        <v>0</v>
      </c>
      <c r="AE666" s="43">
        <f t="shared" si="1033"/>
        <v>4164.4583741429969</v>
      </c>
      <c r="AF666" s="43">
        <f t="shared" si="1033"/>
        <v>0</v>
      </c>
      <c r="AG666" s="43">
        <f t="shared" si="1033"/>
        <v>0</v>
      </c>
      <c r="AH666" s="43">
        <f t="shared" si="1033"/>
        <v>4169.7851790174846</v>
      </c>
      <c r="AI666" s="43">
        <f t="shared" ref="AI666:BB666" si="1034">AI650/AI554*60*60</f>
        <v>4171.4042553191493</v>
      </c>
      <c r="AJ666" s="43">
        <f t="shared" si="1034"/>
        <v>0</v>
      </c>
      <c r="AK666" s="43">
        <f t="shared" si="1034"/>
        <v>0</v>
      </c>
      <c r="AL666" s="43">
        <f t="shared" si="1034"/>
        <v>0</v>
      </c>
      <c r="AM666" s="43">
        <f t="shared" si="1034"/>
        <v>4167.9151193633952</v>
      </c>
      <c r="AN666" s="43">
        <f t="shared" si="1034"/>
        <v>4170.670438472418</v>
      </c>
      <c r="AO666" s="43">
        <f t="shared" si="1034"/>
        <v>0</v>
      </c>
      <c r="AP666" s="43">
        <f t="shared" si="1034"/>
        <v>0</v>
      </c>
      <c r="AQ666" s="43">
        <f t="shared" si="1034"/>
        <v>4164.4583741429969</v>
      </c>
      <c r="AR666" s="43">
        <f t="shared" si="1034"/>
        <v>0</v>
      </c>
      <c r="AS666" s="43">
        <f t="shared" si="1034"/>
        <v>4171.477303988996</v>
      </c>
      <c r="AT666" s="43">
        <f t="shared" si="1034"/>
        <v>0</v>
      </c>
      <c r="AU666" s="43">
        <f t="shared" si="1034"/>
        <v>4171.2513368983955</v>
      </c>
      <c r="AV666" s="43">
        <f t="shared" si="1034"/>
        <v>4171.699746539286</v>
      </c>
      <c r="AW666" s="43">
        <f t="shared" si="1034"/>
        <v>0</v>
      </c>
      <c r="AX666" s="43">
        <f t="shared" si="1034"/>
        <v>0</v>
      </c>
      <c r="AY666" s="43">
        <f t="shared" si="1034"/>
        <v>4171.8370197904542</v>
      </c>
      <c r="AZ666" s="43">
        <f t="shared" si="1034"/>
        <v>0</v>
      </c>
      <c r="BA666" s="43">
        <f t="shared" si="1034"/>
        <v>0</v>
      </c>
      <c r="BB666" s="43">
        <f t="shared" si="1034"/>
        <v>0</v>
      </c>
      <c r="BC666" s="19"/>
    </row>
    <row r="667" spans="2:56" x14ac:dyDescent="0.25">
      <c r="B667" s="43" t="str">
        <f t="shared" si="1032"/>
        <v>Product B Oppportunity Cost / Hour</v>
      </c>
      <c r="C667" s="43">
        <f t="shared" ref="C667:AH667" si="1035">C651/C555*60*60</f>
        <v>2943.4253234450275</v>
      </c>
      <c r="D667" s="43">
        <f t="shared" si="1035"/>
        <v>2946.1806425540512</v>
      </c>
      <c r="E667" s="43">
        <f t="shared" si="1035"/>
        <v>0</v>
      </c>
      <c r="F667" s="43">
        <f t="shared" si="1035"/>
        <v>2938.2152400528548</v>
      </c>
      <c r="G667" s="43">
        <f t="shared" si="1035"/>
        <v>2939.9685782246302</v>
      </c>
      <c r="H667" s="43">
        <f t="shared" si="1035"/>
        <v>2942.9867893381852</v>
      </c>
      <c r="I667" s="43">
        <f t="shared" si="1035"/>
        <v>0</v>
      </c>
      <c r="J667" s="43">
        <f t="shared" si="1035"/>
        <v>2945.4455810493209</v>
      </c>
      <c r="K667" s="43">
        <f t="shared" si="1035"/>
        <v>2947.3472238720869</v>
      </c>
      <c r="L667" s="43">
        <f t="shared" si="1035"/>
        <v>2939.5012732952268</v>
      </c>
      <c r="M667" s="43">
        <f t="shared" si="1035"/>
        <v>0</v>
      </c>
      <c r="N667" s="43">
        <f t="shared" si="1035"/>
        <v>0</v>
      </c>
      <c r="O667" s="43">
        <f t="shared" si="1035"/>
        <v>2943.4253234450275</v>
      </c>
      <c r="P667" s="43">
        <f t="shared" si="1035"/>
        <v>2946.1806425540512</v>
      </c>
      <c r="Q667" s="43">
        <f t="shared" si="1035"/>
        <v>0</v>
      </c>
      <c r="R667" s="43">
        <f t="shared" si="1035"/>
        <v>0</v>
      </c>
      <c r="S667" s="43">
        <f t="shared" si="1035"/>
        <v>2939.9685782246302</v>
      </c>
      <c r="T667" s="43">
        <f t="shared" si="1035"/>
        <v>2942.9576138147563</v>
      </c>
      <c r="U667" s="43">
        <f t="shared" si="1035"/>
        <v>0</v>
      </c>
      <c r="V667" s="43">
        <f t="shared" si="1035"/>
        <v>0</v>
      </c>
      <c r="W667" s="43">
        <f t="shared" si="1035"/>
        <v>2946.9144594007817</v>
      </c>
      <c r="X667" s="43">
        <f t="shared" si="1035"/>
        <v>2939.5012732952268</v>
      </c>
      <c r="Y667" s="43">
        <f t="shared" si="1035"/>
        <v>0</v>
      </c>
      <c r="Z667" s="43">
        <f t="shared" si="1035"/>
        <v>0</v>
      </c>
      <c r="AA667" s="43">
        <f t="shared" si="1035"/>
        <v>2943.4253234450275</v>
      </c>
      <c r="AB667" s="43">
        <f t="shared" si="1035"/>
        <v>2946.2161576638728</v>
      </c>
      <c r="AC667" s="43">
        <f t="shared" si="1035"/>
        <v>0</v>
      </c>
      <c r="AD667" s="43">
        <f t="shared" si="1035"/>
        <v>0</v>
      </c>
      <c r="AE667" s="43">
        <f t="shared" si="1035"/>
        <v>2939.9685782246302</v>
      </c>
      <c r="AF667" s="43">
        <f t="shared" si="1035"/>
        <v>2942.9867893381852</v>
      </c>
      <c r="AG667" s="43">
        <f t="shared" si="1035"/>
        <v>0</v>
      </c>
      <c r="AH667" s="43">
        <f t="shared" si="1035"/>
        <v>0</v>
      </c>
      <c r="AI667" s="43">
        <f t="shared" ref="AI667:BB667" si="1036">AI651/AI555*60*60</f>
        <v>2946.9144594007817</v>
      </c>
      <c r="AJ667" s="43">
        <f t="shared" si="1036"/>
        <v>2939.5012732952268</v>
      </c>
      <c r="AK667" s="43">
        <f t="shared" si="1036"/>
        <v>0</v>
      </c>
      <c r="AL667" s="43">
        <f t="shared" si="1036"/>
        <v>0</v>
      </c>
      <c r="AM667" s="43">
        <f t="shared" si="1036"/>
        <v>2943.4253234450275</v>
      </c>
      <c r="AN667" s="43">
        <f t="shared" si="1036"/>
        <v>2946.1806425540512</v>
      </c>
      <c r="AO667" s="43">
        <f t="shared" si="1036"/>
        <v>0</v>
      </c>
      <c r="AP667" s="43">
        <f t="shared" si="1036"/>
        <v>0</v>
      </c>
      <c r="AQ667" s="43">
        <f t="shared" si="1036"/>
        <v>2939.9685782246302</v>
      </c>
      <c r="AR667" s="43">
        <f t="shared" si="1036"/>
        <v>2942.9867893381852</v>
      </c>
      <c r="AS667" s="43">
        <f t="shared" si="1036"/>
        <v>0</v>
      </c>
      <c r="AT667" s="43">
        <f t="shared" si="1036"/>
        <v>2946.6184843364081</v>
      </c>
      <c r="AU667" s="43">
        <f t="shared" si="1036"/>
        <v>2946.7615409800283</v>
      </c>
      <c r="AV667" s="43">
        <f t="shared" si="1036"/>
        <v>2947.2099506209183</v>
      </c>
      <c r="AW667" s="43">
        <f t="shared" si="1036"/>
        <v>0</v>
      </c>
      <c r="AX667" s="43">
        <f t="shared" si="1036"/>
        <v>2945.4455810493209</v>
      </c>
      <c r="AY667" s="43">
        <f t="shared" si="1036"/>
        <v>2947.3472238720869</v>
      </c>
      <c r="AZ667" s="43">
        <f t="shared" si="1036"/>
        <v>2940.0293925441115</v>
      </c>
      <c r="BA667" s="43">
        <f t="shared" si="1036"/>
        <v>0</v>
      </c>
      <c r="BB667" s="43">
        <f t="shared" si="1036"/>
        <v>0</v>
      </c>
      <c r="BC667" s="19"/>
    </row>
    <row r="668" spans="2:56" x14ac:dyDescent="0.25">
      <c r="B668" s="43" t="str">
        <f t="shared" si="1032"/>
        <v>Product C Oppportunity Cost / Hour</v>
      </c>
      <c r="C668" s="43">
        <f t="shared" ref="C668:AH668" si="1037">C652/C556*60*60</f>
        <v>3342.9151193633957</v>
      </c>
      <c r="D668" s="43">
        <f t="shared" si="1037"/>
        <v>3345.6704384724189</v>
      </c>
      <c r="E668" s="43">
        <f t="shared" si="1037"/>
        <v>3346.9729677543924</v>
      </c>
      <c r="F668" s="43">
        <f t="shared" si="1037"/>
        <v>0</v>
      </c>
      <c r="G668" s="43">
        <f t="shared" si="1037"/>
        <v>3339.4583741429979</v>
      </c>
      <c r="H668" s="43">
        <f t="shared" si="1037"/>
        <v>3342.4765852565542</v>
      </c>
      <c r="I668" s="43">
        <f t="shared" si="1037"/>
        <v>3343.710497952145</v>
      </c>
      <c r="J668" s="43">
        <f t="shared" si="1037"/>
        <v>0</v>
      </c>
      <c r="K668" s="43">
        <f t="shared" si="1037"/>
        <v>3346.8370197904542</v>
      </c>
      <c r="L668" s="43">
        <f t="shared" si="1037"/>
        <v>3338.9910692135954</v>
      </c>
      <c r="M668" s="43">
        <f t="shared" si="1037"/>
        <v>3340.497504159734</v>
      </c>
      <c r="N668" s="43">
        <f t="shared" si="1037"/>
        <v>0</v>
      </c>
      <c r="O668" s="43">
        <f t="shared" si="1037"/>
        <v>3342.9151193633957</v>
      </c>
      <c r="P668" s="43">
        <f t="shared" si="1037"/>
        <v>3345.6704384724189</v>
      </c>
      <c r="Q668" s="43">
        <f t="shared" si="1037"/>
        <v>3347.0377576574847</v>
      </c>
      <c r="R668" s="43">
        <f t="shared" si="1037"/>
        <v>0</v>
      </c>
      <c r="S668" s="43">
        <f t="shared" si="1037"/>
        <v>3339.4583741429979</v>
      </c>
      <c r="T668" s="43">
        <f t="shared" si="1037"/>
        <v>3342.4474097331245</v>
      </c>
      <c r="U668" s="43">
        <f t="shared" si="1037"/>
        <v>3343.710497952145</v>
      </c>
      <c r="V668" s="43">
        <f t="shared" si="1037"/>
        <v>0</v>
      </c>
      <c r="W668" s="43">
        <f t="shared" si="1037"/>
        <v>3346.4042553191489</v>
      </c>
      <c r="X668" s="43">
        <f t="shared" si="1037"/>
        <v>3338.9910692135954</v>
      </c>
      <c r="Y668" s="43">
        <f t="shared" si="1037"/>
        <v>3340.5956387769616</v>
      </c>
      <c r="Z668" s="43">
        <f t="shared" si="1037"/>
        <v>0</v>
      </c>
      <c r="AA668" s="43">
        <f t="shared" si="1037"/>
        <v>3342.9151193633957</v>
      </c>
      <c r="AB668" s="43">
        <f t="shared" si="1037"/>
        <v>3345.7059535822405</v>
      </c>
      <c r="AC668" s="43">
        <f t="shared" si="1037"/>
        <v>3346.9729677543924</v>
      </c>
      <c r="AD668" s="43">
        <f t="shared" si="1037"/>
        <v>0</v>
      </c>
      <c r="AE668" s="43">
        <f t="shared" si="1037"/>
        <v>3339.4583741429979</v>
      </c>
      <c r="AF668" s="43">
        <f t="shared" si="1037"/>
        <v>3342.4765852565542</v>
      </c>
      <c r="AG668" s="43">
        <f t="shared" si="1037"/>
        <v>3343.710497952145</v>
      </c>
      <c r="AH668" s="43">
        <f t="shared" si="1037"/>
        <v>0</v>
      </c>
      <c r="AI668" s="43">
        <f t="shared" ref="AI668:BB668" si="1038">AI652/AI556*60*60</f>
        <v>3346.4042553191489</v>
      </c>
      <c r="AJ668" s="43">
        <f t="shared" si="1038"/>
        <v>3338.9910692135954</v>
      </c>
      <c r="AK668" s="43">
        <f t="shared" si="1038"/>
        <v>3340.5956387769616</v>
      </c>
      <c r="AL668" s="43">
        <f t="shared" si="1038"/>
        <v>0</v>
      </c>
      <c r="AM668" s="43">
        <f t="shared" si="1038"/>
        <v>3342.9151193633957</v>
      </c>
      <c r="AN668" s="43">
        <f t="shared" si="1038"/>
        <v>3345.6704384724189</v>
      </c>
      <c r="AO668" s="43">
        <f t="shared" si="1038"/>
        <v>3347.0377576574847</v>
      </c>
      <c r="AP668" s="43">
        <f t="shared" si="1038"/>
        <v>0</v>
      </c>
      <c r="AQ668" s="43">
        <f t="shared" si="1038"/>
        <v>3339.4583741429979</v>
      </c>
      <c r="AR668" s="43">
        <f t="shared" si="1038"/>
        <v>3342.4765852565542</v>
      </c>
      <c r="AS668" s="43">
        <f t="shared" si="1038"/>
        <v>3346.477303988996</v>
      </c>
      <c r="AT668" s="43">
        <f t="shared" si="1038"/>
        <v>0</v>
      </c>
      <c r="AU668" s="43">
        <f t="shared" si="1038"/>
        <v>3346.2513368983955</v>
      </c>
      <c r="AV668" s="43">
        <f t="shared" si="1038"/>
        <v>3346.6997465392869</v>
      </c>
      <c r="AW668" s="43">
        <f t="shared" si="1038"/>
        <v>3343.710497952145</v>
      </c>
      <c r="AX668" s="43">
        <f t="shared" si="1038"/>
        <v>0</v>
      </c>
      <c r="AY668" s="43">
        <f t="shared" si="1038"/>
        <v>3346.8370197904542</v>
      </c>
      <c r="AZ668" s="43">
        <f t="shared" si="1038"/>
        <v>3339.5191884624787</v>
      </c>
      <c r="BA668" s="43">
        <f t="shared" si="1038"/>
        <v>3340.5956387769616</v>
      </c>
      <c r="BB668" s="43">
        <f t="shared" si="1038"/>
        <v>0</v>
      </c>
      <c r="BC668" s="19"/>
    </row>
    <row r="669" spans="2:56" x14ac:dyDescent="0.25">
      <c r="B669" s="43" t="str">
        <f t="shared" si="1032"/>
        <v>Product D Oppportunity Cost / Hour</v>
      </c>
      <c r="C669" s="43">
        <f t="shared" ref="C669:AH669" si="1039">C653/C557*60*60</f>
        <v>1440.642392090667</v>
      </c>
      <c r="D669" s="43">
        <f t="shared" si="1039"/>
        <v>1443.3977111996919</v>
      </c>
      <c r="E669" s="43">
        <f t="shared" si="1039"/>
        <v>1444.7002404816658</v>
      </c>
      <c r="F669" s="43">
        <f t="shared" si="1039"/>
        <v>1435.4323086984957</v>
      </c>
      <c r="G669" s="43">
        <f t="shared" si="1039"/>
        <v>1437.1856468702692</v>
      </c>
      <c r="H669" s="43">
        <f t="shared" si="1039"/>
        <v>1440.2038579838263</v>
      </c>
      <c r="I669" s="43">
        <f t="shared" si="1039"/>
        <v>1441.4377706794171</v>
      </c>
      <c r="J669" s="43">
        <f t="shared" si="1039"/>
        <v>1442.6626496949614</v>
      </c>
      <c r="K669" s="43">
        <f t="shared" si="1039"/>
        <v>1444.5642925177267</v>
      </c>
      <c r="L669" s="43">
        <f t="shared" si="1039"/>
        <v>1436.7183419408666</v>
      </c>
      <c r="M669" s="43">
        <f t="shared" si="1039"/>
        <v>1438.2247768870068</v>
      </c>
      <c r="N669" s="43">
        <f t="shared" si="1039"/>
        <v>1439.389652148494</v>
      </c>
      <c r="O669" s="43">
        <f t="shared" si="1039"/>
        <v>1440.642392090667</v>
      </c>
      <c r="P669" s="43">
        <f t="shared" si="1039"/>
        <v>1443.3977111996919</v>
      </c>
      <c r="Q669" s="43">
        <f t="shared" si="1039"/>
        <v>1444.7650303847572</v>
      </c>
      <c r="R669" s="43">
        <f t="shared" si="1039"/>
        <v>1436.3847589566167</v>
      </c>
      <c r="S669" s="43">
        <f t="shared" si="1039"/>
        <v>1437.1856468702692</v>
      </c>
      <c r="T669" s="43">
        <f t="shared" si="1039"/>
        <v>1440.1746824603961</v>
      </c>
      <c r="U669" s="43">
        <f t="shared" si="1039"/>
        <v>1441.4377706794171</v>
      </c>
      <c r="V669" s="43">
        <f t="shared" si="1039"/>
        <v>1442.5124517447584</v>
      </c>
      <c r="W669" s="43">
        <f t="shared" si="1039"/>
        <v>1444.131528046421</v>
      </c>
      <c r="X669" s="43">
        <f t="shared" si="1039"/>
        <v>1436.7183419408666</v>
      </c>
      <c r="Y669" s="43">
        <f t="shared" si="1039"/>
        <v>1438.3229115042345</v>
      </c>
      <c r="Z669" s="43">
        <f t="shared" si="1039"/>
        <v>1439.0805411556453</v>
      </c>
      <c r="AA669" s="43">
        <f t="shared" si="1039"/>
        <v>1440.642392090667</v>
      </c>
      <c r="AB669" s="43">
        <f t="shared" si="1039"/>
        <v>1443.433226309513</v>
      </c>
      <c r="AC669" s="43">
        <f t="shared" si="1039"/>
        <v>1444.7002404816658</v>
      </c>
      <c r="AD669" s="43">
        <f t="shared" si="1039"/>
        <v>1435.5469448584211</v>
      </c>
      <c r="AE669" s="43">
        <f t="shared" si="1039"/>
        <v>1437.1856468702692</v>
      </c>
      <c r="AF669" s="43">
        <f t="shared" si="1039"/>
        <v>1440.2038579838263</v>
      </c>
      <c r="AG669" s="43">
        <f t="shared" si="1039"/>
        <v>1441.4377706794171</v>
      </c>
      <c r="AH669" s="43">
        <f t="shared" si="1039"/>
        <v>1442.5124517447584</v>
      </c>
      <c r="AI669" s="43">
        <f t="shared" ref="AI669:BB669" si="1040">AI653/AI557*60*60</f>
        <v>1444.131528046421</v>
      </c>
      <c r="AJ669" s="43">
        <f t="shared" si="1040"/>
        <v>1436.7183419408666</v>
      </c>
      <c r="AK669" s="43">
        <f t="shared" si="1040"/>
        <v>1438.3229115042345</v>
      </c>
      <c r="AL669" s="43">
        <f t="shared" si="1040"/>
        <v>1439.0805411556453</v>
      </c>
      <c r="AM669" s="43">
        <f t="shared" si="1040"/>
        <v>1440.642392090667</v>
      </c>
      <c r="AN669" s="43">
        <f t="shared" si="1040"/>
        <v>1443.3977111996919</v>
      </c>
      <c r="AO669" s="43">
        <f t="shared" si="1040"/>
        <v>1444.7650303847572</v>
      </c>
      <c r="AP669" s="43">
        <f t="shared" si="1040"/>
        <v>1435.5469448584211</v>
      </c>
      <c r="AQ669" s="43">
        <f t="shared" si="1040"/>
        <v>1437.1856468702692</v>
      </c>
      <c r="AR669" s="43">
        <f t="shared" si="1040"/>
        <v>1440.2038579838263</v>
      </c>
      <c r="AS669" s="43">
        <f t="shared" si="1040"/>
        <v>1444.2045767162681</v>
      </c>
      <c r="AT669" s="43">
        <f t="shared" si="1040"/>
        <v>1443.8355529820503</v>
      </c>
      <c r="AU669" s="43">
        <f t="shared" si="1040"/>
        <v>1443.9786096256692</v>
      </c>
      <c r="AV669" s="43">
        <f t="shared" si="1040"/>
        <v>1444.4270192665585</v>
      </c>
      <c r="AW669" s="43">
        <f t="shared" si="1040"/>
        <v>1441.4377706794171</v>
      </c>
      <c r="AX669" s="43">
        <f t="shared" si="1040"/>
        <v>1442.6626496949614</v>
      </c>
      <c r="AY669" s="43">
        <f t="shared" si="1040"/>
        <v>1444.5642925177267</v>
      </c>
      <c r="AZ669" s="43">
        <f t="shared" si="1040"/>
        <v>1437.2464611897515</v>
      </c>
      <c r="BA669" s="43">
        <f t="shared" si="1040"/>
        <v>1438.3229115042345</v>
      </c>
      <c r="BB669" s="43">
        <f t="shared" si="1040"/>
        <v>1439.0805411556453</v>
      </c>
      <c r="BC669" s="19"/>
    </row>
    <row r="670" spans="2:56" x14ac:dyDescent="0.25">
      <c r="B670" s="43" t="str">
        <f t="shared" si="1032"/>
        <v>Product E Oppportunity Cost / Hour</v>
      </c>
      <c r="C670" s="43">
        <f t="shared" ref="C670:AH670" si="1041">C654/C558*60*60</f>
        <v>2367.9151193633957</v>
      </c>
      <c r="D670" s="43">
        <f t="shared" si="1041"/>
        <v>2370.6704384724185</v>
      </c>
      <c r="E670" s="43">
        <f t="shared" si="1041"/>
        <v>2371.9729677543928</v>
      </c>
      <c r="F670" s="43">
        <f t="shared" si="1041"/>
        <v>2362.705035971223</v>
      </c>
      <c r="G670" s="43">
        <f t="shared" si="1041"/>
        <v>2364.4583741429969</v>
      </c>
      <c r="H670" s="43">
        <f t="shared" si="1041"/>
        <v>2367.4765852565542</v>
      </c>
      <c r="I670" s="43">
        <f t="shared" si="1041"/>
        <v>2368.7104979521446</v>
      </c>
      <c r="J670" s="43">
        <f t="shared" si="1041"/>
        <v>2369.9353769676882</v>
      </c>
      <c r="K670" s="43">
        <f t="shared" si="1041"/>
        <v>2371.8370197904542</v>
      </c>
      <c r="L670" s="43">
        <f t="shared" si="1041"/>
        <v>2363.9910692135945</v>
      </c>
      <c r="M670" s="43">
        <f t="shared" si="1041"/>
        <v>2365.4975041597336</v>
      </c>
      <c r="N670" s="43">
        <f t="shared" si="1041"/>
        <v>2366.6623794212219</v>
      </c>
      <c r="O670" s="43">
        <f t="shared" si="1041"/>
        <v>2367.9151193633957</v>
      </c>
      <c r="P670" s="43">
        <f t="shared" si="1041"/>
        <v>2370.6704384724185</v>
      </c>
      <c r="Q670" s="43">
        <f t="shared" si="1041"/>
        <v>2372.0377576574838</v>
      </c>
      <c r="R670" s="43">
        <f t="shared" si="1041"/>
        <v>2363.6574862293437</v>
      </c>
      <c r="S670" s="43">
        <f t="shared" si="1041"/>
        <v>2364.4583741429969</v>
      </c>
      <c r="T670" s="43">
        <f t="shared" si="1041"/>
        <v>2367.447409733124</v>
      </c>
      <c r="U670" s="43">
        <f t="shared" si="1041"/>
        <v>2368.7104979521446</v>
      </c>
      <c r="V670" s="43">
        <f t="shared" si="1041"/>
        <v>2369.7851790174855</v>
      </c>
      <c r="W670" s="43">
        <f t="shared" si="1041"/>
        <v>2371.4042553191489</v>
      </c>
      <c r="X670" s="43">
        <f t="shared" si="1041"/>
        <v>2363.9910692135945</v>
      </c>
      <c r="Y670" s="43">
        <f t="shared" si="1041"/>
        <v>2365.595638776962</v>
      </c>
      <c r="Z670" s="43">
        <f t="shared" si="1041"/>
        <v>2366.3532684283728</v>
      </c>
      <c r="AA670" s="43">
        <f t="shared" si="1041"/>
        <v>2367.9151193633957</v>
      </c>
      <c r="AB670" s="43">
        <f t="shared" si="1041"/>
        <v>2370.70595358224</v>
      </c>
      <c r="AC670" s="43">
        <f t="shared" si="1041"/>
        <v>2371.9729677543928</v>
      </c>
      <c r="AD670" s="43">
        <f t="shared" si="1041"/>
        <v>2362.8196721311479</v>
      </c>
      <c r="AE670" s="43">
        <f t="shared" si="1041"/>
        <v>2364.4583741429969</v>
      </c>
      <c r="AF670" s="43">
        <f t="shared" si="1041"/>
        <v>2367.4765852565542</v>
      </c>
      <c r="AG670" s="43">
        <f t="shared" si="1041"/>
        <v>2368.7104979521446</v>
      </c>
      <c r="AH670" s="43">
        <f t="shared" si="1041"/>
        <v>2369.7851790174855</v>
      </c>
      <c r="AI670" s="43">
        <f t="shared" ref="AI670:BB670" si="1042">AI654/AI558*60*60</f>
        <v>2371.4042553191489</v>
      </c>
      <c r="AJ670" s="43">
        <f t="shared" si="1042"/>
        <v>2363.9910692135945</v>
      </c>
      <c r="AK670" s="43">
        <f t="shared" si="1042"/>
        <v>2365.595638776962</v>
      </c>
      <c r="AL670" s="43">
        <f t="shared" si="1042"/>
        <v>2366.3532684283728</v>
      </c>
      <c r="AM670" s="43">
        <f t="shared" si="1042"/>
        <v>2367.9151193633957</v>
      </c>
      <c r="AN670" s="43">
        <f t="shared" si="1042"/>
        <v>2370.6704384724185</v>
      </c>
      <c r="AO670" s="43">
        <f t="shared" si="1042"/>
        <v>2372.0377576574838</v>
      </c>
      <c r="AP670" s="43">
        <f t="shared" si="1042"/>
        <v>2362.8196721311479</v>
      </c>
      <c r="AQ670" s="43">
        <f t="shared" si="1042"/>
        <v>2364.4583741429969</v>
      </c>
      <c r="AR670" s="43">
        <f t="shared" si="1042"/>
        <v>2367.4765852565542</v>
      </c>
      <c r="AS670" s="43">
        <f t="shared" si="1042"/>
        <v>2371.477303988996</v>
      </c>
      <c r="AT670" s="43">
        <f t="shared" si="1042"/>
        <v>2371.1082802547771</v>
      </c>
      <c r="AU670" s="43">
        <f t="shared" si="1042"/>
        <v>2371.2513368983955</v>
      </c>
      <c r="AV670" s="43">
        <f t="shared" si="1042"/>
        <v>2371.6997465392856</v>
      </c>
      <c r="AW670" s="43">
        <f t="shared" si="1042"/>
        <v>2368.7104979521446</v>
      </c>
      <c r="AX670" s="43">
        <f t="shared" si="1042"/>
        <v>2369.9353769676882</v>
      </c>
      <c r="AY670" s="43">
        <f t="shared" si="1042"/>
        <v>2371.8370197904542</v>
      </c>
      <c r="AZ670" s="43">
        <f t="shared" si="1042"/>
        <v>2364.5191884624778</v>
      </c>
      <c r="BA670" s="43">
        <f t="shared" si="1042"/>
        <v>2365.595638776962</v>
      </c>
      <c r="BB670" s="43">
        <f t="shared" si="1042"/>
        <v>2366.3532684283728</v>
      </c>
      <c r="BC670" s="19"/>
    </row>
    <row r="671" spans="2:56" x14ac:dyDescent="0.25">
      <c r="B671" s="43" t="str">
        <f t="shared" si="1032"/>
        <v>Product F Oppportunity Cost / Hour</v>
      </c>
      <c r="C671" s="43">
        <f t="shared" ref="C671:AH671" si="1043">C655/C559*60*60</f>
        <v>0</v>
      </c>
      <c r="D671" s="43">
        <f t="shared" si="1043"/>
        <v>1719.2418670438476</v>
      </c>
      <c r="E671" s="43">
        <f t="shared" si="1043"/>
        <v>1720.5443963258213</v>
      </c>
      <c r="F671" s="43">
        <f t="shared" si="1043"/>
        <v>0</v>
      </c>
      <c r="G671" s="43">
        <f t="shared" si="1043"/>
        <v>0</v>
      </c>
      <c r="H671" s="43">
        <f t="shared" si="1043"/>
        <v>1716.0480138279822</v>
      </c>
      <c r="I671" s="43">
        <f t="shared" si="1043"/>
        <v>1717.281926523573</v>
      </c>
      <c r="J671" s="43">
        <f t="shared" si="1043"/>
        <v>1718.5068055391173</v>
      </c>
      <c r="K671" s="43">
        <f t="shared" si="1043"/>
        <v>1720.4084483618828</v>
      </c>
      <c r="L671" s="43">
        <f t="shared" si="1043"/>
        <v>1712.5624977850237</v>
      </c>
      <c r="M671" s="43">
        <f t="shared" si="1043"/>
        <v>1714.0689327311625</v>
      </c>
      <c r="N671" s="43">
        <f t="shared" si="1043"/>
        <v>1715.2338079926508</v>
      </c>
      <c r="O671" s="43">
        <f t="shared" si="1043"/>
        <v>0</v>
      </c>
      <c r="P671" s="43">
        <f t="shared" si="1043"/>
        <v>1719.2418670438476</v>
      </c>
      <c r="Q671" s="43">
        <f t="shared" si="1043"/>
        <v>1720.6091862289131</v>
      </c>
      <c r="R671" s="43">
        <f t="shared" si="1043"/>
        <v>1712.2289148007733</v>
      </c>
      <c r="S671" s="43">
        <f t="shared" si="1043"/>
        <v>0</v>
      </c>
      <c r="T671" s="43">
        <f t="shared" si="1043"/>
        <v>1716.0188383045522</v>
      </c>
      <c r="U671" s="43">
        <f t="shared" si="1043"/>
        <v>1717.281926523573</v>
      </c>
      <c r="V671" s="43">
        <f t="shared" si="1043"/>
        <v>1718.3566075889132</v>
      </c>
      <c r="W671" s="43">
        <f t="shared" si="1043"/>
        <v>0</v>
      </c>
      <c r="X671" s="43">
        <f t="shared" si="1043"/>
        <v>1712.5624977850237</v>
      </c>
      <c r="Y671" s="43">
        <f t="shared" si="1043"/>
        <v>1714.16706734839</v>
      </c>
      <c r="Z671" s="43">
        <f t="shared" si="1043"/>
        <v>1714.9246969998007</v>
      </c>
      <c r="AA671" s="43">
        <f t="shared" si="1043"/>
        <v>0</v>
      </c>
      <c r="AB671" s="43">
        <f t="shared" si="1043"/>
        <v>1719.2773821536682</v>
      </c>
      <c r="AC671" s="43">
        <f t="shared" si="1043"/>
        <v>1720.5443963258213</v>
      </c>
      <c r="AD671" s="43">
        <f t="shared" si="1043"/>
        <v>1711.3911007025761</v>
      </c>
      <c r="AE671" s="43">
        <f t="shared" si="1043"/>
        <v>0</v>
      </c>
      <c r="AF671" s="43">
        <f t="shared" si="1043"/>
        <v>1716.0480138279822</v>
      </c>
      <c r="AG671" s="43">
        <f t="shared" si="1043"/>
        <v>1717.281926523573</v>
      </c>
      <c r="AH671" s="43">
        <f t="shared" si="1043"/>
        <v>1718.3566075889132</v>
      </c>
      <c r="AI671" s="43">
        <f t="shared" ref="AI671:BB671" si="1044">AI655/AI559*60*60</f>
        <v>0</v>
      </c>
      <c r="AJ671" s="43">
        <f t="shared" si="1044"/>
        <v>1712.5624977850237</v>
      </c>
      <c r="AK671" s="43">
        <f t="shared" si="1044"/>
        <v>1714.16706734839</v>
      </c>
      <c r="AL671" s="43">
        <f t="shared" si="1044"/>
        <v>1714.9246969998007</v>
      </c>
      <c r="AM671" s="43">
        <f t="shared" si="1044"/>
        <v>0</v>
      </c>
      <c r="AN671" s="43">
        <f t="shared" si="1044"/>
        <v>1719.2418670438476</v>
      </c>
      <c r="AO671" s="43">
        <f t="shared" si="1044"/>
        <v>1720.6091862289131</v>
      </c>
      <c r="AP671" s="43">
        <f t="shared" si="1044"/>
        <v>1711.3911007025761</v>
      </c>
      <c r="AQ671" s="43">
        <f t="shared" si="1044"/>
        <v>0</v>
      </c>
      <c r="AR671" s="43">
        <f t="shared" si="1044"/>
        <v>1716.0480138279822</v>
      </c>
      <c r="AS671" s="43">
        <f t="shared" si="1044"/>
        <v>1720.0487325604245</v>
      </c>
      <c r="AT671" s="43">
        <f t="shared" si="1044"/>
        <v>1719.679708826206</v>
      </c>
      <c r="AU671" s="43">
        <f t="shared" si="1044"/>
        <v>1719.8227654698239</v>
      </c>
      <c r="AV671" s="43">
        <f t="shared" si="1044"/>
        <v>1720.2711751107151</v>
      </c>
      <c r="AW671" s="43">
        <f t="shared" si="1044"/>
        <v>1717.281926523573</v>
      </c>
      <c r="AX671" s="43">
        <f t="shared" si="1044"/>
        <v>1718.5068055391173</v>
      </c>
      <c r="AY671" s="43">
        <f t="shared" si="1044"/>
        <v>1720.4084483618828</v>
      </c>
      <c r="AZ671" s="43">
        <f t="shared" si="1044"/>
        <v>1713.0906170339069</v>
      </c>
      <c r="BA671" s="43">
        <f t="shared" si="1044"/>
        <v>1714.16706734839</v>
      </c>
      <c r="BB671" s="43">
        <f t="shared" si="1044"/>
        <v>1714.9246969998007</v>
      </c>
      <c r="BC671" s="19"/>
    </row>
    <row r="672" spans="2:56" x14ac:dyDescent="0.25">
      <c r="B672" s="43" t="str">
        <f t="shared" si="1032"/>
        <v>Product G Oppportunity Cost / Hour</v>
      </c>
      <c r="C672" s="43">
        <f t="shared" ref="C672:AH672" si="1045">C656/C560*60*60</f>
        <v>0</v>
      </c>
      <c r="D672" s="43">
        <f t="shared" si="1045"/>
        <v>3610.6704384724176</v>
      </c>
      <c r="E672" s="43">
        <f t="shared" si="1045"/>
        <v>3611.9729677543919</v>
      </c>
      <c r="F672" s="43">
        <f t="shared" si="1045"/>
        <v>3602.7050359712225</v>
      </c>
      <c r="G672" s="43">
        <f t="shared" si="1045"/>
        <v>0</v>
      </c>
      <c r="H672" s="43">
        <f t="shared" si="1045"/>
        <v>0</v>
      </c>
      <c r="I672" s="43">
        <f t="shared" si="1045"/>
        <v>3608.7104979521446</v>
      </c>
      <c r="J672" s="43">
        <f t="shared" si="1045"/>
        <v>3609.9353769676882</v>
      </c>
      <c r="K672" s="43">
        <f t="shared" si="1045"/>
        <v>0</v>
      </c>
      <c r="L672" s="43">
        <f t="shared" si="1045"/>
        <v>0</v>
      </c>
      <c r="M672" s="43">
        <f t="shared" si="1045"/>
        <v>3605.4975041597336</v>
      </c>
      <c r="N672" s="43">
        <f t="shared" si="1045"/>
        <v>3606.6623794212223</v>
      </c>
      <c r="O672" s="43">
        <f t="shared" si="1045"/>
        <v>0</v>
      </c>
      <c r="P672" s="43">
        <f t="shared" si="1045"/>
        <v>0</v>
      </c>
      <c r="Q672" s="43">
        <f t="shared" si="1045"/>
        <v>3612.0377576574842</v>
      </c>
      <c r="R672" s="43">
        <f t="shared" si="1045"/>
        <v>3603.6574862293446</v>
      </c>
      <c r="S672" s="43">
        <f t="shared" si="1045"/>
        <v>0</v>
      </c>
      <c r="T672" s="43">
        <f t="shared" si="1045"/>
        <v>0</v>
      </c>
      <c r="U672" s="43">
        <f t="shared" si="1045"/>
        <v>3608.7104979521446</v>
      </c>
      <c r="V672" s="43">
        <f t="shared" si="1045"/>
        <v>3609.785179017485</v>
      </c>
      <c r="W672" s="43">
        <f t="shared" si="1045"/>
        <v>0</v>
      </c>
      <c r="X672" s="43">
        <f t="shared" si="1045"/>
        <v>0</v>
      </c>
      <c r="Y672" s="43">
        <f t="shared" si="1045"/>
        <v>3605.5956387769611</v>
      </c>
      <c r="Z672" s="43">
        <f t="shared" si="1045"/>
        <v>3606.3532684283728</v>
      </c>
      <c r="AA672" s="43">
        <f t="shared" si="1045"/>
        <v>0</v>
      </c>
      <c r="AB672" s="43">
        <f t="shared" si="1045"/>
        <v>0</v>
      </c>
      <c r="AC672" s="43">
        <f t="shared" si="1045"/>
        <v>3611.9729677543919</v>
      </c>
      <c r="AD672" s="43">
        <f t="shared" si="1045"/>
        <v>3602.8196721311469</v>
      </c>
      <c r="AE672" s="43">
        <f t="shared" si="1045"/>
        <v>0</v>
      </c>
      <c r="AF672" s="43">
        <f t="shared" si="1045"/>
        <v>0</v>
      </c>
      <c r="AG672" s="43">
        <f t="shared" si="1045"/>
        <v>3608.7104979521446</v>
      </c>
      <c r="AH672" s="43">
        <f t="shared" si="1045"/>
        <v>3609.785179017485</v>
      </c>
      <c r="AI672" s="43">
        <f t="shared" ref="AI672:BB672" si="1046">AI656/AI560*60*60</f>
        <v>0</v>
      </c>
      <c r="AJ672" s="43">
        <f t="shared" si="1046"/>
        <v>0</v>
      </c>
      <c r="AK672" s="43">
        <f t="shared" si="1046"/>
        <v>3605.5956387769611</v>
      </c>
      <c r="AL672" s="43">
        <f t="shared" si="1046"/>
        <v>3606.3532684283728</v>
      </c>
      <c r="AM672" s="43">
        <f t="shared" si="1046"/>
        <v>0</v>
      </c>
      <c r="AN672" s="43">
        <f t="shared" si="1046"/>
        <v>0</v>
      </c>
      <c r="AO672" s="43">
        <f t="shared" si="1046"/>
        <v>3612.0377576574842</v>
      </c>
      <c r="AP672" s="43">
        <f t="shared" si="1046"/>
        <v>3602.8196721311469</v>
      </c>
      <c r="AQ672" s="43">
        <f t="shared" si="1046"/>
        <v>0</v>
      </c>
      <c r="AR672" s="43">
        <f t="shared" si="1046"/>
        <v>0</v>
      </c>
      <c r="AS672" s="43">
        <f t="shared" si="1046"/>
        <v>3611.4773039889951</v>
      </c>
      <c r="AT672" s="43">
        <f t="shared" si="1046"/>
        <v>3611.1082802547771</v>
      </c>
      <c r="AU672" s="43">
        <f t="shared" si="1046"/>
        <v>0</v>
      </c>
      <c r="AV672" s="43">
        <f t="shared" si="1046"/>
        <v>0</v>
      </c>
      <c r="AW672" s="43">
        <f t="shared" si="1046"/>
        <v>3608.7104979521446</v>
      </c>
      <c r="AX672" s="43">
        <f t="shared" si="1046"/>
        <v>3609.9353769676882</v>
      </c>
      <c r="AY672" s="43">
        <f t="shared" si="1046"/>
        <v>0</v>
      </c>
      <c r="AZ672" s="43">
        <f t="shared" si="1046"/>
        <v>0</v>
      </c>
      <c r="BA672" s="43">
        <f t="shared" si="1046"/>
        <v>3605.5956387769611</v>
      </c>
      <c r="BB672" s="43">
        <f t="shared" si="1046"/>
        <v>3606.3532684283728</v>
      </c>
      <c r="BC672" s="19"/>
    </row>
    <row r="673" spans="2:55" x14ac:dyDescent="0.25">
      <c r="B673" s="43" t="str">
        <f t="shared" si="1032"/>
        <v>Product H Oppportunity Cost / Hour</v>
      </c>
      <c r="C673" s="43">
        <f t="shared" ref="C673:AH673" si="1047">C657/C561*60*60</f>
        <v>0</v>
      </c>
      <c r="D673" s="43">
        <f t="shared" si="1047"/>
        <v>0</v>
      </c>
      <c r="E673" s="43">
        <f t="shared" si="1047"/>
        <v>0</v>
      </c>
      <c r="F673" s="43">
        <f t="shared" si="1047"/>
        <v>4149.6615577103539</v>
      </c>
      <c r="G673" s="43">
        <f t="shared" si="1047"/>
        <v>0</v>
      </c>
      <c r="H673" s="43">
        <f t="shared" si="1047"/>
        <v>0</v>
      </c>
      <c r="I673" s="43">
        <f t="shared" si="1047"/>
        <v>0</v>
      </c>
      <c r="J673" s="43">
        <f t="shared" si="1047"/>
        <v>4156.8918987068191</v>
      </c>
      <c r="K673" s="43">
        <f t="shared" si="1047"/>
        <v>0</v>
      </c>
      <c r="L673" s="43">
        <f t="shared" si="1047"/>
        <v>0</v>
      </c>
      <c r="M673" s="43">
        <f t="shared" si="1047"/>
        <v>0</v>
      </c>
      <c r="N673" s="43">
        <f t="shared" si="1047"/>
        <v>4153.6189011603528</v>
      </c>
      <c r="O673" s="43">
        <f t="shared" si="1047"/>
        <v>0</v>
      </c>
      <c r="P673" s="43">
        <f t="shared" si="1047"/>
        <v>0</v>
      </c>
      <c r="Q673" s="43">
        <f t="shared" si="1047"/>
        <v>4158.9942793966156</v>
      </c>
      <c r="R673" s="43">
        <f t="shared" si="1047"/>
        <v>4150.6140079684737</v>
      </c>
      <c r="S673" s="43">
        <f t="shared" si="1047"/>
        <v>0</v>
      </c>
      <c r="T673" s="43">
        <f t="shared" si="1047"/>
        <v>0</v>
      </c>
      <c r="U673" s="43">
        <f t="shared" si="1047"/>
        <v>0</v>
      </c>
      <c r="V673" s="43">
        <f t="shared" si="1047"/>
        <v>4156.7417007566164</v>
      </c>
      <c r="W673" s="43">
        <f t="shared" si="1047"/>
        <v>4158.3607770582794</v>
      </c>
      <c r="X673" s="43">
        <f t="shared" si="1047"/>
        <v>0</v>
      </c>
      <c r="Y673" s="43">
        <f t="shared" si="1047"/>
        <v>0</v>
      </c>
      <c r="Z673" s="43">
        <f t="shared" si="1047"/>
        <v>4153.3097901675028</v>
      </c>
      <c r="AA673" s="43">
        <f t="shared" si="1047"/>
        <v>0</v>
      </c>
      <c r="AB673" s="43">
        <f t="shared" si="1047"/>
        <v>4157.66247532137</v>
      </c>
      <c r="AC673" s="43">
        <f t="shared" si="1047"/>
        <v>0</v>
      </c>
      <c r="AD673" s="43">
        <f t="shared" si="1047"/>
        <v>4149.7761938702788</v>
      </c>
      <c r="AE673" s="43">
        <f t="shared" si="1047"/>
        <v>0</v>
      </c>
      <c r="AF673" s="43">
        <f t="shared" si="1047"/>
        <v>0</v>
      </c>
      <c r="AG673" s="43">
        <f t="shared" si="1047"/>
        <v>0</v>
      </c>
      <c r="AH673" s="43">
        <f t="shared" si="1047"/>
        <v>4156.7417007566164</v>
      </c>
      <c r="AI673" s="43">
        <f t="shared" ref="AI673:BB673" si="1048">AI657/AI561*60*60</f>
        <v>4158.3607770582794</v>
      </c>
      <c r="AJ673" s="43">
        <f t="shared" si="1048"/>
        <v>0</v>
      </c>
      <c r="AK673" s="43">
        <f t="shared" si="1048"/>
        <v>0</v>
      </c>
      <c r="AL673" s="43">
        <f t="shared" si="1048"/>
        <v>4153.3097901675028</v>
      </c>
      <c r="AM673" s="43">
        <f t="shared" si="1048"/>
        <v>0</v>
      </c>
      <c r="AN673" s="43">
        <f t="shared" si="1048"/>
        <v>0</v>
      </c>
      <c r="AO673" s="43">
        <f t="shared" si="1048"/>
        <v>4158.9942793966156</v>
      </c>
      <c r="AP673" s="43">
        <f t="shared" si="1048"/>
        <v>4149.7761938702788</v>
      </c>
      <c r="AQ673" s="43">
        <f t="shared" si="1048"/>
        <v>0</v>
      </c>
      <c r="AR673" s="43">
        <f t="shared" si="1048"/>
        <v>0</v>
      </c>
      <c r="AS673" s="43">
        <f t="shared" si="1048"/>
        <v>0</v>
      </c>
      <c r="AT673" s="43">
        <f t="shared" si="1048"/>
        <v>4158.0648019939081</v>
      </c>
      <c r="AU673" s="43">
        <f t="shared" si="1048"/>
        <v>0</v>
      </c>
      <c r="AV673" s="43">
        <f t="shared" si="1048"/>
        <v>0</v>
      </c>
      <c r="AW673" s="43">
        <f t="shared" si="1048"/>
        <v>0</v>
      </c>
      <c r="AX673" s="43">
        <f t="shared" si="1048"/>
        <v>4156.8918987068191</v>
      </c>
      <c r="AY673" s="43">
        <f t="shared" si="1048"/>
        <v>0</v>
      </c>
      <c r="AZ673" s="43">
        <f t="shared" si="1048"/>
        <v>0</v>
      </c>
      <c r="BA673" s="43">
        <f t="shared" si="1048"/>
        <v>0</v>
      </c>
      <c r="BB673" s="43">
        <f t="shared" si="1048"/>
        <v>4153.3097901675028</v>
      </c>
      <c r="BC673" s="19"/>
    </row>
    <row r="674" spans="2:55" x14ac:dyDescent="0.25">
      <c r="B674" s="113" t="str">
        <f t="shared" ref="B674:B681" si="1049">_xlfn.CONCAT(B457," ","Downtime Loss Per Hour")</f>
        <v>Product A Downtime Loss Per Hour</v>
      </c>
      <c r="C674" s="113">
        <f t="shared" ref="C674:AH674" si="1050">IF(C763&gt;0,C666+$AE$2+$R$4*$AB$4,0)</f>
        <v>4221.9151193633952</v>
      </c>
      <c r="D674" s="113">
        <f t="shared" si="1050"/>
        <v>0</v>
      </c>
      <c r="E674" s="113">
        <f t="shared" si="1050"/>
        <v>4225.9729677543928</v>
      </c>
      <c r="F674" s="113">
        <f t="shared" si="1050"/>
        <v>0</v>
      </c>
      <c r="G674" s="113">
        <f t="shared" si="1050"/>
        <v>4218.4583741429969</v>
      </c>
      <c r="H674" s="113">
        <f t="shared" si="1050"/>
        <v>0</v>
      </c>
      <c r="I674" s="113">
        <f t="shared" si="1050"/>
        <v>0</v>
      </c>
      <c r="J674" s="113">
        <f t="shared" si="1050"/>
        <v>0</v>
      </c>
      <c r="K674" s="113">
        <f t="shared" si="1050"/>
        <v>4225.8370197904542</v>
      </c>
      <c r="L674" s="113">
        <f t="shared" si="1050"/>
        <v>0</v>
      </c>
      <c r="M674" s="113">
        <f t="shared" si="1050"/>
        <v>0</v>
      </c>
      <c r="N674" s="113">
        <f t="shared" si="1050"/>
        <v>0</v>
      </c>
      <c r="O674" s="113">
        <f t="shared" si="1050"/>
        <v>4221.9151193633952</v>
      </c>
      <c r="P674" s="113">
        <f t="shared" si="1050"/>
        <v>4224.670438472418</v>
      </c>
      <c r="Q674" s="113">
        <f t="shared" si="1050"/>
        <v>0</v>
      </c>
      <c r="R674" s="113">
        <f t="shared" si="1050"/>
        <v>0</v>
      </c>
      <c r="S674" s="113">
        <f t="shared" si="1050"/>
        <v>4218.4583741429969</v>
      </c>
      <c r="T674" s="113">
        <f t="shared" si="1050"/>
        <v>0</v>
      </c>
      <c r="U674" s="113">
        <f t="shared" si="1050"/>
        <v>0</v>
      </c>
      <c r="V674" s="113">
        <f t="shared" si="1050"/>
        <v>4223.7851790174846</v>
      </c>
      <c r="W674" s="113">
        <f t="shared" si="1050"/>
        <v>4225.4042553191493</v>
      </c>
      <c r="X674" s="113">
        <f t="shared" si="1050"/>
        <v>0</v>
      </c>
      <c r="Y674" s="113">
        <f t="shared" si="1050"/>
        <v>0</v>
      </c>
      <c r="Z674" s="113">
        <f t="shared" si="1050"/>
        <v>0</v>
      </c>
      <c r="AA674" s="113">
        <f t="shared" si="1050"/>
        <v>4221.9151193633952</v>
      </c>
      <c r="AB674" s="113">
        <f t="shared" si="1050"/>
        <v>0</v>
      </c>
      <c r="AC674" s="113">
        <f t="shared" si="1050"/>
        <v>4225.9729677543928</v>
      </c>
      <c r="AD674" s="113">
        <f t="shared" si="1050"/>
        <v>0</v>
      </c>
      <c r="AE674" s="113">
        <f t="shared" si="1050"/>
        <v>4218.4583741429969</v>
      </c>
      <c r="AF674" s="113">
        <f t="shared" si="1050"/>
        <v>0</v>
      </c>
      <c r="AG674" s="113">
        <f t="shared" si="1050"/>
        <v>0</v>
      </c>
      <c r="AH674" s="113">
        <f t="shared" si="1050"/>
        <v>4223.7851790174846</v>
      </c>
      <c r="AI674" s="113">
        <f t="shared" ref="AI674:BB674" si="1051">IF(AI763&gt;0,AI666+$AE$2+$R$4*$AB$4,0)</f>
        <v>4225.4042553191493</v>
      </c>
      <c r="AJ674" s="113">
        <f t="shared" si="1051"/>
        <v>0</v>
      </c>
      <c r="AK674" s="113">
        <f t="shared" si="1051"/>
        <v>0</v>
      </c>
      <c r="AL674" s="113">
        <f t="shared" si="1051"/>
        <v>0</v>
      </c>
      <c r="AM674" s="113">
        <f t="shared" si="1051"/>
        <v>4221.9151193633952</v>
      </c>
      <c r="AN674" s="113">
        <f t="shared" si="1051"/>
        <v>4224.670438472418</v>
      </c>
      <c r="AO674" s="113">
        <f t="shared" si="1051"/>
        <v>0</v>
      </c>
      <c r="AP674" s="113">
        <f t="shared" si="1051"/>
        <v>0</v>
      </c>
      <c r="AQ674" s="113">
        <f t="shared" si="1051"/>
        <v>4218.4583741429969</v>
      </c>
      <c r="AR674" s="113">
        <f t="shared" si="1051"/>
        <v>0</v>
      </c>
      <c r="AS674" s="113">
        <f t="shared" si="1051"/>
        <v>4225.477303988996</v>
      </c>
      <c r="AT674" s="113">
        <f t="shared" si="1051"/>
        <v>0</v>
      </c>
      <c r="AU674" s="113">
        <f t="shared" si="1051"/>
        <v>4225.2513368983955</v>
      </c>
      <c r="AV674" s="113">
        <f t="shared" si="1051"/>
        <v>4225.699746539286</v>
      </c>
      <c r="AW674" s="113">
        <f t="shared" si="1051"/>
        <v>0</v>
      </c>
      <c r="AX674" s="113">
        <f t="shared" si="1051"/>
        <v>0</v>
      </c>
      <c r="AY674" s="113">
        <f t="shared" si="1051"/>
        <v>4225.8370197904542</v>
      </c>
      <c r="AZ674" s="113">
        <f t="shared" si="1051"/>
        <v>0</v>
      </c>
      <c r="BA674" s="113">
        <f t="shared" si="1051"/>
        <v>0</v>
      </c>
      <c r="BB674" s="113">
        <f t="shared" si="1051"/>
        <v>0</v>
      </c>
      <c r="BC674" s="19"/>
    </row>
    <row r="675" spans="2:55" x14ac:dyDescent="0.25">
      <c r="B675" s="113" t="str">
        <f t="shared" si="1049"/>
        <v>Product B Downtime Loss Per Hour</v>
      </c>
      <c r="C675" s="113">
        <f t="shared" ref="C675:AH675" si="1052">IF(C764&gt;0,C667+$AE$2+$R$4*$AB$4,0)</f>
        <v>2997.4253234450275</v>
      </c>
      <c r="D675" s="113">
        <f t="shared" si="1052"/>
        <v>3000.1806425540512</v>
      </c>
      <c r="E675" s="113">
        <f t="shared" si="1052"/>
        <v>0</v>
      </c>
      <c r="F675" s="113">
        <f t="shared" si="1052"/>
        <v>2992.2152400528548</v>
      </c>
      <c r="G675" s="113">
        <f t="shared" si="1052"/>
        <v>2993.9685782246302</v>
      </c>
      <c r="H675" s="113">
        <f t="shared" si="1052"/>
        <v>2996.9867893381852</v>
      </c>
      <c r="I675" s="113">
        <f t="shared" si="1052"/>
        <v>0</v>
      </c>
      <c r="J675" s="113">
        <f t="shared" si="1052"/>
        <v>2999.4455810493209</v>
      </c>
      <c r="K675" s="113">
        <f t="shared" si="1052"/>
        <v>3001.3472238720869</v>
      </c>
      <c r="L675" s="113">
        <f t="shared" si="1052"/>
        <v>2993.5012732952268</v>
      </c>
      <c r="M675" s="113">
        <f t="shared" si="1052"/>
        <v>0</v>
      </c>
      <c r="N675" s="113">
        <f t="shared" si="1052"/>
        <v>0</v>
      </c>
      <c r="O675" s="113">
        <f t="shared" si="1052"/>
        <v>2997.4253234450275</v>
      </c>
      <c r="P675" s="113">
        <f t="shared" si="1052"/>
        <v>3000.1806425540512</v>
      </c>
      <c r="Q675" s="113">
        <f t="shared" si="1052"/>
        <v>0</v>
      </c>
      <c r="R675" s="113">
        <f t="shared" si="1052"/>
        <v>0</v>
      </c>
      <c r="S675" s="113">
        <f t="shared" si="1052"/>
        <v>2993.9685782246302</v>
      </c>
      <c r="T675" s="113">
        <f t="shared" si="1052"/>
        <v>2996.9576138147563</v>
      </c>
      <c r="U675" s="113">
        <f t="shared" si="1052"/>
        <v>0</v>
      </c>
      <c r="V675" s="113">
        <f t="shared" si="1052"/>
        <v>0</v>
      </c>
      <c r="W675" s="113">
        <f t="shared" si="1052"/>
        <v>3000.9144594007817</v>
      </c>
      <c r="X675" s="113">
        <f t="shared" si="1052"/>
        <v>2993.5012732952268</v>
      </c>
      <c r="Y675" s="113">
        <f t="shared" si="1052"/>
        <v>0</v>
      </c>
      <c r="Z675" s="113">
        <f t="shared" si="1052"/>
        <v>0</v>
      </c>
      <c r="AA675" s="113">
        <f t="shared" si="1052"/>
        <v>2997.4253234450275</v>
      </c>
      <c r="AB675" s="113">
        <f t="shared" si="1052"/>
        <v>3000.2161576638728</v>
      </c>
      <c r="AC675" s="113">
        <f t="shared" si="1052"/>
        <v>0</v>
      </c>
      <c r="AD675" s="113">
        <f t="shared" si="1052"/>
        <v>0</v>
      </c>
      <c r="AE675" s="113">
        <f t="shared" si="1052"/>
        <v>2993.9685782246302</v>
      </c>
      <c r="AF675" s="113">
        <f t="shared" si="1052"/>
        <v>2996.9867893381852</v>
      </c>
      <c r="AG675" s="113">
        <f t="shared" si="1052"/>
        <v>0</v>
      </c>
      <c r="AH675" s="113">
        <f t="shared" si="1052"/>
        <v>0</v>
      </c>
      <c r="AI675" s="113">
        <f t="shared" ref="AI675:BB675" si="1053">IF(AI764&gt;0,AI667+$AE$2+$R$4*$AB$4,0)</f>
        <v>3000.9144594007817</v>
      </c>
      <c r="AJ675" s="113">
        <f t="shared" si="1053"/>
        <v>2993.5012732952268</v>
      </c>
      <c r="AK675" s="113">
        <f t="shared" si="1053"/>
        <v>0</v>
      </c>
      <c r="AL675" s="113">
        <f t="shared" si="1053"/>
        <v>0</v>
      </c>
      <c r="AM675" s="113">
        <f t="shared" si="1053"/>
        <v>2997.4253234450275</v>
      </c>
      <c r="AN675" s="113">
        <f t="shared" si="1053"/>
        <v>3000.1806425540512</v>
      </c>
      <c r="AO675" s="113">
        <f t="shared" si="1053"/>
        <v>0</v>
      </c>
      <c r="AP675" s="113">
        <f t="shared" si="1053"/>
        <v>0</v>
      </c>
      <c r="AQ675" s="113">
        <f t="shared" si="1053"/>
        <v>2993.9685782246302</v>
      </c>
      <c r="AR675" s="113">
        <f t="shared" si="1053"/>
        <v>2996.9867893381852</v>
      </c>
      <c r="AS675" s="113">
        <f t="shared" si="1053"/>
        <v>0</v>
      </c>
      <c r="AT675" s="113">
        <f t="shared" si="1053"/>
        <v>3000.6184843364081</v>
      </c>
      <c r="AU675" s="113">
        <f t="shared" si="1053"/>
        <v>3000.7615409800283</v>
      </c>
      <c r="AV675" s="113">
        <f t="shared" si="1053"/>
        <v>3001.2099506209183</v>
      </c>
      <c r="AW675" s="113">
        <f t="shared" si="1053"/>
        <v>0</v>
      </c>
      <c r="AX675" s="113">
        <f t="shared" si="1053"/>
        <v>2999.4455810493209</v>
      </c>
      <c r="AY675" s="113">
        <f t="shared" si="1053"/>
        <v>3001.3472238720869</v>
      </c>
      <c r="AZ675" s="113">
        <f t="shared" si="1053"/>
        <v>2994.0293925441115</v>
      </c>
      <c r="BA675" s="113">
        <f t="shared" si="1053"/>
        <v>0</v>
      </c>
      <c r="BB675" s="113">
        <f t="shared" si="1053"/>
        <v>0</v>
      </c>
      <c r="BC675" s="19"/>
    </row>
    <row r="676" spans="2:55" x14ac:dyDescent="0.25">
      <c r="B676" s="113" t="str">
        <f t="shared" si="1049"/>
        <v>Product C Downtime Loss Per Hour</v>
      </c>
      <c r="C676" s="113">
        <f t="shared" ref="C676:AH676" si="1054">IF(C765&gt;0,C668+$AE$2+$R$4*$AB$4,0)</f>
        <v>3396.9151193633957</v>
      </c>
      <c r="D676" s="113">
        <f t="shared" si="1054"/>
        <v>3399.6704384724189</v>
      </c>
      <c r="E676" s="113">
        <f t="shared" si="1054"/>
        <v>3400.9729677543924</v>
      </c>
      <c r="F676" s="113">
        <f t="shared" si="1054"/>
        <v>0</v>
      </c>
      <c r="G676" s="113">
        <f t="shared" si="1054"/>
        <v>3393.4583741429979</v>
      </c>
      <c r="H676" s="113">
        <f t="shared" si="1054"/>
        <v>3396.4765852565542</v>
      </c>
      <c r="I676" s="113">
        <f t="shared" si="1054"/>
        <v>3397.710497952145</v>
      </c>
      <c r="J676" s="113">
        <f t="shared" si="1054"/>
        <v>0</v>
      </c>
      <c r="K676" s="113">
        <f t="shared" si="1054"/>
        <v>3400.8370197904542</v>
      </c>
      <c r="L676" s="113">
        <f t="shared" si="1054"/>
        <v>3392.9910692135954</v>
      </c>
      <c r="M676" s="113">
        <f t="shared" si="1054"/>
        <v>3394.497504159734</v>
      </c>
      <c r="N676" s="113">
        <f t="shared" si="1054"/>
        <v>0</v>
      </c>
      <c r="O676" s="113">
        <f t="shared" si="1054"/>
        <v>3396.9151193633957</v>
      </c>
      <c r="P676" s="113">
        <f t="shared" si="1054"/>
        <v>3399.6704384724189</v>
      </c>
      <c r="Q676" s="113">
        <f t="shared" si="1054"/>
        <v>3401.0377576574847</v>
      </c>
      <c r="R676" s="113">
        <f t="shared" si="1054"/>
        <v>0</v>
      </c>
      <c r="S676" s="113">
        <f t="shared" si="1054"/>
        <v>3393.4583741429979</v>
      </c>
      <c r="T676" s="113">
        <f t="shared" si="1054"/>
        <v>3396.4474097331245</v>
      </c>
      <c r="U676" s="113">
        <f t="shared" si="1054"/>
        <v>3397.710497952145</v>
      </c>
      <c r="V676" s="113">
        <f t="shared" si="1054"/>
        <v>0</v>
      </c>
      <c r="W676" s="113">
        <f t="shared" si="1054"/>
        <v>3400.4042553191489</v>
      </c>
      <c r="X676" s="113">
        <f t="shared" si="1054"/>
        <v>3392.9910692135954</v>
      </c>
      <c r="Y676" s="113">
        <f t="shared" si="1054"/>
        <v>3394.5956387769616</v>
      </c>
      <c r="Z676" s="113">
        <f t="shared" si="1054"/>
        <v>0</v>
      </c>
      <c r="AA676" s="113">
        <f t="shared" si="1054"/>
        <v>3396.9151193633957</v>
      </c>
      <c r="AB676" s="113">
        <f t="shared" si="1054"/>
        <v>3399.7059535822405</v>
      </c>
      <c r="AC676" s="113">
        <f t="shared" si="1054"/>
        <v>3400.9729677543924</v>
      </c>
      <c r="AD676" s="113">
        <f t="shared" si="1054"/>
        <v>0</v>
      </c>
      <c r="AE676" s="113">
        <f t="shared" si="1054"/>
        <v>3393.4583741429979</v>
      </c>
      <c r="AF676" s="113">
        <f t="shared" si="1054"/>
        <v>3396.4765852565542</v>
      </c>
      <c r="AG676" s="113">
        <f t="shared" si="1054"/>
        <v>3397.710497952145</v>
      </c>
      <c r="AH676" s="113">
        <f t="shared" si="1054"/>
        <v>0</v>
      </c>
      <c r="AI676" s="113">
        <f t="shared" ref="AI676:BB676" si="1055">IF(AI765&gt;0,AI668+$AE$2+$R$4*$AB$4,0)</f>
        <v>3400.4042553191489</v>
      </c>
      <c r="AJ676" s="113">
        <f t="shared" si="1055"/>
        <v>3392.9910692135954</v>
      </c>
      <c r="AK676" s="113">
        <f t="shared" si="1055"/>
        <v>3394.5956387769616</v>
      </c>
      <c r="AL676" s="113">
        <f t="shared" si="1055"/>
        <v>0</v>
      </c>
      <c r="AM676" s="113">
        <f t="shared" si="1055"/>
        <v>3396.9151193633957</v>
      </c>
      <c r="AN676" s="113">
        <f t="shared" si="1055"/>
        <v>3399.6704384724189</v>
      </c>
      <c r="AO676" s="113">
        <f t="shared" si="1055"/>
        <v>3401.0377576574847</v>
      </c>
      <c r="AP676" s="113">
        <f t="shared" si="1055"/>
        <v>0</v>
      </c>
      <c r="AQ676" s="113">
        <f t="shared" si="1055"/>
        <v>3393.4583741429979</v>
      </c>
      <c r="AR676" s="113">
        <f t="shared" si="1055"/>
        <v>3396.4765852565542</v>
      </c>
      <c r="AS676" s="113">
        <f t="shared" si="1055"/>
        <v>3400.477303988996</v>
      </c>
      <c r="AT676" s="113">
        <f t="shared" si="1055"/>
        <v>0</v>
      </c>
      <c r="AU676" s="113">
        <f t="shared" si="1055"/>
        <v>3400.2513368983955</v>
      </c>
      <c r="AV676" s="113">
        <f t="shared" si="1055"/>
        <v>3400.6997465392869</v>
      </c>
      <c r="AW676" s="113">
        <f t="shared" si="1055"/>
        <v>3397.710497952145</v>
      </c>
      <c r="AX676" s="113">
        <f t="shared" si="1055"/>
        <v>0</v>
      </c>
      <c r="AY676" s="113">
        <f t="shared" si="1055"/>
        <v>3400.8370197904542</v>
      </c>
      <c r="AZ676" s="113">
        <f t="shared" si="1055"/>
        <v>3393.5191884624787</v>
      </c>
      <c r="BA676" s="113">
        <f t="shared" si="1055"/>
        <v>3394.5956387769616</v>
      </c>
      <c r="BB676" s="113">
        <f t="shared" si="1055"/>
        <v>0</v>
      </c>
      <c r="BC676" s="19"/>
    </row>
    <row r="677" spans="2:55" x14ac:dyDescent="0.25">
      <c r="B677" s="113" t="str">
        <f t="shared" si="1049"/>
        <v>Product D Downtime Loss Per Hour</v>
      </c>
      <c r="C677" s="113">
        <f t="shared" ref="C677:AH677" si="1056">IF(C766&gt;0,C669+$AE$2+$R$4*$AB$4,0)</f>
        <v>1494.642392090667</v>
      </c>
      <c r="D677" s="113">
        <f t="shared" si="1056"/>
        <v>1497.3977111996919</v>
      </c>
      <c r="E677" s="113">
        <f t="shared" si="1056"/>
        <v>1498.7002404816658</v>
      </c>
      <c r="F677" s="113">
        <f t="shared" si="1056"/>
        <v>1489.4323086984957</v>
      </c>
      <c r="G677" s="113">
        <f t="shared" si="1056"/>
        <v>1491.1856468702692</v>
      </c>
      <c r="H677" s="113">
        <f t="shared" si="1056"/>
        <v>1494.2038579838263</v>
      </c>
      <c r="I677" s="113">
        <f t="shared" si="1056"/>
        <v>1495.4377706794171</v>
      </c>
      <c r="J677" s="113">
        <f t="shared" si="1056"/>
        <v>1496.6626496949614</v>
      </c>
      <c r="K677" s="113">
        <f t="shared" si="1056"/>
        <v>1498.5642925177267</v>
      </c>
      <c r="L677" s="113">
        <f t="shared" si="1056"/>
        <v>1490.7183419408666</v>
      </c>
      <c r="M677" s="113">
        <f t="shared" si="1056"/>
        <v>1492.2247768870068</v>
      </c>
      <c r="N677" s="113">
        <f t="shared" si="1056"/>
        <v>1493.389652148494</v>
      </c>
      <c r="O677" s="113">
        <f t="shared" si="1056"/>
        <v>1494.642392090667</v>
      </c>
      <c r="P677" s="113">
        <f t="shared" si="1056"/>
        <v>1497.3977111996919</v>
      </c>
      <c r="Q677" s="113">
        <f t="shared" si="1056"/>
        <v>1498.7650303847572</v>
      </c>
      <c r="R677" s="113">
        <f t="shared" si="1056"/>
        <v>1490.3847589566167</v>
      </c>
      <c r="S677" s="113">
        <f t="shared" si="1056"/>
        <v>1491.1856468702692</v>
      </c>
      <c r="T677" s="113">
        <f t="shared" si="1056"/>
        <v>1494.1746824603961</v>
      </c>
      <c r="U677" s="113">
        <f t="shared" si="1056"/>
        <v>1495.4377706794171</v>
      </c>
      <c r="V677" s="113">
        <f t="shared" si="1056"/>
        <v>1496.5124517447584</v>
      </c>
      <c r="W677" s="113">
        <f t="shared" si="1056"/>
        <v>1498.131528046421</v>
      </c>
      <c r="X677" s="113">
        <f t="shared" si="1056"/>
        <v>1490.7183419408666</v>
      </c>
      <c r="Y677" s="113">
        <f t="shared" si="1056"/>
        <v>1492.3229115042345</v>
      </c>
      <c r="Z677" s="113">
        <f t="shared" si="1056"/>
        <v>1493.0805411556453</v>
      </c>
      <c r="AA677" s="113">
        <f t="shared" si="1056"/>
        <v>1494.642392090667</v>
      </c>
      <c r="AB677" s="113">
        <f t="shared" si="1056"/>
        <v>1497.433226309513</v>
      </c>
      <c r="AC677" s="113">
        <f t="shared" si="1056"/>
        <v>1498.7002404816658</v>
      </c>
      <c r="AD677" s="113">
        <f t="shared" si="1056"/>
        <v>1489.5469448584211</v>
      </c>
      <c r="AE677" s="113">
        <f t="shared" si="1056"/>
        <v>1491.1856468702692</v>
      </c>
      <c r="AF677" s="113">
        <f t="shared" si="1056"/>
        <v>1494.2038579838263</v>
      </c>
      <c r="AG677" s="113">
        <f t="shared" si="1056"/>
        <v>1495.4377706794171</v>
      </c>
      <c r="AH677" s="113">
        <f t="shared" si="1056"/>
        <v>1496.5124517447584</v>
      </c>
      <c r="AI677" s="113">
        <f t="shared" ref="AI677:BB677" si="1057">IF(AI766&gt;0,AI669+$AE$2+$R$4*$AB$4,0)</f>
        <v>1498.131528046421</v>
      </c>
      <c r="AJ677" s="113">
        <f t="shared" si="1057"/>
        <v>1490.7183419408666</v>
      </c>
      <c r="AK677" s="113">
        <f t="shared" si="1057"/>
        <v>1492.3229115042345</v>
      </c>
      <c r="AL677" s="113">
        <f t="shared" si="1057"/>
        <v>1493.0805411556453</v>
      </c>
      <c r="AM677" s="113">
        <f t="shared" si="1057"/>
        <v>1494.642392090667</v>
      </c>
      <c r="AN677" s="113">
        <f t="shared" si="1057"/>
        <v>1497.3977111996919</v>
      </c>
      <c r="AO677" s="113">
        <f t="shared" si="1057"/>
        <v>1498.7650303847572</v>
      </c>
      <c r="AP677" s="113">
        <f t="shared" si="1057"/>
        <v>1489.5469448584211</v>
      </c>
      <c r="AQ677" s="113">
        <f t="shared" si="1057"/>
        <v>1491.1856468702692</v>
      </c>
      <c r="AR677" s="113">
        <f t="shared" si="1057"/>
        <v>1494.2038579838263</v>
      </c>
      <c r="AS677" s="113">
        <f t="shared" si="1057"/>
        <v>1498.2045767162681</v>
      </c>
      <c r="AT677" s="113">
        <f t="shared" si="1057"/>
        <v>1497.8355529820503</v>
      </c>
      <c r="AU677" s="113">
        <f t="shared" si="1057"/>
        <v>1497.9786096256692</v>
      </c>
      <c r="AV677" s="113">
        <f t="shared" si="1057"/>
        <v>1498.4270192665585</v>
      </c>
      <c r="AW677" s="113">
        <f t="shared" si="1057"/>
        <v>1495.4377706794171</v>
      </c>
      <c r="AX677" s="113">
        <f t="shared" si="1057"/>
        <v>1496.6626496949614</v>
      </c>
      <c r="AY677" s="113">
        <f t="shared" si="1057"/>
        <v>1498.5642925177267</v>
      </c>
      <c r="AZ677" s="113">
        <f t="shared" si="1057"/>
        <v>1491.2464611897515</v>
      </c>
      <c r="BA677" s="113">
        <f t="shared" si="1057"/>
        <v>1492.3229115042345</v>
      </c>
      <c r="BB677" s="113">
        <f t="shared" si="1057"/>
        <v>1493.0805411556453</v>
      </c>
      <c r="BC677" s="19"/>
    </row>
    <row r="678" spans="2:55" x14ac:dyDescent="0.25">
      <c r="B678" s="113" t="str">
        <f t="shared" si="1049"/>
        <v>Product E Downtime Loss Per Hour</v>
      </c>
      <c r="C678" s="113">
        <f t="shared" ref="C678:AH678" si="1058">IF(C767&gt;0,C670+$AE$2+$R$4*$AB$4,0)</f>
        <v>2421.9151193633957</v>
      </c>
      <c r="D678" s="113">
        <f t="shared" si="1058"/>
        <v>2424.6704384724185</v>
      </c>
      <c r="E678" s="113">
        <f t="shared" si="1058"/>
        <v>2425.9729677543928</v>
      </c>
      <c r="F678" s="113">
        <f t="shared" si="1058"/>
        <v>2416.705035971223</v>
      </c>
      <c r="G678" s="113">
        <f t="shared" si="1058"/>
        <v>2418.4583741429969</v>
      </c>
      <c r="H678" s="113">
        <f t="shared" si="1058"/>
        <v>2421.4765852565542</v>
      </c>
      <c r="I678" s="113">
        <f t="shared" si="1058"/>
        <v>2422.7104979521446</v>
      </c>
      <c r="J678" s="113">
        <f t="shared" si="1058"/>
        <v>2423.9353769676882</v>
      </c>
      <c r="K678" s="113">
        <f t="shared" si="1058"/>
        <v>2425.8370197904542</v>
      </c>
      <c r="L678" s="113">
        <f t="shared" si="1058"/>
        <v>2417.9910692135945</v>
      </c>
      <c r="M678" s="113">
        <f t="shared" si="1058"/>
        <v>2419.4975041597336</v>
      </c>
      <c r="N678" s="113">
        <f t="shared" si="1058"/>
        <v>2420.6623794212219</v>
      </c>
      <c r="O678" s="113">
        <f t="shared" si="1058"/>
        <v>2421.9151193633957</v>
      </c>
      <c r="P678" s="113">
        <f t="shared" si="1058"/>
        <v>2424.6704384724185</v>
      </c>
      <c r="Q678" s="113">
        <f t="shared" si="1058"/>
        <v>2426.0377576574838</v>
      </c>
      <c r="R678" s="113">
        <f t="shared" si="1058"/>
        <v>2417.6574862293437</v>
      </c>
      <c r="S678" s="113">
        <f t="shared" si="1058"/>
        <v>2418.4583741429969</v>
      </c>
      <c r="T678" s="113">
        <f t="shared" si="1058"/>
        <v>2421.447409733124</v>
      </c>
      <c r="U678" s="113">
        <f t="shared" si="1058"/>
        <v>2422.7104979521446</v>
      </c>
      <c r="V678" s="113">
        <f t="shared" si="1058"/>
        <v>2423.7851790174855</v>
      </c>
      <c r="W678" s="113">
        <f t="shared" si="1058"/>
        <v>2425.4042553191489</v>
      </c>
      <c r="X678" s="113">
        <f t="shared" si="1058"/>
        <v>2417.9910692135945</v>
      </c>
      <c r="Y678" s="113">
        <f t="shared" si="1058"/>
        <v>2419.595638776962</v>
      </c>
      <c r="Z678" s="113">
        <f t="shared" si="1058"/>
        <v>2420.3532684283728</v>
      </c>
      <c r="AA678" s="113">
        <f t="shared" si="1058"/>
        <v>2421.9151193633957</v>
      </c>
      <c r="AB678" s="113">
        <f t="shared" si="1058"/>
        <v>2424.70595358224</v>
      </c>
      <c r="AC678" s="113">
        <f t="shared" si="1058"/>
        <v>2425.9729677543928</v>
      </c>
      <c r="AD678" s="113">
        <f t="shared" si="1058"/>
        <v>2416.8196721311479</v>
      </c>
      <c r="AE678" s="113">
        <f t="shared" si="1058"/>
        <v>2418.4583741429969</v>
      </c>
      <c r="AF678" s="113">
        <f t="shared" si="1058"/>
        <v>2421.4765852565542</v>
      </c>
      <c r="AG678" s="113">
        <f t="shared" si="1058"/>
        <v>2422.7104979521446</v>
      </c>
      <c r="AH678" s="113">
        <f t="shared" si="1058"/>
        <v>2423.7851790174855</v>
      </c>
      <c r="AI678" s="113">
        <f t="shared" ref="AI678:BB678" si="1059">IF(AI767&gt;0,AI670+$AE$2+$R$4*$AB$4,0)</f>
        <v>2425.4042553191489</v>
      </c>
      <c r="AJ678" s="113">
        <f t="shared" si="1059"/>
        <v>2417.9910692135945</v>
      </c>
      <c r="AK678" s="113">
        <f t="shared" si="1059"/>
        <v>2419.595638776962</v>
      </c>
      <c r="AL678" s="113">
        <f t="shared" si="1059"/>
        <v>2420.3532684283728</v>
      </c>
      <c r="AM678" s="113">
        <f t="shared" si="1059"/>
        <v>2421.9151193633957</v>
      </c>
      <c r="AN678" s="113">
        <f t="shared" si="1059"/>
        <v>2424.6704384724185</v>
      </c>
      <c r="AO678" s="113">
        <f t="shared" si="1059"/>
        <v>2426.0377576574838</v>
      </c>
      <c r="AP678" s="113">
        <f t="shared" si="1059"/>
        <v>2416.8196721311479</v>
      </c>
      <c r="AQ678" s="113">
        <f t="shared" si="1059"/>
        <v>2418.4583741429969</v>
      </c>
      <c r="AR678" s="113">
        <f t="shared" si="1059"/>
        <v>2421.4765852565542</v>
      </c>
      <c r="AS678" s="113">
        <f t="shared" si="1059"/>
        <v>2425.477303988996</v>
      </c>
      <c r="AT678" s="113">
        <f t="shared" si="1059"/>
        <v>2425.1082802547771</v>
      </c>
      <c r="AU678" s="113">
        <f t="shared" si="1059"/>
        <v>2425.2513368983955</v>
      </c>
      <c r="AV678" s="113">
        <f t="shared" si="1059"/>
        <v>2425.6997465392856</v>
      </c>
      <c r="AW678" s="113">
        <f t="shared" si="1059"/>
        <v>2422.7104979521446</v>
      </c>
      <c r="AX678" s="113">
        <f t="shared" si="1059"/>
        <v>2423.9353769676882</v>
      </c>
      <c r="AY678" s="113">
        <f t="shared" si="1059"/>
        <v>2425.8370197904542</v>
      </c>
      <c r="AZ678" s="113">
        <f t="shared" si="1059"/>
        <v>2418.5191884624778</v>
      </c>
      <c r="BA678" s="113">
        <f t="shared" si="1059"/>
        <v>2419.595638776962</v>
      </c>
      <c r="BB678" s="113">
        <f t="shared" si="1059"/>
        <v>2420.3532684283728</v>
      </c>
      <c r="BC678" s="19"/>
    </row>
    <row r="679" spans="2:55" x14ac:dyDescent="0.25">
      <c r="B679" s="113" t="str">
        <f t="shared" si="1049"/>
        <v>Product F Downtime Loss Per Hour</v>
      </c>
      <c r="C679" s="113">
        <f t="shared" ref="C679:AH679" si="1060">IF(C768&gt;0,C671+$AE$2+$R$4*$AB$4,0)</f>
        <v>0</v>
      </c>
      <c r="D679" s="113">
        <f t="shared" si="1060"/>
        <v>1773.2418670438476</v>
      </c>
      <c r="E679" s="113">
        <f t="shared" si="1060"/>
        <v>1774.5443963258213</v>
      </c>
      <c r="F679" s="113">
        <f t="shared" si="1060"/>
        <v>0</v>
      </c>
      <c r="G679" s="113">
        <f t="shared" si="1060"/>
        <v>0</v>
      </c>
      <c r="H679" s="113">
        <f t="shared" si="1060"/>
        <v>1770.0480138279822</v>
      </c>
      <c r="I679" s="113">
        <f t="shared" si="1060"/>
        <v>1771.281926523573</v>
      </c>
      <c r="J679" s="113">
        <f t="shared" si="1060"/>
        <v>1772.5068055391173</v>
      </c>
      <c r="K679" s="113">
        <f t="shared" si="1060"/>
        <v>1774.4084483618828</v>
      </c>
      <c r="L679" s="113">
        <f t="shared" si="1060"/>
        <v>1766.5624977850237</v>
      </c>
      <c r="M679" s="113">
        <f t="shared" si="1060"/>
        <v>1768.0689327311625</v>
      </c>
      <c r="N679" s="113">
        <f t="shared" si="1060"/>
        <v>1769.2338079926508</v>
      </c>
      <c r="O679" s="113">
        <f t="shared" si="1060"/>
        <v>0</v>
      </c>
      <c r="P679" s="113">
        <f t="shared" si="1060"/>
        <v>1773.2418670438476</v>
      </c>
      <c r="Q679" s="113">
        <f t="shared" si="1060"/>
        <v>1774.6091862289131</v>
      </c>
      <c r="R679" s="113">
        <f t="shared" si="1060"/>
        <v>1766.2289148007733</v>
      </c>
      <c r="S679" s="113">
        <f t="shared" si="1060"/>
        <v>0</v>
      </c>
      <c r="T679" s="113">
        <f t="shared" si="1060"/>
        <v>1770.0188383045522</v>
      </c>
      <c r="U679" s="113">
        <f t="shared" si="1060"/>
        <v>1771.281926523573</v>
      </c>
      <c r="V679" s="113">
        <f t="shared" si="1060"/>
        <v>1772.3566075889132</v>
      </c>
      <c r="W679" s="113">
        <f t="shared" si="1060"/>
        <v>0</v>
      </c>
      <c r="X679" s="113">
        <f t="shared" si="1060"/>
        <v>1766.5624977850237</v>
      </c>
      <c r="Y679" s="113">
        <f t="shared" si="1060"/>
        <v>1768.16706734839</v>
      </c>
      <c r="Z679" s="113">
        <f t="shared" si="1060"/>
        <v>1768.9246969998007</v>
      </c>
      <c r="AA679" s="113">
        <f t="shared" si="1060"/>
        <v>0</v>
      </c>
      <c r="AB679" s="113">
        <f t="shared" si="1060"/>
        <v>1773.2773821536682</v>
      </c>
      <c r="AC679" s="113">
        <f t="shared" si="1060"/>
        <v>1774.5443963258213</v>
      </c>
      <c r="AD679" s="113">
        <f t="shared" si="1060"/>
        <v>1765.3911007025761</v>
      </c>
      <c r="AE679" s="113">
        <f t="shared" si="1060"/>
        <v>0</v>
      </c>
      <c r="AF679" s="113">
        <f t="shared" si="1060"/>
        <v>1770.0480138279822</v>
      </c>
      <c r="AG679" s="113">
        <f t="shared" si="1060"/>
        <v>1771.281926523573</v>
      </c>
      <c r="AH679" s="113">
        <f t="shared" si="1060"/>
        <v>1772.3566075889132</v>
      </c>
      <c r="AI679" s="113">
        <f t="shared" ref="AI679:BB679" si="1061">IF(AI768&gt;0,AI671+$AE$2+$R$4*$AB$4,0)</f>
        <v>0</v>
      </c>
      <c r="AJ679" s="113">
        <f t="shared" si="1061"/>
        <v>1766.5624977850237</v>
      </c>
      <c r="AK679" s="113">
        <f t="shared" si="1061"/>
        <v>1768.16706734839</v>
      </c>
      <c r="AL679" s="113">
        <f t="shared" si="1061"/>
        <v>1768.9246969998007</v>
      </c>
      <c r="AM679" s="113">
        <f t="shared" si="1061"/>
        <v>0</v>
      </c>
      <c r="AN679" s="113">
        <f t="shared" si="1061"/>
        <v>1773.2418670438476</v>
      </c>
      <c r="AO679" s="113">
        <f t="shared" si="1061"/>
        <v>1774.6091862289131</v>
      </c>
      <c r="AP679" s="113">
        <f t="shared" si="1061"/>
        <v>1765.3911007025761</v>
      </c>
      <c r="AQ679" s="113">
        <f t="shared" si="1061"/>
        <v>0</v>
      </c>
      <c r="AR679" s="113">
        <f t="shared" si="1061"/>
        <v>1770.0480138279822</v>
      </c>
      <c r="AS679" s="113">
        <f t="shared" si="1061"/>
        <v>1774.0487325604245</v>
      </c>
      <c r="AT679" s="113">
        <f t="shared" si="1061"/>
        <v>1773.679708826206</v>
      </c>
      <c r="AU679" s="113">
        <f t="shared" si="1061"/>
        <v>1773.8227654698239</v>
      </c>
      <c r="AV679" s="113">
        <f t="shared" si="1061"/>
        <v>1774.2711751107151</v>
      </c>
      <c r="AW679" s="113">
        <f t="shared" si="1061"/>
        <v>1771.281926523573</v>
      </c>
      <c r="AX679" s="113">
        <f t="shared" si="1061"/>
        <v>1772.5068055391173</v>
      </c>
      <c r="AY679" s="113">
        <f t="shared" si="1061"/>
        <v>1774.4084483618828</v>
      </c>
      <c r="AZ679" s="113">
        <f t="shared" si="1061"/>
        <v>1767.0906170339069</v>
      </c>
      <c r="BA679" s="113">
        <f t="shared" si="1061"/>
        <v>1768.16706734839</v>
      </c>
      <c r="BB679" s="113">
        <f t="shared" si="1061"/>
        <v>1768.9246969998007</v>
      </c>
      <c r="BC679" s="19"/>
    </row>
    <row r="680" spans="2:55" x14ac:dyDescent="0.25">
      <c r="B680" s="113" t="str">
        <f t="shared" si="1049"/>
        <v>Product G Downtime Loss Per Hour</v>
      </c>
      <c r="C680" s="113">
        <f t="shared" ref="C680:AH680" si="1062">IF(C769&gt;0,C672+$AE$2+$R$4*$AB$4,0)</f>
        <v>0</v>
      </c>
      <c r="D680" s="113">
        <f t="shared" si="1062"/>
        <v>3664.6704384724176</v>
      </c>
      <c r="E680" s="113">
        <f t="shared" si="1062"/>
        <v>3665.9729677543919</v>
      </c>
      <c r="F680" s="113">
        <f t="shared" si="1062"/>
        <v>3656.7050359712225</v>
      </c>
      <c r="G680" s="113">
        <f t="shared" si="1062"/>
        <v>0</v>
      </c>
      <c r="H680" s="113">
        <f t="shared" si="1062"/>
        <v>0</v>
      </c>
      <c r="I680" s="113">
        <f t="shared" si="1062"/>
        <v>3662.7104979521446</v>
      </c>
      <c r="J680" s="113">
        <f t="shared" si="1062"/>
        <v>3663.9353769676882</v>
      </c>
      <c r="K680" s="113">
        <f t="shared" si="1062"/>
        <v>0</v>
      </c>
      <c r="L680" s="113">
        <f t="shared" si="1062"/>
        <v>0</v>
      </c>
      <c r="M680" s="113">
        <f t="shared" si="1062"/>
        <v>3659.4975041597336</v>
      </c>
      <c r="N680" s="113">
        <f t="shared" si="1062"/>
        <v>3660.6623794212223</v>
      </c>
      <c r="O680" s="113">
        <f t="shared" si="1062"/>
        <v>0</v>
      </c>
      <c r="P680" s="113">
        <f t="shared" si="1062"/>
        <v>0</v>
      </c>
      <c r="Q680" s="113">
        <f t="shared" si="1062"/>
        <v>3666.0377576574842</v>
      </c>
      <c r="R680" s="113">
        <f t="shared" si="1062"/>
        <v>3657.6574862293446</v>
      </c>
      <c r="S680" s="113">
        <f t="shared" si="1062"/>
        <v>0</v>
      </c>
      <c r="T680" s="113">
        <f t="shared" si="1062"/>
        <v>0</v>
      </c>
      <c r="U680" s="113">
        <f t="shared" si="1062"/>
        <v>3662.7104979521446</v>
      </c>
      <c r="V680" s="113">
        <f t="shared" si="1062"/>
        <v>3663.785179017485</v>
      </c>
      <c r="W680" s="113">
        <f t="shared" si="1062"/>
        <v>0</v>
      </c>
      <c r="X680" s="113">
        <f t="shared" si="1062"/>
        <v>0</v>
      </c>
      <c r="Y680" s="113">
        <f t="shared" si="1062"/>
        <v>3659.5956387769611</v>
      </c>
      <c r="Z680" s="113">
        <f t="shared" si="1062"/>
        <v>3660.3532684283728</v>
      </c>
      <c r="AA680" s="113">
        <f t="shared" si="1062"/>
        <v>0</v>
      </c>
      <c r="AB680" s="113">
        <f t="shared" si="1062"/>
        <v>0</v>
      </c>
      <c r="AC680" s="113">
        <f t="shared" si="1062"/>
        <v>3665.9729677543919</v>
      </c>
      <c r="AD680" s="113">
        <f t="shared" si="1062"/>
        <v>3656.8196721311469</v>
      </c>
      <c r="AE680" s="113">
        <f t="shared" si="1062"/>
        <v>0</v>
      </c>
      <c r="AF680" s="113">
        <f t="shared" si="1062"/>
        <v>0</v>
      </c>
      <c r="AG680" s="113">
        <f t="shared" si="1062"/>
        <v>3662.7104979521446</v>
      </c>
      <c r="AH680" s="113">
        <f t="shared" si="1062"/>
        <v>3663.785179017485</v>
      </c>
      <c r="AI680" s="113">
        <f t="shared" ref="AI680:BB680" si="1063">IF(AI769&gt;0,AI672+$AE$2+$R$4*$AB$4,0)</f>
        <v>0</v>
      </c>
      <c r="AJ680" s="113">
        <f t="shared" si="1063"/>
        <v>0</v>
      </c>
      <c r="AK680" s="113">
        <f t="shared" si="1063"/>
        <v>3659.5956387769611</v>
      </c>
      <c r="AL680" s="113">
        <f t="shared" si="1063"/>
        <v>3660.3532684283728</v>
      </c>
      <c r="AM680" s="113">
        <f t="shared" si="1063"/>
        <v>0</v>
      </c>
      <c r="AN680" s="113">
        <f t="shared" si="1063"/>
        <v>0</v>
      </c>
      <c r="AO680" s="113">
        <f t="shared" si="1063"/>
        <v>3666.0377576574842</v>
      </c>
      <c r="AP680" s="113">
        <f t="shared" si="1063"/>
        <v>3656.8196721311469</v>
      </c>
      <c r="AQ680" s="113">
        <f t="shared" si="1063"/>
        <v>0</v>
      </c>
      <c r="AR680" s="113">
        <f t="shared" si="1063"/>
        <v>0</v>
      </c>
      <c r="AS680" s="113">
        <f t="shared" si="1063"/>
        <v>3665.4773039889951</v>
      </c>
      <c r="AT680" s="113">
        <f t="shared" si="1063"/>
        <v>3665.1082802547771</v>
      </c>
      <c r="AU680" s="113">
        <f t="shared" si="1063"/>
        <v>0</v>
      </c>
      <c r="AV680" s="113">
        <f t="shared" si="1063"/>
        <v>0</v>
      </c>
      <c r="AW680" s="113">
        <f t="shared" si="1063"/>
        <v>3662.7104979521446</v>
      </c>
      <c r="AX680" s="113">
        <f t="shared" si="1063"/>
        <v>3663.9353769676882</v>
      </c>
      <c r="AY680" s="113">
        <f t="shared" si="1063"/>
        <v>0</v>
      </c>
      <c r="AZ680" s="113">
        <f t="shared" si="1063"/>
        <v>0</v>
      </c>
      <c r="BA680" s="113">
        <f t="shared" si="1063"/>
        <v>3659.5956387769611</v>
      </c>
      <c r="BB680" s="113">
        <f t="shared" si="1063"/>
        <v>3660.3532684283728</v>
      </c>
      <c r="BC680" s="19"/>
    </row>
    <row r="681" spans="2:55" x14ac:dyDescent="0.25">
      <c r="B681" s="113" t="str">
        <f t="shared" si="1049"/>
        <v>Product H Downtime Loss Per Hour</v>
      </c>
      <c r="C681" s="113">
        <f t="shared" ref="C681:AH681" si="1064">IF(C770&gt;0,C673+$AE$2+$R$4*$AB$4,0)</f>
        <v>0</v>
      </c>
      <c r="D681" s="113">
        <f t="shared" si="1064"/>
        <v>0</v>
      </c>
      <c r="E681" s="113">
        <f t="shared" si="1064"/>
        <v>0</v>
      </c>
      <c r="F681" s="113">
        <f t="shared" si="1064"/>
        <v>4203.6615577103539</v>
      </c>
      <c r="G681" s="113">
        <f t="shared" si="1064"/>
        <v>0</v>
      </c>
      <c r="H681" s="113">
        <f t="shared" si="1064"/>
        <v>0</v>
      </c>
      <c r="I681" s="113">
        <f t="shared" si="1064"/>
        <v>0</v>
      </c>
      <c r="J681" s="113">
        <f t="shared" si="1064"/>
        <v>4210.8918987068191</v>
      </c>
      <c r="K681" s="113">
        <f t="shared" si="1064"/>
        <v>0</v>
      </c>
      <c r="L681" s="113">
        <f t="shared" si="1064"/>
        <v>0</v>
      </c>
      <c r="M681" s="113">
        <f t="shared" si="1064"/>
        <v>0</v>
      </c>
      <c r="N681" s="113">
        <f t="shared" si="1064"/>
        <v>4207.6189011603528</v>
      </c>
      <c r="O681" s="113">
        <f t="shared" si="1064"/>
        <v>0</v>
      </c>
      <c r="P681" s="113">
        <f t="shared" si="1064"/>
        <v>0</v>
      </c>
      <c r="Q681" s="113">
        <f t="shared" si="1064"/>
        <v>4212.9942793966156</v>
      </c>
      <c r="R681" s="113">
        <f t="shared" si="1064"/>
        <v>4204.6140079684737</v>
      </c>
      <c r="S681" s="113">
        <f t="shared" si="1064"/>
        <v>0</v>
      </c>
      <c r="T681" s="113">
        <f t="shared" si="1064"/>
        <v>0</v>
      </c>
      <c r="U681" s="113">
        <f t="shared" si="1064"/>
        <v>0</v>
      </c>
      <c r="V681" s="113">
        <f t="shared" si="1064"/>
        <v>4210.7417007566164</v>
      </c>
      <c r="W681" s="113">
        <f t="shared" si="1064"/>
        <v>4212.3607770582794</v>
      </c>
      <c r="X681" s="113">
        <f t="shared" si="1064"/>
        <v>0</v>
      </c>
      <c r="Y681" s="113">
        <f t="shared" si="1064"/>
        <v>0</v>
      </c>
      <c r="Z681" s="113">
        <f t="shared" si="1064"/>
        <v>4207.3097901675028</v>
      </c>
      <c r="AA681" s="113">
        <f t="shared" si="1064"/>
        <v>0</v>
      </c>
      <c r="AB681" s="113">
        <f t="shared" si="1064"/>
        <v>4211.66247532137</v>
      </c>
      <c r="AC681" s="113">
        <f t="shared" si="1064"/>
        <v>0</v>
      </c>
      <c r="AD681" s="113">
        <f t="shared" si="1064"/>
        <v>4203.7761938702788</v>
      </c>
      <c r="AE681" s="113">
        <f t="shared" si="1064"/>
        <v>0</v>
      </c>
      <c r="AF681" s="113">
        <f t="shared" si="1064"/>
        <v>0</v>
      </c>
      <c r="AG681" s="113">
        <f t="shared" si="1064"/>
        <v>0</v>
      </c>
      <c r="AH681" s="113">
        <f t="shared" si="1064"/>
        <v>4210.7417007566164</v>
      </c>
      <c r="AI681" s="113">
        <f t="shared" ref="AI681:BB681" si="1065">IF(AI770&gt;0,AI673+$AE$2+$R$4*$AB$4,0)</f>
        <v>4212.3607770582794</v>
      </c>
      <c r="AJ681" s="113">
        <f t="shared" si="1065"/>
        <v>0</v>
      </c>
      <c r="AK681" s="113">
        <f t="shared" si="1065"/>
        <v>0</v>
      </c>
      <c r="AL681" s="113">
        <f t="shared" si="1065"/>
        <v>4207.3097901675028</v>
      </c>
      <c r="AM681" s="113">
        <f t="shared" si="1065"/>
        <v>0</v>
      </c>
      <c r="AN681" s="113">
        <f t="shared" si="1065"/>
        <v>0</v>
      </c>
      <c r="AO681" s="113">
        <f t="shared" si="1065"/>
        <v>4212.9942793966156</v>
      </c>
      <c r="AP681" s="113">
        <f t="shared" si="1065"/>
        <v>4203.7761938702788</v>
      </c>
      <c r="AQ681" s="113">
        <f t="shared" si="1065"/>
        <v>0</v>
      </c>
      <c r="AR681" s="113">
        <f t="shared" si="1065"/>
        <v>0</v>
      </c>
      <c r="AS681" s="113">
        <f t="shared" si="1065"/>
        <v>0</v>
      </c>
      <c r="AT681" s="113">
        <f t="shared" si="1065"/>
        <v>4212.0648019939081</v>
      </c>
      <c r="AU681" s="113">
        <f t="shared" si="1065"/>
        <v>0</v>
      </c>
      <c r="AV681" s="113">
        <f t="shared" si="1065"/>
        <v>0</v>
      </c>
      <c r="AW681" s="113">
        <f t="shared" si="1065"/>
        <v>0</v>
      </c>
      <c r="AX681" s="113">
        <f t="shared" si="1065"/>
        <v>4210.8918987068191</v>
      </c>
      <c r="AY681" s="113">
        <f t="shared" si="1065"/>
        <v>0</v>
      </c>
      <c r="AZ681" s="113">
        <f t="shared" si="1065"/>
        <v>0</v>
      </c>
      <c r="BA681" s="113">
        <f t="shared" si="1065"/>
        <v>0</v>
      </c>
      <c r="BB681" s="113">
        <f t="shared" si="1065"/>
        <v>4207.3097901675028</v>
      </c>
      <c r="BC681" s="19"/>
    </row>
    <row r="682" spans="2:55" x14ac:dyDescent="0.25">
      <c r="B682" s="43" t="str">
        <f t="shared" ref="B682:B689" si="1066">_xlfn.CONCAT(B457," ","Rework Loss/Unit (RM)")</f>
        <v>Product A Rework Loss/Unit (RM)</v>
      </c>
      <c r="C682" s="43">
        <f t="shared" ref="C682:AH682" si="1067">IF(C763&gt;0,SUM(C570,C562,C602,C658),0)</f>
        <v>24.370627763041554</v>
      </c>
      <c r="D682" s="43">
        <f t="shared" si="1067"/>
        <v>0</v>
      </c>
      <c r="E682" s="43">
        <f t="shared" si="1067"/>
        <v>24.393734955268069</v>
      </c>
      <c r="F682" s="43">
        <f t="shared" si="1067"/>
        <v>0</v>
      </c>
      <c r="G682" s="43">
        <f t="shared" si="1067"/>
        <v>24.3509435194254</v>
      </c>
      <c r="H682" s="43">
        <f t="shared" si="1067"/>
        <v>0</v>
      </c>
      <c r="I682" s="43">
        <f t="shared" si="1067"/>
        <v>0</v>
      </c>
      <c r="J682" s="43">
        <f t="shared" si="1067"/>
        <v>0</v>
      </c>
      <c r="K682" s="43">
        <f t="shared" si="1067"/>
        <v>24.392960807140085</v>
      </c>
      <c r="L682" s="43">
        <f t="shared" si="1067"/>
        <v>0</v>
      </c>
      <c r="M682" s="43">
        <f t="shared" si="1067"/>
        <v>0</v>
      </c>
      <c r="N682" s="43">
        <f t="shared" si="1067"/>
        <v>0</v>
      </c>
      <c r="O682" s="43">
        <f t="shared" si="1067"/>
        <v>24.370627763041554</v>
      </c>
      <c r="P682" s="43">
        <f t="shared" si="1067"/>
        <v>24.386317774634605</v>
      </c>
      <c r="Q682" s="43">
        <f t="shared" si="1067"/>
        <v>0</v>
      </c>
      <c r="R682" s="43">
        <f t="shared" si="1067"/>
        <v>0</v>
      </c>
      <c r="S682" s="43">
        <f t="shared" si="1067"/>
        <v>24.3509435194254</v>
      </c>
      <c r="T682" s="43">
        <f t="shared" si="1067"/>
        <v>0</v>
      </c>
      <c r="U682" s="43">
        <f t="shared" si="1067"/>
        <v>0</v>
      </c>
      <c r="V682" s="43">
        <f t="shared" si="1067"/>
        <v>24.381276713849569</v>
      </c>
      <c r="W682" s="43">
        <f t="shared" si="1067"/>
        <v>24.39049645390071</v>
      </c>
      <c r="X682" s="43">
        <f t="shared" si="1067"/>
        <v>0</v>
      </c>
      <c r="Y682" s="43">
        <f t="shared" si="1067"/>
        <v>0</v>
      </c>
      <c r="Z682" s="43">
        <f t="shared" si="1067"/>
        <v>0</v>
      </c>
      <c r="AA682" s="43">
        <f t="shared" si="1067"/>
        <v>24.370627763041554</v>
      </c>
      <c r="AB682" s="43">
        <f t="shared" si="1067"/>
        <v>0</v>
      </c>
      <c r="AC682" s="43">
        <f t="shared" si="1067"/>
        <v>24.393734955268069</v>
      </c>
      <c r="AD682" s="43">
        <f t="shared" si="1067"/>
        <v>0</v>
      </c>
      <c r="AE682" s="43">
        <f t="shared" si="1067"/>
        <v>24.3509435194254</v>
      </c>
      <c r="AF682" s="43">
        <f t="shared" si="1067"/>
        <v>0</v>
      </c>
      <c r="AG682" s="43">
        <f t="shared" si="1067"/>
        <v>0</v>
      </c>
      <c r="AH682" s="43">
        <f t="shared" si="1067"/>
        <v>24.381276713849569</v>
      </c>
      <c r="AI682" s="43">
        <f t="shared" ref="AI682:BB682" si="1068">IF(AI763&gt;0,SUM(AI570,AI562,AI602,AI658),0)</f>
        <v>24.39049645390071</v>
      </c>
      <c r="AJ682" s="43">
        <f t="shared" si="1068"/>
        <v>0</v>
      </c>
      <c r="AK682" s="43">
        <f t="shared" si="1068"/>
        <v>0</v>
      </c>
      <c r="AL682" s="43">
        <f t="shared" si="1068"/>
        <v>0</v>
      </c>
      <c r="AM682" s="43">
        <f t="shared" si="1068"/>
        <v>24.370627763041554</v>
      </c>
      <c r="AN682" s="43">
        <f t="shared" si="1068"/>
        <v>24.386317774634605</v>
      </c>
      <c r="AO682" s="43">
        <f t="shared" si="1068"/>
        <v>0</v>
      </c>
      <c r="AP682" s="43">
        <f t="shared" si="1068"/>
        <v>0</v>
      </c>
      <c r="AQ682" s="43">
        <f t="shared" si="1068"/>
        <v>24.3509435194254</v>
      </c>
      <c r="AR682" s="43">
        <f t="shared" si="1068"/>
        <v>0</v>
      </c>
      <c r="AS682" s="43">
        <f t="shared" si="1068"/>
        <v>24.390912425492893</v>
      </c>
      <c r="AT682" s="43">
        <f t="shared" si="1068"/>
        <v>0</v>
      </c>
      <c r="AU682" s="43">
        <f t="shared" si="1068"/>
        <v>24.389625668449199</v>
      </c>
      <c r="AV682" s="43">
        <f t="shared" si="1068"/>
        <v>24.392179112237606</v>
      </c>
      <c r="AW682" s="43">
        <f t="shared" si="1068"/>
        <v>0</v>
      </c>
      <c r="AX682" s="43">
        <f t="shared" si="1068"/>
        <v>0</v>
      </c>
      <c r="AY682" s="43">
        <f t="shared" si="1068"/>
        <v>24.392960807140085</v>
      </c>
      <c r="AZ682" s="43">
        <f t="shared" si="1068"/>
        <v>0</v>
      </c>
      <c r="BA682" s="43">
        <f t="shared" si="1068"/>
        <v>0</v>
      </c>
      <c r="BB682" s="43">
        <f t="shared" si="1068"/>
        <v>0</v>
      </c>
      <c r="BC682" s="19"/>
    </row>
    <row r="683" spans="2:55" x14ac:dyDescent="0.25">
      <c r="B683" s="43" t="str">
        <f t="shared" si="1066"/>
        <v>Product B Rework Loss/Unit (RM)</v>
      </c>
      <c r="C683" s="43">
        <f t="shared" ref="C683:AH683" si="1069">IF(C764&gt;0,SUM(C571,C563,C603,C659),0)</f>
        <v>19.418550677565452</v>
      </c>
      <c r="D683" s="43">
        <f t="shared" si="1069"/>
        <v>19.436154105206441</v>
      </c>
      <c r="E683" s="43">
        <f t="shared" si="1069"/>
        <v>0</v>
      </c>
      <c r="F683" s="43">
        <f t="shared" si="1069"/>
        <v>19.385264033671017</v>
      </c>
      <c r="G683" s="43">
        <f t="shared" si="1069"/>
        <v>19.396465916435133</v>
      </c>
      <c r="H683" s="43">
        <f t="shared" si="1069"/>
        <v>19.415748931882849</v>
      </c>
      <c r="I683" s="43">
        <f t="shared" si="1069"/>
        <v>0</v>
      </c>
      <c r="J683" s="43">
        <f t="shared" si="1069"/>
        <v>19.431457878926217</v>
      </c>
      <c r="K683" s="43">
        <f t="shared" si="1069"/>
        <v>19.443607263627218</v>
      </c>
      <c r="L683" s="43">
        <f t="shared" si="1069"/>
        <v>19.393480357163948</v>
      </c>
      <c r="M683" s="43">
        <f t="shared" si="1069"/>
        <v>0</v>
      </c>
      <c r="N683" s="43">
        <f t="shared" si="1069"/>
        <v>0</v>
      </c>
      <c r="O683" s="43">
        <f t="shared" si="1069"/>
        <v>19.418550677565452</v>
      </c>
      <c r="P683" s="43">
        <f t="shared" si="1069"/>
        <v>19.436154105206441</v>
      </c>
      <c r="Q683" s="43">
        <f t="shared" si="1069"/>
        <v>0</v>
      </c>
      <c r="R683" s="43">
        <f t="shared" si="1069"/>
        <v>0</v>
      </c>
      <c r="S683" s="43">
        <f t="shared" si="1069"/>
        <v>19.396465916435133</v>
      </c>
      <c r="T683" s="43">
        <f t="shared" si="1069"/>
        <v>19.415562532705387</v>
      </c>
      <c r="U683" s="43">
        <f t="shared" si="1069"/>
        <v>0</v>
      </c>
      <c r="V683" s="43">
        <f t="shared" si="1069"/>
        <v>0</v>
      </c>
      <c r="W683" s="43">
        <f t="shared" si="1069"/>
        <v>19.440842379504993</v>
      </c>
      <c r="X683" s="43">
        <f t="shared" si="1069"/>
        <v>19.393480357163948</v>
      </c>
      <c r="Y683" s="43">
        <f t="shared" si="1069"/>
        <v>0</v>
      </c>
      <c r="Z683" s="43">
        <f t="shared" si="1069"/>
        <v>0</v>
      </c>
      <c r="AA683" s="43">
        <f t="shared" si="1069"/>
        <v>19.418550677565452</v>
      </c>
      <c r="AB683" s="43">
        <f t="shared" si="1069"/>
        <v>19.436381007296966</v>
      </c>
      <c r="AC683" s="43">
        <f t="shared" si="1069"/>
        <v>0</v>
      </c>
      <c r="AD683" s="43">
        <f t="shared" si="1069"/>
        <v>0</v>
      </c>
      <c r="AE683" s="43">
        <f t="shared" si="1069"/>
        <v>19.396465916435133</v>
      </c>
      <c r="AF683" s="43">
        <f t="shared" si="1069"/>
        <v>19.415748931882849</v>
      </c>
      <c r="AG683" s="43">
        <f t="shared" si="1069"/>
        <v>0</v>
      </c>
      <c r="AH683" s="43">
        <f t="shared" si="1069"/>
        <v>0</v>
      </c>
      <c r="AI683" s="43">
        <f t="shared" ref="AI683:BB683" si="1070">IF(AI764&gt;0,SUM(AI571,AI563,AI603,AI659),0)</f>
        <v>19.440842379504993</v>
      </c>
      <c r="AJ683" s="43">
        <f t="shared" si="1070"/>
        <v>19.393480357163948</v>
      </c>
      <c r="AK683" s="43">
        <f t="shared" si="1070"/>
        <v>0</v>
      </c>
      <c r="AL683" s="43">
        <f t="shared" si="1070"/>
        <v>0</v>
      </c>
      <c r="AM683" s="43">
        <f t="shared" si="1070"/>
        <v>19.418550677565452</v>
      </c>
      <c r="AN683" s="43">
        <f t="shared" si="1070"/>
        <v>19.436154105206441</v>
      </c>
      <c r="AO683" s="43">
        <f t="shared" si="1070"/>
        <v>0</v>
      </c>
      <c r="AP683" s="43">
        <f t="shared" si="1070"/>
        <v>0</v>
      </c>
      <c r="AQ683" s="43">
        <f t="shared" si="1070"/>
        <v>19.396465916435133</v>
      </c>
      <c r="AR683" s="43">
        <f t="shared" si="1070"/>
        <v>19.415748931882849</v>
      </c>
      <c r="AS683" s="43">
        <f t="shared" si="1070"/>
        <v>0</v>
      </c>
      <c r="AT683" s="43">
        <f t="shared" si="1070"/>
        <v>19.438951427704833</v>
      </c>
      <c r="AU683" s="43">
        <f t="shared" si="1070"/>
        <v>19.439865400705735</v>
      </c>
      <c r="AV683" s="43">
        <f t="shared" si="1070"/>
        <v>19.442730240078092</v>
      </c>
      <c r="AW683" s="43">
        <f t="shared" si="1070"/>
        <v>0</v>
      </c>
      <c r="AX683" s="43">
        <f t="shared" si="1070"/>
        <v>19.431457878926217</v>
      </c>
      <c r="AY683" s="43">
        <f t="shared" si="1070"/>
        <v>19.443607263627218</v>
      </c>
      <c r="AZ683" s="43">
        <f t="shared" si="1070"/>
        <v>19.396854452365154</v>
      </c>
      <c r="BA683" s="43">
        <f t="shared" si="1070"/>
        <v>0</v>
      </c>
      <c r="BB683" s="43">
        <f t="shared" si="1070"/>
        <v>0</v>
      </c>
      <c r="BC683" s="19"/>
    </row>
    <row r="684" spans="2:55" x14ac:dyDescent="0.25">
      <c r="B684" s="43" t="str">
        <f t="shared" si="1066"/>
        <v>Product C Rework Loss/Unit (RM)</v>
      </c>
      <c r="C684" s="43">
        <f t="shared" ref="C684:AH684" si="1071">IF(C765&gt;0,SUM(C572,C564,C604,C660),0)</f>
        <v>19.175083996463307</v>
      </c>
      <c r="D684" s="43">
        <f t="shared" si="1071"/>
        <v>19.190391324846772</v>
      </c>
      <c r="E684" s="43">
        <f t="shared" si="1071"/>
        <v>19.197627598635513</v>
      </c>
      <c r="F684" s="43">
        <f t="shared" si="1071"/>
        <v>0</v>
      </c>
      <c r="G684" s="43">
        <f t="shared" si="1071"/>
        <v>19.155879856349983</v>
      </c>
      <c r="H684" s="43">
        <f t="shared" si="1071"/>
        <v>19.172647695869745</v>
      </c>
      <c r="I684" s="43">
        <f t="shared" si="1071"/>
        <v>19.179502766400805</v>
      </c>
      <c r="J684" s="43">
        <f t="shared" si="1071"/>
        <v>0</v>
      </c>
      <c r="K684" s="43">
        <f t="shared" si="1071"/>
        <v>19.196872332169189</v>
      </c>
      <c r="L684" s="43">
        <f t="shared" si="1071"/>
        <v>19.153283717853306</v>
      </c>
      <c r="M684" s="43">
        <f t="shared" si="1071"/>
        <v>19.161652800887413</v>
      </c>
      <c r="N684" s="43">
        <f t="shared" si="1071"/>
        <v>0</v>
      </c>
      <c r="O684" s="43">
        <f t="shared" si="1071"/>
        <v>19.175083996463307</v>
      </c>
      <c r="P684" s="43">
        <f t="shared" si="1071"/>
        <v>19.190391324846772</v>
      </c>
      <c r="Q684" s="43">
        <f t="shared" si="1071"/>
        <v>19.197987542541579</v>
      </c>
      <c r="R684" s="43">
        <f t="shared" si="1071"/>
        <v>0</v>
      </c>
      <c r="S684" s="43">
        <f t="shared" si="1071"/>
        <v>19.155879856349983</v>
      </c>
      <c r="T684" s="43">
        <f t="shared" si="1071"/>
        <v>19.17248560962847</v>
      </c>
      <c r="U684" s="43">
        <f t="shared" si="1071"/>
        <v>19.179502766400805</v>
      </c>
      <c r="V684" s="43">
        <f t="shared" si="1071"/>
        <v>0</v>
      </c>
      <c r="W684" s="43">
        <f t="shared" si="1071"/>
        <v>19.194468085106383</v>
      </c>
      <c r="X684" s="43">
        <f t="shared" si="1071"/>
        <v>19.153283717853306</v>
      </c>
      <c r="Y684" s="43">
        <f t="shared" si="1071"/>
        <v>19.162197993205339</v>
      </c>
      <c r="Z684" s="43">
        <f t="shared" si="1071"/>
        <v>0</v>
      </c>
      <c r="AA684" s="43">
        <f t="shared" si="1071"/>
        <v>19.175083996463307</v>
      </c>
      <c r="AB684" s="43">
        <f t="shared" si="1071"/>
        <v>19.190588631012446</v>
      </c>
      <c r="AC684" s="43">
        <f t="shared" si="1071"/>
        <v>19.197627598635513</v>
      </c>
      <c r="AD684" s="43">
        <f t="shared" si="1071"/>
        <v>0</v>
      </c>
      <c r="AE684" s="43">
        <f t="shared" si="1071"/>
        <v>19.155879856349983</v>
      </c>
      <c r="AF684" s="43">
        <f t="shared" si="1071"/>
        <v>19.172647695869745</v>
      </c>
      <c r="AG684" s="43">
        <f t="shared" si="1071"/>
        <v>19.179502766400805</v>
      </c>
      <c r="AH684" s="43">
        <f t="shared" si="1071"/>
        <v>0</v>
      </c>
      <c r="AI684" s="43">
        <f t="shared" ref="AI684:BB684" si="1072">IF(AI765&gt;0,SUM(AI572,AI564,AI604,AI660),0)</f>
        <v>19.194468085106383</v>
      </c>
      <c r="AJ684" s="43">
        <f t="shared" si="1072"/>
        <v>19.153283717853306</v>
      </c>
      <c r="AK684" s="43">
        <f t="shared" si="1072"/>
        <v>19.162197993205339</v>
      </c>
      <c r="AL684" s="43">
        <f t="shared" si="1072"/>
        <v>0</v>
      </c>
      <c r="AM684" s="43">
        <f t="shared" si="1072"/>
        <v>19.175083996463307</v>
      </c>
      <c r="AN684" s="43">
        <f t="shared" si="1072"/>
        <v>19.190391324846772</v>
      </c>
      <c r="AO684" s="43">
        <f t="shared" si="1072"/>
        <v>19.197987542541579</v>
      </c>
      <c r="AP684" s="43">
        <f t="shared" si="1072"/>
        <v>0</v>
      </c>
      <c r="AQ684" s="43">
        <f t="shared" si="1072"/>
        <v>19.155879856349983</v>
      </c>
      <c r="AR684" s="43">
        <f t="shared" si="1072"/>
        <v>19.172647695869745</v>
      </c>
      <c r="AS684" s="43">
        <f t="shared" si="1072"/>
        <v>19.194873911049978</v>
      </c>
      <c r="AT684" s="43">
        <f t="shared" si="1072"/>
        <v>0</v>
      </c>
      <c r="AU684" s="43">
        <f t="shared" si="1072"/>
        <v>19.193618538324419</v>
      </c>
      <c r="AV684" s="43">
        <f t="shared" si="1072"/>
        <v>19.196109702996036</v>
      </c>
      <c r="AW684" s="43">
        <f t="shared" si="1072"/>
        <v>19.179502766400805</v>
      </c>
      <c r="AX684" s="43">
        <f t="shared" si="1072"/>
        <v>0</v>
      </c>
      <c r="AY684" s="43">
        <f t="shared" si="1072"/>
        <v>19.196872332169189</v>
      </c>
      <c r="AZ684" s="43">
        <f t="shared" si="1072"/>
        <v>19.156217713680437</v>
      </c>
      <c r="BA684" s="43">
        <f t="shared" si="1072"/>
        <v>19.162197993205339</v>
      </c>
      <c r="BB684" s="43">
        <f t="shared" si="1072"/>
        <v>0</v>
      </c>
      <c r="BC684" s="19"/>
    </row>
    <row r="685" spans="2:55" x14ac:dyDescent="0.25">
      <c r="B685" s="43" t="str">
        <f t="shared" si="1066"/>
        <v>Product D Rework Loss/Unit (RM)</v>
      </c>
      <c r="C685" s="43">
        <f t="shared" ref="C685:AH685" si="1073">IF(C766&gt;0,SUM(C573,C565,C605,C661),0)</f>
        <v>8.0786880475845955</v>
      </c>
      <c r="D685" s="43">
        <f t="shared" si="1073"/>
        <v>8.0930769362650583</v>
      </c>
      <c r="E685" s="43">
        <f t="shared" si="1073"/>
        <v>8.0998790336264754</v>
      </c>
      <c r="F685" s="43">
        <f t="shared" si="1073"/>
        <v>8.0514798343143674</v>
      </c>
      <c r="G685" s="43">
        <f t="shared" si="1073"/>
        <v>8.0606361558780737</v>
      </c>
      <c r="H685" s="43">
        <f t="shared" si="1073"/>
        <v>8.0763979250266473</v>
      </c>
      <c r="I685" s="43">
        <f t="shared" si="1073"/>
        <v>8.0828416913258447</v>
      </c>
      <c r="J685" s="43">
        <f t="shared" si="1073"/>
        <v>8.0892382817403536</v>
      </c>
      <c r="K685" s="43">
        <f t="shared" si="1073"/>
        <v>8.0991690831481282</v>
      </c>
      <c r="L685" s="43">
        <f t="shared" si="1073"/>
        <v>8.0581957856911934</v>
      </c>
      <c r="M685" s="43">
        <f t="shared" si="1073"/>
        <v>8.0660627237432578</v>
      </c>
      <c r="N685" s="43">
        <f t="shared" si="1073"/>
        <v>8.0721459612199133</v>
      </c>
      <c r="O685" s="43">
        <f t="shared" si="1073"/>
        <v>8.0786880475845955</v>
      </c>
      <c r="P685" s="43">
        <f t="shared" si="1073"/>
        <v>8.0930769362650583</v>
      </c>
      <c r="Q685" s="43">
        <f t="shared" si="1073"/>
        <v>8.1002173808981759</v>
      </c>
      <c r="R685" s="43">
        <f t="shared" si="1073"/>
        <v>8.0564537412178883</v>
      </c>
      <c r="S685" s="43">
        <f t="shared" si="1073"/>
        <v>8.0606361558780737</v>
      </c>
      <c r="T685" s="43">
        <f t="shared" si="1073"/>
        <v>8.0762455639598461</v>
      </c>
      <c r="U685" s="43">
        <f t="shared" si="1073"/>
        <v>8.0828416913258447</v>
      </c>
      <c r="V685" s="43">
        <f t="shared" si="1073"/>
        <v>8.0884539146670722</v>
      </c>
      <c r="W685" s="43">
        <f t="shared" si="1073"/>
        <v>8.0969090909090866</v>
      </c>
      <c r="X685" s="43">
        <f t="shared" si="1073"/>
        <v>8.0581957856911934</v>
      </c>
      <c r="Y685" s="43">
        <f t="shared" si="1073"/>
        <v>8.0665752045221151</v>
      </c>
      <c r="Z685" s="43">
        <f t="shared" si="1073"/>
        <v>8.0705317149239253</v>
      </c>
      <c r="AA685" s="43">
        <f t="shared" si="1073"/>
        <v>8.0786880475845955</v>
      </c>
      <c r="AB685" s="43">
        <f t="shared" si="1073"/>
        <v>8.0932624040607894</v>
      </c>
      <c r="AC685" s="43">
        <f t="shared" si="1073"/>
        <v>8.0998790336264754</v>
      </c>
      <c r="AD685" s="43">
        <f t="shared" si="1073"/>
        <v>8.0520784898161981</v>
      </c>
      <c r="AE685" s="43">
        <f t="shared" si="1073"/>
        <v>8.0606361558780737</v>
      </c>
      <c r="AF685" s="43">
        <f t="shared" si="1073"/>
        <v>8.0763979250266473</v>
      </c>
      <c r="AG685" s="43">
        <f t="shared" si="1073"/>
        <v>8.0828416913258447</v>
      </c>
      <c r="AH685" s="43">
        <f t="shared" si="1073"/>
        <v>8.0884539146670722</v>
      </c>
      <c r="AI685" s="43">
        <f t="shared" ref="AI685:BB685" si="1074">IF(AI766&gt;0,SUM(AI573,AI565,AI605,AI661),0)</f>
        <v>8.0969090909090866</v>
      </c>
      <c r="AJ685" s="43">
        <f t="shared" si="1074"/>
        <v>8.0581957856911934</v>
      </c>
      <c r="AK685" s="43">
        <f t="shared" si="1074"/>
        <v>8.0665752045221151</v>
      </c>
      <c r="AL685" s="43">
        <f t="shared" si="1074"/>
        <v>8.0705317149239253</v>
      </c>
      <c r="AM685" s="43">
        <f t="shared" si="1074"/>
        <v>8.0786880475845955</v>
      </c>
      <c r="AN685" s="43">
        <f t="shared" si="1074"/>
        <v>8.0930769362650583</v>
      </c>
      <c r="AO685" s="43">
        <f t="shared" si="1074"/>
        <v>8.1002173808981759</v>
      </c>
      <c r="AP685" s="43">
        <f t="shared" si="1074"/>
        <v>8.0520784898161981</v>
      </c>
      <c r="AQ685" s="43">
        <f t="shared" si="1074"/>
        <v>8.0606361558780737</v>
      </c>
      <c r="AR685" s="43">
        <f t="shared" si="1074"/>
        <v>8.0763979250266473</v>
      </c>
      <c r="AS685" s="43">
        <f t="shared" si="1074"/>
        <v>8.0972905672960653</v>
      </c>
      <c r="AT685" s="43">
        <f t="shared" si="1074"/>
        <v>8.095363443350708</v>
      </c>
      <c r="AU685" s="43">
        <f t="shared" si="1074"/>
        <v>8.0961105169340488</v>
      </c>
      <c r="AV685" s="43">
        <f t="shared" si="1074"/>
        <v>8.0984522117253608</v>
      </c>
      <c r="AW685" s="43">
        <f t="shared" si="1074"/>
        <v>8.0828416913258447</v>
      </c>
      <c r="AX685" s="43">
        <f t="shared" si="1074"/>
        <v>8.0892382817403536</v>
      </c>
      <c r="AY685" s="43">
        <f t="shared" si="1074"/>
        <v>8.0991690831481282</v>
      </c>
      <c r="AZ685" s="43">
        <f t="shared" si="1074"/>
        <v>8.0609537417687012</v>
      </c>
      <c r="BA685" s="43">
        <f t="shared" si="1074"/>
        <v>8.0665752045221151</v>
      </c>
      <c r="BB685" s="43">
        <f t="shared" si="1074"/>
        <v>8.0705317149239253</v>
      </c>
      <c r="BC685" s="19"/>
    </row>
    <row r="686" spans="2:55" x14ac:dyDescent="0.25">
      <c r="B686" s="43" t="str">
        <f t="shared" si="1066"/>
        <v>Product E Rework Loss/Unit (RM)</v>
      </c>
      <c r="C686" s="43">
        <f t="shared" ref="C686:AH686" si="1075">IF(C767&gt;0,SUM(C574,C566,C606,C662),0)</f>
        <v>13.293322723253759</v>
      </c>
      <c r="D686" s="43">
        <f t="shared" si="1075"/>
        <v>13.308094295143798</v>
      </c>
      <c r="E686" s="43">
        <f t="shared" si="1075"/>
        <v>13.315077299349939</v>
      </c>
      <c r="F686" s="43">
        <f t="shared" si="1075"/>
        <v>13.265390887290167</v>
      </c>
      <c r="G686" s="43">
        <f t="shared" si="1075"/>
        <v>13.274790728044401</v>
      </c>
      <c r="H686" s="43">
        <f t="shared" si="1075"/>
        <v>13.290971693180971</v>
      </c>
      <c r="I686" s="43">
        <f t="shared" si="1075"/>
        <v>13.297586836243442</v>
      </c>
      <c r="J686" s="43">
        <f t="shared" si="1075"/>
        <v>13.304153548743441</v>
      </c>
      <c r="K686" s="43">
        <f t="shared" si="1075"/>
        <v>13.314348467209934</v>
      </c>
      <c r="L686" s="43">
        <f t="shared" si="1075"/>
        <v>13.272285454395105</v>
      </c>
      <c r="M686" s="43">
        <f t="shared" si="1075"/>
        <v>13.280361619523017</v>
      </c>
      <c r="N686" s="43">
        <f t="shared" si="1075"/>
        <v>13.286606645230439</v>
      </c>
      <c r="O686" s="43">
        <f t="shared" si="1075"/>
        <v>13.293322723253759</v>
      </c>
      <c r="P686" s="43">
        <f t="shared" si="1075"/>
        <v>13.308094295143798</v>
      </c>
      <c r="Q686" s="43">
        <f t="shared" si="1075"/>
        <v>13.315424645219288</v>
      </c>
      <c r="R686" s="43">
        <f t="shared" si="1075"/>
        <v>13.270497078951761</v>
      </c>
      <c r="S686" s="43">
        <f t="shared" si="1075"/>
        <v>13.274790728044401</v>
      </c>
      <c r="T686" s="43">
        <f t="shared" si="1075"/>
        <v>13.290815279958139</v>
      </c>
      <c r="U686" s="43">
        <f t="shared" si="1075"/>
        <v>13.297586836243442</v>
      </c>
      <c r="V686" s="43">
        <f t="shared" si="1075"/>
        <v>13.303348320843742</v>
      </c>
      <c r="W686" s="43">
        <f t="shared" si="1075"/>
        <v>13.312028368794325</v>
      </c>
      <c r="X686" s="43">
        <f t="shared" si="1075"/>
        <v>13.272285454395105</v>
      </c>
      <c r="Y686" s="43">
        <f t="shared" si="1075"/>
        <v>13.280887730109821</v>
      </c>
      <c r="Z686" s="43">
        <f t="shared" si="1075"/>
        <v>13.284949466852112</v>
      </c>
      <c r="AA686" s="43">
        <f t="shared" si="1075"/>
        <v>13.293322723253759</v>
      </c>
      <c r="AB686" s="43">
        <f t="shared" si="1075"/>
        <v>13.308284695593677</v>
      </c>
      <c r="AC686" s="43">
        <f t="shared" si="1075"/>
        <v>13.315077299349939</v>
      </c>
      <c r="AD686" s="43">
        <f t="shared" si="1075"/>
        <v>13.266005464480875</v>
      </c>
      <c r="AE686" s="43">
        <f t="shared" si="1075"/>
        <v>13.274790728044401</v>
      </c>
      <c r="AF686" s="43">
        <f t="shared" si="1075"/>
        <v>13.290971693180971</v>
      </c>
      <c r="AG686" s="43">
        <f t="shared" si="1075"/>
        <v>13.297586836243442</v>
      </c>
      <c r="AH686" s="43">
        <f t="shared" si="1075"/>
        <v>13.303348320843742</v>
      </c>
      <c r="AI686" s="43">
        <f t="shared" ref="AI686:BB686" si="1076">IF(AI767&gt;0,SUM(AI574,AI566,AI606,AI662),0)</f>
        <v>13.312028368794325</v>
      </c>
      <c r="AJ686" s="43">
        <f t="shared" si="1076"/>
        <v>13.272285454395105</v>
      </c>
      <c r="AK686" s="43">
        <f t="shared" si="1076"/>
        <v>13.280887730109821</v>
      </c>
      <c r="AL686" s="43">
        <f t="shared" si="1076"/>
        <v>13.284949466852112</v>
      </c>
      <c r="AM686" s="43">
        <f t="shared" si="1076"/>
        <v>13.293322723253759</v>
      </c>
      <c r="AN686" s="43">
        <f t="shared" si="1076"/>
        <v>13.308094295143798</v>
      </c>
      <c r="AO686" s="43">
        <f t="shared" si="1076"/>
        <v>13.315424645219288</v>
      </c>
      <c r="AP686" s="43">
        <f t="shared" si="1076"/>
        <v>13.266005464480875</v>
      </c>
      <c r="AQ686" s="43">
        <f t="shared" si="1076"/>
        <v>13.274790728044401</v>
      </c>
      <c r="AR686" s="43">
        <f t="shared" si="1076"/>
        <v>13.290971693180971</v>
      </c>
      <c r="AS686" s="43">
        <f t="shared" si="1076"/>
        <v>13.312419990829895</v>
      </c>
      <c r="AT686" s="43">
        <f t="shared" si="1076"/>
        <v>13.310441613588111</v>
      </c>
      <c r="AU686" s="43">
        <f t="shared" si="1076"/>
        <v>13.311208556149733</v>
      </c>
      <c r="AV686" s="43">
        <f t="shared" si="1076"/>
        <v>13.313612530057839</v>
      </c>
      <c r="AW686" s="43">
        <f t="shared" si="1076"/>
        <v>13.297586836243442</v>
      </c>
      <c r="AX686" s="43">
        <f t="shared" si="1076"/>
        <v>13.304153548743441</v>
      </c>
      <c r="AY686" s="43">
        <f t="shared" si="1076"/>
        <v>13.314348467209934</v>
      </c>
      <c r="AZ686" s="43">
        <f t="shared" si="1076"/>
        <v>13.275116760368288</v>
      </c>
      <c r="BA686" s="43">
        <f t="shared" si="1076"/>
        <v>13.280887730109821</v>
      </c>
      <c r="BB686" s="43">
        <f t="shared" si="1076"/>
        <v>13.284949466852112</v>
      </c>
      <c r="BC686" s="19"/>
    </row>
    <row r="687" spans="2:55" x14ac:dyDescent="0.25">
      <c r="B687" s="43" t="str">
        <f t="shared" si="1066"/>
        <v>Product F Rework Loss/Unit (RM)</v>
      </c>
      <c r="C687" s="43">
        <f t="shared" ref="C687:AH687" si="1077">IF(C768&gt;0,SUM(C575,C567,C607,C663),0)</f>
        <v>0</v>
      </c>
      <c r="D687" s="43">
        <f t="shared" si="1077"/>
        <v>10.077830268741161</v>
      </c>
      <c r="E687" s="43">
        <f t="shared" si="1077"/>
        <v>10.084994179792016</v>
      </c>
      <c r="F687" s="43">
        <f t="shared" si="1077"/>
        <v>0</v>
      </c>
      <c r="G687" s="43">
        <f t="shared" si="1077"/>
        <v>0</v>
      </c>
      <c r="H687" s="43">
        <f t="shared" si="1077"/>
        <v>10.060264076053903</v>
      </c>
      <c r="I687" s="43">
        <f t="shared" si="1077"/>
        <v>10.067050595879651</v>
      </c>
      <c r="J687" s="43">
        <f t="shared" si="1077"/>
        <v>10.073787430465146</v>
      </c>
      <c r="K687" s="43">
        <f t="shared" si="1077"/>
        <v>10.084246465990356</v>
      </c>
      <c r="L687" s="43">
        <f t="shared" si="1077"/>
        <v>10.041093737817629</v>
      </c>
      <c r="M687" s="43">
        <f t="shared" si="1077"/>
        <v>10.049379130021395</v>
      </c>
      <c r="N687" s="43">
        <f t="shared" si="1077"/>
        <v>10.055785943959579</v>
      </c>
      <c r="O687" s="43">
        <f t="shared" si="1077"/>
        <v>0</v>
      </c>
      <c r="P687" s="43">
        <f t="shared" si="1077"/>
        <v>10.077830268741161</v>
      </c>
      <c r="Q687" s="43">
        <f t="shared" si="1077"/>
        <v>10.085350524259024</v>
      </c>
      <c r="R687" s="43">
        <f t="shared" si="1077"/>
        <v>10.039259031404253</v>
      </c>
      <c r="S687" s="43">
        <f t="shared" si="1077"/>
        <v>0</v>
      </c>
      <c r="T687" s="43">
        <f t="shared" si="1077"/>
        <v>10.060103610675037</v>
      </c>
      <c r="U687" s="43">
        <f t="shared" si="1077"/>
        <v>10.067050595879651</v>
      </c>
      <c r="V687" s="43">
        <f t="shared" si="1077"/>
        <v>10.072961341739022</v>
      </c>
      <c r="W687" s="43">
        <f t="shared" si="1077"/>
        <v>0</v>
      </c>
      <c r="X687" s="43">
        <f t="shared" si="1077"/>
        <v>10.041093737817629</v>
      </c>
      <c r="Y687" s="43">
        <f t="shared" si="1077"/>
        <v>10.049918870416146</v>
      </c>
      <c r="Z687" s="43">
        <f t="shared" si="1077"/>
        <v>10.054085833498906</v>
      </c>
      <c r="AA687" s="43">
        <f t="shared" si="1077"/>
        <v>0</v>
      </c>
      <c r="AB687" s="43">
        <f t="shared" si="1077"/>
        <v>10.078025601845175</v>
      </c>
      <c r="AC687" s="43">
        <f t="shared" si="1077"/>
        <v>10.084994179792016</v>
      </c>
      <c r="AD687" s="43">
        <f t="shared" si="1077"/>
        <v>10.034651053864167</v>
      </c>
      <c r="AE687" s="43">
        <f t="shared" si="1077"/>
        <v>0</v>
      </c>
      <c r="AF687" s="43">
        <f t="shared" si="1077"/>
        <v>10.060264076053903</v>
      </c>
      <c r="AG687" s="43">
        <f t="shared" si="1077"/>
        <v>10.067050595879651</v>
      </c>
      <c r="AH687" s="43">
        <f t="shared" si="1077"/>
        <v>10.072961341739022</v>
      </c>
      <c r="AI687" s="43">
        <f t="shared" ref="AI687:BB687" si="1078">IF(AI768&gt;0,SUM(AI575,AI567,AI607,AI663),0)</f>
        <v>0</v>
      </c>
      <c r="AJ687" s="43">
        <f t="shared" si="1078"/>
        <v>10.041093737817629</v>
      </c>
      <c r="AK687" s="43">
        <f t="shared" si="1078"/>
        <v>10.049918870416146</v>
      </c>
      <c r="AL687" s="43">
        <f t="shared" si="1078"/>
        <v>10.054085833498906</v>
      </c>
      <c r="AM687" s="43">
        <f t="shared" si="1078"/>
        <v>0</v>
      </c>
      <c r="AN687" s="43">
        <f t="shared" si="1078"/>
        <v>10.077830268741161</v>
      </c>
      <c r="AO687" s="43">
        <f t="shared" si="1078"/>
        <v>10.085350524259024</v>
      </c>
      <c r="AP687" s="43">
        <f t="shared" si="1078"/>
        <v>10.034651053864167</v>
      </c>
      <c r="AQ687" s="43">
        <f t="shared" si="1078"/>
        <v>0</v>
      </c>
      <c r="AR687" s="43">
        <f t="shared" si="1078"/>
        <v>10.060264076053903</v>
      </c>
      <c r="AS687" s="43">
        <f t="shared" si="1078"/>
        <v>10.082268029082336</v>
      </c>
      <c r="AT687" s="43">
        <f t="shared" si="1078"/>
        <v>10.080238398544134</v>
      </c>
      <c r="AU687" s="43">
        <f t="shared" si="1078"/>
        <v>10.081025210084032</v>
      </c>
      <c r="AV687" s="43">
        <f t="shared" si="1078"/>
        <v>10.083491463108933</v>
      </c>
      <c r="AW687" s="43">
        <f t="shared" si="1078"/>
        <v>10.067050595879651</v>
      </c>
      <c r="AX687" s="43">
        <f t="shared" si="1078"/>
        <v>10.073787430465146</v>
      </c>
      <c r="AY687" s="43">
        <f t="shared" si="1078"/>
        <v>10.084246465990356</v>
      </c>
      <c r="AZ687" s="43">
        <f t="shared" si="1078"/>
        <v>10.04399839368649</v>
      </c>
      <c r="BA687" s="43">
        <f t="shared" si="1078"/>
        <v>10.049918870416146</v>
      </c>
      <c r="BB687" s="43">
        <f t="shared" si="1078"/>
        <v>10.054085833498906</v>
      </c>
      <c r="BC687" s="19"/>
    </row>
    <row r="688" spans="2:55" x14ac:dyDescent="0.25">
      <c r="B688" s="43" t="str">
        <f t="shared" si="1066"/>
        <v>Product G Rework Loss/Unit (RM)</v>
      </c>
      <c r="C688" s="43">
        <f t="shared" ref="C688:AH688" si="1079">IF(C769&gt;0,SUM(C576,C568,C608,C664),0)</f>
        <v>0</v>
      </c>
      <c r="D688" s="43">
        <f t="shared" si="1079"/>
        <v>19.047204463303469</v>
      </c>
      <c r="E688" s="43">
        <f t="shared" si="1079"/>
        <v>19.053861835189114</v>
      </c>
      <c r="F688" s="43">
        <f t="shared" si="1079"/>
        <v>19.006492406075136</v>
      </c>
      <c r="G688" s="43">
        <f t="shared" si="1079"/>
        <v>0</v>
      </c>
      <c r="H688" s="43">
        <f t="shared" si="1079"/>
        <v>0</v>
      </c>
      <c r="I688" s="43">
        <f t="shared" si="1079"/>
        <v>19.037186989533183</v>
      </c>
      <c r="J688" s="43">
        <f t="shared" si="1079"/>
        <v>19.043447482279291</v>
      </c>
      <c r="K688" s="43">
        <f t="shared" si="1079"/>
        <v>0</v>
      </c>
      <c r="L688" s="43">
        <f t="shared" si="1079"/>
        <v>0</v>
      </c>
      <c r="M688" s="43">
        <f t="shared" si="1079"/>
        <v>19.020765021260861</v>
      </c>
      <c r="N688" s="43">
        <f t="shared" si="1079"/>
        <v>19.026718828152909</v>
      </c>
      <c r="O688" s="43">
        <f t="shared" si="1079"/>
        <v>0</v>
      </c>
      <c r="P688" s="43">
        <f t="shared" si="1079"/>
        <v>0</v>
      </c>
      <c r="Q688" s="43">
        <f t="shared" si="1079"/>
        <v>19.054192983582691</v>
      </c>
      <c r="R688" s="43">
        <f t="shared" si="1079"/>
        <v>19.011360485172201</v>
      </c>
      <c r="S688" s="43">
        <f t="shared" si="1079"/>
        <v>0</v>
      </c>
      <c r="T688" s="43">
        <f t="shared" si="1079"/>
        <v>0</v>
      </c>
      <c r="U688" s="43">
        <f t="shared" si="1079"/>
        <v>19.037186989533183</v>
      </c>
      <c r="V688" s="43">
        <f t="shared" si="1079"/>
        <v>19.042679803867145</v>
      </c>
      <c r="W688" s="43">
        <f t="shared" si="1079"/>
        <v>0</v>
      </c>
      <c r="X688" s="43">
        <f t="shared" si="1079"/>
        <v>0</v>
      </c>
      <c r="Y688" s="43">
        <f t="shared" si="1079"/>
        <v>19.021266598193357</v>
      </c>
      <c r="Z688" s="43">
        <f t="shared" si="1079"/>
        <v>19.025138927522793</v>
      </c>
      <c r="AA688" s="43">
        <f t="shared" si="1079"/>
        <v>0</v>
      </c>
      <c r="AB688" s="43">
        <f t="shared" si="1079"/>
        <v>0</v>
      </c>
      <c r="AC688" s="43">
        <f t="shared" si="1079"/>
        <v>19.053861835189114</v>
      </c>
      <c r="AD688" s="43">
        <f t="shared" si="1079"/>
        <v>19.007078324225866</v>
      </c>
      <c r="AE688" s="43">
        <f t="shared" si="1079"/>
        <v>0</v>
      </c>
      <c r="AF688" s="43">
        <f t="shared" si="1079"/>
        <v>0</v>
      </c>
      <c r="AG688" s="43">
        <f t="shared" si="1079"/>
        <v>19.037186989533183</v>
      </c>
      <c r="AH688" s="43">
        <f t="shared" si="1079"/>
        <v>19.042679803867145</v>
      </c>
      <c r="AI688" s="43">
        <f t="shared" ref="AI688:BB688" si="1080">IF(AI769&gt;0,SUM(AI576,AI568,AI608,AI664),0)</f>
        <v>0</v>
      </c>
      <c r="AJ688" s="43">
        <f t="shared" si="1080"/>
        <v>0</v>
      </c>
      <c r="AK688" s="43">
        <f t="shared" si="1080"/>
        <v>19.021266598193357</v>
      </c>
      <c r="AL688" s="43">
        <f t="shared" si="1080"/>
        <v>19.025138927522793</v>
      </c>
      <c r="AM688" s="43">
        <f t="shared" si="1080"/>
        <v>0</v>
      </c>
      <c r="AN688" s="43">
        <f t="shared" si="1080"/>
        <v>0</v>
      </c>
      <c r="AO688" s="43">
        <f t="shared" si="1080"/>
        <v>19.054192983582691</v>
      </c>
      <c r="AP688" s="43">
        <f t="shared" si="1080"/>
        <v>19.007078324225866</v>
      </c>
      <c r="AQ688" s="43">
        <f t="shared" si="1080"/>
        <v>0</v>
      </c>
      <c r="AR688" s="43">
        <f t="shared" si="1080"/>
        <v>0</v>
      </c>
      <c r="AS688" s="43">
        <f t="shared" si="1080"/>
        <v>19.051328442610419</v>
      </c>
      <c r="AT688" s="43">
        <f t="shared" si="1080"/>
        <v>19.049442321302191</v>
      </c>
      <c r="AU688" s="43">
        <f t="shared" si="1080"/>
        <v>0</v>
      </c>
      <c r="AV688" s="43">
        <f t="shared" si="1080"/>
        <v>0</v>
      </c>
      <c r="AW688" s="43">
        <f t="shared" si="1080"/>
        <v>19.037186989533183</v>
      </c>
      <c r="AX688" s="43">
        <f t="shared" si="1080"/>
        <v>19.043447482279291</v>
      </c>
      <c r="AY688" s="43">
        <f t="shared" si="1080"/>
        <v>0</v>
      </c>
      <c r="AZ688" s="43">
        <f t="shared" si="1080"/>
        <v>0</v>
      </c>
      <c r="BA688" s="43">
        <f t="shared" si="1080"/>
        <v>19.021266598193357</v>
      </c>
      <c r="BB688" s="43">
        <f t="shared" si="1080"/>
        <v>19.025138927522793</v>
      </c>
      <c r="BC688" s="19"/>
    </row>
    <row r="689" spans="2:56" x14ac:dyDescent="0.25">
      <c r="B689" s="43" t="str">
        <f t="shared" si="1066"/>
        <v>Product H Rework Loss/Unit (RM)</v>
      </c>
      <c r="C689" s="43">
        <f t="shared" ref="C689:AH689" si="1081">IF(C770&gt;0,SUM(C577,C569,C609,C665),0)</f>
        <v>0</v>
      </c>
      <c r="D689" s="43">
        <f t="shared" si="1081"/>
        <v>0</v>
      </c>
      <c r="E689" s="43">
        <f t="shared" si="1081"/>
        <v>0</v>
      </c>
      <c r="F689" s="43">
        <f t="shared" si="1081"/>
        <v>18.671801793347932</v>
      </c>
      <c r="G689" s="43">
        <f t="shared" si="1081"/>
        <v>0</v>
      </c>
      <c r="H689" s="43">
        <f t="shared" si="1081"/>
        <v>0</v>
      </c>
      <c r="I689" s="43">
        <f t="shared" si="1081"/>
        <v>0</v>
      </c>
      <c r="J689" s="43">
        <f t="shared" si="1081"/>
        <v>18.703334113804736</v>
      </c>
      <c r="K689" s="43">
        <f t="shared" si="1081"/>
        <v>0</v>
      </c>
      <c r="L689" s="43">
        <f t="shared" si="1081"/>
        <v>0</v>
      </c>
      <c r="M689" s="43">
        <f t="shared" si="1081"/>
        <v>0</v>
      </c>
      <c r="N689" s="43">
        <f t="shared" si="1081"/>
        <v>18.689060207838203</v>
      </c>
      <c r="O689" s="43">
        <f t="shared" si="1081"/>
        <v>0</v>
      </c>
      <c r="P689" s="43">
        <f t="shared" si="1081"/>
        <v>0</v>
      </c>
      <c r="Q689" s="43">
        <f t="shared" si="1081"/>
        <v>18.712502829590793</v>
      </c>
      <c r="R689" s="43">
        <f t="shared" si="1081"/>
        <v>18.675955534751399</v>
      </c>
      <c r="S689" s="43">
        <f t="shared" si="1081"/>
        <v>0</v>
      </c>
      <c r="T689" s="43">
        <f t="shared" si="1081"/>
        <v>0</v>
      </c>
      <c r="U689" s="43">
        <f t="shared" si="1081"/>
        <v>0</v>
      </c>
      <c r="V689" s="43">
        <f t="shared" si="1081"/>
        <v>18.702679083855241</v>
      </c>
      <c r="W689" s="43">
        <f t="shared" si="1081"/>
        <v>18.709740055504163</v>
      </c>
      <c r="X689" s="43">
        <f t="shared" si="1081"/>
        <v>0</v>
      </c>
      <c r="Y689" s="43">
        <f t="shared" si="1081"/>
        <v>0</v>
      </c>
      <c r="Z689" s="43">
        <f t="shared" si="1081"/>
        <v>18.687712140452721</v>
      </c>
      <c r="AA689" s="43">
        <f t="shared" si="1081"/>
        <v>0</v>
      </c>
      <c r="AB689" s="43">
        <f t="shared" si="1081"/>
        <v>18.706694684040421</v>
      </c>
      <c r="AC689" s="43">
        <f t="shared" si="1081"/>
        <v>0</v>
      </c>
      <c r="AD689" s="43">
        <f t="shared" si="1081"/>
        <v>18.672301734378713</v>
      </c>
      <c r="AE689" s="43">
        <f t="shared" si="1081"/>
        <v>0</v>
      </c>
      <c r="AF689" s="43">
        <f t="shared" si="1081"/>
        <v>0</v>
      </c>
      <c r="AG689" s="43">
        <f t="shared" si="1081"/>
        <v>0</v>
      </c>
      <c r="AH689" s="43">
        <f t="shared" si="1081"/>
        <v>18.702679083855241</v>
      </c>
      <c r="AI689" s="43">
        <f t="shared" ref="AI689:BB689" si="1082">IF(AI770&gt;0,SUM(AI577,AI569,AI609,AI665),0)</f>
        <v>18.709740055504163</v>
      </c>
      <c r="AJ689" s="43">
        <f t="shared" si="1082"/>
        <v>0</v>
      </c>
      <c r="AK689" s="43">
        <f t="shared" si="1082"/>
        <v>0</v>
      </c>
      <c r="AL689" s="43">
        <f t="shared" si="1082"/>
        <v>18.687712140452721</v>
      </c>
      <c r="AM689" s="43">
        <f t="shared" si="1082"/>
        <v>0</v>
      </c>
      <c r="AN689" s="43">
        <f t="shared" si="1082"/>
        <v>0</v>
      </c>
      <c r="AO689" s="43">
        <f t="shared" si="1082"/>
        <v>18.712502829590793</v>
      </c>
      <c r="AP689" s="43">
        <f t="shared" si="1082"/>
        <v>18.672301734378713</v>
      </c>
      <c r="AQ689" s="43">
        <f t="shared" si="1082"/>
        <v>0</v>
      </c>
      <c r="AR689" s="43">
        <f t="shared" si="1082"/>
        <v>0</v>
      </c>
      <c r="AS689" s="43">
        <f t="shared" si="1082"/>
        <v>0</v>
      </c>
      <c r="AT689" s="43">
        <f t="shared" si="1082"/>
        <v>18.708449275362319</v>
      </c>
      <c r="AU689" s="43">
        <f t="shared" si="1082"/>
        <v>0</v>
      </c>
      <c r="AV689" s="43">
        <f t="shared" si="1082"/>
        <v>0</v>
      </c>
      <c r="AW689" s="43">
        <f t="shared" si="1082"/>
        <v>0</v>
      </c>
      <c r="AX689" s="43">
        <f t="shared" si="1082"/>
        <v>18.703334113804736</v>
      </c>
      <c r="AY689" s="43">
        <f t="shared" si="1082"/>
        <v>0</v>
      </c>
      <c r="AZ689" s="43">
        <f t="shared" si="1082"/>
        <v>0</v>
      </c>
      <c r="BA689" s="43">
        <f t="shared" si="1082"/>
        <v>0</v>
      </c>
      <c r="BB689" s="43">
        <f t="shared" si="1082"/>
        <v>18.687712140452721</v>
      </c>
      <c r="BC689" s="19"/>
      <c r="BD689" s="144"/>
    </row>
    <row r="690" spans="2:56" x14ac:dyDescent="0.25">
      <c r="B690" s="113" t="str">
        <f t="shared" ref="B690:B697" si="1083">_xlfn.CONCAT("VAS"," ",B537)</f>
        <v>VAS Product A Rework Loss Quantity</v>
      </c>
      <c r="C690" s="113">
        <f t="shared" ref="C690:AH690" si="1084">C682*C537</f>
        <v>463.04192749778952</v>
      </c>
      <c r="D690" s="113">
        <f t="shared" si="1084"/>
        <v>0</v>
      </c>
      <c r="E690" s="113">
        <f t="shared" si="1084"/>
        <v>268.33108450794879</v>
      </c>
      <c r="F690" s="113">
        <f t="shared" si="1084"/>
        <v>0</v>
      </c>
      <c r="G690" s="113">
        <f t="shared" si="1084"/>
        <v>462.66792686908258</v>
      </c>
      <c r="H690" s="113">
        <f t="shared" si="1084"/>
        <v>0</v>
      </c>
      <c r="I690" s="113">
        <f t="shared" si="1084"/>
        <v>0</v>
      </c>
      <c r="J690" s="113">
        <f t="shared" si="1084"/>
        <v>0</v>
      </c>
      <c r="K690" s="113">
        <f t="shared" si="1084"/>
        <v>463.46625533566163</v>
      </c>
      <c r="L690" s="113">
        <f t="shared" si="1084"/>
        <v>0</v>
      </c>
      <c r="M690" s="113">
        <f t="shared" si="1084"/>
        <v>0</v>
      </c>
      <c r="N690" s="113">
        <f t="shared" si="1084"/>
        <v>0</v>
      </c>
      <c r="O690" s="113">
        <f t="shared" si="1084"/>
        <v>463.04192749778952</v>
      </c>
      <c r="P690" s="113">
        <f t="shared" si="1084"/>
        <v>195.09054219707684</v>
      </c>
      <c r="Q690" s="113">
        <f t="shared" si="1084"/>
        <v>0</v>
      </c>
      <c r="R690" s="113">
        <f t="shared" si="1084"/>
        <v>0</v>
      </c>
      <c r="S690" s="113">
        <f t="shared" si="1084"/>
        <v>462.66792686908258</v>
      </c>
      <c r="T690" s="113">
        <f t="shared" si="1084"/>
        <v>0</v>
      </c>
      <c r="U690" s="113">
        <f t="shared" si="1084"/>
        <v>0</v>
      </c>
      <c r="V690" s="113">
        <f t="shared" si="1084"/>
        <v>146.28766028309741</v>
      </c>
      <c r="W690" s="113">
        <f t="shared" si="1084"/>
        <v>463.41943262411348</v>
      </c>
      <c r="X690" s="113">
        <f t="shared" si="1084"/>
        <v>0</v>
      </c>
      <c r="Y690" s="113">
        <f t="shared" si="1084"/>
        <v>0</v>
      </c>
      <c r="Z690" s="113">
        <f t="shared" si="1084"/>
        <v>0</v>
      </c>
      <c r="AA690" s="113">
        <f t="shared" si="1084"/>
        <v>463.04192749778952</v>
      </c>
      <c r="AB690" s="113">
        <f t="shared" si="1084"/>
        <v>0</v>
      </c>
      <c r="AC690" s="113">
        <f t="shared" si="1084"/>
        <v>317.1185544184849</v>
      </c>
      <c r="AD690" s="113">
        <f t="shared" si="1084"/>
        <v>0</v>
      </c>
      <c r="AE690" s="113">
        <f t="shared" si="1084"/>
        <v>462.66792686908258</v>
      </c>
      <c r="AF690" s="113">
        <f t="shared" si="1084"/>
        <v>0</v>
      </c>
      <c r="AG690" s="113">
        <f t="shared" si="1084"/>
        <v>0</v>
      </c>
      <c r="AH690" s="113">
        <f t="shared" si="1084"/>
        <v>146.28766028309741</v>
      </c>
      <c r="AI690" s="113">
        <f t="shared" ref="AI690:BB690" si="1085">AI682*AI537</f>
        <v>487.80992907801419</v>
      </c>
      <c r="AJ690" s="113">
        <f t="shared" si="1085"/>
        <v>0</v>
      </c>
      <c r="AK690" s="113">
        <f t="shared" si="1085"/>
        <v>0</v>
      </c>
      <c r="AL690" s="113">
        <f t="shared" si="1085"/>
        <v>0</v>
      </c>
      <c r="AM690" s="113">
        <f t="shared" si="1085"/>
        <v>463.04192749778952</v>
      </c>
      <c r="AN690" s="113">
        <f t="shared" si="1085"/>
        <v>146.31790664780763</v>
      </c>
      <c r="AO690" s="113">
        <f t="shared" si="1085"/>
        <v>0</v>
      </c>
      <c r="AP690" s="113">
        <f t="shared" si="1085"/>
        <v>0</v>
      </c>
      <c r="AQ690" s="113">
        <f t="shared" si="1085"/>
        <v>462.66792686908258</v>
      </c>
      <c r="AR690" s="113">
        <f t="shared" si="1085"/>
        <v>0</v>
      </c>
      <c r="AS690" s="113">
        <f t="shared" si="1085"/>
        <v>268.30003668042184</v>
      </c>
      <c r="AT690" s="113">
        <f t="shared" si="1085"/>
        <v>0</v>
      </c>
      <c r="AU690" s="113">
        <f t="shared" si="1085"/>
        <v>439.01326203208555</v>
      </c>
      <c r="AV690" s="113">
        <f t="shared" si="1085"/>
        <v>268.31397023461369</v>
      </c>
      <c r="AW690" s="113">
        <f t="shared" si="1085"/>
        <v>0</v>
      </c>
      <c r="AX690" s="113">
        <f t="shared" si="1085"/>
        <v>0</v>
      </c>
      <c r="AY690" s="113">
        <f t="shared" si="1085"/>
        <v>463.46625533566163</v>
      </c>
      <c r="AZ690" s="113">
        <f t="shared" si="1085"/>
        <v>0</v>
      </c>
      <c r="BA690" s="113">
        <f t="shared" si="1085"/>
        <v>0</v>
      </c>
      <c r="BB690" s="113">
        <f t="shared" si="1085"/>
        <v>0</v>
      </c>
      <c r="BC690" s="113">
        <f>SUM(C690:BB690)</f>
        <v>7776.0619671255736</v>
      </c>
      <c r="BD690" s="119"/>
    </row>
    <row r="691" spans="2:56" x14ac:dyDescent="0.25">
      <c r="B691" s="113" t="str">
        <f t="shared" si="1083"/>
        <v>VAS Product B Rework Loss Quantity</v>
      </c>
      <c r="C691" s="113">
        <f t="shared" ref="C691:AH691" si="1086">C683*C538</f>
        <v>330.1153615186127</v>
      </c>
      <c r="D691" s="113">
        <f t="shared" si="1086"/>
        <v>369.28692799892235</v>
      </c>
      <c r="E691" s="113">
        <f t="shared" si="1086"/>
        <v>0</v>
      </c>
      <c r="F691" s="113">
        <f t="shared" si="1086"/>
        <v>252.00843243772323</v>
      </c>
      <c r="G691" s="113">
        <f t="shared" si="1086"/>
        <v>329.73992057939728</v>
      </c>
      <c r="H691" s="113">
        <f t="shared" si="1086"/>
        <v>368.89922970577413</v>
      </c>
      <c r="I691" s="113">
        <f t="shared" si="1086"/>
        <v>0</v>
      </c>
      <c r="J691" s="113">
        <f t="shared" si="1086"/>
        <v>136.02020515248353</v>
      </c>
      <c r="K691" s="113">
        <f t="shared" si="1086"/>
        <v>330.54132348166269</v>
      </c>
      <c r="L691" s="113">
        <f t="shared" si="1086"/>
        <v>368.476126786115</v>
      </c>
      <c r="M691" s="113">
        <f t="shared" si="1086"/>
        <v>0</v>
      </c>
      <c r="N691" s="113">
        <f t="shared" si="1086"/>
        <v>0</v>
      </c>
      <c r="O691" s="113">
        <f t="shared" si="1086"/>
        <v>349.53391219617816</v>
      </c>
      <c r="P691" s="113">
        <f t="shared" si="1086"/>
        <v>369.28692799892235</v>
      </c>
      <c r="Q691" s="113">
        <f t="shared" si="1086"/>
        <v>0</v>
      </c>
      <c r="R691" s="113">
        <f t="shared" si="1086"/>
        <v>0</v>
      </c>
      <c r="S691" s="113">
        <f t="shared" si="1086"/>
        <v>329.73992057939728</v>
      </c>
      <c r="T691" s="113">
        <f t="shared" si="1086"/>
        <v>368.89568812140237</v>
      </c>
      <c r="U691" s="113">
        <f t="shared" si="1086"/>
        <v>0</v>
      </c>
      <c r="V691" s="113">
        <f t="shared" si="1086"/>
        <v>0</v>
      </c>
      <c r="W691" s="113">
        <f t="shared" si="1086"/>
        <v>330.49432045158488</v>
      </c>
      <c r="X691" s="113">
        <f t="shared" si="1086"/>
        <v>368.476126786115</v>
      </c>
      <c r="Y691" s="113">
        <f t="shared" si="1086"/>
        <v>0</v>
      </c>
      <c r="Z691" s="113">
        <f t="shared" si="1086"/>
        <v>0</v>
      </c>
      <c r="AA691" s="113">
        <f t="shared" si="1086"/>
        <v>330.1153615186127</v>
      </c>
      <c r="AB691" s="113">
        <f t="shared" si="1086"/>
        <v>369.29123913864237</v>
      </c>
      <c r="AC691" s="113">
        <f t="shared" si="1086"/>
        <v>0</v>
      </c>
      <c r="AD691" s="113">
        <f t="shared" si="1086"/>
        <v>0</v>
      </c>
      <c r="AE691" s="113">
        <f t="shared" si="1086"/>
        <v>329.73992057939728</v>
      </c>
      <c r="AF691" s="113">
        <f t="shared" si="1086"/>
        <v>368.89922970577413</v>
      </c>
      <c r="AG691" s="113">
        <f t="shared" si="1086"/>
        <v>0</v>
      </c>
      <c r="AH691" s="113">
        <f t="shared" si="1086"/>
        <v>0</v>
      </c>
      <c r="AI691" s="113">
        <f t="shared" ref="AI691:BB691" si="1087">AI683*AI538</f>
        <v>349.93516283108988</v>
      </c>
      <c r="AJ691" s="113">
        <f t="shared" si="1087"/>
        <v>368.476126786115</v>
      </c>
      <c r="AK691" s="113">
        <f t="shared" si="1087"/>
        <v>0</v>
      </c>
      <c r="AL691" s="113">
        <f t="shared" si="1087"/>
        <v>0</v>
      </c>
      <c r="AM691" s="113">
        <f t="shared" si="1087"/>
        <v>330.1153615186127</v>
      </c>
      <c r="AN691" s="113">
        <f t="shared" si="1087"/>
        <v>369.28692799892235</v>
      </c>
      <c r="AO691" s="113">
        <f t="shared" si="1087"/>
        <v>0</v>
      </c>
      <c r="AP691" s="113">
        <f t="shared" si="1087"/>
        <v>0</v>
      </c>
      <c r="AQ691" s="113">
        <f t="shared" si="1087"/>
        <v>329.73992057939728</v>
      </c>
      <c r="AR691" s="113">
        <f t="shared" si="1087"/>
        <v>368.89922970577413</v>
      </c>
      <c r="AS691" s="113">
        <f t="shared" si="1087"/>
        <v>0</v>
      </c>
      <c r="AT691" s="113">
        <f t="shared" si="1087"/>
        <v>194.38951427704833</v>
      </c>
      <c r="AU691" s="113">
        <f t="shared" si="1087"/>
        <v>349.91757721270324</v>
      </c>
      <c r="AV691" s="113">
        <f t="shared" si="1087"/>
        <v>388.85460480156183</v>
      </c>
      <c r="AW691" s="113">
        <f t="shared" si="1087"/>
        <v>0</v>
      </c>
      <c r="AX691" s="113">
        <f t="shared" si="1087"/>
        <v>174.88312091033595</v>
      </c>
      <c r="AY691" s="113">
        <f t="shared" si="1087"/>
        <v>330.54132348166269</v>
      </c>
      <c r="AZ691" s="113">
        <f t="shared" si="1087"/>
        <v>155.17483561892124</v>
      </c>
      <c r="BA691" s="113">
        <f t="shared" si="1087"/>
        <v>0</v>
      </c>
      <c r="BB691" s="113">
        <f t="shared" si="1087"/>
        <v>0</v>
      </c>
      <c r="BC691" s="113">
        <f t="shared" ref="BC691:BC713" si="1088">SUM(C691:BB691)</f>
        <v>9709.7738804588625</v>
      </c>
      <c r="BD691" s="119"/>
    </row>
    <row r="692" spans="2:56" x14ac:dyDescent="0.25">
      <c r="B692" s="113" t="str">
        <f t="shared" si="1083"/>
        <v>VAS Product C Rework Loss Quantity</v>
      </c>
      <c r="C692" s="113">
        <f t="shared" ref="C692:AH692" si="1089">C684*C539</f>
        <v>421.85184792219275</v>
      </c>
      <c r="D692" s="113">
        <f t="shared" si="1089"/>
        <v>326.2366525223951</v>
      </c>
      <c r="E692" s="113">
        <f t="shared" si="1089"/>
        <v>364.75492437407473</v>
      </c>
      <c r="F692" s="113">
        <f t="shared" si="1089"/>
        <v>0</v>
      </c>
      <c r="G692" s="113">
        <f t="shared" si="1089"/>
        <v>421.42935683969961</v>
      </c>
      <c r="H692" s="113">
        <f t="shared" si="1089"/>
        <v>325.93501082978565</v>
      </c>
      <c r="I692" s="113">
        <f t="shared" si="1089"/>
        <v>364.4105525616153</v>
      </c>
      <c r="J692" s="113">
        <f t="shared" si="1089"/>
        <v>0</v>
      </c>
      <c r="K692" s="113">
        <f t="shared" si="1089"/>
        <v>422.33119130772218</v>
      </c>
      <c r="L692" s="113">
        <f t="shared" si="1089"/>
        <v>325.60582320350619</v>
      </c>
      <c r="M692" s="113">
        <f t="shared" si="1089"/>
        <v>364.07140321686086</v>
      </c>
      <c r="N692" s="113">
        <f t="shared" si="1089"/>
        <v>0</v>
      </c>
      <c r="O692" s="113">
        <f t="shared" si="1089"/>
        <v>402.67676392572946</v>
      </c>
      <c r="P692" s="113">
        <f t="shared" si="1089"/>
        <v>326.2366525223951</v>
      </c>
      <c r="Q692" s="113">
        <f t="shared" si="1089"/>
        <v>364.76176330829003</v>
      </c>
      <c r="R692" s="113">
        <f t="shared" si="1089"/>
        <v>0</v>
      </c>
      <c r="S692" s="113">
        <f t="shared" si="1089"/>
        <v>421.42935683969961</v>
      </c>
      <c r="T692" s="113">
        <f t="shared" si="1089"/>
        <v>325.93225536368402</v>
      </c>
      <c r="U692" s="113">
        <f t="shared" si="1089"/>
        <v>383.59005532801609</v>
      </c>
      <c r="V692" s="113">
        <f t="shared" si="1089"/>
        <v>0</v>
      </c>
      <c r="W692" s="113">
        <f t="shared" si="1089"/>
        <v>422.27829787234043</v>
      </c>
      <c r="X692" s="113">
        <f t="shared" si="1089"/>
        <v>325.60582320350619</v>
      </c>
      <c r="Y692" s="113">
        <f t="shared" si="1089"/>
        <v>383.24395986410678</v>
      </c>
      <c r="Z692" s="113">
        <f t="shared" si="1089"/>
        <v>0</v>
      </c>
      <c r="AA692" s="113">
        <f t="shared" si="1089"/>
        <v>421.85184792219275</v>
      </c>
      <c r="AB692" s="113">
        <f t="shared" si="1089"/>
        <v>326.24000672721161</v>
      </c>
      <c r="AC692" s="113">
        <f t="shared" si="1089"/>
        <v>364.75492437407473</v>
      </c>
      <c r="AD692" s="113">
        <f t="shared" si="1089"/>
        <v>0</v>
      </c>
      <c r="AE692" s="113">
        <f t="shared" si="1089"/>
        <v>421.42935683969961</v>
      </c>
      <c r="AF692" s="113">
        <f t="shared" si="1089"/>
        <v>345.10765852565544</v>
      </c>
      <c r="AG692" s="113">
        <f t="shared" si="1089"/>
        <v>364.4105525616153</v>
      </c>
      <c r="AH692" s="113">
        <f t="shared" si="1089"/>
        <v>0</v>
      </c>
      <c r="AI692" s="113">
        <f t="shared" ref="AI692:BB692" si="1090">AI684*AI539</f>
        <v>403.08382978723404</v>
      </c>
      <c r="AJ692" s="113">
        <f t="shared" si="1090"/>
        <v>325.60582320350619</v>
      </c>
      <c r="AK692" s="113">
        <f t="shared" si="1090"/>
        <v>383.24395986410678</v>
      </c>
      <c r="AL692" s="113">
        <f t="shared" si="1090"/>
        <v>0</v>
      </c>
      <c r="AM692" s="113">
        <f t="shared" si="1090"/>
        <v>421.85184792219275</v>
      </c>
      <c r="AN692" s="113">
        <f t="shared" si="1090"/>
        <v>326.2366525223951</v>
      </c>
      <c r="AO692" s="113">
        <f t="shared" si="1090"/>
        <v>383.9597508508316</v>
      </c>
      <c r="AP692" s="113">
        <f t="shared" si="1090"/>
        <v>0</v>
      </c>
      <c r="AQ692" s="113">
        <f t="shared" si="1090"/>
        <v>421.42935683969961</v>
      </c>
      <c r="AR692" s="113">
        <f t="shared" si="1090"/>
        <v>325.93501082978565</v>
      </c>
      <c r="AS692" s="113">
        <f t="shared" si="1090"/>
        <v>364.70260430994961</v>
      </c>
      <c r="AT692" s="113">
        <f t="shared" si="1090"/>
        <v>0</v>
      </c>
      <c r="AU692" s="113">
        <f t="shared" si="1090"/>
        <v>422.25960784313719</v>
      </c>
      <c r="AV692" s="113">
        <f t="shared" si="1090"/>
        <v>326.33386495093259</v>
      </c>
      <c r="AW692" s="113">
        <f t="shared" si="1090"/>
        <v>364.4105525616153</v>
      </c>
      <c r="AX692" s="113">
        <f t="shared" si="1090"/>
        <v>0</v>
      </c>
      <c r="AY692" s="113">
        <f t="shared" si="1090"/>
        <v>422.33119130772218</v>
      </c>
      <c r="AZ692" s="113">
        <f t="shared" si="1090"/>
        <v>325.65570113256746</v>
      </c>
      <c r="BA692" s="113">
        <f t="shared" si="1090"/>
        <v>383.24395986410678</v>
      </c>
      <c r="BB692" s="113">
        <f t="shared" si="1090"/>
        <v>0</v>
      </c>
      <c r="BC692" s="113">
        <f t="shared" si="1088"/>
        <v>14536.459751745859</v>
      </c>
      <c r="BD692" s="119"/>
    </row>
    <row r="693" spans="2:56" x14ac:dyDescent="0.25">
      <c r="B693" s="113" t="str">
        <f t="shared" si="1083"/>
        <v>VAS Product D Rework Loss Quantity</v>
      </c>
      <c r="C693" s="113">
        <f t="shared" ref="C693:AH693" si="1091">C685*C540</f>
        <v>226.20326533236869</v>
      </c>
      <c r="D693" s="113">
        <f t="shared" si="1091"/>
        <v>169.95461566156624</v>
      </c>
      <c r="E693" s="113">
        <f t="shared" si="1091"/>
        <v>137.69794357165009</v>
      </c>
      <c r="F693" s="113">
        <f t="shared" si="1091"/>
        <v>152.97811685197297</v>
      </c>
      <c r="G693" s="113">
        <f t="shared" si="1091"/>
        <v>153.15208696168341</v>
      </c>
      <c r="H693" s="113">
        <f t="shared" si="1091"/>
        <v>177.68075435058626</v>
      </c>
      <c r="I693" s="113">
        <f t="shared" si="1091"/>
        <v>145.49115044386519</v>
      </c>
      <c r="J693" s="113">
        <f t="shared" si="1091"/>
        <v>153.69552735306672</v>
      </c>
      <c r="K693" s="113">
        <f t="shared" si="1091"/>
        <v>226.7767343281476</v>
      </c>
      <c r="L693" s="113">
        <f t="shared" si="1091"/>
        <v>177.28030728520625</v>
      </c>
      <c r="M693" s="113">
        <f t="shared" si="1091"/>
        <v>137.12306630363537</v>
      </c>
      <c r="N693" s="113">
        <f t="shared" si="1091"/>
        <v>161.44291922439828</v>
      </c>
      <c r="O693" s="113">
        <f t="shared" si="1091"/>
        <v>226.20326533236869</v>
      </c>
      <c r="P693" s="113">
        <f t="shared" si="1091"/>
        <v>178.04769259783129</v>
      </c>
      <c r="Q693" s="113">
        <f t="shared" si="1091"/>
        <v>137.703695475269</v>
      </c>
      <c r="R693" s="113">
        <f t="shared" si="1091"/>
        <v>153.07262108313986</v>
      </c>
      <c r="S693" s="113">
        <f t="shared" si="1091"/>
        <v>153.15208696168341</v>
      </c>
      <c r="T693" s="113">
        <f t="shared" si="1091"/>
        <v>137.29617458731738</v>
      </c>
      <c r="U693" s="113">
        <f t="shared" si="1091"/>
        <v>137.40830875253937</v>
      </c>
      <c r="V693" s="113">
        <f t="shared" si="1091"/>
        <v>153.68062437867437</v>
      </c>
      <c r="W693" s="113">
        <f t="shared" si="1091"/>
        <v>226.71345454545443</v>
      </c>
      <c r="X693" s="113">
        <f t="shared" si="1091"/>
        <v>177.28030728520625</v>
      </c>
      <c r="Y693" s="113">
        <f t="shared" si="1091"/>
        <v>137.13177847687595</v>
      </c>
      <c r="Z693" s="113">
        <f t="shared" si="1091"/>
        <v>121.05797572385887</v>
      </c>
      <c r="AA693" s="113">
        <f t="shared" si="1091"/>
        <v>226.20326533236869</v>
      </c>
      <c r="AB693" s="113">
        <f t="shared" si="1091"/>
        <v>178.05177288933737</v>
      </c>
      <c r="AC693" s="113">
        <f t="shared" si="1091"/>
        <v>137.69794357165009</v>
      </c>
      <c r="AD693" s="113">
        <f t="shared" si="1091"/>
        <v>152.98949130650777</v>
      </c>
      <c r="AE693" s="113">
        <f t="shared" si="1091"/>
        <v>153.15208696168341</v>
      </c>
      <c r="AF693" s="113">
        <f t="shared" si="1091"/>
        <v>169.60435642555959</v>
      </c>
      <c r="AG693" s="113">
        <f t="shared" si="1091"/>
        <v>137.40830875253937</v>
      </c>
      <c r="AH693" s="113">
        <f t="shared" si="1091"/>
        <v>153.68062437867437</v>
      </c>
      <c r="AI693" s="113">
        <f t="shared" ref="AI693:BB693" si="1092">AI685*AI540</f>
        <v>226.71345454545443</v>
      </c>
      <c r="AJ693" s="113">
        <f t="shared" si="1092"/>
        <v>177.28030728520625</v>
      </c>
      <c r="AK693" s="113">
        <f t="shared" si="1092"/>
        <v>137.13177847687595</v>
      </c>
      <c r="AL693" s="113">
        <f t="shared" si="1092"/>
        <v>121.05797572385887</v>
      </c>
      <c r="AM693" s="113">
        <f t="shared" si="1092"/>
        <v>226.20326533236869</v>
      </c>
      <c r="AN693" s="113">
        <f t="shared" si="1092"/>
        <v>178.04769259783129</v>
      </c>
      <c r="AO693" s="113">
        <f t="shared" si="1092"/>
        <v>137.703695475269</v>
      </c>
      <c r="AP693" s="113">
        <f t="shared" si="1092"/>
        <v>152.98949130650777</v>
      </c>
      <c r="AQ693" s="113">
        <f t="shared" si="1092"/>
        <v>161.21272311756147</v>
      </c>
      <c r="AR693" s="113">
        <f t="shared" si="1092"/>
        <v>177.68075435058626</v>
      </c>
      <c r="AS693" s="113">
        <f t="shared" si="1092"/>
        <v>137.6539396440331</v>
      </c>
      <c r="AT693" s="113">
        <f t="shared" si="1092"/>
        <v>153.81190542366346</v>
      </c>
      <c r="AU693" s="113">
        <f t="shared" si="1092"/>
        <v>226.69109447415337</v>
      </c>
      <c r="AV693" s="113">
        <f t="shared" si="1092"/>
        <v>178.16594865795793</v>
      </c>
      <c r="AW693" s="113">
        <f t="shared" si="1092"/>
        <v>137.40830875253937</v>
      </c>
      <c r="AX693" s="113">
        <f t="shared" si="1092"/>
        <v>145.60628907132636</v>
      </c>
      <c r="AY693" s="113">
        <f t="shared" si="1092"/>
        <v>226.7767343281476</v>
      </c>
      <c r="AZ693" s="113">
        <f t="shared" si="1092"/>
        <v>177.34098231891141</v>
      </c>
      <c r="BA693" s="113">
        <f t="shared" si="1092"/>
        <v>137.13177847687595</v>
      </c>
      <c r="BB693" s="113">
        <f t="shared" si="1092"/>
        <v>121.05797572385887</v>
      </c>
      <c r="BC693" s="113">
        <f t="shared" si="1088"/>
        <v>8604.6784175696775</v>
      </c>
      <c r="BD693" s="119"/>
    </row>
    <row r="694" spans="2:56" x14ac:dyDescent="0.25">
      <c r="B694" s="113" t="str">
        <f t="shared" si="1083"/>
        <v>VAS Product E Rework Loss Quantity</v>
      </c>
      <c r="C694" s="113">
        <f t="shared" ref="C694:AH694" si="1093">C686*C541</f>
        <v>146.22654995579134</v>
      </c>
      <c r="D694" s="113">
        <f t="shared" si="1093"/>
        <v>385.93473455917012</v>
      </c>
      <c r="E694" s="113">
        <f t="shared" si="1093"/>
        <v>292.93170058569865</v>
      </c>
      <c r="F694" s="113">
        <f t="shared" si="1093"/>
        <v>225.51164508393282</v>
      </c>
      <c r="G694" s="113">
        <f t="shared" si="1093"/>
        <v>146.02269800848842</v>
      </c>
      <c r="H694" s="113">
        <f t="shared" si="1093"/>
        <v>318.98332063634331</v>
      </c>
      <c r="I694" s="113">
        <f t="shared" si="1093"/>
        <v>292.5469103973557</v>
      </c>
      <c r="J694" s="113">
        <f t="shared" si="1093"/>
        <v>226.1706103286385</v>
      </c>
      <c r="K694" s="113">
        <f t="shared" si="1093"/>
        <v>146.45783313930926</v>
      </c>
      <c r="L694" s="113">
        <f t="shared" si="1093"/>
        <v>199.08428181592657</v>
      </c>
      <c r="M694" s="113">
        <f t="shared" si="1093"/>
        <v>172.64470105379922</v>
      </c>
      <c r="N694" s="113">
        <f t="shared" si="1093"/>
        <v>225.87231296891747</v>
      </c>
      <c r="O694" s="113">
        <f t="shared" si="1093"/>
        <v>146.22654995579134</v>
      </c>
      <c r="P694" s="113">
        <f t="shared" si="1093"/>
        <v>372.62664026402632</v>
      </c>
      <c r="Q694" s="113">
        <f t="shared" si="1093"/>
        <v>292.93934219482435</v>
      </c>
      <c r="R694" s="113">
        <f t="shared" si="1093"/>
        <v>225.59845034217994</v>
      </c>
      <c r="S694" s="113">
        <f t="shared" si="1093"/>
        <v>146.02269800848842</v>
      </c>
      <c r="T694" s="113">
        <f t="shared" si="1093"/>
        <v>372.14282783882788</v>
      </c>
      <c r="U694" s="113">
        <f t="shared" si="1093"/>
        <v>292.5469103973557</v>
      </c>
      <c r="V694" s="113">
        <f t="shared" si="1093"/>
        <v>226.15692145434363</v>
      </c>
      <c r="W694" s="113">
        <f t="shared" si="1093"/>
        <v>146.43231205673757</v>
      </c>
      <c r="X694" s="113">
        <f t="shared" si="1093"/>
        <v>199.08428181592657</v>
      </c>
      <c r="Y694" s="113">
        <f t="shared" si="1093"/>
        <v>292.17953006241606</v>
      </c>
      <c r="Z694" s="113">
        <f t="shared" si="1093"/>
        <v>225.8441409364859</v>
      </c>
      <c r="AA694" s="113">
        <f t="shared" si="1093"/>
        <v>146.22654995579134</v>
      </c>
      <c r="AB694" s="113">
        <f t="shared" si="1093"/>
        <v>372.63197147662299</v>
      </c>
      <c r="AC694" s="113">
        <f t="shared" si="1093"/>
        <v>292.93170058569865</v>
      </c>
      <c r="AD694" s="113">
        <f t="shared" si="1093"/>
        <v>225.52209289617488</v>
      </c>
      <c r="AE694" s="113">
        <f t="shared" si="1093"/>
        <v>132.747907280444</v>
      </c>
      <c r="AF694" s="113">
        <f t="shared" si="1093"/>
        <v>305.69234894316236</v>
      </c>
      <c r="AG694" s="113">
        <f t="shared" si="1093"/>
        <v>292.5469103973557</v>
      </c>
      <c r="AH694" s="113">
        <f t="shared" si="1093"/>
        <v>226.15692145434363</v>
      </c>
      <c r="AI694" s="113">
        <f t="shared" ref="AI694:BB694" si="1094">AI686*AI541</f>
        <v>146.43231205673757</v>
      </c>
      <c r="AJ694" s="113">
        <f t="shared" si="1094"/>
        <v>199.08428181592657</v>
      </c>
      <c r="AK694" s="113">
        <f t="shared" si="1094"/>
        <v>278.89864233230622</v>
      </c>
      <c r="AL694" s="113">
        <f t="shared" si="1094"/>
        <v>225.8441409364859</v>
      </c>
      <c r="AM694" s="113">
        <f t="shared" si="1094"/>
        <v>146.22654995579134</v>
      </c>
      <c r="AN694" s="113">
        <f t="shared" si="1094"/>
        <v>372.62664026402632</v>
      </c>
      <c r="AO694" s="113">
        <f t="shared" si="1094"/>
        <v>292.93934219482435</v>
      </c>
      <c r="AP694" s="113">
        <f t="shared" si="1094"/>
        <v>225.52209289617488</v>
      </c>
      <c r="AQ694" s="113">
        <f t="shared" si="1094"/>
        <v>146.02269800848842</v>
      </c>
      <c r="AR694" s="113">
        <f t="shared" si="1094"/>
        <v>318.98332063634331</v>
      </c>
      <c r="AS694" s="113">
        <f t="shared" si="1094"/>
        <v>279.56081980742778</v>
      </c>
      <c r="AT694" s="113">
        <f t="shared" si="1094"/>
        <v>239.587949044586</v>
      </c>
      <c r="AU694" s="113">
        <f t="shared" si="1094"/>
        <v>146.42329411764706</v>
      </c>
      <c r="AV694" s="113">
        <f t="shared" si="1094"/>
        <v>372.78115084161948</v>
      </c>
      <c r="AW694" s="113">
        <f t="shared" si="1094"/>
        <v>292.5469103973557</v>
      </c>
      <c r="AX694" s="113">
        <f t="shared" si="1094"/>
        <v>226.1706103286385</v>
      </c>
      <c r="AY694" s="113">
        <f t="shared" si="1094"/>
        <v>146.45783313930926</v>
      </c>
      <c r="AZ694" s="113">
        <f t="shared" si="1094"/>
        <v>371.70326929031205</v>
      </c>
      <c r="BA694" s="113">
        <f t="shared" si="1094"/>
        <v>278.89864233230622</v>
      </c>
      <c r="BB694" s="113">
        <f t="shared" si="1094"/>
        <v>225.8441409364859</v>
      </c>
      <c r="BC694" s="113">
        <f t="shared" si="1088"/>
        <v>12643.198948183161</v>
      </c>
      <c r="BD694" s="119"/>
    </row>
    <row r="695" spans="2:56" x14ac:dyDescent="0.25">
      <c r="B695" s="113" t="str">
        <f t="shared" si="1083"/>
        <v>VAS Product F Rework Loss Quantity</v>
      </c>
      <c r="C695" s="113">
        <f t="shared" ref="C695:AH695" si="1095">C687*C542</f>
        <v>0</v>
      </c>
      <c r="D695" s="113">
        <f t="shared" si="1095"/>
        <v>110.85613295615278</v>
      </c>
      <c r="E695" s="113">
        <f t="shared" si="1095"/>
        <v>282.37983703417643</v>
      </c>
      <c r="F695" s="113">
        <f t="shared" si="1095"/>
        <v>0</v>
      </c>
      <c r="G695" s="113">
        <f t="shared" si="1095"/>
        <v>0</v>
      </c>
      <c r="H695" s="113">
        <f t="shared" si="1095"/>
        <v>110.66290483659293</v>
      </c>
      <c r="I695" s="113">
        <f t="shared" si="1095"/>
        <v>291.94446728050991</v>
      </c>
      <c r="J695" s="113">
        <f t="shared" si="1095"/>
        <v>211.54953603976804</v>
      </c>
      <c r="K695" s="113">
        <f t="shared" si="1095"/>
        <v>131.09520405787464</v>
      </c>
      <c r="L695" s="113">
        <f t="shared" si="1095"/>
        <v>110.45203111599392</v>
      </c>
      <c r="M695" s="113">
        <f t="shared" si="1095"/>
        <v>281.38261564059906</v>
      </c>
      <c r="N695" s="113">
        <f t="shared" si="1095"/>
        <v>221.22729076711073</v>
      </c>
      <c r="O695" s="113">
        <f t="shared" si="1095"/>
        <v>0</v>
      </c>
      <c r="P695" s="113">
        <f t="shared" si="1095"/>
        <v>110.85613295615278</v>
      </c>
      <c r="Q695" s="113">
        <f t="shared" si="1095"/>
        <v>282.38981467925265</v>
      </c>
      <c r="R695" s="113">
        <f t="shared" si="1095"/>
        <v>220.86369869089356</v>
      </c>
      <c r="S695" s="113">
        <f t="shared" si="1095"/>
        <v>0</v>
      </c>
      <c r="T695" s="113">
        <f t="shared" si="1095"/>
        <v>110.66113971742541</v>
      </c>
      <c r="U695" s="113">
        <f t="shared" si="1095"/>
        <v>281.87741668463025</v>
      </c>
      <c r="V695" s="113">
        <f t="shared" si="1095"/>
        <v>221.60514951825849</v>
      </c>
      <c r="W695" s="113">
        <f t="shared" si="1095"/>
        <v>0</v>
      </c>
      <c r="X695" s="113">
        <f t="shared" si="1095"/>
        <v>110.45203111599392</v>
      </c>
      <c r="Y695" s="113">
        <f t="shared" si="1095"/>
        <v>200.99837740832294</v>
      </c>
      <c r="Z695" s="113">
        <f t="shared" si="1095"/>
        <v>221.18988833697594</v>
      </c>
      <c r="AA695" s="113">
        <f t="shared" si="1095"/>
        <v>0</v>
      </c>
      <c r="AB695" s="113">
        <f t="shared" si="1095"/>
        <v>110.85828162029692</v>
      </c>
      <c r="AC695" s="113">
        <f t="shared" si="1095"/>
        <v>282.37983703417643</v>
      </c>
      <c r="AD695" s="113">
        <f t="shared" si="1095"/>
        <v>90.3118594847775</v>
      </c>
      <c r="AE695" s="113">
        <f t="shared" si="1095"/>
        <v>0</v>
      </c>
      <c r="AF695" s="113">
        <f t="shared" si="1095"/>
        <v>110.66290483659293</v>
      </c>
      <c r="AG695" s="113">
        <f t="shared" si="1095"/>
        <v>281.87741668463025</v>
      </c>
      <c r="AH695" s="113">
        <f t="shared" si="1095"/>
        <v>221.60514951825849</v>
      </c>
      <c r="AI695" s="113">
        <f t="shared" ref="AI695:BB695" si="1096">AI687*AI542</f>
        <v>0</v>
      </c>
      <c r="AJ695" s="113">
        <f t="shared" si="1096"/>
        <v>110.45203111599392</v>
      </c>
      <c r="AK695" s="113">
        <f t="shared" si="1096"/>
        <v>190.94845853790679</v>
      </c>
      <c r="AL695" s="113">
        <f t="shared" si="1096"/>
        <v>211.13580250347704</v>
      </c>
      <c r="AM695" s="113">
        <f t="shared" si="1096"/>
        <v>0</v>
      </c>
      <c r="AN695" s="113">
        <f t="shared" si="1096"/>
        <v>110.85613295615278</v>
      </c>
      <c r="AO695" s="113">
        <f t="shared" si="1096"/>
        <v>282.38981467925265</v>
      </c>
      <c r="AP695" s="113">
        <f t="shared" si="1096"/>
        <v>90.3118594847775</v>
      </c>
      <c r="AQ695" s="113">
        <f t="shared" si="1096"/>
        <v>0</v>
      </c>
      <c r="AR695" s="113">
        <f t="shared" si="1096"/>
        <v>110.66290483659293</v>
      </c>
      <c r="AS695" s="113">
        <f t="shared" si="1096"/>
        <v>282.30350481430537</v>
      </c>
      <c r="AT695" s="113">
        <f t="shared" si="1096"/>
        <v>221.76524476797096</v>
      </c>
      <c r="AU695" s="113">
        <f t="shared" si="1096"/>
        <v>110.89127731092435</v>
      </c>
      <c r="AV695" s="113">
        <f t="shared" si="1096"/>
        <v>110.91840609419826</v>
      </c>
      <c r="AW695" s="113">
        <f t="shared" si="1096"/>
        <v>281.87741668463025</v>
      </c>
      <c r="AX695" s="113">
        <f t="shared" si="1096"/>
        <v>221.6233234702332</v>
      </c>
      <c r="AY695" s="113">
        <f t="shared" si="1096"/>
        <v>131.09520405787464</v>
      </c>
      <c r="AZ695" s="113">
        <f t="shared" si="1096"/>
        <v>110.48398233055138</v>
      </c>
      <c r="BA695" s="113">
        <f t="shared" si="1096"/>
        <v>190.94845853790679</v>
      </c>
      <c r="BB695" s="113">
        <f t="shared" si="1096"/>
        <v>221.18988833697594</v>
      </c>
      <c r="BC695" s="113">
        <f t="shared" si="1088"/>
        <v>7599.9928285351425</v>
      </c>
      <c r="BD695" s="119"/>
    </row>
    <row r="696" spans="2:56" x14ac:dyDescent="0.25">
      <c r="B696" s="113" t="str">
        <f t="shared" si="1083"/>
        <v>VAS Product G Rework Loss Quantity</v>
      </c>
      <c r="C696" s="113">
        <f t="shared" ref="C696:AH696" si="1097">C688*C543</f>
        <v>0</v>
      </c>
      <c r="D696" s="113">
        <f t="shared" si="1097"/>
        <v>152.37763570642775</v>
      </c>
      <c r="E696" s="113">
        <f t="shared" si="1097"/>
        <v>247.70020385745849</v>
      </c>
      <c r="F696" s="113">
        <f t="shared" si="1097"/>
        <v>456.15581774580323</v>
      </c>
      <c r="G696" s="113">
        <f t="shared" si="1097"/>
        <v>0</v>
      </c>
      <c r="H696" s="113">
        <f t="shared" si="1097"/>
        <v>0</v>
      </c>
      <c r="I696" s="113">
        <f t="shared" si="1097"/>
        <v>209.40905688486501</v>
      </c>
      <c r="J696" s="113">
        <f t="shared" si="1097"/>
        <v>533.21652950382008</v>
      </c>
      <c r="K696" s="113">
        <f t="shared" si="1097"/>
        <v>0</v>
      </c>
      <c r="L696" s="113">
        <f t="shared" si="1097"/>
        <v>0</v>
      </c>
      <c r="M696" s="113">
        <f t="shared" si="1097"/>
        <v>209.22841523386947</v>
      </c>
      <c r="N696" s="113">
        <f t="shared" si="1097"/>
        <v>456.64125187566981</v>
      </c>
      <c r="O696" s="113">
        <f t="shared" si="1097"/>
        <v>0</v>
      </c>
      <c r="P696" s="113">
        <f t="shared" si="1097"/>
        <v>0</v>
      </c>
      <c r="Q696" s="113">
        <f t="shared" si="1097"/>
        <v>209.5961228194096</v>
      </c>
      <c r="R696" s="113">
        <f t="shared" si="1097"/>
        <v>285.17040727758302</v>
      </c>
      <c r="S696" s="113">
        <f t="shared" si="1097"/>
        <v>0</v>
      </c>
      <c r="T696" s="113">
        <f t="shared" si="1097"/>
        <v>0</v>
      </c>
      <c r="U696" s="113">
        <f t="shared" si="1097"/>
        <v>209.40905688486501</v>
      </c>
      <c r="V696" s="113">
        <f t="shared" si="1097"/>
        <v>533.19503450828006</v>
      </c>
      <c r="W696" s="113">
        <f t="shared" si="1097"/>
        <v>0</v>
      </c>
      <c r="X696" s="113">
        <f t="shared" si="1097"/>
        <v>0</v>
      </c>
      <c r="Y696" s="113">
        <f t="shared" si="1097"/>
        <v>209.23393258012692</v>
      </c>
      <c r="Z696" s="113">
        <f t="shared" si="1097"/>
        <v>532.70388997063822</v>
      </c>
      <c r="AA696" s="113">
        <f t="shared" si="1097"/>
        <v>0</v>
      </c>
      <c r="AB696" s="113">
        <f t="shared" si="1097"/>
        <v>0</v>
      </c>
      <c r="AC696" s="113">
        <f t="shared" si="1097"/>
        <v>209.59248018708024</v>
      </c>
      <c r="AD696" s="113">
        <f t="shared" si="1097"/>
        <v>532.19819307832427</v>
      </c>
      <c r="AE696" s="113">
        <f t="shared" si="1097"/>
        <v>0</v>
      </c>
      <c r="AF696" s="113">
        <f t="shared" si="1097"/>
        <v>0</v>
      </c>
      <c r="AG696" s="113">
        <f t="shared" si="1097"/>
        <v>209.40905688486501</v>
      </c>
      <c r="AH696" s="113">
        <f t="shared" si="1097"/>
        <v>533.19503450828006</v>
      </c>
      <c r="AI696" s="113">
        <f t="shared" ref="AI696:BB696" si="1098">AI688*AI543</f>
        <v>0</v>
      </c>
      <c r="AJ696" s="113">
        <f t="shared" si="1098"/>
        <v>0</v>
      </c>
      <c r="AK696" s="113">
        <f t="shared" si="1098"/>
        <v>190.21266598193358</v>
      </c>
      <c r="AL696" s="113">
        <f t="shared" si="1098"/>
        <v>532.70388997063822</v>
      </c>
      <c r="AM696" s="113">
        <f t="shared" si="1098"/>
        <v>0</v>
      </c>
      <c r="AN696" s="113">
        <f t="shared" si="1098"/>
        <v>0</v>
      </c>
      <c r="AO696" s="113">
        <f t="shared" si="1098"/>
        <v>209.5961228194096</v>
      </c>
      <c r="AP696" s="113">
        <f t="shared" si="1098"/>
        <v>532.19819307832427</v>
      </c>
      <c r="AQ696" s="113">
        <f t="shared" si="1098"/>
        <v>0</v>
      </c>
      <c r="AR696" s="113">
        <f t="shared" si="1098"/>
        <v>0</v>
      </c>
      <c r="AS696" s="113">
        <f t="shared" si="1098"/>
        <v>209.56461286871462</v>
      </c>
      <c r="AT696" s="113">
        <f t="shared" si="1098"/>
        <v>533.38438499646134</v>
      </c>
      <c r="AU696" s="113">
        <f t="shared" si="1098"/>
        <v>0</v>
      </c>
      <c r="AV696" s="113">
        <f t="shared" si="1098"/>
        <v>0</v>
      </c>
      <c r="AW696" s="113">
        <f t="shared" si="1098"/>
        <v>209.40905688486501</v>
      </c>
      <c r="AX696" s="113">
        <f t="shared" si="1098"/>
        <v>533.21652950382008</v>
      </c>
      <c r="AY696" s="113">
        <f t="shared" si="1098"/>
        <v>0</v>
      </c>
      <c r="AZ696" s="113">
        <f t="shared" si="1098"/>
        <v>0</v>
      </c>
      <c r="BA696" s="113">
        <f t="shared" si="1098"/>
        <v>209.23393258012692</v>
      </c>
      <c r="BB696" s="113">
        <f t="shared" si="1098"/>
        <v>532.70388997063822</v>
      </c>
      <c r="BC696" s="113">
        <f t="shared" si="1088"/>
        <v>9420.6553981622983</v>
      </c>
      <c r="BD696" s="119"/>
    </row>
    <row r="697" spans="2:56" x14ac:dyDescent="0.25">
      <c r="B697" s="113" t="str">
        <f t="shared" si="1083"/>
        <v>VAS Product H Rework Loss Quantity</v>
      </c>
      <c r="C697" s="113">
        <f t="shared" ref="C697:AH697" si="1099">C689*C544</f>
        <v>0</v>
      </c>
      <c r="D697" s="113">
        <f t="shared" si="1099"/>
        <v>0</v>
      </c>
      <c r="E697" s="113">
        <f t="shared" si="1099"/>
        <v>0</v>
      </c>
      <c r="F697" s="113">
        <f t="shared" si="1099"/>
        <v>205.38981972682726</v>
      </c>
      <c r="G697" s="113">
        <f t="shared" si="1099"/>
        <v>0</v>
      </c>
      <c r="H697" s="113">
        <f t="shared" si="1099"/>
        <v>0</v>
      </c>
      <c r="I697" s="113">
        <f t="shared" si="1099"/>
        <v>0</v>
      </c>
      <c r="J697" s="113">
        <f t="shared" si="1099"/>
        <v>205.73667525185209</v>
      </c>
      <c r="K697" s="113">
        <f t="shared" si="1099"/>
        <v>0</v>
      </c>
      <c r="L697" s="113">
        <f t="shared" si="1099"/>
        <v>0</v>
      </c>
      <c r="M697" s="113">
        <f t="shared" si="1099"/>
        <v>0</v>
      </c>
      <c r="N697" s="113">
        <f t="shared" si="1099"/>
        <v>186.89060207838202</v>
      </c>
      <c r="O697" s="113">
        <f t="shared" si="1099"/>
        <v>0</v>
      </c>
      <c r="P697" s="113">
        <f t="shared" si="1099"/>
        <v>0</v>
      </c>
      <c r="Q697" s="113">
        <f t="shared" si="1099"/>
        <v>243.26253678468032</v>
      </c>
      <c r="R697" s="113">
        <f t="shared" si="1099"/>
        <v>205.43551088226539</v>
      </c>
      <c r="S697" s="113">
        <f t="shared" si="1099"/>
        <v>0</v>
      </c>
      <c r="T697" s="113">
        <f t="shared" si="1099"/>
        <v>0</v>
      </c>
      <c r="U697" s="113">
        <f t="shared" si="1099"/>
        <v>0</v>
      </c>
      <c r="V697" s="113">
        <f t="shared" si="1099"/>
        <v>205.72946992240765</v>
      </c>
      <c r="W697" s="113">
        <f t="shared" si="1099"/>
        <v>243.22662072155413</v>
      </c>
      <c r="X697" s="113">
        <f t="shared" si="1099"/>
        <v>0</v>
      </c>
      <c r="Y697" s="113">
        <f t="shared" si="1099"/>
        <v>0</v>
      </c>
      <c r="Z697" s="113">
        <f t="shared" si="1099"/>
        <v>205.56483354497993</v>
      </c>
      <c r="AA697" s="113">
        <f t="shared" si="1099"/>
        <v>0</v>
      </c>
      <c r="AB697" s="113">
        <f t="shared" si="1099"/>
        <v>149.65355747232337</v>
      </c>
      <c r="AC697" s="113">
        <f t="shared" si="1099"/>
        <v>0</v>
      </c>
      <c r="AD697" s="113">
        <f t="shared" si="1099"/>
        <v>205.39531907816584</v>
      </c>
      <c r="AE697" s="113">
        <f t="shared" si="1099"/>
        <v>0</v>
      </c>
      <c r="AF697" s="113">
        <f t="shared" si="1099"/>
        <v>0</v>
      </c>
      <c r="AG697" s="113">
        <f t="shared" si="1099"/>
        <v>0</v>
      </c>
      <c r="AH697" s="113">
        <f t="shared" si="1099"/>
        <v>205.72946992240765</v>
      </c>
      <c r="AI697" s="113">
        <f t="shared" ref="AI697:BB697" si="1100">AI689*AI544</f>
        <v>243.22662072155413</v>
      </c>
      <c r="AJ697" s="113">
        <f t="shared" si="1100"/>
        <v>0</v>
      </c>
      <c r="AK697" s="113">
        <f t="shared" si="1100"/>
        <v>0</v>
      </c>
      <c r="AL697" s="113">
        <f t="shared" si="1100"/>
        <v>205.56483354497993</v>
      </c>
      <c r="AM697" s="113">
        <f t="shared" si="1100"/>
        <v>0</v>
      </c>
      <c r="AN697" s="113">
        <f t="shared" si="1100"/>
        <v>0</v>
      </c>
      <c r="AO697" s="113">
        <f t="shared" si="1100"/>
        <v>243.26253678468032</v>
      </c>
      <c r="AP697" s="113">
        <f t="shared" si="1100"/>
        <v>205.39531907816584</v>
      </c>
      <c r="AQ697" s="113">
        <f t="shared" si="1100"/>
        <v>0</v>
      </c>
      <c r="AR697" s="113">
        <f t="shared" si="1100"/>
        <v>0</v>
      </c>
      <c r="AS697" s="113">
        <f t="shared" si="1100"/>
        <v>0</v>
      </c>
      <c r="AT697" s="113">
        <f t="shared" si="1100"/>
        <v>187.08449275362318</v>
      </c>
      <c r="AU697" s="113">
        <f t="shared" si="1100"/>
        <v>0</v>
      </c>
      <c r="AV697" s="113">
        <f t="shared" si="1100"/>
        <v>0</v>
      </c>
      <c r="AW697" s="113">
        <f t="shared" si="1100"/>
        <v>0</v>
      </c>
      <c r="AX697" s="113">
        <f t="shared" si="1100"/>
        <v>205.73667525185209</v>
      </c>
      <c r="AY697" s="113">
        <f t="shared" si="1100"/>
        <v>0</v>
      </c>
      <c r="AZ697" s="113">
        <f t="shared" si="1100"/>
        <v>0</v>
      </c>
      <c r="BA697" s="113">
        <f t="shared" si="1100"/>
        <v>0</v>
      </c>
      <c r="BB697" s="113">
        <f t="shared" si="1100"/>
        <v>205.56483354497993</v>
      </c>
      <c r="BC697" s="113">
        <f t="shared" si="1088"/>
        <v>3757.8497270656812</v>
      </c>
      <c r="BD697" s="119"/>
    </row>
    <row r="698" spans="2:56" x14ac:dyDescent="0.25">
      <c r="B698" s="43" t="str">
        <f t="shared" ref="B698:B705" si="1101">_xlfn.CONCAT(B457," ","Rework Loss Baseline")</f>
        <v>Product A Rework Loss Baseline</v>
      </c>
      <c r="C698" s="43">
        <f t="shared" ref="C698:AH698" si="1102">C763*$Q10</f>
        <v>4.5</v>
      </c>
      <c r="D698" s="43">
        <f t="shared" si="1102"/>
        <v>0</v>
      </c>
      <c r="E698" s="43">
        <f t="shared" si="1102"/>
        <v>2.5</v>
      </c>
      <c r="F698" s="43">
        <f t="shared" si="1102"/>
        <v>0</v>
      </c>
      <c r="G698" s="43">
        <f t="shared" si="1102"/>
        <v>4.5</v>
      </c>
      <c r="H698" s="43">
        <f t="shared" si="1102"/>
        <v>0</v>
      </c>
      <c r="I698" s="43">
        <f t="shared" si="1102"/>
        <v>0</v>
      </c>
      <c r="J698" s="43">
        <f t="shared" si="1102"/>
        <v>0</v>
      </c>
      <c r="K698" s="43">
        <f t="shared" si="1102"/>
        <v>4.5</v>
      </c>
      <c r="L698" s="43">
        <f t="shared" si="1102"/>
        <v>0</v>
      </c>
      <c r="M698" s="43">
        <f t="shared" si="1102"/>
        <v>0</v>
      </c>
      <c r="N698" s="43">
        <f t="shared" si="1102"/>
        <v>0</v>
      </c>
      <c r="O698" s="43">
        <f t="shared" si="1102"/>
        <v>4.5</v>
      </c>
      <c r="P698" s="43">
        <f t="shared" si="1102"/>
        <v>1.5</v>
      </c>
      <c r="Q698" s="43">
        <f t="shared" si="1102"/>
        <v>0</v>
      </c>
      <c r="R698" s="43">
        <f t="shared" si="1102"/>
        <v>0</v>
      </c>
      <c r="S698" s="43">
        <f t="shared" si="1102"/>
        <v>4.5</v>
      </c>
      <c r="T698" s="43">
        <f t="shared" si="1102"/>
        <v>0</v>
      </c>
      <c r="U698" s="43">
        <f t="shared" si="1102"/>
        <v>0</v>
      </c>
      <c r="V698" s="43">
        <f t="shared" si="1102"/>
        <v>1.5</v>
      </c>
      <c r="W698" s="43">
        <f t="shared" si="1102"/>
        <v>4.5</v>
      </c>
      <c r="X698" s="43">
        <f t="shared" si="1102"/>
        <v>0</v>
      </c>
      <c r="Y698" s="43">
        <f t="shared" si="1102"/>
        <v>0</v>
      </c>
      <c r="Z698" s="43">
        <f t="shared" si="1102"/>
        <v>0</v>
      </c>
      <c r="AA698" s="43">
        <f t="shared" si="1102"/>
        <v>4.5</v>
      </c>
      <c r="AB698" s="43">
        <f t="shared" si="1102"/>
        <v>0</v>
      </c>
      <c r="AC698" s="43">
        <f t="shared" si="1102"/>
        <v>3</v>
      </c>
      <c r="AD698" s="43">
        <f t="shared" si="1102"/>
        <v>0</v>
      </c>
      <c r="AE698" s="43">
        <f t="shared" si="1102"/>
        <v>4.5</v>
      </c>
      <c r="AF698" s="43">
        <f t="shared" si="1102"/>
        <v>0</v>
      </c>
      <c r="AG698" s="43">
        <f t="shared" si="1102"/>
        <v>0</v>
      </c>
      <c r="AH698" s="43">
        <f t="shared" si="1102"/>
        <v>1.5</v>
      </c>
      <c r="AI698" s="43">
        <f t="shared" ref="AI698:BB698" si="1103">AI763*$Q10</f>
        <v>4.5</v>
      </c>
      <c r="AJ698" s="43">
        <f t="shared" si="1103"/>
        <v>0</v>
      </c>
      <c r="AK698" s="43">
        <f t="shared" si="1103"/>
        <v>0</v>
      </c>
      <c r="AL698" s="43">
        <f t="shared" si="1103"/>
        <v>0</v>
      </c>
      <c r="AM698" s="43">
        <f t="shared" si="1103"/>
        <v>4.5</v>
      </c>
      <c r="AN698" s="43">
        <f t="shared" si="1103"/>
        <v>1.5</v>
      </c>
      <c r="AO698" s="43">
        <f t="shared" si="1103"/>
        <v>0</v>
      </c>
      <c r="AP698" s="43">
        <f t="shared" si="1103"/>
        <v>0</v>
      </c>
      <c r="AQ698" s="43">
        <f t="shared" si="1103"/>
        <v>4.5</v>
      </c>
      <c r="AR698" s="43">
        <f t="shared" si="1103"/>
        <v>0</v>
      </c>
      <c r="AS698" s="43">
        <f t="shared" si="1103"/>
        <v>2.5</v>
      </c>
      <c r="AT698" s="43">
        <f t="shared" si="1103"/>
        <v>0</v>
      </c>
      <c r="AU698" s="43">
        <f t="shared" si="1103"/>
        <v>4.5</v>
      </c>
      <c r="AV698" s="43">
        <f t="shared" si="1103"/>
        <v>2.5</v>
      </c>
      <c r="AW698" s="43">
        <f t="shared" si="1103"/>
        <v>0</v>
      </c>
      <c r="AX698" s="43">
        <f t="shared" si="1103"/>
        <v>0</v>
      </c>
      <c r="AY698" s="43">
        <f t="shared" si="1103"/>
        <v>4.5</v>
      </c>
      <c r="AZ698" s="43">
        <f t="shared" si="1103"/>
        <v>0</v>
      </c>
      <c r="BA698" s="43">
        <f t="shared" si="1103"/>
        <v>0</v>
      </c>
      <c r="BB698" s="43">
        <f t="shared" si="1103"/>
        <v>0</v>
      </c>
      <c r="BC698" s="113">
        <f t="shared" si="1088"/>
        <v>75</v>
      </c>
      <c r="BD698" s="144"/>
    </row>
    <row r="699" spans="2:56" x14ac:dyDescent="0.25">
      <c r="B699" s="43" t="str">
        <f t="shared" si="1101"/>
        <v>Product B Rework Loss Baseline</v>
      </c>
      <c r="C699" s="43">
        <f t="shared" ref="C699:AH699" si="1104">C764*$Q11</f>
        <v>4</v>
      </c>
      <c r="D699" s="43">
        <f t="shared" si="1104"/>
        <v>4.5</v>
      </c>
      <c r="E699" s="43">
        <f t="shared" si="1104"/>
        <v>0</v>
      </c>
      <c r="F699" s="43">
        <f t="shared" si="1104"/>
        <v>3</v>
      </c>
      <c r="G699" s="43">
        <f t="shared" si="1104"/>
        <v>4</v>
      </c>
      <c r="H699" s="43">
        <f t="shared" si="1104"/>
        <v>4.5</v>
      </c>
      <c r="I699" s="43">
        <f t="shared" si="1104"/>
        <v>0</v>
      </c>
      <c r="J699" s="43">
        <f t="shared" si="1104"/>
        <v>1.5</v>
      </c>
      <c r="K699" s="43">
        <f t="shared" si="1104"/>
        <v>4</v>
      </c>
      <c r="L699" s="43">
        <f t="shared" si="1104"/>
        <v>4.5</v>
      </c>
      <c r="M699" s="43">
        <f t="shared" si="1104"/>
        <v>0</v>
      </c>
      <c r="N699" s="43">
        <f t="shared" si="1104"/>
        <v>0</v>
      </c>
      <c r="O699" s="43">
        <f t="shared" si="1104"/>
        <v>4</v>
      </c>
      <c r="P699" s="43">
        <f t="shared" si="1104"/>
        <v>4.5</v>
      </c>
      <c r="Q699" s="43">
        <f t="shared" si="1104"/>
        <v>0</v>
      </c>
      <c r="R699" s="43">
        <f t="shared" si="1104"/>
        <v>0</v>
      </c>
      <c r="S699" s="43">
        <f t="shared" si="1104"/>
        <v>4</v>
      </c>
      <c r="T699" s="43">
        <f t="shared" si="1104"/>
        <v>4.5</v>
      </c>
      <c r="U699" s="43">
        <f t="shared" si="1104"/>
        <v>0</v>
      </c>
      <c r="V699" s="43">
        <f t="shared" si="1104"/>
        <v>0</v>
      </c>
      <c r="W699" s="43">
        <f t="shared" si="1104"/>
        <v>4</v>
      </c>
      <c r="X699" s="43">
        <f t="shared" si="1104"/>
        <v>4.5</v>
      </c>
      <c r="Y699" s="43">
        <f t="shared" si="1104"/>
        <v>0</v>
      </c>
      <c r="Z699" s="43">
        <f t="shared" si="1104"/>
        <v>0</v>
      </c>
      <c r="AA699" s="43">
        <f t="shared" si="1104"/>
        <v>4</v>
      </c>
      <c r="AB699" s="43">
        <f t="shared" si="1104"/>
        <v>4.5</v>
      </c>
      <c r="AC699" s="43">
        <f t="shared" si="1104"/>
        <v>0</v>
      </c>
      <c r="AD699" s="43">
        <f t="shared" si="1104"/>
        <v>0</v>
      </c>
      <c r="AE699" s="43">
        <f t="shared" si="1104"/>
        <v>4</v>
      </c>
      <c r="AF699" s="43">
        <f t="shared" si="1104"/>
        <v>4.5</v>
      </c>
      <c r="AG699" s="43">
        <f t="shared" si="1104"/>
        <v>0</v>
      </c>
      <c r="AH699" s="43">
        <f t="shared" si="1104"/>
        <v>0</v>
      </c>
      <c r="AI699" s="43">
        <f t="shared" ref="AI699:BB699" si="1105">AI764*$Q11</f>
        <v>4</v>
      </c>
      <c r="AJ699" s="43">
        <f t="shared" si="1105"/>
        <v>4.5</v>
      </c>
      <c r="AK699" s="43">
        <f t="shared" si="1105"/>
        <v>0</v>
      </c>
      <c r="AL699" s="43">
        <f t="shared" si="1105"/>
        <v>0</v>
      </c>
      <c r="AM699" s="43">
        <f t="shared" si="1105"/>
        <v>4</v>
      </c>
      <c r="AN699" s="43">
        <f t="shared" si="1105"/>
        <v>4.5</v>
      </c>
      <c r="AO699" s="43">
        <f t="shared" si="1105"/>
        <v>0</v>
      </c>
      <c r="AP699" s="43">
        <f t="shared" si="1105"/>
        <v>0</v>
      </c>
      <c r="AQ699" s="43">
        <f t="shared" si="1105"/>
        <v>4</v>
      </c>
      <c r="AR699" s="43">
        <f t="shared" si="1105"/>
        <v>4.5</v>
      </c>
      <c r="AS699" s="43">
        <f t="shared" si="1105"/>
        <v>0</v>
      </c>
      <c r="AT699" s="43">
        <f t="shared" si="1105"/>
        <v>2.5</v>
      </c>
      <c r="AU699" s="43">
        <f t="shared" si="1105"/>
        <v>4</v>
      </c>
      <c r="AV699" s="43">
        <f t="shared" si="1105"/>
        <v>4.5</v>
      </c>
      <c r="AW699" s="43">
        <f t="shared" si="1105"/>
        <v>0</v>
      </c>
      <c r="AX699" s="43">
        <f t="shared" si="1105"/>
        <v>1.5</v>
      </c>
      <c r="AY699" s="43">
        <f t="shared" si="1105"/>
        <v>4</v>
      </c>
      <c r="AZ699" s="43">
        <f t="shared" si="1105"/>
        <v>1.5</v>
      </c>
      <c r="BA699" s="43">
        <f t="shared" si="1105"/>
        <v>0</v>
      </c>
      <c r="BB699" s="43">
        <f t="shared" si="1105"/>
        <v>0</v>
      </c>
      <c r="BC699" s="113">
        <f t="shared" si="1088"/>
        <v>116</v>
      </c>
      <c r="BD699" s="144"/>
    </row>
    <row r="700" spans="2:56" x14ac:dyDescent="0.25">
      <c r="B700" s="43" t="str">
        <f t="shared" si="1101"/>
        <v>Product C Rework Loss Baseline</v>
      </c>
      <c r="C700" s="43">
        <f t="shared" ref="C700:AH700" si="1106">C765*$Q12</f>
        <v>2.9999999999999996</v>
      </c>
      <c r="D700" s="43">
        <f t="shared" si="1106"/>
        <v>2.4</v>
      </c>
      <c r="E700" s="43">
        <f t="shared" si="1106"/>
        <v>2.6999999999999997</v>
      </c>
      <c r="F700" s="43">
        <f t="shared" si="1106"/>
        <v>0</v>
      </c>
      <c r="G700" s="43">
        <f t="shared" si="1106"/>
        <v>2.9999999999999996</v>
      </c>
      <c r="H700" s="43">
        <f t="shared" si="1106"/>
        <v>2.4</v>
      </c>
      <c r="I700" s="43">
        <f t="shared" si="1106"/>
        <v>2.6999999999999997</v>
      </c>
      <c r="J700" s="43">
        <f t="shared" si="1106"/>
        <v>0</v>
      </c>
      <c r="K700" s="43">
        <f t="shared" si="1106"/>
        <v>2.9999999999999996</v>
      </c>
      <c r="L700" s="43">
        <f t="shared" si="1106"/>
        <v>2.4</v>
      </c>
      <c r="M700" s="43">
        <f t="shared" si="1106"/>
        <v>2.6999999999999997</v>
      </c>
      <c r="N700" s="43">
        <f t="shared" si="1106"/>
        <v>0</v>
      </c>
      <c r="O700" s="43">
        <f t="shared" si="1106"/>
        <v>2.9999999999999996</v>
      </c>
      <c r="P700" s="43">
        <f t="shared" si="1106"/>
        <v>2.4</v>
      </c>
      <c r="Q700" s="43">
        <f t="shared" si="1106"/>
        <v>2.6999999999999997</v>
      </c>
      <c r="R700" s="43">
        <f t="shared" si="1106"/>
        <v>0</v>
      </c>
      <c r="S700" s="43">
        <f t="shared" si="1106"/>
        <v>2.9999999999999996</v>
      </c>
      <c r="T700" s="43">
        <f t="shared" si="1106"/>
        <v>2.4</v>
      </c>
      <c r="U700" s="43">
        <f t="shared" si="1106"/>
        <v>2.6999999999999997</v>
      </c>
      <c r="V700" s="43">
        <f t="shared" si="1106"/>
        <v>0</v>
      </c>
      <c r="W700" s="43">
        <f t="shared" si="1106"/>
        <v>2.9999999999999996</v>
      </c>
      <c r="X700" s="43">
        <f t="shared" si="1106"/>
        <v>2.4</v>
      </c>
      <c r="Y700" s="43">
        <f t="shared" si="1106"/>
        <v>2.6999999999999997</v>
      </c>
      <c r="Z700" s="43">
        <f t="shared" si="1106"/>
        <v>0</v>
      </c>
      <c r="AA700" s="43">
        <f t="shared" si="1106"/>
        <v>2.9999999999999996</v>
      </c>
      <c r="AB700" s="43">
        <f t="shared" si="1106"/>
        <v>2.4</v>
      </c>
      <c r="AC700" s="43">
        <f t="shared" si="1106"/>
        <v>2.6999999999999997</v>
      </c>
      <c r="AD700" s="43">
        <f t="shared" si="1106"/>
        <v>0</v>
      </c>
      <c r="AE700" s="43">
        <f t="shared" si="1106"/>
        <v>2.9999999999999996</v>
      </c>
      <c r="AF700" s="43">
        <f t="shared" si="1106"/>
        <v>2.4</v>
      </c>
      <c r="AG700" s="43">
        <f t="shared" si="1106"/>
        <v>2.6999999999999997</v>
      </c>
      <c r="AH700" s="43">
        <f t="shared" si="1106"/>
        <v>0</v>
      </c>
      <c r="AI700" s="43">
        <f t="shared" ref="AI700:BB700" si="1107">AI765*$Q12</f>
        <v>2.9999999999999996</v>
      </c>
      <c r="AJ700" s="43">
        <f t="shared" si="1107"/>
        <v>2.4</v>
      </c>
      <c r="AK700" s="43">
        <f t="shared" si="1107"/>
        <v>2.6999999999999997</v>
      </c>
      <c r="AL700" s="43">
        <f t="shared" si="1107"/>
        <v>0</v>
      </c>
      <c r="AM700" s="43">
        <f t="shared" si="1107"/>
        <v>2.9999999999999996</v>
      </c>
      <c r="AN700" s="43">
        <f t="shared" si="1107"/>
        <v>2.4</v>
      </c>
      <c r="AO700" s="43">
        <f t="shared" si="1107"/>
        <v>2.6999999999999997</v>
      </c>
      <c r="AP700" s="43">
        <f t="shared" si="1107"/>
        <v>0</v>
      </c>
      <c r="AQ700" s="43">
        <f t="shared" si="1107"/>
        <v>2.9999999999999996</v>
      </c>
      <c r="AR700" s="43">
        <f t="shared" si="1107"/>
        <v>2.4</v>
      </c>
      <c r="AS700" s="43">
        <f t="shared" si="1107"/>
        <v>2.6999999999999997</v>
      </c>
      <c r="AT700" s="43">
        <f t="shared" si="1107"/>
        <v>0</v>
      </c>
      <c r="AU700" s="43">
        <f t="shared" si="1107"/>
        <v>2.9999999999999996</v>
      </c>
      <c r="AV700" s="43">
        <f t="shared" si="1107"/>
        <v>2.4</v>
      </c>
      <c r="AW700" s="43">
        <f t="shared" si="1107"/>
        <v>2.6999999999999997</v>
      </c>
      <c r="AX700" s="43">
        <f t="shared" si="1107"/>
        <v>0</v>
      </c>
      <c r="AY700" s="43">
        <f t="shared" si="1107"/>
        <v>2.9999999999999996</v>
      </c>
      <c r="AZ700" s="43">
        <f t="shared" si="1107"/>
        <v>2.4</v>
      </c>
      <c r="BA700" s="43">
        <f t="shared" si="1107"/>
        <v>2.6999999999999997</v>
      </c>
      <c r="BB700" s="43">
        <f t="shared" si="1107"/>
        <v>0</v>
      </c>
      <c r="BC700" s="113">
        <f t="shared" si="1088"/>
        <v>105.30000000000004</v>
      </c>
    </row>
    <row r="701" spans="2:56" x14ac:dyDescent="0.25">
      <c r="B701" s="43" t="str">
        <f t="shared" si="1101"/>
        <v>Product D Rework Loss Baseline</v>
      </c>
      <c r="C701" s="43">
        <f t="shared" ref="C701:AH701" si="1108">C766*$Q13</f>
        <v>6.5</v>
      </c>
      <c r="D701" s="43">
        <f t="shared" si="1108"/>
        <v>5</v>
      </c>
      <c r="E701" s="43">
        <f t="shared" si="1108"/>
        <v>4</v>
      </c>
      <c r="F701" s="43">
        <f t="shared" si="1108"/>
        <v>4.5</v>
      </c>
      <c r="G701" s="43">
        <f t="shared" si="1108"/>
        <v>4.5</v>
      </c>
      <c r="H701" s="43">
        <f t="shared" si="1108"/>
        <v>5</v>
      </c>
      <c r="I701" s="43">
        <f t="shared" si="1108"/>
        <v>4</v>
      </c>
      <c r="J701" s="43">
        <f t="shared" si="1108"/>
        <v>4.5</v>
      </c>
      <c r="K701" s="43">
        <f t="shared" si="1108"/>
        <v>6.5</v>
      </c>
      <c r="L701" s="43">
        <f t="shared" si="1108"/>
        <v>5</v>
      </c>
      <c r="M701" s="43">
        <f t="shared" si="1108"/>
        <v>4</v>
      </c>
      <c r="N701" s="43">
        <f t="shared" si="1108"/>
        <v>4.5</v>
      </c>
      <c r="O701" s="43">
        <f t="shared" si="1108"/>
        <v>6.5</v>
      </c>
      <c r="P701" s="43">
        <f t="shared" si="1108"/>
        <v>5</v>
      </c>
      <c r="Q701" s="43">
        <f t="shared" si="1108"/>
        <v>4</v>
      </c>
      <c r="R701" s="43">
        <f t="shared" si="1108"/>
        <v>4.5</v>
      </c>
      <c r="S701" s="43">
        <f t="shared" si="1108"/>
        <v>4.5</v>
      </c>
      <c r="T701" s="43">
        <f t="shared" si="1108"/>
        <v>4</v>
      </c>
      <c r="U701" s="43">
        <f t="shared" si="1108"/>
        <v>4</v>
      </c>
      <c r="V701" s="43">
        <f t="shared" si="1108"/>
        <v>4.5</v>
      </c>
      <c r="W701" s="43">
        <f t="shared" si="1108"/>
        <v>6.5</v>
      </c>
      <c r="X701" s="43">
        <f t="shared" si="1108"/>
        <v>5</v>
      </c>
      <c r="Y701" s="43">
        <f t="shared" si="1108"/>
        <v>4</v>
      </c>
      <c r="Z701" s="43">
        <f t="shared" si="1108"/>
        <v>3.5</v>
      </c>
      <c r="AA701" s="43">
        <f t="shared" si="1108"/>
        <v>6.5</v>
      </c>
      <c r="AB701" s="43">
        <f t="shared" si="1108"/>
        <v>5</v>
      </c>
      <c r="AC701" s="43">
        <f t="shared" si="1108"/>
        <v>4</v>
      </c>
      <c r="AD701" s="43">
        <f t="shared" si="1108"/>
        <v>4.5</v>
      </c>
      <c r="AE701" s="43">
        <f t="shared" si="1108"/>
        <v>4.5</v>
      </c>
      <c r="AF701" s="43">
        <f t="shared" si="1108"/>
        <v>5</v>
      </c>
      <c r="AG701" s="43">
        <f t="shared" si="1108"/>
        <v>4</v>
      </c>
      <c r="AH701" s="43">
        <f t="shared" si="1108"/>
        <v>4.5</v>
      </c>
      <c r="AI701" s="43">
        <f t="shared" ref="AI701:BB701" si="1109">AI766*$Q13</f>
        <v>6.5</v>
      </c>
      <c r="AJ701" s="43">
        <f t="shared" si="1109"/>
        <v>5</v>
      </c>
      <c r="AK701" s="43">
        <f t="shared" si="1109"/>
        <v>4</v>
      </c>
      <c r="AL701" s="43">
        <f t="shared" si="1109"/>
        <v>3.5</v>
      </c>
      <c r="AM701" s="43">
        <f t="shared" si="1109"/>
        <v>6.5</v>
      </c>
      <c r="AN701" s="43">
        <f t="shared" si="1109"/>
        <v>5</v>
      </c>
      <c r="AO701" s="43">
        <f t="shared" si="1109"/>
        <v>4</v>
      </c>
      <c r="AP701" s="43">
        <f t="shared" si="1109"/>
        <v>4.5</v>
      </c>
      <c r="AQ701" s="43">
        <f t="shared" si="1109"/>
        <v>4.5</v>
      </c>
      <c r="AR701" s="43">
        <f t="shared" si="1109"/>
        <v>5</v>
      </c>
      <c r="AS701" s="43">
        <f t="shared" si="1109"/>
        <v>4</v>
      </c>
      <c r="AT701" s="43">
        <f t="shared" si="1109"/>
        <v>4.5</v>
      </c>
      <c r="AU701" s="43">
        <f t="shared" si="1109"/>
        <v>6.5</v>
      </c>
      <c r="AV701" s="43">
        <f t="shared" si="1109"/>
        <v>5</v>
      </c>
      <c r="AW701" s="43">
        <f t="shared" si="1109"/>
        <v>4</v>
      </c>
      <c r="AX701" s="43">
        <f t="shared" si="1109"/>
        <v>4.5</v>
      </c>
      <c r="AY701" s="43">
        <f t="shared" si="1109"/>
        <v>6.5</v>
      </c>
      <c r="AZ701" s="43">
        <f t="shared" si="1109"/>
        <v>5</v>
      </c>
      <c r="BA701" s="43">
        <f t="shared" si="1109"/>
        <v>4</v>
      </c>
      <c r="BB701" s="43">
        <f t="shared" si="1109"/>
        <v>3.5</v>
      </c>
      <c r="BC701" s="113">
        <f t="shared" si="1088"/>
        <v>248</v>
      </c>
    </row>
    <row r="702" spans="2:56" x14ac:dyDescent="0.25">
      <c r="B702" s="43" t="str">
        <f t="shared" si="1101"/>
        <v>Product E Rework Loss Baseline</v>
      </c>
      <c r="C702" s="43">
        <f t="shared" ref="C702:AH702" si="1110">C767*$Q14</f>
        <v>2</v>
      </c>
      <c r="D702" s="43">
        <f t="shared" si="1110"/>
        <v>5.2</v>
      </c>
      <c r="E702" s="43">
        <f t="shared" si="1110"/>
        <v>4</v>
      </c>
      <c r="F702" s="43">
        <f t="shared" si="1110"/>
        <v>3.2</v>
      </c>
      <c r="G702" s="43">
        <f t="shared" si="1110"/>
        <v>2</v>
      </c>
      <c r="H702" s="43">
        <f t="shared" si="1110"/>
        <v>4.4000000000000004</v>
      </c>
      <c r="I702" s="43">
        <f t="shared" si="1110"/>
        <v>4</v>
      </c>
      <c r="J702" s="43">
        <f t="shared" si="1110"/>
        <v>3.2</v>
      </c>
      <c r="K702" s="43">
        <f t="shared" si="1110"/>
        <v>2</v>
      </c>
      <c r="L702" s="43">
        <f t="shared" si="1110"/>
        <v>2.8000000000000003</v>
      </c>
      <c r="M702" s="43">
        <f t="shared" si="1110"/>
        <v>2.4</v>
      </c>
      <c r="N702" s="43">
        <f t="shared" si="1110"/>
        <v>3.2</v>
      </c>
      <c r="O702" s="43">
        <f t="shared" si="1110"/>
        <v>2</v>
      </c>
      <c r="P702" s="43">
        <f t="shared" si="1110"/>
        <v>5.2</v>
      </c>
      <c r="Q702" s="43">
        <f t="shared" si="1110"/>
        <v>4</v>
      </c>
      <c r="R702" s="43">
        <f t="shared" si="1110"/>
        <v>3.2</v>
      </c>
      <c r="S702" s="43">
        <f t="shared" si="1110"/>
        <v>2</v>
      </c>
      <c r="T702" s="43">
        <f t="shared" si="1110"/>
        <v>5.2</v>
      </c>
      <c r="U702" s="43">
        <f t="shared" si="1110"/>
        <v>4</v>
      </c>
      <c r="V702" s="43">
        <f t="shared" si="1110"/>
        <v>3.2</v>
      </c>
      <c r="W702" s="43">
        <f t="shared" si="1110"/>
        <v>2</v>
      </c>
      <c r="X702" s="43">
        <f t="shared" si="1110"/>
        <v>2.8000000000000003</v>
      </c>
      <c r="Y702" s="43">
        <f t="shared" si="1110"/>
        <v>4</v>
      </c>
      <c r="Z702" s="43">
        <f t="shared" si="1110"/>
        <v>3.2</v>
      </c>
      <c r="AA702" s="43">
        <f t="shared" si="1110"/>
        <v>2</v>
      </c>
      <c r="AB702" s="43">
        <f t="shared" si="1110"/>
        <v>5.2</v>
      </c>
      <c r="AC702" s="43">
        <f t="shared" si="1110"/>
        <v>4</v>
      </c>
      <c r="AD702" s="43">
        <f t="shared" si="1110"/>
        <v>3.2</v>
      </c>
      <c r="AE702" s="43">
        <f t="shared" si="1110"/>
        <v>2</v>
      </c>
      <c r="AF702" s="43">
        <f t="shared" si="1110"/>
        <v>4.4000000000000004</v>
      </c>
      <c r="AG702" s="43">
        <f t="shared" si="1110"/>
        <v>4</v>
      </c>
      <c r="AH702" s="43">
        <f t="shared" si="1110"/>
        <v>3.2</v>
      </c>
      <c r="AI702" s="43">
        <f t="shared" ref="AI702:BB702" si="1111">AI767*$Q14</f>
        <v>2</v>
      </c>
      <c r="AJ702" s="43">
        <f t="shared" si="1111"/>
        <v>2.8000000000000003</v>
      </c>
      <c r="AK702" s="43">
        <f t="shared" si="1111"/>
        <v>4</v>
      </c>
      <c r="AL702" s="43">
        <f t="shared" si="1111"/>
        <v>3.2</v>
      </c>
      <c r="AM702" s="43">
        <f t="shared" si="1111"/>
        <v>2</v>
      </c>
      <c r="AN702" s="43">
        <f t="shared" si="1111"/>
        <v>5.2</v>
      </c>
      <c r="AO702" s="43">
        <f t="shared" si="1111"/>
        <v>4</v>
      </c>
      <c r="AP702" s="43">
        <f t="shared" si="1111"/>
        <v>3.2</v>
      </c>
      <c r="AQ702" s="43">
        <f t="shared" si="1111"/>
        <v>2</v>
      </c>
      <c r="AR702" s="43">
        <f t="shared" si="1111"/>
        <v>4.4000000000000004</v>
      </c>
      <c r="AS702" s="43">
        <f t="shared" si="1111"/>
        <v>4</v>
      </c>
      <c r="AT702" s="43">
        <f t="shared" si="1111"/>
        <v>3.2</v>
      </c>
      <c r="AU702" s="43">
        <f t="shared" si="1111"/>
        <v>2</v>
      </c>
      <c r="AV702" s="43">
        <f t="shared" si="1111"/>
        <v>5.2</v>
      </c>
      <c r="AW702" s="43">
        <f t="shared" si="1111"/>
        <v>4</v>
      </c>
      <c r="AX702" s="43">
        <f t="shared" si="1111"/>
        <v>3.2</v>
      </c>
      <c r="AY702" s="43">
        <f t="shared" si="1111"/>
        <v>2</v>
      </c>
      <c r="AZ702" s="43">
        <f t="shared" si="1111"/>
        <v>5.2</v>
      </c>
      <c r="BA702" s="43">
        <f t="shared" si="1111"/>
        <v>4</v>
      </c>
      <c r="BB702" s="43">
        <f t="shared" si="1111"/>
        <v>3.2</v>
      </c>
      <c r="BC702" s="113">
        <f t="shared" si="1088"/>
        <v>175.99999999999997</v>
      </c>
    </row>
    <row r="703" spans="2:56" x14ac:dyDescent="0.25">
      <c r="B703" s="43" t="str">
        <f t="shared" si="1101"/>
        <v>Product F Rework Loss Baseline</v>
      </c>
      <c r="C703" s="43">
        <f t="shared" ref="C703:AH703" si="1112">C768*$Q15</f>
        <v>0</v>
      </c>
      <c r="D703" s="43">
        <f t="shared" si="1112"/>
        <v>2</v>
      </c>
      <c r="E703" s="43">
        <f t="shared" si="1112"/>
        <v>5.2</v>
      </c>
      <c r="F703" s="43">
        <f t="shared" si="1112"/>
        <v>0</v>
      </c>
      <c r="G703" s="43">
        <f t="shared" si="1112"/>
        <v>0</v>
      </c>
      <c r="H703" s="43">
        <f t="shared" si="1112"/>
        <v>2</v>
      </c>
      <c r="I703" s="43">
        <f t="shared" si="1112"/>
        <v>5.2</v>
      </c>
      <c r="J703" s="43">
        <f t="shared" si="1112"/>
        <v>4</v>
      </c>
      <c r="K703" s="43">
        <f t="shared" si="1112"/>
        <v>2.4</v>
      </c>
      <c r="L703" s="43">
        <f t="shared" si="1112"/>
        <v>2</v>
      </c>
      <c r="M703" s="43">
        <f t="shared" si="1112"/>
        <v>5.2</v>
      </c>
      <c r="N703" s="43">
        <f t="shared" si="1112"/>
        <v>4</v>
      </c>
      <c r="O703" s="43">
        <f t="shared" si="1112"/>
        <v>0</v>
      </c>
      <c r="P703" s="43">
        <f t="shared" si="1112"/>
        <v>2</v>
      </c>
      <c r="Q703" s="43">
        <f t="shared" si="1112"/>
        <v>5.2</v>
      </c>
      <c r="R703" s="43">
        <f t="shared" si="1112"/>
        <v>4</v>
      </c>
      <c r="S703" s="43">
        <f t="shared" si="1112"/>
        <v>0</v>
      </c>
      <c r="T703" s="43">
        <f t="shared" si="1112"/>
        <v>2</v>
      </c>
      <c r="U703" s="43">
        <f t="shared" si="1112"/>
        <v>5.2</v>
      </c>
      <c r="V703" s="43">
        <f t="shared" si="1112"/>
        <v>4</v>
      </c>
      <c r="W703" s="43">
        <f t="shared" si="1112"/>
        <v>0</v>
      </c>
      <c r="X703" s="43">
        <f t="shared" si="1112"/>
        <v>2</v>
      </c>
      <c r="Y703" s="43">
        <f t="shared" si="1112"/>
        <v>3.6</v>
      </c>
      <c r="Z703" s="43">
        <f t="shared" si="1112"/>
        <v>4</v>
      </c>
      <c r="AA703" s="43">
        <f t="shared" si="1112"/>
        <v>0</v>
      </c>
      <c r="AB703" s="43">
        <f t="shared" si="1112"/>
        <v>2</v>
      </c>
      <c r="AC703" s="43">
        <f t="shared" si="1112"/>
        <v>5.2</v>
      </c>
      <c r="AD703" s="43">
        <f t="shared" si="1112"/>
        <v>1.6</v>
      </c>
      <c r="AE703" s="43">
        <f t="shared" si="1112"/>
        <v>0</v>
      </c>
      <c r="AF703" s="43">
        <f t="shared" si="1112"/>
        <v>2</v>
      </c>
      <c r="AG703" s="43">
        <f t="shared" si="1112"/>
        <v>5.2</v>
      </c>
      <c r="AH703" s="43">
        <f t="shared" si="1112"/>
        <v>4</v>
      </c>
      <c r="AI703" s="43">
        <f t="shared" ref="AI703:BB703" si="1113">AI768*$Q15</f>
        <v>0</v>
      </c>
      <c r="AJ703" s="43">
        <f t="shared" si="1113"/>
        <v>2</v>
      </c>
      <c r="AK703" s="43">
        <f t="shared" si="1113"/>
        <v>3.6</v>
      </c>
      <c r="AL703" s="43">
        <f t="shared" si="1113"/>
        <v>4</v>
      </c>
      <c r="AM703" s="43">
        <f t="shared" si="1113"/>
        <v>0</v>
      </c>
      <c r="AN703" s="43">
        <f t="shared" si="1113"/>
        <v>2</v>
      </c>
      <c r="AO703" s="43">
        <f t="shared" si="1113"/>
        <v>5.2</v>
      </c>
      <c r="AP703" s="43">
        <f t="shared" si="1113"/>
        <v>1.6</v>
      </c>
      <c r="AQ703" s="43">
        <f t="shared" si="1113"/>
        <v>0</v>
      </c>
      <c r="AR703" s="43">
        <f t="shared" si="1113"/>
        <v>2</v>
      </c>
      <c r="AS703" s="43">
        <f t="shared" si="1113"/>
        <v>5.2</v>
      </c>
      <c r="AT703" s="43">
        <f t="shared" si="1113"/>
        <v>4</v>
      </c>
      <c r="AU703" s="43">
        <f t="shared" si="1113"/>
        <v>2</v>
      </c>
      <c r="AV703" s="43">
        <f t="shared" si="1113"/>
        <v>2</v>
      </c>
      <c r="AW703" s="43">
        <f t="shared" si="1113"/>
        <v>5.2</v>
      </c>
      <c r="AX703" s="43">
        <f t="shared" si="1113"/>
        <v>4</v>
      </c>
      <c r="AY703" s="43">
        <f t="shared" si="1113"/>
        <v>2.4</v>
      </c>
      <c r="AZ703" s="43">
        <f t="shared" si="1113"/>
        <v>2</v>
      </c>
      <c r="BA703" s="43">
        <f t="shared" si="1113"/>
        <v>3.6</v>
      </c>
      <c r="BB703" s="43">
        <f t="shared" si="1113"/>
        <v>4</v>
      </c>
      <c r="BC703" s="113">
        <f t="shared" si="1088"/>
        <v>138.79999999999998</v>
      </c>
    </row>
    <row r="704" spans="2:56" x14ac:dyDescent="0.25">
      <c r="B704" s="43" t="str">
        <f t="shared" si="1101"/>
        <v>Product G Rework Loss Baseline</v>
      </c>
      <c r="C704" s="43">
        <f t="shared" ref="C704:AH704" si="1114">C769*$Q16</f>
        <v>0</v>
      </c>
      <c r="D704" s="43">
        <f t="shared" si="1114"/>
        <v>1.2</v>
      </c>
      <c r="E704" s="43">
        <f t="shared" si="1114"/>
        <v>2.4</v>
      </c>
      <c r="F704" s="43">
        <f t="shared" si="1114"/>
        <v>4.4000000000000004</v>
      </c>
      <c r="G704" s="43">
        <f t="shared" si="1114"/>
        <v>0</v>
      </c>
      <c r="H704" s="43">
        <f t="shared" si="1114"/>
        <v>0</v>
      </c>
      <c r="I704" s="43">
        <f t="shared" si="1114"/>
        <v>2</v>
      </c>
      <c r="J704" s="43">
        <f t="shared" si="1114"/>
        <v>5.2</v>
      </c>
      <c r="K704" s="43">
        <f t="shared" si="1114"/>
        <v>0</v>
      </c>
      <c r="L704" s="43">
        <f t="shared" si="1114"/>
        <v>0</v>
      </c>
      <c r="M704" s="43">
        <f t="shared" si="1114"/>
        <v>2</v>
      </c>
      <c r="N704" s="43">
        <f t="shared" si="1114"/>
        <v>4.4000000000000004</v>
      </c>
      <c r="O704" s="43">
        <f t="shared" si="1114"/>
        <v>0</v>
      </c>
      <c r="P704" s="43">
        <f t="shared" si="1114"/>
        <v>0</v>
      </c>
      <c r="Q704" s="43">
        <f t="shared" si="1114"/>
        <v>2</v>
      </c>
      <c r="R704" s="43">
        <f t="shared" si="1114"/>
        <v>2.8000000000000003</v>
      </c>
      <c r="S704" s="43">
        <f t="shared" si="1114"/>
        <v>0</v>
      </c>
      <c r="T704" s="43">
        <f t="shared" si="1114"/>
        <v>0</v>
      </c>
      <c r="U704" s="43">
        <f t="shared" si="1114"/>
        <v>2</v>
      </c>
      <c r="V704" s="43">
        <f t="shared" si="1114"/>
        <v>5.2</v>
      </c>
      <c r="W704" s="43">
        <f t="shared" si="1114"/>
        <v>0</v>
      </c>
      <c r="X704" s="43">
        <f t="shared" si="1114"/>
        <v>0</v>
      </c>
      <c r="Y704" s="43">
        <f t="shared" si="1114"/>
        <v>2</v>
      </c>
      <c r="Z704" s="43">
        <f t="shared" si="1114"/>
        <v>5.2</v>
      </c>
      <c r="AA704" s="43">
        <f t="shared" si="1114"/>
        <v>0</v>
      </c>
      <c r="AB704" s="43">
        <f t="shared" si="1114"/>
        <v>0</v>
      </c>
      <c r="AC704" s="43">
        <f t="shared" si="1114"/>
        <v>2</v>
      </c>
      <c r="AD704" s="43">
        <f t="shared" si="1114"/>
        <v>5.2</v>
      </c>
      <c r="AE704" s="43">
        <f t="shared" si="1114"/>
        <v>0</v>
      </c>
      <c r="AF704" s="43">
        <f t="shared" si="1114"/>
        <v>0</v>
      </c>
      <c r="AG704" s="43">
        <f t="shared" si="1114"/>
        <v>2</v>
      </c>
      <c r="AH704" s="43">
        <f t="shared" si="1114"/>
        <v>5.2</v>
      </c>
      <c r="AI704" s="43">
        <f t="shared" ref="AI704:BB704" si="1115">AI769*$Q16</f>
        <v>0</v>
      </c>
      <c r="AJ704" s="43">
        <f t="shared" si="1115"/>
        <v>0</v>
      </c>
      <c r="AK704" s="43">
        <f t="shared" si="1115"/>
        <v>2</v>
      </c>
      <c r="AL704" s="43">
        <f t="shared" si="1115"/>
        <v>5.2</v>
      </c>
      <c r="AM704" s="43">
        <f t="shared" si="1115"/>
        <v>0</v>
      </c>
      <c r="AN704" s="43">
        <f t="shared" si="1115"/>
        <v>0</v>
      </c>
      <c r="AO704" s="43">
        <f t="shared" si="1115"/>
        <v>2</v>
      </c>
      <c r="AP704" s="43">
        <f t="shared" si="1115"/>
        <v>5.2</v>
      </c>
      <c r="AQ704" s="43">
        <f t="shared" si="1115"/>
        <v>0</v>
      </c>
      <c r="AR704" s="43">
        <f t="shared" si="1115"/>
        <v>0</v>
      </c>
      <c r="AS704" s="43">
        <f t="shared" si="1115"/>
        <v>2</v>
      </c>
      <c r="AT704" s="43">
        <f t="shared" si="1115"/>
        <v>5.2</v>
      </c>
      <c r="AU704" s="43">
        <f t="shared" si="1115"/>
        <v>0</v>
      </c>
      <c r="AV704" s="43">
        <f t="shared" si="1115"/>
        <v>0</v>
      </c>
      <c r="AW704" s="43">
        <f t="shared" si="1115"/>
        <v>2</v>
      </c>
      <c r="AX704" s="43">
        <f t="shared" si="1115"/>
        <v>5.2</v>
      </c>
      <c r="AY704" s="43">
        <f t="shared" si="1115"/>
        <v>0</v>
      </c>
      <c r="AZ704" s="43">
        <f t="shared" si="1115"/>
        <v>0</v>
      </c>
      <c r="BA704" s="43">
        <f t="shared" si="1115"/>
        <v>2</v>
      </c>
      <c r="BB704" s="43">
        <f t="shared" si="1115"/>
        <v>5.2</v>
      </c>
      <c r="BC704" s="113">
        <f t="shared" si="1088"/>
        <v>91.200000000000017</v>
      </c>
    </row>
    <row r="705" spans="2:56" x14ac:dyDescent="0.25">
      <c r="B705" s="43" t="str">
        <f t="shared" si="1101"/>
        <v>Product H Rework Loss Baseline</v>
      </c>
      <c r="C705" s="43">
        <f t="shared" ref="C705:AH705" si="1116">C770*$Q17</f>
        <v>0</v>
      </c>
      <c r="D705" s="43">
        <f t="shared" si="1116"/>
        <v>0</v>
      </c>
      <c r="E705" s="43">
        <f t="shared" si="1116"/>
        <v>0</v>
      </c>
      <c r="F705" s="43">
        <f t="shared" si="1116"/>
        <v>1.4999999999999998</v>
      </c>
      <c r="G705" s="43">
        <f t="shared" si="1116"/>
        <v>0</v>
      </c>
      <c r="H705" s="43">
        <f t="shared" si="1116"/>
        <v>0</v>
      </c>
      <c r="I705" s="43">
        <f t="shared" si="1116"/>
        <v>0</v>
      </c>
      <c r="J705" s="43">
        <f t="shared" si="1116"/>
        <v>1.4999999999999998</v>
      </c>
      <c r="K705" s="43">
        <f t="shared" si="1116"/>
        <v>0</v>
      </c>
      <c r="L705" s="43">
        <f t="shared" si="1116"/>
        <v>0</v>
      </c>
      <c r="M705" s="43">
        <f t="shared" si="1116"/>
        <v>0</v>
      </c>
      <c r="N705" s="43">
        <f t="shared" si="1116"/>
        <v>1.4999999999999998</v>
      </c>
      <c r="O705" s="43">
        <f t="shared" si="1116"/>
        <v>0</v>
      </c>
      <c r="P705" s="43">
        <f t="shared" si="1116"/>
        <v>0</v>
      </c>
      <c r="Q705" s="43">
        <f t="shared" si="1116"/>
        <v>1.7999999999999998</v>
      </c>
      <c r="R705" s="43">
        <f t="shared" si="1116"/>
        <v>1.4999999999999998</v>
      </c>
      <c r="S705" s="43">
        <f t="shared" si="1116"/>
        <v>0</v>
      </c>
      <c r="T705" s="43">
        <f t="shared" si="1116"/>
        <v>0</v>
      </c>
      <c r="U705" s="43">
        <f t="shared" si="1116"/>
        <v>0</v>
      </c>
      <c r="V705" s="43">
        <f t="shared" si="1116"/>
        <v>1.4999999999999998</v>
      </c>
      <c r="W705" s="43">
        <f t="shared" si="1116"/>
        <v>1.7999999999999998</v>
      </c>
      <c r="X705" s="43">
        <f t="shared" si="1116"/>
        <v>0</v>
      </c>
      <c r="Y705" s="43">
        <f t="shared" si="1116"/>
        <v>0</v>
      </c>
      <c r="Z705" s="43">
        <f t="shared" si="1116"/>
        <v>1.4999999999999998</v>
      </c>
      <c r="AA705" s="43">
        <f t="shared" si="1116"/>
        <v>0</v>
      </c>
      <c r="AB705" s="43">
        <f t="shared" si="1116"/>
        <v>0.89999999999999991</v>
      </c>
      <c r="AC705" s="43">
        <f t="shared" si="1116"/>
        <v>0</v>
      </c>
      <c r="AD705" s="43">
        <f t="shared" si="1116"/>
        <v>1.4999999999999998</v>
      </c>
      <c r="AE705" s="43">
        <f t="shared" si="1116"/>
        <v>0</v>
      </c>
      <c r="AF705" s="43">
        <f t="shared" si="1116"/>
        <v>0</v>
      </c>
      <c r="AG705" s="43">
        <f t="shared" si="1116"/>
        <v>0</v>
      </c>
      <c r="AH705" s="43">
        <f t="shared" si="1116"/>
        <v>1.4999999999999998</v>
      </c>
      <c r="AI705" s="43">
        <f t="shared" ref="AI705:BB705" si="1117">AI770*$Q17</f>
        <v>1.7999999999999998</v>
      </c>
      <c r="AJ705" s="43">
        <f t="shared" si="1117"/>
        <v>0</v>
      </c>
      <c r="AK705" s="43">
        <f t="shared" si="1117"/>
        <v>0</v>
      </c>
      <c r="AL705" s="43">
        <f t="shared" si="1117"/>
        <v>1.4999999999999998</v>
      </c>
      <c r="AM705" s="43">
        <f t="shared" si="1117"/>
        <v>0</v>
      </c>
      <c r="AN705" s="43">
        <f t="shared" si="1117"/>
        <v>0</v>
      </c>
      <c r="AO705" s="43">
        <f t="shared" si="1117"/>
        <v>1.7999999999999998</v>
      </c>
      <c r="AP705" s="43">
        <f t="shared" si="1117"/>
        <v>1.4999999999999998</v>
      </c>
      <c r="AQ705" s="43">
        <f t="shared" si="1117"/>
        <v>0</v>
      </c>
      <c r="AR705" s="43">
        <f t="shared" si="1117"/>
        <v>0</v>
      </c>
      <c r="AS705" s="43">
        <f t="shared" si="1117"/>
        <v>0</v>
      </c>
      <c r="AT705" s="43">
        <f t="shared" si="1117"/>
        <v>1.4999999999999998</v>
      </c>
      <c r="AU705" s="43">
        <f t="shared" si="1117"/>
        <v>0</v>
      </c>
      <c r="AV705" s="43">
        <f t="shared" si="1117"/>
        <v>0</v>
      </c>
      <c r="AW705" s="43">
        <f t="shared" si="1117"/>
        <v>0</v>
      </c>
      <c r="AX705" s="43">
        <f t="shared" si="1117"/>
        <v>1.4999999999999998</v>
      </c>
      <c r="AY705" s="43">
        <f t="shared" si="1117"/>
        <v>0</v>
      </c>
      <c r="AZ705" s="43">
        <f t="shared" si="1117"/>
        <v>0</v>
      </c>
      <c r="BA705" s="43">
        <f t="shared" si="1117"/>
        <v>0</v>
      </c>
      <c r="BB705" s="43">
        <f t="shared" si="1117"/>
        <v>1.4999999999999998</v>
      </c>
      <c r="BC705" s="113">
        <f t="shared" si="1088"/>
        <v>27.599999999999998</v>
      </c>
    </row>
    <row r="706" spans="2:56" x14ac:dyDescent="0.25">
      <c r="B706" s="113" t="str">
        <f t="shared" ref="B706:B713" si="1118">_xlfn.CONCAT(B457," ","AllowableReworkLossVAS")</f>
        <v>Product A AllowableReworkLossVAS</v>
      </c>
      <c r="C706" s="113">
        <f>C698*C682</f>
        <v>109.667824933687</v>
      </c>
      <c r="D706" s="113">
        <f t="shared" ref="D706:BB711" si="1119">D698*D682</f>
        <v>0</v>
      </c>
      <c r="E706" s="113">
        <f t="shared" si="1119"/>
        <v>60.984337388170175</v>
      </c>
      <c r="F706" s="113">
        <f t="shared" si="1119"/>
        <v>0</v>
      </c>
      <c r="G706" s="113">
        <f t="shared" si="1119"/>
        <v>109.57924583741431</v>
      </c>
      <c r="H706" s="113">
        <f t="shared" si="1119"/>
        <v>0</v>
      </c>
      <c r="I706" s="113">
        <f t="shared" si="1119"/>
        <v>0</v>
      </c>
      <c r="J706" s="113">
        <f t="shared" si="1119"/>
        <v>0</v>
      </c>
      <c r="K706" s="113">
        <f t="shared" si="1119"/>
        <v>109.76832363213038</v>
      </c>
      <c r="L706" s="113">
        <f t="shared" si="1119"/>
        <v>0</v>
      </c>
      <c r="M706" s="113">
        <f t="shared" si="1119"/>
        <v>0</v>
      </c>
      <c r="N706" s="113">
        <f t="shared" si="1119"/>
        <v>0</v>
      </c>
      <c r="O706" s="113">
        <f t="shared" si="1119"/>
        <v>109.667824933687</v>
      </c>
      <c r="P706" s="113">
        <f t="shared" si="1119"/>
        <v>36.579476661951908</v>
      </c>
      <c r="Q706" s="113">
        <f t="shared" si="1119"/>
        <v>0</v>
      </c>
      <c r="R706" s="113">
        <f t="shared" si="1119"/>
        <v>0</v>
      </c>
      <c r="S706" s="113">
        <f t="shared" si="1119"/>
        <v>109.57924583741431</v>
      </c>
      <c r="T706" s="113">
        <f t="shared" si="1119"/>
        <v>0</v>
      </c>
      <c r="U706" s="113">
        <f t="shared" si="1119"/>
        <v>0</v>
      </c>
      <c r="V706" s="113">
        <f t="shared" si="1119"/>
        <v>36.571915070774352</v>
      </c>
      <c r="W706" s="113">
        <f t="shared" si="1119"/>
        <v>109.75723404255319</v>
      </c>
      <c r="X706" s="113">
        <f t="shared" si="1119"/>
        <v>0</v>
      </c>
      <c r="Y706" s="113">
        <f t="shared" si="1119"/>
        <v>0</v>
      </c>
      <c r="Z706" s="113">
        <f t="shared" si="1119"/>
        <v>0</v>
      </c>
      <c r="AA706" s="113">
        <f t="shared" si="1119"/>
        <v>109.667824933687</v>
      </c>
      <c r="AB706" s="113">
        <f t="shared" si="1119"/>
        <v>0</v>
      </c>
      <c r="AC706" s="113">
        <f t="shared" si="1119"/>
        <v>73.181204865804204</v>
      </c>
      <c r="AD706" s="113">
        <f t="shared" si="1119"/>
        <v>0</v>
      </c>
      <c r="AE706" s="113">
        <f t="shared" si="1119"/>
        <v>109.57924583741431</v>
      </c>
      <c r="AF706" s="113">
        <f t="shared" si="1119"/>
        <v>0</v>
      </c>
      <c r="AG706" s="113">
        <f t="shared" si="1119"/>
        <v>0</v>
      </c>
      <c r="AH706" s="113">
        <f t="shared" si="1119"/>
        <v>36.571915070774352</v>
      </c>
      <c r="AI706" s="113">
        <f t="shared" si="1119"/>
        <v>109.75723404255319</v>
      </c>
      <c r="AJ706" s="113">
        <f t="shared" si="1119"/>
        <v>0</v>
      </c>
      <c r="AK706" s="113">
        <f t="shared" si="1119"/>
        <v>0</v>
      </c>
      <c r="AL706" s="113">
        <f t="shared" si="1119"/>
        <v>0</v>
      </c>
      <c r="AM706" s="113">
        <f t="shared" si="1119"/>
        <v>109.667824933687</v>
      </c>
      <c r="AN706" s="113">
        <f t="shared" si="1119"/>
        <v>36.579476661951908</v>
      </c>
      <c r="AO706" s="113">
        <f t="shared" si="1119"/>
        <v>0</v>
      </c>
      <c r="AP706" s="113">
        <f t="shared" si="1119"/>
        <v>0</v>
      </c>
      <c r="AQ706" s="113">
        <f t="shared" si="1119"/>
        <v>109.57924583741431</v>
      </c>
      <c r="AR706" s="113">
        <f t="shared" si="1119"/>
        <v>0</v>
      </c>
      <c r="AS706" s="113">
        <f t="shared" si="1119"/>
        <v>60.977281063732235</v>
      </c>
      <c r="AT706" s="113">
        <f t="shared" si="1119"/>
        <v>0</v>
      </c>
      <c r="AU706" s="113">
        <f t="shared" si="1119"/>
        <v>109.75331550802139</v>
      </c>
      <c r="AV706" s="113">
        <f t="shared" si="1119"/>
        <v>60.980447780594019</v>
      </c>
      <c r="AW706" s="113">
        <f t="shared" si="1119"/>
        <v>0</v>
      </c>
      <c r="AX706" s="113">
        <f t="shared" si="1119"/>
        <v>0</v>
      </c>
      <c r="AY706" s="113">
        <f t="shared" si="1119"/>
        <v>109.76832363213038</v>
      </c>
      <c r="AZ706" s="113">
        <f t="shared" si="1119"/>
        <v>0</v>
      </c>
      <c r="BA706" s="113">
        <f t="shared" si="1119"/>
        <v>0</v>
      </c>
      <c r="BB706" s="113">
        <f t="shared" si="1119"/>
        <v>0</v>
      </c>
      <c r="BC706" s="113">
        <f t="shared" si="1088"/>
        <v>1828.2187685055471</v>
      </c>
      <c r="BD706" s="119"/>
    </row>
    <row r="707" spans="2:56" x14ac:dyDescent="0.25">
      <c r="B707" s="113" t="str">
        <f t="shared" si="1118"/>
        <v>Product B AllowableReworkLossVAS</v>
      </c>
      <c r="C707" s="113">
        <f t="shared" ref="C707:R713" si="1120">C699*C683</f>
        <v>77.67420271026181</v>
      </c>
      <c r="D707" s="113">
        <f t="shared" si="1120"/>
        <v>87.462693473428985</v>
      </c>
      <c r="E707" s="113">
        <f t="shared" si="1120"/>
        <v>0</v>
      </c>
      <c r="F707" s="113">
        <f t="shared" si="1120"/>
        <v>58.155792101013049</v>
      </c>
      <c r="G707" s="113">
        <f t="shared" si="1120"/>
        <v>77.585863665740533</v>
      </c>
      <c r="H707" s="113">
        <f t="shared" si="1120"/>
        <v>87.370870193472825</v>
      </c>
      <c r="I707" s="113">
        <f t="shared" si="1120"/>
        <v>0</v>
      </c>
      <c r="J707" s="113">
        <f t="shared" si="1120"/>
        <v>29.147186818389326</v>
      </c>
      <c r="K707" s="113">
        <f t="shared" si="1120"/>
        <v>77.774429054508872</v>
      </c>
      <c r="L707" s="113">
        <f t="shared" si="1120"/>
        <v>87.27066160723777</v>
      </c>
      <c r="M707" s="113">
        <f t="shared" si="1120"/>
        <v>0</v>
      </c>
      <c r="N707" s="113">
        <f t="shared" si="1120"/>
        <v>0</v>
      </c>
      <c r="O707" s="113">
        <f t="shared" si="1120"/>
        <v>77.67420271026181</v>
      </c>
      <c r="P707" s="113">
        <f t="shared" si="1120"/>
        <v>87.462693473428985</v>
      </c>
      <c r="Q707" s="113">
        <f t="shared" si="1120"/>
        <v>0</v>
      </c>
      <c r="R707" s="113">
        <f t="shared" si="1120"/>
        <v>0</v>
      </c>
      <c r="S707" s="113">
        <f t="shared" si="1119"/>
        <v>77.585863665740533</v>
      </c>
      <c r="T707" s="113">
        <f t="shared" si="1119"/>
        <v>87.370031397174245</v>
      </c>
      <c r="U707" s="113">
        <f t="shared" si="1119"/>
        <v>0</v>
      </c>
      <c r="V707" s="113">
        <f t="shared" si="1119"/>
        <v>0</v>
      </c>
      <c r="W707" s="113">
        <f t="shared" si="1119"/>
        <v>77.763369518019971</v>
      </c>
      <c r="X707" s="113">
        <f t="shared" si="1119"/>
        <v>87.27066160723777</v>
      </c>
      <c r="Y707" s="113">
        <f t="shared" si="1119"/>
        <v>0</v>
      </c>
      <c r="Z707" s="113">
        <f t="shared" si="1119"/>
        <v>0</v>
      </c>
      <c r="AA707" s="113">
        <f t="shared" si="1119"/>
        <v>77.67420271026181</v>
      </c>
      <c r="AB707" s="113">
        <f t="shared" si="1119"/>
        <v>87.463714532836349</v>
      </c>
      <c r="AC707" s="113">
        <f t="shared" si="1119"/>
        <v>0</v>
      </c>
      <c r="AD707" s="113">
        <f t="shared" si="1119"/>
        <v>0</v>
      </c>
      <c r="AE707" s="113">
        <f t="shared" si="1119"/>
        <v>77.585863665740533</v>
      </c>
      <c r="AF707" s="113">
        <f t="shared" si="1119"/>
        <v>87.370870193472825</v>
      </c>
      <c r="AG707" s="113">
        <f t="shared" si="1119"/>
        <v>0</v>
      </c>
      <c r="AH707" s="113">
        <f t="shared" si="1119"/>
        <v>0</v>
      </c>
      <c r="AI707" s="113">
        <f t="shared" si="1119"/>
        <v>77.763369518019971</v>
      </c>
      <c r="AJ707" s="113">
        <f t="shared" si="1119"/>
        <v>87.27066160723777</v>
      </c>
      <c r="AK707" s="113">
        <f t="shared" si="1119"/>
        <v>0</v>
      </c>
      <c r="AL707" s="113">
        <f t="shared" si="1119"/>
        <v>0</v>
      </c>
      <c r="AM707" s="113">
        <f t="shared" si="1119"/>
        <v>77.67420271026181</v>
      </c>
      <c r="AN707" s="113">
        <f t="shared" si="1119"/>
        <v>87.462693473428985</v>
      </c>
      <c r="AO707" s="113">
        <f t="shared" si="1119"/>
        <v>0</v>
      </c>
      <c r="AP707" s="113">
        <f t="shared" si="1119"/>
        <v>0</v>
      </c>
      <c r="AQ707" s="113">
        <f t="shared" si="1119"/>
        <v>77.585863665740533</v>
      </c>
      <c r="AR707" s="113">
        <f t="shared" si="1119"/>
        <v>87.370870193472825</v>
      </c>
      <c r="AS707" s="113">
        <f t="shared" si="1119"/>
        <v>0</v>
      </c>
      <c r="AT707" s="113">
        <f t="shared" si="1119"/>
        <v>48.597378569262084</v>
      </c>
      <c r="AU707" s="113">
        <f t="shared" si="1119"/>
        <v>77.759461602822938</v>
      </c>
      <c r="AV707" s="113">
        <f t="shared" si="1119"/>
        <v>87.49228608035142</v>
      </c>
      <c r="AW707" s="113">
        <f t="shared" si="1119"/>
        <v>0</v>
      </c>
      <c r="AX707" s="113">
        <f t="shared" si="1119"/>
        <v>29.147186818389326</v>
      </c>
      <c r="AY707" s="113">
        <f t="shared" si="1119"/>
        <v>77.774429054508872</v>
      </c>
      <c r="AZ707" s="113">
        <f t="shared" si="1119"/>
        <v>29.095281678547732</v>
      </c>
      <c r="BA707" s="113">
        <f t="shared" si="1119"/>
        <v>0</v>
      </c>
      <c r="BB707" s="113">
        <f t="shared" si="1119"/>
        <v>0</v>
      </c>
      <c r="BC707" s="113">
        <f t="shared" si="1088"/>
        <v>2252.6568580702724</v>
      </c>
    </row>
    <row r="708" spans="2:56" x14ac:dyDescent="0.25">
      <c r="B708" s="113" t="str">
        <f t="shared" si="1118"/>
        <v>Product C AllowableReworkLossVAS</v>
      </c>
      <c r="C708" s="113">
        <f t="shared" si="1120"/>
        <v>57.525251989389915</v>
      </c>
      <c r="D708" s="113">
        <f t="shared" si="1119"/>
        <v>46.056939179632252</v>
      </c>
      <c r="E708" s="113">
        <f t="shared" si="1119"/>
        <v>51.833594516315884</v>
      </c>
      <c r="F708" s="113">
        <f t="shared" si="1119"/>
        <v>0</v>
      </c>
      <c r="G708" s="113">
        <f t="shared" si="1119"/>
        <v>57.467639569049943</v>
      </c>
      <c r="H708" s="113">
        <f t="shared" si="1119"/>
        <v>46.01435447008739</v>
      </c>
      <c r="I708" s="113">
        <f t="shared" si="1119"/>
        <v>51.784657469282166</v>
      </c>
      <c r="J708" s="113">
        <f t="shared" si="1119"/>
        <v>0</v>
      </c>
      <c r="K708" s="113">
        <f t="shared" si="1119"/>
        <v>57.590616996507556</v>
      </c>
      <c r="L708" s="113">
        <f t="shared" si="1119"/>
        <v>45.967880922847932</v>
      </c>
      <c r="M708" s="113">
        <f t="shared" si="1119"/>
        <v>51.736462562396014</v>
      </c>
      <c r="N708" s="113">
        <f t="shared" si="1119"/>
        <v>0</v>
      </c>
      <c r="O708" s="113">
        <f t="shared" si="1119"/>
        <v>57.525251989389915</v>
      </c>
      <c r="P708" s="113">
        <f t="shared" si="1119"/>
        <v>46.056939179632252</v>
      </c>
      <c r="Q708" s="113">
        <f t="shared" si="1119"/>
        <v>51.834566364862262</v>
      </c>
      <c r="R708" s="113">
        <f t="shared" si="1119"/>
        <v>0</v>
      </c>
      <c r="S708" s="113">
        <f t="shared" si="1119"/>
        <v>57.467639569049943</v>
      </c>
      <c r="T708" s="113">
        <f t="shared" si="1119"/>
        <v>46.013965463108327</v>
      </c>
      <c r="U708" s="113">
        <f t="shared" si="1119"/>
        <v>51.784657469282166</v>
      </c>
      <c r="V708" s="113">
        <f t="shared" si="1119"/>
        <v>0</v>
      </c>
      <c r="W708" s="113">
        <f t="shared" si="1119"/>
        <v>57.583404255319138</v>
      </c>
      <c r="X708" s="113">
        <f t="shared" si="1119"/>
        <v>45.967880922847932</v>
      </c>
      <c r="Y708" s="113">
        <f t="shared" si="1119"/>
        <v>51.737934581654407</v>
      </c>
      <c r="Z708" s="113">
        <f t="shared" si="1119"/>
        <v>0</v>
      </c>
      <c r="AA708" s="113">
        <f t="shared" si="1119"/>
        <v>57.525251989389915</v>
      </c>
      <c r="AB708" s="113">
        <f t="shared" si="1119"/>
        <v>46.057412714429866</v>
      </c>
      <c r="AC708" s="113">
        <f t="shared" si="1119"/>
        <v>51.833594516315884</v>
      </c>
      <c r="AD708" s="113">
        <f t="shared" si="1119"/>
        <v>0</v>
      </c>
      <c r="AE708" s="113">
        <f t="shared" si="1119"/>
        <v>57.467639569049943</v>
      </c>
      <c r="AF708" s="113">
        <f t="shared" si="1119"/>
        <v>46.01435447008739</v>
      </c>
      <c r="AG708" s="113">
        <f t="shared" si="1119"/>
        <v>51.784657469282166</v>
      </c>
      <c r="AH708" s="113">
        <f t="shared" si="1119"/>
        <v>0</v>
      </c>
      <c r="AI708" s="113">
        <f t="shared" si="1119"/>
        <v>57.583404255319138</v>
      </c>
      <c r="AJ708" s="113">
        <f t="shared" si="1119"/>
        <v>45.967880922847932</v>
      </c>
      <c r="AK708" s="113">
        <f t="shared" si="1119"/>
        <v>51.737934581654407</v>
      </c>
      <c r="AL708" s="113">
        <f t="shared" si="1119"/>
        <v>0</v>
      </c>
      <c r="AM708" s="113">
        <f t="shared" si="1119"/>
        <v>57.525251989389915</v>
      </c>
      <c r="AN708" s="113">
        <f t="shared" si="1119"/>
        <v>46.056939179632252</v>
      </c>
      <c r="AO708" s="113">
        <f t="shared" si="1119"/>
        <v>51.834566364862262</v>
      </c>
      <c r="AP708" s="113">
        <f t="shared" si="1119"/>
        <v>0</v>
      </c>
      <c r="AQ708" s="113">
        <f t="shared" si="1119"/>
        <v>57.467639569049943</v>
      </c>
      <c r="AR708" s="113">
        <f t="shared" si="1119"/>
        <v>46.01435447008739</v>
      </c>
      <c r="AS708" s="113">
        <f t="shared" si="1119"/>
        <v>51.826159559834934</v>
      </c>
      <c r="AT708" s="113">
        <f t="shared" si="1119"/>
        <v>0</v>
      </c>
      <c r="AU708" s="113">
        <f t="shared" si="1119"/>
        <v>57.580855614973245</v>
      </c>
      <c r="AV708" s="113">
        <f t="shared" si="1119"/>
        <v>46.070663287190484</v>
      </c>
      <c r="AW708" s="113">
        <f t="shared" si="1119"/>
        <v>51.784657469282166</v>
      </c>
      <c r="AX708" s="113">
        <f t="shared" si="1119"/>
        <v>0</v>
      </c>
      <c r="AY708" s="113">
        <f t="shared" si="1119"/>
        <v>57.590616996507556</v>
      </c>
      <c r="AZ708" s="113">
        <f t="shared" si="1119"/>
        <v>45.974922512833047</v>
      </c>
      <c r="BA708" s="113">
        <f t="shared" si="1119"/>
        <v>51.737934581654407</v>
      </c>
      <c r="BB708" s="113">
        <f t="shared" si="1119"/>
        <v>0</v>
      </c>
      <c r="BC708" s="113">
        <f t="shared" si="1088"/>
        <v>2019.3863295543294</v>
      </c>
    </row>
    <row r="709" spans="2:56" x14ac:dyDescent="0.25">
      <c r="B709" s="113" t="str">
        <f t="shared" si="1118"/>
        <v>Product D AllowableReworkLossVAS</v>
      </c>
      <c r="C709" s="113">
        <f t="shared" si="1120"/>
        <v>52.511472309299869</v>
      </c>
      <c r="D709" s="113">
        <f t="shared" si="1119"/>
        <v>40.46538468132529</v>
      </c>
      <c r="E709" s="113">
        <f t="shared" si="1119"/>
        <v>32.399516134505902</v>
      </c>
      <c r="F709" s="113">
        <f t="shared" si="1119"/>
        <v>36.231659254414652</v>
      </c>
      <c r="G709" s="113">
        <f t="shared" si="1119"/>
        <v>36.272862701451331</v>
      </c>
      <c r="H709" s="113">
        <f t="shared" si="1119"/>
        <v>40.381989625133237</v>
      </c>
      <c r="I709" s="113">
        <f t="shared" si="1119"/>
        <v>32.331366765303379</v>
      </c>
      <c r="J709" s="113">
        <f t="shared" si="1119"/>
        <v>36.40157226783159</v>
      </c>
      <c r="K709" s="113">
        <f t="shared" si="1119"/>
        <v>52.644599040462836</v>
      </c>
      <c r="L709" s="113">
        <f t="shared" si="1119"/>
        <v>40.290978928455971</v>
      </c>
      <c r="M709" s="113">
        <f t="shared" si="1119"/>
        <v>32.264250894973031</v>
      </c>
      <c r="N709" s="113">
        <f t="shared" si="1119"/>
        <v>36.324656825489612</v>
      </c>
      <c r="O709" s="113">
        <f t="shared" si="1119"/>
        <v>52.511472309299869</v>
      </c>
      <c r="P709" s="113">
        <f t="shared" si="1119"/>
        <v>40.46538468132529</v>
      </c>
      <c r="Q709" s="113">
        <f t="shared" si="1119"/>
        <v>32.400869523592704</v>
      </c>
      <c r="R709" s="113">
        <f t="shared" si="1119"/>
        <v>36.2540418354805</v>
      </c>
      <c r="S709" s="113">
        <f t="shared" si="1119"/>
        <v>36.272862701451331</v>
      </c>
      <c r="T709" s="113">
        <f t="shared" si="1119"/>
        <v>32.304982255839384</v>
      </c>
      <c r="U709" s="113">
        <f t="shared" si="1119"/>
        <v>32.331366765303379</v>
      </c>
      <c r="V709" s="113">
        <f t="shared" si="1119"/>
        <v>36.398042616001824</v>
      </c>
      <c r="W709" s="113">
        <f t="shared" si="1119"/>
        <v>52.629909090909067</v>
      </c>
      <c r="X709" s="113">
        <f t="shared" si="1119"/>
        <v>40.290978928455971</v>
      </c>
      <c r="Y709" s="113">
        <f t="shared" si="1119"/>
        <v>32.26630081808846</v>
      </c>
      <c r="Z709" s="113">
        <f t="shared" si="1119"/>
        <v>28.246861002233739</v>
      </c>
      <c r="AA709" s="113">
        <f t="shared" si="1119"/>
        <v>52.511472309299869</v>
      </c>
      <c r="AB709" s="113">
        <f t="shared" si="1119"/>
        <v>40.466312020303945</v>
      </c>
      <c r="AC709" s="113">
        <f t="shared" si="1119"/>
        <v>32.399516134505902</v>
      </c>
      <c r="AD709" s="113">
        <f t="shared" si="1119"/>
        <v>36.234353204172891</v>
      </c>
      <c r="AE709" s="113">
        <f t="shared" si="1119"/>
        <v>36.272862701451331</v>
      </c>
      <c r="AF709" s="113">
        <f t="shared" si="1119"/>
        <v>40.381989625133237</v>
      </c>
      <c r="AG709" s="113">
        <f t="shared" si="1119"/>
        <v>32.331366765303379</v>
      </c>
      <c r="AH709" s="113">
        <f t="shared" si="1119"/>
        <v>36.398042616001824</v>
      </c>
      <c r="AI709" s="113">
        <f t="shared" si="1119"/>
        <v>52.629909090909067</v>
      </c>
      <c r="AJ709" s="113">
        <f t="shared" si="1119"/>
        <v>40.290978928455971</v>
      </c>
      <c r="AK709" s="113">
        <f t="shared" si="1119"/>
        <v>32.26630081808846</v>
      </c>
      <c r="AL709" s="113">
        <f t="shared" si="1119"/>
        <v>28.246861002233739</v>
      </c>
      <c r="AM709" s="113">
        <f t="shared" si="1119"/>
        <v>52.511472309299869</v>
      </c>
      <c r="AN709" s="113">
        <f t="shared" si="1119"/>
        <v>40.46538468132529</v>
      </c>
      <c r="AO709" s="113">
        <f t="shared" si="1119"/>
        <v>32.400869523592704</v>
      </c>
      <c r="AP709" s="113">
        <f t="shared" si="1119"/>
        <v>36.234353204172891</v>
      </c>
      <c r="AQ709" s="113">
        <f t="shared" si="1119"/>
        <v>36.272862701451331</v>
      </c>
      <c r="AR709" s="113">
        <f t="shared" si="1119"/>
        <v>40.381989625133237</v>
      </c>
      <c r="AS709" s="113">
        <f t="shared" si="1119"/>
        <v>32.389162269184261</v>
      </c>
      <c r="AT709" s="113">
        <f t="shared" si="1119"/>
        <v>36.429135495078185</v>
      </c>
      <c r="AU709" s="113">
        <f t="shared" si="1119"/>
        <v>52.62471836007132</v>
      </c>
      <c r="AV709" s="113">
        <f t="shared" si="1119"/>
        <v>40.492261058626802</v>
      </c>
      <c r="AW709" s="113">
        <f t="shared" si="1119"/>
        <v>32.331366765303379</v>
      </c>
      <c r="AX709" s="113">
        <f t="shared" si="1119"/>
        <v>36.40157226783159</v>
      </c>
      <c r="AY709" s="113">
        <f t="shared" si="1119"/>
        <v>52.644599040462836</v>
      </c>
      <c r="AZ709" s="113">
        <f t="shared" si="1119"/>
        <v>40.304768708843504</v>
      </c>
      <c r="BA709" s="113">
        <f t="shared" si="1119"/>
        <v>32.26630081808846</v>
      </c>
      <c r="BB709" s="113">
        <f t="shared" si="1119"/>
        <v>28.246861002233739</v>
      </c>
      <c r="BC709" s="113">
        <f t="shared" si="1088"/>
        <v>2003.7210250031874</v>
      </c>
    </row>
    <row r="710" spans="2:56" x14ac:dyDescent="0.25">
      <c r="B710" s="113" t="str">
        <f t="shared" si="1118"/>
        <v>Product E AllowableReworkLossVAS</v>
      </c>
      <c r="C710" s="113">
        <f t="shared" si="1120"/>
        <v>26.586645446507518</v>
      </c>
      <c r="D710" s="113">
        <f t="shared" si="1119"/>
        <v>69.202090334747751</v>
      </c>
      <c r="E710" s="113">
        <f t="shared" si="1119"/>
        <v>53.260309197399756</v>
      </c>
      <c r="F710" s="113">
        <f t="shared" si="1119"/>
        <v>42.449250839328535</v>
      </c>
      <c r="G710" s="113">
        <f t="shared" si="1119"/>
        <v>26.549581456088802</v>
      </c>
      <c r="H710" s="113">
        <f t="shared" si="1119"/>
        <v>58.480275449996277</v>
      </c>
      <c r="I710" s="113">
        <f t="shared" si="1119"/>
        <v>53.190347344973766</v>
      </c>
      <c r="J710" s="113">
        <f t="shared" si="1119"/>
        <v>42.573291355979016</v>
      </c>
      <c r="K710" s="113">
        <f t="shared" si="1119"/>
        <v>26.628696934419867</v>
      </c>
      <c r="L710" s="113">
        <f t="shared" si="1119"/>
        <v>37.162399272306295</v>
      </c>
      <c r="M710" s="113">
        <f t="shared" si="1119"/>
        <v>31.872867886855239</v>
      </c>
      <c r="N710" s="113">
        <f t="shared" si="1119"/>
        <v>42.517141264737404</v>
      </c>
      <c r="O710" s="113">
        <f t="shared" si="1119"/>
        <v>26.586645446507518</v>
      </c>
      <c r="P710" s="113">
        <f t="shared" si="1119"/>
        <v>69.202090334747751</v>
      </c>
      <c r="Q710" s="113">
        <f t="shared" si="1119"/>
        <v>53.261698580877152</v>
      </c>
      <c r="R710" s="113">
        <f t="shared" si="1119"/>
        <v>42.465590652645638</v>
      </c>
      <c r="S710" s="113">
        <f t="shared" si="1119"/>
        <v>26.549581456088802</v>
      </c>
      <c r="T710" s="113">
        <f t="shared" si="1119"/>
        <v>69.11223945578233</v>
      </c>
      <c r="U710" s="113">
        <f t="shared" si="1119"/>
        <v>53.190347344973766</v>
      </c>
      <c r="V710" s="113">
        <f t="shared" si="1119"/>
        <v>42.570714626699981</v>
      </c>
      <c r="W710" s="113">
        <f t="shared" si="1119"/>
        <v>26.624056737588649</v>
      </c>
      <c r="X710" s="113">
        <f t="shared" si="1119"/>
        <v>37.162399272306295</v>
      </c>
      <c r="Y710" s="113">
        <f t="shared" si="1119"/>
        <v>53.123550920439286</v>
      </c>
      <c r="Z710" s="113">
        <f t="shared" si="1119"/>
        <v>42.511838293926758</v>
      </c>
      <c r="AA710" s="113">
        <f t="shared" si="1119"/>
        <v>26.586645446507518</v>
      </c>
      <c r="AB710" s="113">
        <f t="shared" si="1119"/>
        <v>69.203080417087122</v>
      </c>
      <c r="AC710" s="113">
        <f t="shared" si="1119"/>
        <v>53.260309197399756</v>
      </c>
      <c r="AD710" s="113">
        <f t="shared" si="1119"/>
        <v>42.451217486338805</v>
      </c>
      <c r="AE710" s="113">
        <f t="shared" si="1119"/>
        <v>26.549581456088802</v>
      </c>
      <c r="AF710" s="113">
        <f t="shared" si="1119"/>
        <v>58.480275449996277</v>
      </c>
      <c r="AG710" s="113">
        <f t="shared" si="1119"/>
        <v>53.190347344973766</v>
      </c>
      <c r="AH710" s="113">
        <f t="shared" si="1119"/>
        <v>42.570714626699981</v>
      </c>
      <c r="AI710" s="113">
        <f t="shared" si="1119"/>
        <v>26.624056737588649</v>
      </c>
      <c r="AJ710" s="113">
        <f t="shared" si="1119"/>
        <v>37.162399272306295</v>
      </c>
      <c r="AK710" s="113">
        <f t="shared" si="1119"/>
        <v>53.123550920439286</v>
      </c>
      <c r="AL710" s="113">
        <f t="shared" si="1119"/>
        <v>42.511838293926758</v>
      </c>
      <c r="AM710" s="113">
        <f t="shared" si="1119"/>
        <v>26.586645446507518</v>
      </c>
      <c r="AN710" s="113">
        <f t="shared" si="1119"/>
        <v>69.202090334747751</v>
      </c>
      <c r="AO710" s="113">
        <f t="shared" si="1119"/>
        <v>53.261698580877152</v>
      </c>
      <c r="AP710" s="113">
        <f t="shared" si="1119"/>
        <v>42.451217486338805</v>
      </c>
      <c r="AQ710" s="113">
        <f t="shared" si="1119"/>
        <v>26.549581456088802</v>
      </c>
      <c r="AR710" s="113">
        <f t="shared" si="1119"/>
        <v>58.480275449996277</v>
      </c>
      <c r="AS710" s="113">
        <f t="shared" si="1119"/>
        <v>53.249679963319579</v>
      </c>
      <c r="AT710" s="113">
        <f t="shared" si="1119"/>
        <v>42.593413163481955</v>
      </c>
      <c r="AU710" s="113">
        <f t="shared" si="1119"/>
        <v>26.622417112299466</v>
      </c>
      <c r="AV710" s="113">
        <f t="shared" si="1119"/>
        <v>69.230785156300769</v>
      </c>
      <c r="AW710" s="113">
        <f t="shared" si="1119"/>
        <v>53.190347344973766</v>
      </c>
      <c r="AX710" s="113">
        <f t="shared" si="1119"/>
        <v>42.573291355979016</v>
      </c>
      <c r="AY710" s="113">
        <f t="shared" si="1119"/>
        <v>26.628696934419867</v>
      </c>
      <c r="AZ710" s="113">
        <f t="shared" si="1119"/>
        <v>69.030607153915099</v>
      </c>
      <c r="BA710" s="113">
        <f t="shared" si="1119"/>
        <v>53.123550920439286</v>
      </c>
      <c r="BB710" s="113">
        <f t="shared" si="1119"/>
        <v>42.511838293926758</v>
      </c>
      <c r="BC710" s="113">
        <f t="shared" si="1088"/>
        <v>2339.8338027088898</v>
      </c>
    </row>
    <row r="711" spans="2:56" x14ac:dyDescent="0.25">
      <c r="B711" s="113" t="str">
        <f t="shared" si="1118"/>
        <v>Product F AllowableReworkLossVAS</v>
      </c>
      <c r="C711" s="113">
        <f t="shared" si="1120"/>
        <v>0</v>
      </c>
      <c r="D711" s="113">
        <f t="shared" si="1119"/>
        <v>20.155660537482323</v>
      </c>
      <c r="E711" s="113">
        <f t="shared" si="1119"/>
        <v>52.441969734918487</v>
      </c>
      <c r="F711" s="113">
        <f t="shared" si="1119"/>
        <v>0</v>
      </c>
      <c r="G711" s="113">
        <f t="shared" si="1119"/>
        <v>0</v>
      </c>
      <c r="H711" s="113">
        <f t="shared" si="1119"/>
        <v>20.120528152107806</v>
      </c>
      <c r="I711" s="113">
        <f t="shared" si="1119"/>
        <v>52.348663098574193</v>
      </c>
      <c r="J711" s="113">
        <f t="shared" si="1119"/>
        <v>40.295149721860582</v>
      </c>
      <c r="K711" s="113">
        <f t="shared" si="1119"/>
        <v>24.202191518376853</v>
      </c>
      <c r="L711" s="113">
        <f t="shared" si="1119"/>
        <v>20.082187475635259</v>
      </c>
      <c r="M711" s="113">
        <f t="shared" si="1119"/>
        <v>52.256771476111254</v>
      </c>
      <c r="N711" s="113">
        <f t="shared" si="1119"/>
        <v>40.223143775838317</v>
      </c>
      <c r="O711" s="113">
        <f t="shared" si="1119"/>
        <v>0</v>
      </c>
      <c r="P711" s="113">
        <f t="shared" si="1119"/>
        <v>20.155660537482323</v>
      </c>
      <c r="Q711" s="113">
        <f t="shared" si="1119"/>
        <v>52.443822726146927</v>
      </c>
      <c r="R711" s="113">
        <f t="shared" si="1119"/>
        <v>40.157036125617012</v>
      </c>
      <c r="S711" s="113">
        <f t="shared" ref="D711:BB713" si="1121">S703*S687</f>
        <v>0</v>
      </c>
      <c r="T711" s="113">
        <f t="shared" si="1121"/>
        <v>20.120207221350075</v>
      </c>
      <c r="U711" s="113">
        <f t="shared" si="1121"/>
        <v>52.348663098574193</v>
      </c>
      <c r="V711" s="113">
        <f t="shared" si="1121"/>
        <v>40.291845366956089</v>
      </c>
      <c r="W711" s="113">
        <f t="shared" si="1121"/>
        <v>0</v>
      </c>
      <c r="X711" s="113">
        <f t="shared" si="1121"/>
        <v>20.082187475635259</v>
      </c>
      <c r="Y711" s="113">
        <f t="shared" si="1121"/>
        <v>36.179707933498129</v>
      </c>
      <c r="Z711" s="113">
        <f t="shared" si="1121"/>
        <v>40.216343333995624</v>
      </c>
      <c r="AA711" s="113">
        <f t="shared" si="1121"/>
        <v>0</v>
      </c>
      <c r="AB711" s="113">
        <f t="shared" si="1121"/>
        <v>20.15605120369035</v>
      </c>
      <c r="AC711" s="113">
        <f t="shared" si="1121"/>
        <v>52.441969734918487</v>
      </c>
      <c r="AD711" s="113">
        <f t="shared" si="1121"/>
        <v>16.055441686182668</v>
      </c>
      <c r="AE711" s="113">
        <f t="shared" si="1121"/>
        <v>0</v>
      </c>
      <c r="AF711" s="113">
        <f t="shared" si="1121"/>
        <v>20.120528152107806</v>
      </c>
      <c r="AG711" s="113">
        <f t="shared" si="1121"/>
        <v>52.348663098574193</v>
      </c>
      <c r="AH711" s="113">
        <f t="shared" si="1121"/>
        <v>40.291845366956089</v>
      </c>
      <c r="AI711" s="113">
        <f t="shared" si="1121"/>
        <v>0</v>
      </c>
      <c r="AJ711" s="113">
        <f t="shared" si="1121"/>
        <v>20.082187475635259</v>
      </c>
      <c r="AK711" s="113">
        <f t="shared" si="1121"/>
        <v>36.179707933498129</v>
      </c>
      <c r="AL711" s="113">
        <f t="shared" si="1121"/>
        <v>40.216343333995624</v>
      </c>
      <c r="AM711" s="113">
        <f t="shared" si="1121"/>
        <v>0</v>
      </c>
      <c r="AN711" s="113">
        <f t="shared" si="1121"/>
        <v>20.155660537482323</v>
      </c>
      <c r="AO711" s="113">
        <f t="shared" si="1121"/>
        <v>52.443822726146927</v>
      </c>
      <c r="AP711" s="113">
        <f t="shared" si="1121"/>
        <v>16.055441686182668</v>
      </c>
      <c r="AQ711" s="113">
        <f t="shared" si="1121"/>
        <v>0</v>
      </c>
      <c r="AR711" s="113">
        <f t="shared" si="1121"/>
        <v>20.120528152107806</v>
      </c>
      <c r="AS711" s="113">
        <f t="shared" si="1121"/>
        <v>52.427793751228144</v>
      </c>
      <c r="AT711" s="113">
        <f t="shared" si="1121"/>
        <v>40.320953594176537</v>
      </c>
      <c r="AU711" s="113">
        <f t="shared" si="1121"/>
        <v>20.162050420168065</v>
      </c>
      <c r="AV711" s="113">
        <f t="shared" si="1121"/>
        <v>20.166982926217866</v>
      </c>
      <c r="AW711" s="113">
        <f t="shared" si="1121"/>
        <v>52.348663098574193</v>
      </c>
      <c r="AX711" s="113">
        <f t="shared" si="1121"/>
        <v>40.295149721860582</v>
      </c>
      <c r="AY711" s="113">
        <f t="shared" si="1121"/>
        <v>24.202191518376853</v>
      </c>
      <c r="AZ711" s="113">
        <f t="shared" si="1121"/>
        <v>20.08799678737298</v>
      </c>
      <c r="BA711" s="113">
        <f t="shared" si="1121"/>
        <v>36.179707933498129</v>
      </c>
      <c r="BB711" s="113">
        <f t="shared" si="1121"/>
        <v>40.216343333995624</v>
      </c>
      <c r="BC711" s="113">
        <f t="shared" si="1088"/>
        <v>1397.1977634831076</v>
      </c>
    </row>
    <row r="712" spans="2:56" x14ac:dyDescent="0.25">
      <c r="B712" s="113" t="str">
        <f t="shared" si="1118"/>
        <v>Product G AllowableReworkLossVAS</v>
      </c>
      <c r="C712" s="113">
        <f t="shared" si="1120"/>
        <v>0</v>
      </c>
      <c r="D712" s="113">
        <f t="shared" si="1121"/>
        <v>22.856645355964162</v>
      </c>
      <c r="E712" s="113">
        <f t="shared" si="1121"/>
        <v>45.729268404453869</v>
      </c>
      <c r="F712" s="113">
        <f t="shared" si="1121"/>
        <v>83.628566586730599</v>
      </c>
      <c r="G712" s="113">
        <f t="shared" si="1121"/>
        <v>0</v>
      </c>
      <c r="H712" s="113">
        <f t="shared" si="1121"/>
        <v>0</v>
      </c>
      <c r="I712" s="113">
        <f t="shared" si="1121"/>
        <v>38.074373979066365</v>
      </c>
      <c r="J712" s="113">
        <f t="shared" si="1121"/>
        <v>99.025926907852309</v>
      </c>
      <c r="K712" s="113">
        <f t="shared" si="1121"/>
        <v>0</v>
      </c>
      <c r="L712" s="113">
        <f t="shared" si="1121"/>
        <v>0</v>
      </c>
      <c r="M712" s="113">
        <f t="shared" si="1121"/>
        <v>38.041530042521721</v>
      </c>
      <c r="N712" s="113">
        <f t="shared" si="1121"/>
        <v>83.717562843872798</v>
      </c>
      <c r="O712" s="113">
        <f t="shared" si="1121"/>
        <v>0</v>
      </c>
      <c r="P712" s="113">
        <f t="shared" si="1121"/>
        <v>0</v>
      </c>
      <c r="Q712" s="113">
        <f t="shared" si="1121"/>
        <v>38.108385967165383</v>
      </c>
      <c r="R712" s="113">
        <f t="shared" si="1121"/>
        <v>53.231809358482167</v>
      </c>
      <c r="S712" s="113">
        <f t="shared" si="1121"/>
        <v>0</v>
      </c>
      <c r="T712" s="113">
        <f t="shared" si="1121"/>
        <v>0</v>
      </c>
      <c r="U712" s="113">
        <f t="shared" si="1121"/>
        <v>38.074373979066365</v>
      </c>
      <c r="V712" s="113">
        <f t="shared" si="1121"/>
        <v>99.021934980109151</v>
      </c>
      <c r="W712" s="113">
        <f t="shared" si="1121"/>
        <v>0</v>
      </c>
      <c r="X712" s="113">
        <f t="shared" si="1121"/>
        <v>0</v>
      </c>
      <c r="Y712" s="113">
        <f t="shared" si="1121"/>
        <v>38.042533196386714</v>
      </c>
      <c r="Z712" s="113">
        <f t="shared" si="1121"/>
        <v>98.930722423118524</v>
      </c>
      <c r="AA712" s="113">
        <f t="shared" si="1121"/>
        <v>0</v>
      </c>
      <c r="AB712" s="113">
        <f t="shared" si="1121"/>
        <v>0</v>
      </c>
      <c r="AC712" s="113">
        <f t="shared" si="1121"/>
        <v>38.107723670378228</v>
      </c>
      <c r="AD712" s="113">
        <f t="shared" si="1121"/>
        <v>98.836807285974501</v>
      </c>
      <c r="AE712" s="113">
        <f t="shared" si="1121"/>
        <v>0</v>
      </c>
      <c r="AF712" s="113">
        <f t="shared" si="1121"/>
        <v>0</v>
      </c>
      <c r="AG712" s="113">
        <f t="shared" si="1121"/>
        <v>38.074373979066365</v>
      </c>
      <c r="AH712" s="113">
        <f t="shared" si="1121"/>
        <v>99.021934980109151</v>
      </c>
      <c r="AI712" s="113">
        <f t="shared" si="1121"/>
        <v>0</v>
      </c>
      <c r="AJ712" s="113">
        <f t="shared" si="1121"/>
        <v>0</v>
      </c>
      <c r="AK712" s="113">
        <f t="shared" si="1121"/>
        <v>38.042533196386714</v>
      </c>
      <c r="AL712" s="113">
        <f t="shared" si="1121"/>
        <v>98.930722423118524</v>
      </c>
      <c r="AM712" s="113">
        <f t="shared" si="1121"/>
        <v>0</v>
      </c>
      <c r="AN712" s="113">
        <f t="shared" si="1121"/>
        <v>0</v>
      </c>
      <c r="AO712" s="113">
        <f t="shared" si="1121"/>
        <v>38.108385967165383</v>
      </c>
      <c r="AP712" s="113">
        <f t="shared" si="1121"/>
        <v>98.836807285974501</v>
      </c>
      <c r="AQ712" s="113">
        <f t="shared" si="1121"/>
        <v>0</v>
      </c>
      <c r="AR712" s="113">
        <f t="shared" si="1121"/>
        <v>0</v>
      </c>
      <c r="AS712" s="113">
        <f t="shared" si="1121"/>
        <v>38.102656885220838</v>
      </c>
      <c r="AT712" s="113">
        <f t="shared" si="1121"/>
        <v>99.057100070771398</v>
      </c>
      <c r="AU712" s="113">
        <f t="shared" si="1121"/>
        <v>0</v>
      </c>
      <c r="AV712" s="113">
        <f t="shared" si="1121"/>
        <v>0</v>
      </c>
      <c r="AW712" s="113">
        <f t="shared" si="1121"/>
        <v>38.074373979066365</v>
      </c>
      <c r="AX712" s="113">
        <f t="shared" si="1121"/>
        <v>99.025926907852309</v>
      </c>
      <c r="AY712" s="113">
        <f t="shared" si="1121"/>
        <v>0</v>
      </c>
      <c r="AZ712" s="113">
        <f t="shared" si="1121"/>
        <v>0</v>
      </c>
      <c r="BA712" s="113">
        <f t="shared" si="1121"/>
        <v>38.042533196386714</v>
      </c>
      <c r="BB712" s="113">
        <f t="shared" si="1121"/>
        <v>98.930722423118524</v>
      </c>
      <c r="BC712" s="113">
        <f t="shared" si="1088"/>
        <v>1735.67623627538</v>
      </c>
    </row>
    <row r="713" spans="2:56" x14ac:dyDescent="0.25">
      <c r="B713" s="113" t="str">
        <f t="shared" si="1118"/>
        <v>Product H AllowableReworkLossVAS</v>
      </c>
      <c r="C713" s="113">
        <f t="shared" si="1120"/>
        <v>0</v>
      </c>
      <c r="D713" s="113">
        <f t="shared" si="1121"/>
        <v>0</v>
      </c>
      <c r="E713" s="113">
        <f t="shared" si="1121"/>
        <v>0</v>
      </c>
      <c r="F713" s="113">
        <f t="shared" si="1121"/>
        <v>28.007702690021894</v>
      </c>
      <c r="G713" s="113">
        <f t="shared" si="1121"/>
        <v>0</v>
      </c>
      <c r="H713" s="113">
        <f t="shared" si="1121"/>
        <v>0</v>
      </c>
      <c r="I713" s="113">
        <f t="shared" si="1121"/>
        <v>0</v>
      </c>
      <c r="J713" s="113">
        <f t="shared" si="1121"/>
        <v>28.055001170707101</v>
      </c>
      <c r="K713" s="113">
        <f t="shared" si="1121"/>
        <v>0</v>
      </c>
      <c r="L713" s="113">
        <f t="shared" si="1121"/>
        <v>0</v>
      </c>
      <c r="M713" s="113">
        <f t="shared" si="1121"/>
        <v>0</v>
      </c>
      <c r="N713" s="113">
        <f t="shared" si="1121"/>
        <v>28.033590311757301</v>
      </c>
      <c r="O713" s="113">
        <f t="shared" si="1121"/>
        <v>0</v>
      </c>
      <c r="P713" s="113">
        <f t="shared" si="1121"/>
        <v>0</v>
      </c>
      <c r="Q713" s="113">
        <f t="shared" si="1121"/>
        <v>33.682505093263423</v>
      </c>
      <c r="R713" s="113">
        <f t="shared" si="1121"/>
        <v>28.013933302127093</v>
      </c>
      <c r="S713" s="113">
        <f t="shared" si="1121"/>
        <v>0</v>
      </c>
      <c r="T713" s="113">
        <f t="shared" si="1121"/>
        <v>0</v>
      </c>
      <c r="U713" s="113">
        <f t="shared" si="1121"/>
        <v>0</v>
      </c>
      <c r="V713" s="113">
        <f t="shared" si="1121"/>
        <v>28.054018625782856</v>
      </c>
      <c r="W713" s="113">
        <f t="shared" si="1121"/>
        <v>33.677532099907488</v>
      </c>
      <c r="X713" s="113">
        <f t="shared" si="1121"/>
        <v>0</v>
      </c>
      <c r="Y713" s="113">
        <f t="shared" si="1121"/>
        <v>0</v>
      </c>
      <c r="Z713" s="113">
        <f t="shared" si="1121"/>
        <v>28.031568210679076</v>
      </c>
      <c r="AA713" s="113">
        <f t="shared" si="1121"/>
        <v>0</v>
      </c>
      <c r="AB713" s="113">
        <f t="shared" si="1121"/>
        <v>16.836025215636379</v>
      </c>
      <c r="AC713" s="113">
        <f t="shared" si="1121"/>
        <v>0</v>
      </c>
      <c r="AD713" s="113">
        <f t="shared" si="1121"/>
        <v>28.008452601568067</v>
      </c>
      <c r="AE713" s="113">
        <f t="shared" si="1121"/>
        <v>0</v>
      </c>
      <c r="AF713" s="113">
        <f t="shared" si="1121"/>
        <v>0</v>
      </c>
      <c r="AG713" s="113">
        <f t="shared" si="1121"/>
        <v>0</v>
      </c>
      <c r="AH713" s="113">
        <f t="shared" si="1121"/>
        <v>28.054018625782856</v>
      </c>
      <c r="AI713" s="113">
        <f t="shared" si="1121"/>
        <v>33.677532099907488</v>
      </c>
      <c r="AJ713" s="113">
        <f t="shared" si="1121"/>
        <v>0</v>
      </c>
      <c r="AK713" s="113">
        <f t="shared" si="1121"/>
        <v>0</v>
      </c>
      <c r="AL713" s="113">
        <f t="shared" si="1121"/>
        <v>28.031568210679076</v>
      </c>
      <c r="AM713" s="113">
        <f t="shared" si="1121"/>
        <v>0</v>
      </c>
      <c r="AN713" s="113">
        <f t="shared" si="1121"/>
        <v>0</v>
      </c>
      <c r="AO713" s="113">
        <f t="shared" si="1121"/>
        <v>33.682505093263423</v>
      </c>
      <c r="AP713" s="113">
        <f t="shared" si="1121"/>
        <v>28.008452601568067</v>
      </c>
      <c r="AQ713" s="113">
        <f t="shared" si="1121"/>
        <v>0</v>
      </c>
      <c r="AR713" s="113">
        <f t="shared" si="1121"/>
        <v>0</v>
      </c>
      <c r="AS713" s="113">
        <f t="shared" si="1121"/>
        <v>0</v>
      </c>
      <c r="AT713" s="113">
        <f t="shared" si="1121"/>
        <v>28.062673913043476</v>
      </c>
      <c r="AU713" s="113">
        <f t="shared" si="1121"/>
        <v>0</v>
      </c>
      <c r="AV713" s="113">
        <f t="shared" si="1121"/>
        <v>0</v>
      </c>
      <c r="AW713" s="113">
        <f t="shared" si="1121"/>
        <v>0</v>
      </c>
      <c r="AX713" s="113">
        <f t="shared" si="1121"/>
        <v>28.055001170707101</v>
      </c>
      <c r="AY713" s="113">
        <f t="shared" si="1121"/>
        <v>0</v>
      </c>
      <c r="AZ713" s="113">
        <f t="shared" si="1121"/>
        <v>0</v>
      </c>
      <c r="BA713" s="113">
        <f t="shared" si="1121"/>
        <v>0</v>
      </c>
      <c r="BB713" s="113">
        <f t="shared" si="1121"/>
        <v>28.031568210679076</v>
      </c>
      <c r="BC713" s="113">
        <f t="shared" si="1088"/>
        <v>516.00364924708128</v>
      </c>
    </row>
    <row r="714" spans="2:56" x14ac:dyDescent="0.25">
      <c r="B714" s="43" t="str">
        <f t="shared" ref="B714:B721" si="1122">_xlfn.CONCAT(B457," ","Rework Gap VAS")</f>
        <v>Product A Rework Gap VAS</v>
      </c>
      <c r="C714" s="43">
        <f>C690-C706</f>
        <v>353.37410256410249</v>
      </c>
      <c r="D714" s="43">
        <f>D690-D706</f>
        <v>0</v>
      </c>
      <c r="E714" s="43">
        <f t="shared" ref="E714:BB714" si="1123">E690-E706</f>
        <v>207.34674711977863</v>
      </c>
      <c r="F714" s="43">
        <f t="shared" si="1123"/>
        <v>0</v>
      </c>
      <c r="G714" s="43">
        <f t="shared" si="1123"/>
        <v>353.08868103166827</v>
      </c>
      <c r="H714" s="43">
        <f t="shared" si="1123"/>
        <v>0</v>
      </c>
      <c r="I714" s="43">
        <f t="shared" si="1123"/>
        <v>0</v>
      </c>
      <c r="J714" s="43">
        <f t="shared" si="1123"/>
        <v>0</v>
      </c>
      <c r="K714" s="43">
        <f t="shared" si="1123"/>
        <v>353.69793170353125</v>
      </c>
      <c r="L714" s="43">
        <f t="shared" si="1123"/>
        <v>0</v>
      </c>
      <c r="M714" s="43">
        <f t="shared" si="1123"/>
        <v>0</v>
      </c>
      <c r="N714" s="43">
        <f t="shared" si="1123"/>
        <v>0</v>
      </c>
      <c r="O714" s="43">
        <f t="shared" si="1123"/>
        <v>353.37410256410249</v>
      </c>
      <c r="P714" s="43">
        <f t="shared" si="1123"/>
        <v>158.51106553512494</v>
      </c>
      <c r="Q714" s="43">
        <f t="shared" si="1123"/>
        <v>0</v>
      </c>
      <c r="R714" s="43">
        <f t="shared" si="1123"/>
        <v>0</v>
      </c>
      <c r="S714" s="43">
        <f t="shared" si="1123"/>
        <v>353.08868103166827</v>
      </c>
      <c r="T714" s="43">
        <f t="shared" si="1123"/>
        <v>0</v>
      </c>
      <c r="U714" s="43">
        <f t="shared" si="1123"/>
        <v>0</v>
      </c>
      <c r="V714" s="43">
        <f t="shared" si="1123"/>
        <v>109.71574521232306</v>
      </c>
      <c r="W714" s="43">
        <f t="shared" si="1123"/>
        <v>353.66219858156029</v>
      </c>
      <c r="X714" s="43">
        <f t="shared" si="1123"/>
        <v>0</v>
      </c>
      <c r="Y714" s="43">
        <f t="shared" si="1123"/>
        <v>0</v>
      </c>
      <c r="Z714" s="43">
        <f t="shared" si="1123"/>
        <v>0</v>
      </c>
      <c r="AA714" s="43">
        <f t="shared" si="1123"/>
        <v>353.37410256410249</v>
      </c>
      <c r="AB714" s="43">
        <f t="shared" si="1123"/>
        <v>0</v>
      </c>
      <c r="AC714" s="43">
        <f t="shared" si="1123"/>
        <v>243.9373495526807</v>
      </c>
      <c r="AD714" s="43">
        <f t="shared" si="1123"/>
        <v>0</v>
      </c>
      <c r="AE714" s="43">
        <f t="shared" si="1123"/>
        <v>353.08868103166827</v>
      </c>
      <c r="AF714" s="43">
        <f t="shared" si="1123"/>
        <v>0</v>
      </c>
      <c r="AG714" s="43">
        <f t="shared" si="1123"/>
        <v>0</v>
      </c>
      <c r="AH714" s="43">
        <f t="shared" si="1123"/>
        <v>109.71574521232306</v>
      </c>
      <c r="AI714" s="43">
        <f t="shared" si="1123"/>
        <v>378.052695035461</v>
      </c>
      <c r="AJ714" s="43">
        <f t="shared" si="1123"/>
        <v>0</v>
      </c>
      <c r="AK714" s="43">
        <f t="shared" si="1123"/>
        <v>0</v>
      </c>
      <c r="AL714" s="43">
        <f t="shared" si="1123"/>
        <v>0</v>
      </c>
      <c r="AM714" s="43">
        <f t="shared" si="1123"/>
        <v>353.37410256410249</v>
      </c>
      <c r="AN714" s="43">
        <f t="shared" si="1123"/>
        <v>109.73842998585573</v>
      </c>
      <c r="AO714" s="43">
        <f t="shared" si="1123"/>
        <v>0</v>
      </c>
      <c r="AP714" s="43">
        <f t="shared" si="1123"/>
        <v>0</v>
      </c>
      <c r="AQ714" s="43">
        <f t="shared" si="1123"/>
        <v>353.08868103166827</v>
      </c>
      <c r="AR714" s="43">
        <f t="shared" si="1123"/>
        <v>0</v>
      </c>
      <c r="AS714" s="43">
        <f t="shared" si="1123"/>
        <v>207.32275561668962</v>
      </c>
      <c r="AT714" s="43">
        <f t="shared" si="1123"/>
        <v>0</v>
      </c>
      <c r="AU714" s="43">
        <f t="shared" si="1123"/>
        <v>329.25994652406416</v>
      </c>
      <c r="AV714" s="43">
        <f t="shared" si="1123"/>
        <v>207.33352245401966</v>
      </c>
      <c r="AW714" s="43">
        <f t="shared" si="1123"/>
        <v>0</v>
      </c>
      <c r="AX714" s="43">
        <f t="shared" si="1123"/>
        <v>0</v>
      </c>
      <c r="AY714" s="43">
        <f t="shared" si="1123"/>
        <v>353.69793170353125</v>
      </c>
      <c r="AZ714" s="43">
        <f t="shared" si="1123"/>
        <v>0</v>
      </c>
      <c r="BA714" s="43">
        <f t="shared" si="1123"/>
        <v>0</v>
      </c>
      <c r="BB714" s="43">
        <f t="shared" si="1123"/>
        <v>0</v>
      </c>
      <c r="BC714" s="113">
        <f>SUM(C714:BB714)</f>
        <v>5947.8431986200258</v>
      </c>
      <c r="BD714" s="144"/>
    </row>
    <row r="715" spans="2:56" x14ac:dyDescent="0.25">
      <c r="B715" s="43" t="str">
        <f t="shared" si="1122"/>
        <v>Product B Rework Gap VAS</v>
      </c>
      <c r="C715" s="43">
        <f t="shared" ref="C715:D721" si="1124">C691-C707</f>
        <v>252.44115880835091</v>
      </c>
      <c r="D715" s="43">
        <f t="shared" si="1124"/>
        <v>281.82423452549335</v>
      </c>
      <c r="E715" s="43">
        <f t="shared" ref="E715:BB715" si="1125">E691-E707</f>
        <v>0</v>
      </c>
      <c r="F715" s="43">
        <f t="shared" si="1125"/>
        <v>193.85264033671018</v>
      </c>
      <c r="G715" s="43">
        <f t="shared" si="1125"/>
        <v>252.15405691365675</v>
      </c>
      <c r="H715" s="43">
        <f t="shared" si="1125"/>
        <v>281.52835951230134</v>
      </c>
      <c r="I715" s="43">
        <f t="shared" si="1125"/>
        <v>0</v>
      </c>
      <c r="J715" s="43">
        <f t="shared" si="1125"/>
        <v>106.8730183340942</v>
      </c>
      <c r="K715" s="43">
        <f t="shared" si="1125"/>
        <v>252.76689442715383</v>
      </c>
      <c r="L715" s="43">
        <f t="shared" si="1125"/>
        <v>281.20546517887726</v>
      </c>
      <c r="M715" s="43">
        <f t="shared" si="1125"/>
        <v>0</v>
      </c>
      <c r="N715" s="43">
        <f t="shared" si="1125"/>
        <v>0</v>
      </c>
      <c r="O715" s="43">
        <f t="shared" si="1125"/>
        <v>271.85970948591637</v>
      </c>
      <c r="P715" s="43">
        <f t="shared" si="1125"/>
        <v>281.82423452549335</v>
      </c>
      <c r="Q715" s="43">
        <f t="shared" si="1125"/>
        <v>0</v>
      </c>
      <c r="R715" s="43">
        <f t="shared" si="1125"/>
        <v>0</v>
      </c>
      <c r="S715" s="43">
        <f t="shared" si="1125"/>
        <v>252.15405691365675</v>
      </c>
      <c r="T715" s="43">
        <f t="shared" si="1125"/>
        <v>281.52565672422816</v>
      </c>
      <c r="U715" s="43">
        <f t="shared" si="1125"/>
        <v>0</v>
      </c>
      <c r="V715" s="43">
        <f t="shared" si="1125"/>
        <v>0</v>
      </c>
      <c r="W715" s="43">
        <f t="shared" si="1125"/>
        <v>252.73095093356491</v>
      </c>
      <c r="X715" s="43">
        <f t="shared" si="1125"/>
        <v>281.20546517887726</v>
      </c>
      <c r="Y715" s="43">
        <f t="shared" si="1125"/>
        <v>0</v>
      </c>
      <c r="Z715" s="43">
        <f t="shared" si="1125"/>
        <v>0</v>
      </c>
      <c r="AA715" s="43">
        <f t="shared" si="1125"/>
        <v>252.44115880835091</v>
      </c>
      <c r="AB715" s="43">
        <f t="shared" si="1125"/>
        <v>281.82752460580605</v>
      </c>
      <c r="AC715" s="43">
        <f t="shared" si="1125"/>
        <v>0</v>
      </c>
      <c r="AD715" s="43">
        <f t="shared" si="1125"/>
        <v>0</v>
      </c>
      <c r="AE715" s="43">
        <f t="shared" si="1125"/>
        <v>252.15405691365675</v>
      </c>
      <c r="AF715" s="43">
        <f t="shared" si="1125"/>
        <v>281.52835951230134</v>
      </c>
      <c r="AG715" s="43">
        <f t="shared" si="1125"/>
        <v>0</v>
      </c>
      <c r="AH715" s="43">
        <f t="shared" si="1125"/>
        <v>0</v>
      </c>
      <c r="AI715" s="43">
        <f t="shared" si="1125"/>
        <v>272.17179331306988</v>
      </c>
      <c r="AJ715" s="43">
        <f t="shared" si="1125"/>
        <v>281.20546517887726</v>
      </c>
      <c r="AK715" s="43">
        <f t="shared" si="1125"/>
        <v>0</v>
      </c>
      <c r="AL715" s="43">
        <f t="shared" si="1125"/>
        <v>0</v>
      </c>
      <c r="AM715" s="43">
        <f t="shared" si="1125"/>
        <v>252.44115880835091</v>
      </c>
      <c r="AN715" s="43">
        <f t="shared" si="1125"/>
        <v>281.82423452549335</v>
      </c>
      <c r="AO715" s="43">
        <f t="shared" si="1125"/>
        <v>0</v>
      </c>
      <c r="AP715" s="43">
        <f t="shared" si="1125"/>
        <v>0</v>
      </c>
      <c r="AQ715" s="43">
        <f t="shared" si="1125"/>
        <v>252.15405691365675</v>
      </c>
      <c r="AR715" s="43">
        <f t="shared" si="1125"/>
        <v>281.52835951230134</v>
      </c>
      <c r="AS715" s="43">
        <f t="shared" si="1125"/>
        <v>0</v>
      </c>
      <c r="AT715" s="43">
        <f t="shared" si="1125"/>
        <v>145.79213570778626</v>
      </c>
      <c r="AU715" s="43">
        <f t="shared" si="1125"/>
        <v>272.15811560988027</v>
      </c>
      <c r="AV715" s="43">
        <f t="shared" si="1125"/>
        <v>301.36231872121039</v>
      </c>
      <c r="AW715" s="43">
        <f t="shared" si="1125"/>
        <v>0</v>
      </c>
      <c r="AX715" s="43">
        <f t="shared" si="1125"/>
        <v>145.73593409194663</v>
      </c>
      <c r="AY715" s="43">
        <f t="shared" si="1125"/>
        <v>252.76689442715383</v>
      </c>
      <c r="AZ715" s="43">
        <f t="shared" si="1125"/>
        <v>126.0795539403735</v>
      </c>
      <c r="BA715" s="43">
        <f t="shared" si="1125"/>
        <v>0</v>
      </c>
      <c r="BB715" s="43">
        <f t="shared" si="1125"/>
        <v>0</v>
      </c>
      <c r="BC715" s="113">
        <f t="shared" ref="BC715:BC722" si="1126">SUM(C715:BB715)</f>
        <v>7457.1170223885902</v>
      </c>
    </row>
    <row r="716" spans="2:56" x14ac:dyDescent="0.25">
      <c r="B716" s="43" t="str">
        <f t="shared" si="1122"/>
        <v>Product C Rework Gap VAS</v>
      </c>
      <c r="C716" s="43">
        <f t="shared" si="1124"/>
        <v>364.32659593280283</v>
      </c>
      <c r="D716" s="43">
        <f t="shared" si="1124"/>
        <v>280.17971334276285</v>
      </c>
      <c r="E716" s="43">
        <f t="shared" ref="E716:BB716" si="1127">E692-E708</f>
        <v>312.92132985775885</v>
      </c>
      <c r="F716" s="43">
        <f t="shared" si="1127"/>
        <v>0</v>
      </c>
      <c r="G716" s="43">
        <f t="shared" si="1127"/>
        <v>363.96171727064967</v>
      </c>
      <c r="H716" s="43">
        <f t="shared" si="1127"/>
        <v>279.92065635969828</v>
      </c>
      <c r="I716" s="43">
        <f t="shared" si="1127"/>
        <v>312.62589509233317</v>
      </c>
      <c r="J716" s="43">
        <f t="shared" si="1127"/>
        <v>0</v>
      </c>
      <c r="K716" s="43">
        <f t="shared" si="1127"/>
        <v>364.74057431121463</v>
      </c>
      <c r="L716" s="43">
        <f t="shared" si="1127"/>
        <v>279.63794228065825</v>
      </c>
      <c r="M716" s="43">
        <f t="shared" si="1127"/>
        <v>312.33494065446484</v>
      </c>
      <c r="N716" s="43">
        <f t="shared" si="1127"/>
        <v>0</v>
      </c>
      <c r="O716" s="43">
        <f t="shared" si="1127"/>
        <v>345.15151193633955</v>
      </c>
      <c r="P716" s="43">
        <f t="shared" si="1127"/>
        <v>280.17971334276285</v>
      </c>
      <c r="Q716" s="43">
        <f t="shared" si="1127"/>
        <v>312.92719694342776</v>
      </c>
      <c r="R716" s="43">
        <f t="shared" si="1127"/>
        <v>0</v>
      </c>
      <c r="S716" s="43">
        <f t="shared" si="1127"/>
        <v>363.96171727064967</v>
      </c>
      <c r="T716" s="43">
        <f t="shared" si="1127"/>
        <v>279.9182899005757</v>
      </c>
      <c r="U716" s="43">
        <f t="shared" si="1127"/>
        <v>331.80539785873395</v>
      </c>
      <c r="V716" s="43">
        <f t="shared" si="1127"/>
        <v>0</v>
      </c>
      <c r="W716" s="43">
        <f t="shared" si="1127"/>
        <v>364.69489361702131</v>
      </c>
      <c r="X716" s="43">
        <f t="shared" si="1127"/>
        <v>279.63794228065825</v>
      </c>
      <c r="Y716" s="43">
        <f t="shared" si="1127"/>
        <v>331.50602528245236</v>
      </c>
      <c r="Z716" s="43">
        <f t="shared" si="1127"/>
        <v>0</v>
      </c>
      <c r="AA716" s="43">
        <f t="shared" si="1127"/>
        <v>364.32659593280283</v>
      </c>
      <c r="AB716" s="43">
        <f t="shared" si="1127"/>
        <v>280.18259401278175</v>
      </c>
      <c r="AC716" s="43">
        <f t="shared" si="1127"/>
        <v>312.92132985775885</v>
      </c>
      <c r="AD716" s="43">
        <f t="shared" si="1127"/>
        <v>0</v>
      </c>
      <c r="AE716" s="43">
        <f t="shared" si="1127"/>
        <v>363.96171727064967</v>
      </c>
      <c r="AF716" s="43">
        <f t="shared" si="1127"/>
        <v>299.09330405556807</v>
      </c>
      <c r="AG716" s="43">
        <f t="shared" si="1127"/>
        <v>312.62589509233317</v>
      </c>
      <c r="AH716" s="43">
        <f t="shared" si="1127"/>
        <v>0</v>
      </c>
      <c r="AI716" s="43">
        <f t="shared" si="1127"/>
        <v>345.50042553191491</v>
      </c>
      <c r="AJ716" s="43">
        <f t="shared" si="1127"/>
        <v>279.63794228065825</v>
      </c>
      <c r="AK716" s="43">
        <f t="shared" si="1127"/>
        <v>331.50602528245236</v>
      </c>
      <c r="AL716" s="43">
        <f t="shared" si="1127"/>
        <v>0</v>
      </c>
      <c r="AM716" s="43">
        <f t="shared" si="1127"/>
        <v>364.32659593280283</v>
      </c>
      <c r="AN716" s="43">
        <f t="shared" si="1127"/>
        <v>280.17971334276285</v>
      </c>
      <c r="AO716" s="43">
        <f t="shared" si="1127"/>
        <v>332.12518448596933</v>
      </c>
      <c r="AP716" s="43">
        <f t="shared" si="1127"/>
        <v>0</v>
      </c>
      <c r="AQ716" s="43">
        <f t="shared" si="1127"/>
        <v>363.96171727064967</v>
      </c>
      <c r="AR716" s="43">
        <f t="shared" si="1127"/>
        <v>279.92065635969828</v>
      </c>
      <c r="AS716" s="43">
        <f t="shared" si="1127"/>
        <v>312.87644475011467</v>
      </c>
      <c r="AT716" s="43">
        <f t="shared" si="1127"/>
        <v>0</v>
      </c>
      <c r="AU716" s="43">
        <f t="shared" si="1127"/>
        <v>364.67875222816394</v>
      </c>
      <c r="AV716" s="43">
        <f t="shared" si="1127"/>
        <v>280.26320166374211</v>
      </c>
      <c r="AW716" s="43">
        <f t="shared" si="1127"/>
        <v>312.62589509233317</v>
      </c>
      <c r="AX716" s="43">
        <f t="shared" si="1127"/>
        <v>0</v>
      </c>
      <c r="AY716" s="43">
        <f t="shared" si="1127"/>
        <v>364.74057431121463</v>
      </c>
      <c r="AZ716" s="43">
        <f t="shared" si="1127"/>
        <v>279.68077861973438</v>
      </c>
      <c r="BA716" s="43">
        <f t="shared" si="1127"/>
        <v>331.50602528245236</v>
      </c>
      <c r="BB716" s="43">
        <f t="shared" si="1127"/>
        <v>0</v>
      </c>
      <c r="BC716" s="113">
        <f t="shared" si="1126"/>
        <v>12517.073422191519</v>
      </c>
    </row>
    <row r="717" spans="2:56" x14ac:dyDescent="0.25">
      <c r="B717" s="43" t="str">
        <f t="shared" si="1122"/>
        <v>Product D Rework Gap VAS</v>
      </c>
      <c r="C717" s="43">
        <f t="shared" si="1124"/>
        <v>173.69179302306881</v>
      </c>
      <c r="D717" s="43">
        <f t="shared" si="1124"/>
        <v>129.48923098024096</v>
      </c>
      <c r="E717" s="43">
        <f t="shared" ref="E717:BB717" si="1128">E693-E709</f>
        <v>105.29842743714418</v>
      </c>
      <c r="F717" s="43">
        <f t="shared" si="1128"/>
        <v>116.74645759755832</v>
      </c>
      <c r="G717" s="43">
        <f t="shared" si="1128"/>
        <v>116.87922426023208</v>
      </c>
      <c r="H717" s="43">
        <f t="shared" si="1128"/>
        <v>137.29876472545303</v>
      </c>
      <c r="I717" s="43">
        <f t="shared" si="1128"/>
        <v>113.15978367856181</v>
      </c>
      <c r="J717" s="43">
        <f t="shared" si="1128"/>
        <v>117.29395508523513</v>
      </c>
      <c r="K717" s="43">
        <f t="shared" si="1128"/>
        <v>174.13213528768478</v>
      </c>
      <c r="L717" s="43">
        <f t="shared" si="1128"/>
        <v>136.98932835675026</v>
      </c>
      <c r="M717" s="43">
        <f t="shared" si="1128"/>
        <v>104.85881540866234</v>
      </c>
      <c r="N717" s="43">
        <f t="shared" si="1128"/>
        <v>125.11826239890867</v>
      </c>
      <c r="O717" s="43">
        <f t="shared" si="1128"/>
        <v>173.69179302306881</v>
      </c>
      <c r="P717" s="43">
        <f t="shared" si="1128"/>
        <v>137.58230791650601</v>
      </c>
      <c r="Q717" s="43">
        <f t="shared" si="1128"/>
        <v>105.3028259516763</v>
      </c>
      <c r="R717" s="43">
        <f t="shared" si="1128"/>
        <v>116.81857924765936</v>
      </c>
      <c r="S717" s="43">
        <f t="shared" si="1128"/>
        <v>116.87922426023208</v>
      </c>
      <c r="T717" s="43">
        <f t="shared" si="1128"/>
        <v>104.991192331478</v>
      </c>
      <c r="U717" s="43">
        <f t="shared" si="1128"/>
        <v>105.07694198723598</v>
      </c>
      <c r="V717" s="43">
        <f t="shared" si="1128"/>
        <v>117.28258176267255</v>
      </c>
      <c r="W717" s="43">
        <f t="shared" si="1128"/>
        <v>174.08354545454534</v>
      </c>
      <c r="X717" s="43">
        <f t="shared" si="1128"/>
        <v>136.98932835675026</v>
      </c>
      <c r="Y717" s="43">
        <f t="shared" si="1128"/>
        <v>104.86547765878748</v>
      </c>
      <c r="Z717" s="43">
        <f t="shared" si="1128"/>
        <v>92.811114721625131</v>
      </c>
      <c r="AA717" s="43">
        <f t="shared" si="1128"/>
        <v>173.69179302306881</v>
      </c>
      <c r="AB717" s="43">
        <f t="shared" si="1128"/>
        <v>137.58546086903343</v>
      </c>
      <c r="AC717" s="43">
        <f t="shared" si="1128"/>
        <v>105.29842743714418</v>
      </c>
      <c r="AD717" s="43">
        <f t="shared" si="1128"/>
        <v>116.75513810233488</v>
      </c>
      <c r="AE717" s="43">
        <f t="shared" si="1128"/>
        <v>116.87922426023208</v>
      </c>
      <c r="AF717" s="43">
        <f t="shared" si="1128"/>
        <v>129.22236680042636</v>
      </c>
      <c r="AG717" s="43">
        <f t="shared" si="1128"/>
        <v>105.07694198723598</v>
      </c>
      <c r="AH717" s="43">
        <f t="shared" si="1128"/>
        <v>117.28258176267255</v>
      </c>
      <c r="AI717" s="43">
        <f t="shared" si="1128"/>
        <v>174.08354545454534</v>
      </c>
      <c r="AJ717" s="43">
        <f t="shared" si="1128"/>
        <v>136.98932835675026</v>
      </c>
      <c r="AK717" s="43">
        <f t="shared" si="1128"/>
        <v>104.86547765878748</v>
      </c>
      <c r="AL717" s="43">
        <f t="shared" si="1128"/>
        <v>92.811114721625131</v>
      </c>
      <c r="AM717" s="43">
        <f t="shared" si="1128"/>
        <v>173.69179302306881</v>
      </c>
      <c r="AN717" s="43">
        <f t="shared" si="1128"/>
        <v>137.58230791650601</v>
      </c>
      <c r="AO717" s="43">
        <f t="shared" si="1128"/>
        <v>105.3028259516763</v>
      </c>
      <c r="AP717" s="43">
        <f t="shared" si="1128"/>
        <v>116.75513810233488</v>
      </c>
      <c r="AQ717" s="43">
        <f t="shared" si="1128"/>
        <v>124.93986041611014</v>
      </c>
      <c r="AR717" s="43">
        <f t="shared" si="1128"/>
        <v>137.29876472545303</v>
      </c>
      <c r="AS717" s="43">
        <f t="shared" si="1128"/>
        <v>105.26477737484885</v>
      </c>
      <c r="AT717" s="43">
        <f t="shared" si="1128"/>
        <v>117.38276992858528</v>
      </c>
      <c r="AU717" s="43">
        <f t="shared" si="1128"/>
        <v>174.06637611408206</v>
      </c>
      <c r="AV717" s="43">
        <f t="shared" si="1128"/>
        <v>137.67368759933112</v>
      </c>
      <c r="AW717" s="43">
        <f t="shared" si="1128"/>
        <v>105.07694198723598</v>
      </c>
      <c r="AX717" s="43">
        <f t="shared" si="1128"/>
        <v>109.20471680349476</v>
      </c>
      <c r="AY717" s="43">
        <f t="shared" si="1128"/>
        <v>174.13213528768478</v>
      </c>
      <c r="AZ717" s="43">
        <f t="shared" si="1128"/>
        <v>137.0362136100679</v>
      </c>
      <c r="BA717" s="43">
        <f t="shared" si="1128"/>
        <v>104.86547765878748</v>
      </c>
      <c r="BB717" s="43">
        <f t="shared" si="1128"/>
        <v>92.811114721625131</v>
      </c>
      <c r="BC717" s="113">
        <f t="shared" si="1126"/>
        <v>6600.9573925664836</v>
      </c>
    </row>
    <row r="718" spans="2:56" x14ac:dyDescent="0.25">
      <c r="B718" s="43" t="str">
        <f t="shared" si="1122"/>
        <v>Product E Rework Gap VAS</v>
      </c>
      <c r="C718" s="43">
        <f t="shared" si="1124"/>
        <v>119.63990450928382</v>
      </c>
      <c r="D718" s="43">
        <f t="shared" si="1124"/>
        <v>316.73264422442236</v>
      </c>
      <c r="E718" s="43">
        <f t="shared" ref="E718:BB718" si="1129">E694-E710</f>
        <v>239.6713913882989</v>
      </c>
      <c r="F718" s="43">
        <f t="shared" si="1129"/>
        <v>183.06239424460429</v>
      </c>
      <c r="G718" s="43">
        <f t="shared" si="1129"/>
        <v>119.47311655239962</v>
      </c>
      <c r="H718" s="43">
        <f t="shared" si="1129"/>
        <v>260.50304518634704</v>
      </c>
      <c r="I718" s="43">
        <f t="shared" si="1129"/>
        <v>239.35656305238194</v>
      </c>
      <c r="J718" s="43">
        <f t="shared" si="1129"/>
        <v>183.59731897265948</v>
      </c>
      <c r="K718" s="43">
        <f t="shared" si="1129"/>
        <v>119.82913620488939</v>
      </c>
      <c r="L718" s="43">
        <f t="shared" si="1129"/>
        <v>161.92188254362028</v>
      </c>
      <c r="M718" s="43">
        <f t="shared" si="1129"/>
        <v>140.77183316694399</v>
      </c>
      <c r="N718" s="43">
        <f t="shared" si="1129"/>
        <v>183.35517170418007</v>
      </c>
      <c r="O718" s="43">
        <f t="shared" si="1129"/>
        <v>119.63990450928382</v>
      </c>
      <c r="P718" s="43">
        <f t="shared" si="1129"/>
        <v>303.42454992927856</v>
      </c>
      <c r="Q718" s="43">
        <f t="shared" si="1129"/>
        <v>239.6776436139472</v>
      </c>
      <c r="R718" s="43">
        <f t="shared" si="1129"/>
        <v>183.13285968953431</v>
      </c>
      <c r="S718" s="43">
        <f t="shared" si="1129"/>
        <v>119.47311655239962</v>
      </c>
      <c r="T718" s="43">
        <f t="shared" si="1129"/>
        <v>303.03058838304554</v>
      </c>
      <c r="U718" s="43">
        <f t="shared" si="1129"/>
        <v>239.35656305238194</v>
      </c>
      <c r="V718" s="43">
        <f t="shared" si="1129"/>
        <v>183.58620682764365</v>
      </c>
      <c r="W718" s="43">
        <f t="shared" si="1129"/>
        <v>119.80825531914893</v>
      </c>
      <c r="X718" s="43">
        <f t="shared" si="1129"/>
        <v>161.92188254362028</v>
      </c>
      <c r="Y718" s="43">
        <f t="shared" si="1129"/>
        <v>239.05597914197676</v>
      </c>
      <c r="Z718" s="43">
        <f t="shared" si="1129"/>
        <v>183.33230264255914</v>
      </c>
      <c r="AA718" s="43">
        <f t="shared" si="1129"/>
        <v>119.63990450928382</v>
      </c>
      <c r="AB718" s="43">
        <f t="shared" si="1129"/>
        <v>303.42889105953589</v>
      </c>
      <c r="AC718" s="43">
        <f t="shared" si="1129"/>
        <v>239.6713913882989</v>
      </c>
      <c r="AD718" s="43">
        <f t="shared" si="1129"/>
        <v>183.07087540983608</v>
      </c>
      <c r="AE718" s="43">
        <f t="shared" si="1129"/>
        <v>106.19832582435519</v>
      </c>
      <c r="AF718" s="43">
        <f t="shared" si="1129"/>
        <v>247.21207349316609</v>
      </c>
      <c r="AG718" s="43">
        <f t="shared" si="1129"/>
        <v>239.35656305238194</v>
      </c>
      <c r="AH718" s="43">
        <f t="shared" si="1129"/>
        <v>183.58620682764365</v>
      </c>
      <c r="AI718" s="43">
        <f t="shared" si="1129"/>
        <v>119.80825531914893</v>
      </c>
      <c r="AJ718" s="43">
        <f t="shared" si="1129"/>
        <v>161.92188254362028</v>
      </c>
      <c r="AK718" s="43">
        <f t="shared" si="1129"/>
        <v>225.77509141186692</v>
      </c>
      <c r="AL718" s="43">
        <f t="shared" si="1129"/>
        <v>183.33230264255914</v>
      </c>
      <c r="AM718" s="43">
        <f t="shared" si="1129"/>
        <v>119.63990450928382</v>
      </c>
      <c r="AN718" s="43">
        <f t="shared" si="1129"/>
        <v>303.42454992927856</v>
      </c>
      <c r="AO718" s="43">
        <f t="shared" si="1129"/>
        <v>239.6776436139472</v>
      </c>
      <c r="AP718" s="43">
        <f t="shared" si="1129"/>
        <v>183.07087540983608</v>
      </c>
      <c r="AQ718" s="43">
        <f t="shared" si="1129"/>
        <v>119.47311655239962</v>
      </c>
      <c r="AR718" s="43">
        <f t="shared" si="1129"/>
        <v>260.50304518634704</v>
      </c>
      <c r="AS718" s="43">
        <f t="shared" si="1129"/>
        <v>226.3111398441082</v>
      </c>
      <c r="AT718" s="43">
        <f t="shared" si="1129"/>
        <v>196.99453588110404</v>
      </c>
      <c r="AU718" s="43">
        <f t="shared" si="1129"/>
        <v>119.80087700534759</v>
      </c>
      <c r="AV718" s="43">
        <f t="shared" si="1129"/>
        <v>303.5503656853187</v>
      </c>
      <c r="AW718" s="43">
        <f t="shared" si="1129"/>
        <v>239.35656305238194</v>
      </c>
      <c r="AX718" s="43">
        <f t="shared" si="1129"/>
        <v>183.59731897265948</v>
      </c>
      <c r="AY718" s="43">
        <f t="shared" si="1129"/>
        <v>119.82913620488939</v>
      </c>
      <c r="AZ718" s="43">
        <f t="shared" si="1129"/>
        <v>302.67266213639698</v>
      </c>
      <c r="BA718" s="43">
        <f t="shared" si="1129"/>
        <v>225.77509141186692</v>
      </c>
      <c r="BB718" s="43">
        <f t="shared" si="1129"/>
        <v>183.33230264255914</v>
      </c>
      <c r="BC718" s="113">
        <f t="shared" si="1126"/>
        <v>10303.36514547427</v>
      </c>
    </row>
    <row r="719" spans="2:56" x14ac:dyDescent="0.25">
      <c r="B719" s="43" t="str">
        <f t="shared" si="1122"/>
        <v>Product F Rework Gap VAS</v>
      </c>
      <c r="C719" s="43">
        <f t="shared" si="1124"/>
        <v>0</v>
      </c>
      <c r="D719" s="43">
        <f t="shared" si="1124"/>
        <v>90.700472418670458</v>
      </c>
      <c r="E719" s="43">
        <f t="shared" ref="E719:BB719" si="1130">E695-E711</f>
        <v>229.93786729925796</v>
      </c>
      <c r="F719" s="43">
        <f t="shared" si="1130"/>
        <v>0</v>
      </c>
      <c r="G719" s="43">
        <f t="shared" si="1130"/>
        <v>0</v>
      </c>
      <c r="H719" s="43">
        <f t="shared" si="1130"/>
        <v>90.54237668448512</v>
      </c>
      <c r="I719" s="43">
        <f t="shared" si="1130"/>
        <v>239.5958041819357</v>
      </c>
      <c r="J719" s="43">
        <f t="shared" si="1130"/>
        <v>171.25438631790746</v>
      </c>
      <c r="K719" s="43">
        <f t="shared" si="1130"/>
        <v>106.89301253949779</v>
      </c>
      <c r="L719" s="43">
        <f t="shared" si="1130"/>
        <v>90.369843640358653</v>
      </c>
      <c r="M719" s="43">
        <f t="shared" si="1130"/>
        <v>229.1258441644878</v>
      </c>
      <c r="N719" s="43">
        <f t="shared" si="1130"/>
        <v>181.00414699127242</v>
      </c>
      <c r="O719" s="43">
        <f t="shared" si="1130"/>
        <v>0</v>
      </c>
      <c r="P719" s="43">
        <f t="shared" si="1130"/>
        <v>90.700472418670458</v>
      </c>
      <c r="Q719" s="43">
        <f t="shared" si="1130"/>
        <v>229.94599195310573</v>
      </c>
      <c r="R719" s="43">
        <f t="shared" si="1130"/>
        <v>180.70666256527653</v>
      </c>
      <c r="S719" s="43">
        <f t="shared" si="1130"/>
        <v>0</v>
      </c>
      <c r="T719" s="43">
        <f t="shared" si="1130"/>
        <v>90.540932496075342</v>
      </c>
      <c r="U719" s="43">
        <f t="shared" si="1130"/>
        <v>229.52875358605604</v>
      </c>
      <c r="V719" s="43">
        <f t="shared" si="1130"/>
        <v>181.31330415130239</v>
      </c>
      <c r="W719" s="43">
        <f t="shared" si="1130"/>
        <v>0</v>
      </c>
      <c r="X719" s="43">
        <f t="shared" si="1130"/>
        <v>90.369843640358653</v>
      </c>
      <c r="Y719" s="43">
        <f t="shared" si="1130"/>
        <v>164.81866947482482</v>
      </c>
      <c r="Z719" s="43">
        <f t="shared" si="1130"/>
        <v>180.9735450029803</v>
      </c>
      <c r="AA719" s="43">
        <f t="shared" si="1130"/>
        <v>0</v>
      </c>
      <c r="AB719" s="43">
        <f t="shared" si="1130"/>
        <v>90.702230416606568</v>
      </c>
      <c r="AC719" s="43">
        <f t="shared" si="1130"/>
        <v>229.93786729925796</v>
      </c>
      <c r="AD719" s="43">
        <f t="shared" si="1130"/>
        <v>74.256417798594839</v>
      </c>
      <c r="AE719" s="43">
        <f t="shared" si="1130"/>
        <v>0</v>
      </c>
      <c r="AF719" s="43">
        <f t="shared" si="1130"/>
        <v>90.54237668448512</v>
      </c>
      <c r="AG719" s="43">
        <f t="shared" si="1130"/>
        <v>229.52875358605604</v>
      </c>
      <c r="AH719" s="43">
        <f t="shared" si="1130"/>
        <v>181.31330415130239</v>
      </c>
      <c r="AI719" s="43">
        <f t="shared" si="1130"/>
        <v>0</v>
      </c>
      <c r="AJ719" s="43">
        <f t="shared" si="1130"/>
        <v>90.369843640358653</v>
      </c>
      <c r="AK719" s="43">
        <f t="shared" si="1130"/>
        <v>154.76875060440867</v>
      </c>
      <c r="AL719" s="43">
        <f t="shared" si="1130"/>
        <v>170.9194591694814</v>
      </c>
      <c r="AM719" s="43">
        <f t="shared" si="1130"/>
        <v>0</v>
      </c>
      <c r="AN719" s="43">
        <f t="shared" si="1130"/>
        <v>90.700472418670458</v>
      </c>
      <c r="AO719" s="43">
        <f t="shared" si="1130"/>
        <v>229.94599195310573</v>
      </c>
      <c r="AP719" s="43">
        <f t="shared" si="1130"/>
        <v>74.256417798594839</v>
      </c>
      <c r="AQ719" s="43">
        <f t="shared" si="1130"/>
        <v>0</v>
      </c>
      <c r="AR719" s="43">
        <f t="shared" si="1130"/>
        <v>90.54237668448512</v>
      </c>
      <c r="AS719" s="43">
        <f t="shared" si="1130"/>
        <v>229.87571106307723</v>
      </c>
      <c r="AT719" s="43">
        <f t="shared" si="1130"/>
        <v>181.44429117379443</v>
      </c>
      <c r="AU719" s="43">
        <f t="shared" si="1130"/>
        <v>90.72922689075628</v>
      </c>
      <c r="AV719" s="43">
        <f t="shared" si="1130"/>
        <v>90.751423167980391</v>
      </c>
      <c r="AW719" s="43">
        <f t="shared" si="1130"/>
        <v>229.52875358605604</v>
      </c>
      <c r="AX719" s="43">
        <f t="shared" si="1130"/>
        <v>181.32817374837262</v>
      </c>
      <c r="AY719" s="43">
        <f t="shared" si="1130"/>
        <v>106.89301253949779</v>
      </c>
      <c r="AZ719" s="43">
        <f t="shared" si="1130"/>
        <v>90.395985543178398</v>
      </c>
      <c r="BA719" s="43">
        <f t="shared" si="1130"/>
        <v>154.76875060440867</v>
      </c>
      <c r="BB719" s="43">
        <f t="shared" si="1130"/>
        <v>180.9735450029803</v>
      </c>
      <c r="BC719" s="113">
        <f t="shared" si="1126"/>
        <v>6202.7950650520343</v>
      </c>
    </row>
    <row r="720" spans="2:56" x14ac:dyDescent="0.25">
      <c r="B720" s="43" t="str">
        <f t="shared" si="1122"/>
        <v>Product G Rework Gap VAS</v>
      </c>
      <c r="C720" s="43">
        <f t="shared" si="1124"/>
        <v>0</v>
      </c>
      <c r="D720" s="43">
        <f t="shared" si="1124"/>
        <v>129.52099035046359</v>
      </c>
      <c r="E720" s="43">
        <f t="shared" ref="E720:BB720" si="1131">E696-E712</f>
        <v>201.97093545300461</v>
      </c>
      <c r="F720" s="43">
        <f t="shared" si="1131"/>
        <v>372.52725115907265</v>
      </c>
      <c r="G720" s="43">
        <f t="shared" si="1131"/>
        <v>0</v>
      </c>
      <c r="H720" s="43">
        <f t="shared" si="1131"/>
        <v>0</v>
      </c>
      <c r="I720" s="43">
        <f t="shared" si="1131"/>
        <v>171.33468290579864</v>
      </c>
      <c r="J720" s="43">
        <f t="shared" si="1131"/>
        <v>434.19060259596779</v>
      </c>
      <c r="K720" s="43">
        <f t="shared" si="1131"/>
        <v>0</v>
      </c>
      <c r="L720" s="43">
        <f t="shared" si="1131"/>
        <v>0</v>
      </c>
      <c r="M720" s="43">
        <f t="shared" si="1131"/>
        <v>171.18688519134776</v>
      </c>
      <c r="N720" s="43">
        <f t="shared" si="1131"/>
        <v>372.92368903179704</v>
      </c>
      <c r="O720" s="43">
        <f t="shared" si="1131"/>
        <v>0</v>
      </c>
      <c r="P720" s="43">
        <f t="shared" si="1131"/>
        <v>0</v>
      </c>
      <c r="Q720" s="43">
        <f t="shared" si="1131"/>
        <v>171.48773685224421</v>
      </c>
      <c r="R720" s="43">
        <f t="shared" si="1131"/>
        <v>231.93859791910086</v>
      </c>
      <c r="S720" s="43">
        <f t="shared" si="1131"/>
        <v>0</v>
      </c>
      <c r="T720" s="43">
        <f t="shared" si="1131"/>
        <v>0</v>
      </c>
      <c r="U720" s="43">
        <f t="shared" si="1131"/>
        <v>171.33468290579864</v>
      </c>
      <c r="V720" s="43">
        <f t="shared" si="1131"/>
        <v>434.17309952817089</v>
      </c>
      <c r="W720" s="43">
        <f t="shared" si="1131"/>
        <v>0</v>
      </c>
      <c r="X720" s="43">
        <f t="shared" si="1131"/>
        <v>0</v>
      </c>
      <c r="Y720" s="43">
        <f t="shared" si="1131"/>
        <v>171.19139938374019</v>
      </c>
      <c r="Z720" s="43">
        <f t="shared" si="1131"/>
        <v>433.77316754751968</v>
      </c>
      <c r="AA720" s="43">
        <f t="shared" si="1131"/>
        <v>0</v>
      </c>
      <c r="AB720" s="43">
        <f t="shared" si="1131"/>
        <v>0</v>
      </c>
      <c r="AC720" s="43">
        <f t="shared" si="1131"/>
        <v>171.48475651670202</v>
      </c>
      <c r="AD720" s="43">
        <f t="shared" si="1131"/>
        <v>433.36138579234978</v>
      </c>
      <c r="AE720" s="43">
        <f t="shared" si="1131"/>
        <v>0</v>
      </c>
      <c r="AF720" s="43">
        <f t="shared" si="1131"/>
        <v>0</v>
      </c>
      <c r="AG720" s="43">
        <f t="shared" si="1131"/>
        <v>171.33468290579864</v>
      </c>
      <c r="AH720" s="43">
        <f t="shared" si="1131"/>
        <v>434.17309952817089</v>
      </c>
      <c r="AI720" s="43">
        <f t="shared" si="1131"/>
        <v>0</v>
      </c>
      <c r="AJ720" s="43">
        <f t="shared" si="1131"/>
        <v>0</v>
      </c>
      <c r="AK720" s="43">
        <f t="shared" si="1131"/>
        <v>152.17013278554685</v>
      </c>
      <c r="AL720" s="43">
        <f t="shared" si="1131"/>
        <v>433.77316754751968</v>
      </c>
      <c r="AM720" s="43">
        <f t="shared" si="1131"/>
        <v>0</v>
      </c>
      <c r="AN720" s="43">
        <f t="shared" si="1131"/>
        <v>0</v>
      </c>
      <c r="AO720" s="43">
        <f t="shared" si="1131"/>
        <v>171.48773685224421</v>
      </c>
      <c r="AP720" s="43">
        <f t="shared" si="1131"/>
        <v>433.36138579234978</v>
      </c>
      <c r="AQ720" s="43">
        <f t="shared" si="1131"/>
        <v>0</v>
      </c>
      <c r="AR720" s="43">
        <f t="shared" si="1131"/>
        <v>0</v>
      </c>
      <c r="AS720" s="43">
        <f t="shared" si="1131"/>
        <v>171.46195598349379</v>
      </c>
      <c r="AT720" s="43">
        <f t="shared" si="1131"/>
        <v>434.32728492568992</v>
      </c>
      <c r="AU720" s="43">
        <f t="shared" si="1131"/>
        <v>0</v>
      </c>
      <c r="AV720" s="43">
        <f t="shared" si="1131"/>
        <v>0</v>
      </c>
      <c r="AW720" s="43">
        <f t="shared" si="1131"/>
        <v>171.33468290579864</v>
      </c>
      <c r="AX720" s="43">
        <f t="shared" si="1131"/>
        <v>434.19060259596779</v>
      </c>
      <c r="AY720" s="43">
        <f t="shared" si="1131"/>
        <v>0</v>
      </c>
      <c r="AZ720" s="43">
        <f t="shared" si="1131"/>
        <v>0</v>
      </c>
      <c r="BA720" s="43">
        <f t="shared" si="1131"/>
        <v>171.19139938374019</v>
      </c>
      <c r="BB720" s="43">
        <f t="shared" si="1131"/>
        <v>433.77316754751968</v>
      </c>
      <c r="BC720" s="113">
        <f t="shared" si="1126"/>
        <v>7684.9791618869176</v>
      </c>
    </row>
    <row r="721" spans="2:56" x14ac:dyDescent="0.25">
      <c r="B721" s="43" t="str">
        <f t="shared" si="1122"/>
        <v>Product H Rework Gap VAS</v>
      </c>
      <c r="C721" s="43">
        <f t="shared" si="1124"/>
        <v>0</v>
      </c>
      <c r="D721" s="43">
        <f t="shared" si="1124"/>
        <v>0</v>
      </c>
      <c r="E721" s="43">
        <f t="shared" ref="E721:BB721" si="1132">E697-E713</f>
        <v>0</v>
      </c>
      <c r="F721" s="43">
        <f t="shared" si="1132"/>
        <v>177.38211703680537</v>
      </c>
      <c r="G721" s="43">
        <f t="shared" si="1132"/>
        <v>0</v>
      </c>
      <c r="H721" s="43">
        <f t="shared" si="1132"/>
        <v>0</v>
      </c>
      <c r="I721" s="43">
        <f t="shared" si="1132"/>
        <v>0</v>
      </c>
      <c r="J721" s="43">
        <f t="shared" si="1132"/>
        <v>177.68167408114499</v>
      </c>
      <c r="K721" s="43">
        <f t="shared" si="1132"/>
        <v>0</v>
      </c>
      <c r="L721" s="43">
        <f t="shared" si="1132"/>
        <v>0</v>
      </c>
      <c r="M721" s="43">
        <f t="shared" si="1132"/>
        <v>0</v>
      </c>
      <c r="N721" s="43">
        <f t="shared" si="1132"/>
        <v>158.85701176662471</v>
      </c>
      <c r="O721" s="43">
        <f t="shared" si="1132"/>
        <v>0</v>
      </c>
      <c r="P721" s="43">
        <f t="shared" si="1132"/>
        <v>0</v>
      </c>
      <c r="Q721" s="43">
        <f t="shared" si="1132"/>
        <v>209.58003169141691</v>
      </c>
      <c r="R721" s="43">
        <f t="shared" si="1132"/>
        <v>177.42157758013829</v>
      </c>
      <c r="S721" s="43">
        <f t="shared" si="1132"/>
        <v>0</v>
      </c>
      <c r="T721" s="43">
        <f t="shared" si="1132"/>
        <v>0</v>
      </c>
      <c r="U721" s="43">
        <f t="shared" si="1132"/>
        <v>0</v>
      </c>
      <c r="V721" s="43">
        <f t="shared" si="1132"/>
        <v>177.6754512966248</v>
      </c>
      <c r="W721" s="43">
        <f t="shared" si="1132"/>
        <v>209.54908862164663</v>
      </c>
      <c r="X721" s="43">
        <f t="shared" si="1132"/>
        <v>0</v>
      </c>
      <c r="Y721" s="43">
        <f t="shared" si="1132"/>
        <v>0</v>
      </c>
      <c r="Z721" s="43">
        <f t="shared" si="1132"/>
        <v>177.53326533430086</v>
      </c>
      <c r="AA721" s="43">
        <f t="shared" si="1132"/>
        <v>0</v>
      </c>
      <c r="AB721" s="43">
        <f t="shared" si="1132"/>
        <v>132.817532256687</v>
      </c>
      <c r="AC721" s="43">
        <f t="shared" si="1132"/>
        <v>0</v>
      </c>
      <c r="AD721" s="43">
        <f t="shared" si="1132"/>
        <v>177.38686647659779</v>
      </c>
      <c r="AE721" s="43">
        <f t="shared" si="1132"/>
        <v>0</v>
      </c>
      <c r="AF721" s="43">
        <f t="shared" si="1132"/>
        <v>0</v>
      </c>
      <c r="AG721" s="43">
        <f t="shared" si="1132"/>
        <v>0</v>
      </c>
      <c r="AH721" s="43">
        <f t="shared" si="1132"/>
        <v>177.6754512966248</v>
      </c>
      <c r="AI721" s="43">
        <f t="shared" si="1132"/>
        <v>209.54908862164663</v>
      </c>
      <c r="AJ721" s="43">
        <f t="shared" si="1132"/>
        <v>0</v>
      </c>
      <c r="AK721" s="43">
        <f t="shared" si="1132"/>
        <v>0</v>
      </c>
      <c r="AL721" s="43">
        <f t="shared" si="1132"/>
        <v>177.53326533430086</v>
      </c>
      <c r="AM721" s="43">
        <f t="shared" si="1132"/>
        <v>0</v>
      </c>
      <c r="AN721" s="43">
        <f t="shared" si="1132"/>
        <v>0</v>
      </c>
      <c r="AO721" s="43">
        <f t="shared" si="1132"/>
        <v>209.58003169141691</v>
      </c>
      <c r="AP721" s="43">
        <f t="shared" si="1132"/>
        <v>177.38686647659779</v>
      </c>
      <c r="AQ721" s="43">
        <f t="shared" si="1132"/>
        <v>0</v>
      </c>
      <c r="AR721" s="43">
        <f t="shared" si="1132"/>
        <v>0</v>
      </c>
      <c r="AS721" s="43">
        <f t="shared" si="1132"/>
        <v>0</v>
      </c>
      <c r="AT721" s="43">
        <f t="shared" si="1132"/>
        <v>159.0218188405797</v>
      </c>
      <c r="AU721" s="43">
        <f t="shared" si="1132"/>
        <v>0</v>
      </c>
      <c r="AV721" s="43">
        <f t="shared" si="1132"/>
        <v>0</v>
      </c>
      <c r="AW721" s="43">
        <f t="shared" si="1132"/>
        <v>0</v>
      </c>
      <c r="AX721" s="43">
        <f t="shared" si="1132"/>
        <v>177.68167408114499</v>
      </c>
      <c r="AY721" s="43">
        <f t="shared" si="1132"/>
        <v>0</v>
      </c>
      <c r="AZ721" s="43">
        <f t="shared" si="1132"/>
        <v>0</v>
      </c>
      <c r="BA721" s="43">
        <f t="shared" si="1132"/>
        <v>0</v>
      </c>
      <c r="BB721" s="43">
        <f t="shared" si="1132"/>
        <v>177.53326533430086</v>
      </c>
      <c r="BC721" s="113">
        <f t="shared" si="1126"/>
        <v>3241.8460778185995</v>
      </c>
      <c r="BD721" s="108"/>
    </row>
    <row r="722" spans="2:56" s="1" customFormat="1" x14ac:dyDescent="0.25">
      <c r="B722" s="122" t="s">
        <v>280</v>
      </c>
      <c r="C722" s="122">
        <f>SUM(C714:C721)</f>
        <v>1263.4735548376088</v>
      </c>
      <c r="D722" s="122">
        <f t="shared" ref="D722:BB722" si="1133">SUM(D714:D721)</f>
        <v>1228.4472858420534</v>
      </c>
      <c r="E722" s="122">
        <f t="shared" si="1133"/>
        <v>1297.1466985552431</v>
      </c>
      <c r="F722" s="122">
        <f t="shared" si="1133"/>
        <v>1043.5708603747507</v>
      </c>
      <c r="G722" s="122">
        <f t="shared" si="1133"/>
        <v>1205.5567960286064</v>
      </c>
      <c r="H722" s="122">
        <f t="shared" si="1133"/>
        <v>1049.7932024682848</v>
      </c>
      <c r="I722" s="122">
        <f t="shared" si="1133"/>
        <v>1076.0727289110112</v>
      </c>
      <c r="J722" s="122">
        <f t="shared" si="1133"/>
        <v>1190.8909553870089</v>
      </c>
      <c r="K722" s="122">
        <f t="shared" si="1133"/>
        <v>1372.0596844739716</v>
      </c>
      <c r="L722" s="122">
        <f t="shared" si="1133"/>
        <v>950.12446200026477</v>
      </c>
      <c r="M722" s="122">
        <f t="shared" si="1133"/>
        <v>958.27831858590673</v>
      </c>
      <c r="N722" s="122">
        <f t="shared" si="1133"/>
        <v>1021.2582818927829</v>
      </c>
      <c r="O722" s="122">
        <f t="shared" si="1133"/>
        <v>1263.7170215187109</v>
      </c>
      <c r="P722" s="122">
        <f t="shared" si="1133"/>
        <v>1252.222343667836</v>
      </c>
      <c r="Q722" s="122">
        <f t="shared" si="1133"/>
        <v>1268.9214270058183</v>
      </c>
      <c r="R722" s="122">
        <f t="shared" si="1133"/>
        <v>890.01827700170929</v>
      </c>
      <c r="S722" s="122">
        <f t="shared" si="1133"/>
        <v>1205.5567960286064</v>
      </c>
      <c r="T722" s="122">
        <f t="shared" si="1133"/>
        <v>1060.0066598354028</v>
      </c>
      <c r="U722" s="122">
        <f t="shared" si="1133"/>
        <v>1077.1023393902065</v>
      </c>
      <c r="V722" s="122">
        <f t="shared" si="1133"/>
        <v>1203.7463887787374</v>
      </c>
      <c r="W722" s="122">
        <f t="shared" si="1133"/>
        <v>1474.5289325274873</v>
      </c>
      <c r="X722" s="122">
        <f t="shared" si="1133"/>
        <v>950.12446200026477</v>
      </c>
      <c r="Y722" s="122">
        <f t="shared" si="1133"/>
        <v>1011.4375509417815</v>
      </c>
      <c r="Z722" s="122">
        <f t="shared" si="1133"/>
        <v>1068.4233952489851</v>
      </c>
      <c r="AA722" s="122">
        <f t="shared" si="1133"/>
        <v>1263.4735548376088</v>
      </c>
      <c r="AB722" s="122">
        <f t="shared" si="1133"/>
        <v>1226.5442332204507</v>
      </c>
      <c r="AC722" s="122">
        <f t="shared" si="1133"/>
        <v>1303.2511220518425</v>
      </c>
      <c r="AD722" s="122">
        <f t="shared" si="1133"/>
        <v>984.83068357971342</v>
      </c>
      <c r="AE722" s="122">
        <f t="shared" si="1133"/>
        <v>1192.2820053005619</v>
      </c>
      <c r="AF722" s="122">
        <f t="shared" si="1133"/>
        <v>1047.598480545947</v>
      </c>
      <c r="AG722" s="122">
        <f t="shared" si="1133"/>
        <v>1057.9228366238058</v>
      </c>
      <c r="AH722" s="122">
        <f t="shared" si="1133"/>
        <v>1203.7463887787374</v>
      </c>
      <c r="AI722" s="122">
        <f t="shared" si="1133"/>
        <v>1499.1658032757869</v>
      </c>
      <c r="AJ722" s="122">
        <f t="shared" si="1133"/>
        <v>950.12446200026477</v>
      </c>
      <c r="AK722" s="122">
        <f t="shared" si="1133"/>
        <v>969.08547774306226</v>
      </c>
      <c r="AL722" s="122">
        <f t="shared" si="1133"/>
        <v>1058.3693094154862</v>
      </c>
      <c r="AM722" s="122">
        <f t="shared" si="1133"/>
        <v>1263.4735548376088</v>
      </c>
      <c r="AN722" s="122">
        <f t="shared" si="1133"/>
        <v>1203.4497081185668</v>
      </c>
      <c r="AO722" s="122">
        <f t="shared" si="1133"/>
        <v>1288.1194145483596</v>
      </c>
      <c r="AP722" s="122">
        <f t="shared" si="1133"/>
        <v>984.83068357971342</v>
      </c>
      <c r="AQ722" s="122">
        <f t="shared" si="1133"/>
        <v>1213.6174321844844</v>
      </c>
      <c r="AR722" s="122">
        <f t="shared" si="1133"/>
        <v>1049.7932024682848</v>
      </c>
      <c r="AS722" s="122">
        <f t="shared" si="1133"/>
        <v>1253.112784632332</v>
      </c>
      <c r="AT722" s="122">
        <f t="shared" si="1133"/>
        <v>1234.9628364575397</v>
      </c>
      <c r="AU722" s="122">
        <f t="shared" si="1133"/>
        <v>1350.6932943722943</v>
      </c>
      <c r="AV722" s="122">
        <f t="shared" si="1133"/>
        <v>1320.9345192916023</v>
      </c>
      <c r="AW722" s="122">
        <f t="shared" si="1133"/>
        <v>1057.9228366238058</v>
      </c>
      <c r="AX722" s="122">
        <f t="shared" si="1133"/>
        <v>1231.7384202935864</v>
      </c>
      <c r="AY722" s="122">
        <f t="shared" si="1133"/>
        <v>1372.0596844739716</v>
      </c>
      <c r="AZ722" s="122">
        <f t="shared" si="1133"/>
        <v>935.86519384975122</v>
      </c>
      <c r="BA722" s="122">
        <f t="shared" si="1133"/>
        <v>988.10674434125565</v>
      </c>
      <c r="BB722" s="122">
        <f t="shared" si="1133"/>
        <v>1068.4233952489851</v>
      </c>
      <c r="BC722" s="122">
        <f t="shared" si="1126"/>
        <v>59955.976485998435</v>
      </c>
    </row>
    <row r="723" spans="2:56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  <c r="AG723" s="108"/>
      <c r="AH723" s="108"/>
      <c r="AI723" s="108"/>
      <c r="AJ723" s="108"/>
      <c r="AK723" s="108"/>
      <c r="AL723" s="108"/>
      <c r="AM723" s="108"/>
      <c r="AN723" s="108"/>
      <c r="AO723" s="108"/>
      <c r="AP723" s="108"/>
      <c r="AQ723" s="108"/>
      <c r="AR723" s="108"/>
      <c r="AS723" s="108"/>
      <c r="AT723" s="108"/>
      <c r="AU723" s="108"/>
      <c r="AV723" s="108"/>
      <c r="AW723" s="108"/>
      <c r="AX723" s="108"/>
      <c r="AY723" s="108"/>
      <c r="AZ723" s="108"/>
      <c r="BA723" s="108"/>
      <c r="BB723" s="108"/>
      <c r="BC723" s="108"/>
      <c r="BD723" s="108"/>
    </row>
    <row r="725" spans="2:56" x14ac:dyDescent="0.25">
      <c r="B725" s="113" t="str">
        <f t="shared" ref="B725:B732" si="1134">_xlfn.CONCAT(B457," ","Standard Labor Hour")</f>
        <v>Product A Standard Labor Hour</v>
      </c>
      <c r="C725" s="113">
        <f t="shared" ref="C725:AH725" si="1135">C554*C763/(60*60)*$R$4</f>
        <v>45</v>
      </c>
      <c r="D725" s="113">
        <f t="shared" si="1135"/>
        <v>0</v>
      </c>
      <c r="E725" s="113">
        <f t="shared" si="1135"/>
        <v>25</v>
      </c>
      <c r="F725" s="113">
        <f t="shared" si="1135"/>
        <v>0</v>
      </c>
      <c r="G725" s="113">
        <f t="shared" si="1135"/>
        <v>45</v>
      </c>
      <c r="H725" s="113">
        <f t="shared" si="1135"/>
        <v>0</v>
      </c>
      <c r="I725" s="113">
        <f t="shared" si="1135"/>
        <v>0</v>
      </c>
      <c r="J725" s="113">
        <f t="shared" si="1135"/>
        <v>0</v>
      </c>
      <c r="K725" s="113">
        <f t="shared" si="1135"/>
        <v>45</v>
      </c>
      <c r="L725" s="113">
        <f t="shared" si="1135"/>
        <v>0</v>
      </c>
      <c r="M725" s="113">
        <f t="shared" si="1135"/>
        <v>0</v>
      </c>
      <c r="N725" s="113">
        <f t="shared" si="1135"/>
        <v>0</v>
      </c>
      <c r="O725" s="113">
        <f t="shared" si="1135"/>
        <v>45</v>
      </c>
      <c r="P725" s="113">
        <f t="shared" si="1135"/>
        <v>15</v>
      </c>
      <c r="Q725" s="113">
        <f t="shared" si="1135"/>
        <v>0</v>
      </c>
      <c r="R725" s="113">
        <f t="shared" si="1135"/>
        <v>0</v>
      </c>
      <c r="S725" s="113">
        <f t="shared" si="1135"/>
        <v>45</v>
      </c>
      <c r="T725" s="113">
        <f t="shared" si="1135"/>
        <v>0</v>
      </c>
      <c r="U725" s="113">
        <f t="shared" si="1135"/>
        <v>0</v>
      </c>
      <c r="V725" s="113">
        <f t="shared" si="1135"/>
        <v>15</v>
      </c>
      <c r="W725" s="113">
        <f t="shared" si="1135"/>
        <v>45</v>
      </c>
      <c r="X725" s="113">
        <f t="shared" si="1135"/>
        <v>0</v>
      </c>
      <c r="Y725" s="113">
        <f t="shared" si="1135"/>
        <v>0</v>
      </c>
      <c r="Z725" s="113">
        <f t="shared" si="1135"/>
        <v>0</v>
      </c>
      <c r="AA725" s="113">
        <f t="shared" si="1135"/>
        <v>45</v>
      </c>
      <c r="AB725" s="113">
        <f t="shared" si="1135"/>
        <v>0</v>
      </c>
      <c r="AC725" s="113">
        <f t="shared" si="1135"/>
        <v>30</v>
      </c>
      <c r="AD725" s="113">
        <f t="shared" si="1135"/>
        <v>0</v>
      </c>
      <c r="AE725" s="113">
        <f t="shared" si="1135"/>
        <v>45</v>
      </c>
      <c r="AF725" s="113">
        <f t="shared" si="1135"/>
        <v>0</v>
      </c>
      <c r="AG725" s="113">
        <f t="shared" si="1135"/>
        <v>0</v>
      </c>
      <c r="AH725" s="113">
        <f t="shared" si="1135"/>
        <v>15</v>
      </c>
      <c r="AI725" s="113">
        <f t="shared" ref="AI725:BB725" si="1136">AI554*AI763/(60*60)*$R$4</f>
        <v>45</v>
      </c>
      <c r="AJ725" s="113">
        <f t="shared" si="1136"/>
        <v>0</v>
      </c>
      <c r="AK725" s="113">
        <f t="shared" si="1136"/>
        <v>0</v>
      </c>
      <c r="AL725" s="113">
        <f t="shared" si="1136"/>
        <v>0</v>
      </c>
      <c r="AM725" s="113">
        <f t="shared" si="1136"/>
        <v>45</v>
      </c>
      <c r="AN725" s="113">
        <f t="shared" si="1136"/>
        <v>15</v>
      </c>
      <c r="AO725" s="113">
        <f t="shared" si="1136"/>
        <v>0</v>
      </c>
      <c r="AP725" s="113">
        <f t="shared" si="1136"/>
        <v>0</v>
      </c>
      <c r="AQ725" s="113">
        <f t="shared" si="1136"/>
        <v>45</v>
      </c>
      <c r="AR725" s="113">
        <f t="shared" si="1136"/>
        <v>0</v>
      </c>
      <c r="AS725" s="113">
        <f t="shared" si="1136"/>
        <v>25</v>
      </c>
      <c r="AT725" s="113">
        <f t="shared" si="1136"/>
        <v>0</v>
      </c>
      <c r="AU725" s="113">
        <f t="shared" si="1136"/>
        <v>45</v>
      </c>
      <c r="AV725" s="113">
        <f t="shared" si="1136"/>
        <v>25</v>
      </c>
      <c r="AW725" s="113">
        <f t="shared" si="1136"/>
        <v>0</v>
      </c>
      <c r="AX725" s="113">
        <f t="shared" si="1136"/>
        <v>0</v>
      </c>
      <c r="AY725" s="113">
        <f t="shared" si="1136"/>
        <v>45</v>
      </c>
      <c r="AZ725" s="113">
        <f t="shared" si="1136"/>
        <v>0</v>
      </c>
      <c r="BA725" s="113">
        <f t="shared" si="1136"/>
        <v>0</v>
      </c>
      <c r="BB725" s="113">
        <f t="shared" si="1136"/>
        <v>0</v>
      </c>
      <c r="BC725" s="132">
        <f t="shared" ref="BC725:BC758" si="1137">SUM(C725:BB725)</f>
        <v>750</v>
      </c>
    </row>
    <row r="726" spans="2:56" x14ac:dyDescent="0.25">
      <c r="B726" s="113" t="str">
        <f t="shared" si="1134"/>
        <v>Product B Standard Labor Hour</v>
      </c>
      <c r="C726" s="113">
        <f t="shared" ref="C726:AH726" si="1138">C555*C764/(60*60)*$R$4</f>
        <v>43.555555555555557</v>
      </c>
      <c r="D726" s="113">
        <f t="shared" si="1138"/>
        <v>49</v>
      </c>
      <c r="E726" s="113">
        <f t="shared" si="1138"/>
        <v>0</v>
      </c>
      <c r="F726" s="113">
        <f t="shared" si="1138"/>
        <v>32.666666666666671</v>
      </c>
      <c r="G726" s="113">
        <f t="shared" si="1138"/>
        <v>43.555555555555557</v>
      </c>
      <c r="H726" s="113">
        <f t="shared" si="1138"/>
        <v>49</v>
      </c>
      <c r="I726" s="113">
        <f t="shared" si="1138"/>
        <v>0</v>
      </c>
      <c r="J726" s="113">
        <f t="shared" si="1138"/>
        <v>16.333333333333336</v>
      </c>
      <c r="K726" s="113">
        <f t="shared" si="1138"/>
        <v>43.555555555555557</v>
      </c>
      <c r="L726" s="113">
        <f t="shared" si="1138"/>
        <v>49</v>
      </c>
      <c r="M726" s="113">
        <f t="shared" si="1138"/>
        <v>0</v>
      </c>
      <c r="N726" s="113">
        <f t="shared" si="1138"/>
        <v>0</v>
      </c>
      <c r="O726" s="113">
        <f t="shared" si="1138"/>
        <v>43.555555555555557</v>
      </c>
      <c r="P726" s="113">
        <f t="shared" si="1138"/>
        <v>49</v>
      </c>
      <c r="Q726" s="113">
        <f t="shared" si="1138"/>
        <v>0</v>
      </c>
      <c r="R726" s="113">
        <f t="shared" si="1138"/>
        <v>0</v>
      </c>
      <c r="S726" s="113">
        <f t="shared" si="1138"/>
        <v>43.555555555555557</v>
      </c>
      <c r="T726" s="113">
        <f t="shared" si="1138"/>
        <v>49</v>
      </c>
      <c r="U726" s="113">
        <f t="shared" si="1138"/>
        <v>0</v>
      </c>
      <c r="V726" s="113">
        <f t="shared" si="1138"/>
        <v>0</v>
      </c>
      <c r="W726" s="113">
        <f t="shared" si="1138"/>
        <v>43.555555555555557</v>
      </c>
      <c r="X726" s="113">
        <f t="shared" si="1138"/>
        <v>49</v>
      </c>
      <c r="Y726" s="113">
        <f t="shared" si="1138"/>
        <v>0</v>
      </c>
      <c r="Z726" s="113">
        <f t="shared" si="1138"/>
        <v>0</v>
      </c>
      <c r="AA726" s="113">
        <f t="shared" si="1138"/>
        <v>43.555555555555557</v>
      </c>
      <c r="AB726" s="113">
        <f t="shared" si="1138"/>
        <v>49</v>
      </c>
      <c r="AC726" s="113">
        <f t="shared" si="1138"/>
        <v>0</v>
      </c>
      <c r="AD726" s="113">
        <f t="shared" si="1138"/>
        <v>0</v>
      </c>
      <c r="AE726" s="113">
        <f t="shared" si="1138"/>
        <v>43.555555555555557</v>
      </c>
      <c r="AF726" s="113">
        <f t="shared" si="1138"/>
        <v>49</v>
      </c>
      <c r="AG726" s="113">
        <f t="shared" si="1138"/>
        <v>0</v>
      </c>
      <c r="AH726" s="113">
        <f t="shared" si="1138"/>
        <v>0</v>
      </c>
      <c r="AI726" s="113">
        <f t="shared" ref="AI726:BB726" si="1139">AI555*AI764/(60*60)*$R$4</f>
        <v>43.555555555555557</v>
      </c>
      <c r="AJ726" s="113">
        <f t="shared" si="1139"/>
        <v>49</v>
      </c>
      <c r="AK726" s="113">
        <f t="shared" si="1139"/>
        <v>0</v>
      </c>
      <c r="AL726" s="113">
        <f t="shared" si="1139"/>
        <v>0</v>
      </c>
      <c r="AM726" s="113">
        <f t="shared" si="1139"/>
        <v>43.555555555555557</v>
      </c>
      <c r="AN726" s="113">
        <f t="shared" si="1139"/>
        <v>49</v>
      </c>
      <c r="AO726" s="113">
        <f t="shared" si="1139"/>
        <v>0</v>
      </c>
      <c r="AP726" s="113">
        <f t="shared" si="1139"/>
        <v>0</v>
      </c>
      <c r="AQ726" s="113">
        <f t="shared" si="1139"/>
        <v>43.555555555555557</v>
      </c>
      <c r="AR726" s="113">
        <f t="shared" si="1139"/>
        <v>49</v>
      </c>
      <c r="AS726" s="113">
        <f t="shared" si="1139"/>
        <v>0</v>
      </c>
      <c r="AT726" s="113">
        <f t="shared" si="1139"/>
        <v>27.222222222222221</v>
      </c>
      <c r="AU726" s="113">
        <f t="shared" si="1139"/>
        <v>43.555555555555557</v>
      </c>
      <c r="AV726" s="113">
        <f t="shared" si="1139"/>
        <v>49</v>
      </c>
      <c r="AW726" s="113">
        <f t="shared" si="1139"/>
        <v>0</v>
      </c>
      <c r="AX726" s="113">
        <f t="shared" si="1139"/>
        <v>16.333333333333336</v>
      </c>
      <c r="AY726" s="113">
        <f t="shared" si="1139"/>
        <v>43.555555555555557</v>
      </c>
      <c r="AZ726" s="113">
        <f t="shared" si="1139"/>
        <v>16.333333333333336</v>
      </c>
      <c r="BA726" s="113">
        <f t="shared" si="1139"/>
        <v>0</v>
      </c>
      <c r="BB726" s="113">
        <f t="shared" si="1139"/>
        <v>0</v>
      </c>
      <c r="BC726" s="132">
        <f t="shared" si="1137"/>
        <v>1263.1111111111111</v>
      </c>
    </row>
    <row r="727" spans="2:56" x14ac:dyDescent="0.25">
      <c r="B727" s="113" t="str">
        <f t="shared" si="1134"/>
        <v>Product C Standard Labor Hour</v>
      </c>
      <c r="C727" s="113">
        <f t="shared" ref="C727:AH727" si="1140">C556*C765/(60*60)*$R$4</f>
        <v>53.333333333333336</v>
      </c>
      <c r="D727" s="113">
        <f t="shared" si="1140"/>
        <v>42.666666666666664</v>
      </c>
      <c r="E727" s="113">
        <f t="shared" si="1140"/>
        <v>48</v>
      </c>
      <c r="F727" s="113">
        <f t="shared" si="1140"/>
        <v>0</v>
      </c>
      <c r="G727" s="113">
        <f t="shared" si="1140"/>
        <v>53.333333333333336</v>
      </c>
      <c r="H727" s="113">
        <f t="shared" si="1140"/>
        <v>42.666666666666664</v>
      </c>
      <c r="I727" s="113">
        <f t="shared" si="1140"/>
        <v>48</v>
      </c>
      <c r="J727" s="113">
        <f t="shared" si="1140"/>
        <v>0</v>
      </c>
      <c r="K727" s="113">
        <f t="shared" si="1140"/>
        <v>53.333333333333336</v>
      </c>
      <c r="L727" s="113">
        <f t="shared" si="1140"/>
        <v>42.666666666666664</v>
      </c>
      <c r="M727" s="113">
        <f t="shared" si="1140"/>
        <v>48</v>
      </c>
      <c r="N727" s="113">
        <f t="shared" si="1140"/>
        <v>0</v>
      </c>
      <c r="O727" s="113">
        <f t="shared" si="1140"/>
        <v>53.333333333333336</v>
      </c>
      <c r="P727" s="113">
        <f t="shared" si="1140"/>
        <v>42.666666666666664</v>
      </c>
      <c r="Q727" s="113">
        <f t="shared" si="1140"/>
        <v>48</v>
      </c>
      <c r="R727" s="113">
        <f t="shared" si="1140"/>
        <v>0</v>
      </c>
      <c r="S727" s="113">
        <f t="shared" si="1140"/>
        <v>53.333333333333336</v>
      </c>
      <c r="T727" s="113">
        <f t="shared" si="1140"/>
        <v>42.666666666666664</v>
      </c>
      <c r="U727" s="113">
        <f t="shared" si="1140"/>
        <v>48</v>
      </c>
      <c r="V727" s="113">
        <f t="shared" si="1140"/>
        <v>0</v>
      </c>
      <c r="W727" s="113">
        <f t="shared" si="1140"/>
        <v>53.333333333333336</v>
      </c>
      <c r="X727" s="113">
        <f t="shared" si="1140"/>
        <v>42.666666666666664</v>
      </c>
      <c r="Y727" s="113">
        <f t="shared" si="1140"/>
        <v>48</v>
      </c>
      <c r="Z727" s="113">
        <f t="shared" si="1140"/>
        <v>0</v>
      </c>
      <c r="AA727" s="113">
        <f t="shared" si="1140"/>
        <v>53.333333333333336</v>
      </c>
      <c r="AB727" s="113">
        <f t="shared" si="1140"/>
        <v>42.666666666666664</v>
      </c>
      <c r="AC727" s="113">
        <f t="shared" si="1140"/>
        <v>48</v>
      </c>
      <c r="AD727" s="113">
        <f t="shared" si="1140"/>
        <v>0</v>
      </c>
      <c r="AE727" s="113">
        <f t="shared" si="1140"/>
        <v>53.333333333333336</v>
      </c>
      <c r="AF727" s="113">
        <f t="shared" si="1140"/>
        <v>42.666666666666664</v>
      </c>
      <c r="AG727" s="113">
        <f t="shared" si="1140"/>
        <v>48</v>
      </c>
      <c r="AH727" s="113">
        <f t="shared" si="1140"/>
        <v>0</v>
      </c>
      <c r="AI727" s="113">
        <f t="shared" ref="AI727:BB727" si="1141">AI556*AI765/(60*60)*$R$4</f>
        <v>53.333333333333336</v>
      </c>
      <c r="AJ727" s="113">
        <f t="shared" si="1141"/>
        <v>42.666666666666664</v>
      </c>
      <c r="AK727" s="113">
        <f t="shared" si="1141"/>
        <v>48</v>
      </c>
      <c r="AL727" s="113">
        <f t="shared" si="1141"/>
        <v>0</v>
      </c>
      <c r="AM727" s="113">
        <f t="shared" si="1141"/>
        <v>53.333333333333336</v>
      </c>
      <c r="AN727" s="113">
        <f t="shared" si="1141"/>
        <v>42.666666666666664</v>
      </c>
      <c r="AO727" s="113">
        <f t="shared" si="1141"/>
        <v>48</v>
      </c>
      <c r="AP727" s="113">
        <f t="shared" si="1141"/>
        <v>0</v>
      </c>
      <c r="AQ727" s="113">
        <f t="shared" si="1141"/>
        <v>53.333333333333336</v>
      </c>
      <c r="AR727" s="113">
        <f t="shared" si="1141"/>
        <v>42.666666666666664</v>
      </c>
      <c r="AS727" s="113">
        <f t="shared" si="1141"/>
        <v>48</v>
      </c>
      <c r="AT727" s="113">
        <f t="shared" si="1141"/>
        <v>0</v>
      </c>
      <c r="AU727" s="113">
        <f t="shared" si="1141"/>
        <v>53.333333333333336</v>
      </c>
      <c r="AV727" s="113">
        <f t="shared" si="1141"/>
        <v>42.666666666666664</v>
      </c>
      <c r="AW727" s="113">
        <f t="shared" si="1141"/>
        <v>48</v>
      </c>
      <c r="AX727" s="113">
        <f t="shared" si="1141"/>
        <v>0</v>
      </c>
      <c r="AY727" s="113">
        <f t="shared" si="1141"/>
        <v>53.333333333333336</v>
      </c>
      <c r="AZ727" s="113">
        <f t="shared" si="1141"/>
        <v>42.666666666666664</v>
      </c>
      <c r="BA727" s="113">
        <f t="shared" si="1141"/>
        <v>48</v>
      </c>
      <c r="BB727" s="113">
        <f t="shared" si="1141"/>
        <v>0</v>
      </c>
      <c r="BC727" s="132">
        <f t="shared" si="1137"/>
        <v>1872</v>
      </c>
    </row>
    <row r="728" spans="2:56" x14ac:dyDescent="0.25">
      <c r="B728" s="113" t="str">
        <f t="shared" si="1134"/>
        <v>Product D Standard Labor Hour</v>
      </c>
      <c r="C728" s="113">
        <f t="shared" ref="C728:AH728" si="1142">C557*C766/(60*60)*$R$4</f>
        <v>79.444444444444443</v>
      </c>
      <c r="D728" s="113">
        <f t="shared" si="1142"/>
        <v>61.111111111111114</v>
      </c>
      <c r="E728" s="113">
        <f t="shared" si="1142"/>
        <v>48.888888888888886</v>
      </c>
      <c r="F728" s="113">
        <f t="shared" si="1142"/>
        <v>55</v>
      </c>
      <c r="G728" s="113">
        <f t="shared" si="1142"/>
        <v>55</v>
      </c>
      <c r="H728" s="113">
        <f t="shared" si="1142"/>
        <v>61.111111111111114</v>
      </c>
      <c r="I728" s="113">
        <f t="shared" si="1142"/>
        <v>48.888888888888886</v>
      </c>
      <c r="J728" s="113">
        <f t="shared" si="1142"/>
        <v>55</v>
      </c>
      <c r="K728" s="113">
        <f t="shared" si="1142"/>
        <v>79.444444444444443</v>
      </c>
      <c r="L728" s="113">
        <f t="shared" si="1142"/>
        <v>61.111111111111114</v>
      </c>
      <c r="M728" s="113">
        <f t="shared" si="1142"/>
        <v>48.888888888888886</v>
      </c>
      <c r="N728" s="113">
        <f t="shared" si="1142"/>
        <v>55</v>
      </c>
      <c r="O728" s="113">
        <f t="shared" si="1142"/>
        <v>79.444444444444443</v>
      </c>
      <c r="P728" s="113">
        <f t="shared" si="1142"/>
        <v>61.111111111111114</v>
      </c>
      <c r="Q728" s="113">
        <f t="shared" si="1142"/>
        <v>48.888888888888886</v>
      </c>
      <c r="R728" s="113">
        <f t="shared" si="1142"/>
        <v>55</v>
      </c>
      <c r="S728" s="113">
        <f t="shared" si="1142"/>
        <v>55</v>
      </c>
      <c r="T728" s="113">
        <f t="shared" si="1142"/>
        <v>48.888888888888886</v>
      </c>
      <c r="U728" s="113">
        <f t="shared" si="1142"/>
        <v>48.888888888888886</v>
      </c>
      <c r="V728" s="113">
        <f t="shared" si="1142"/>
        <v>55</v>
      </c>
      <c r="W728" s="113">
        <f t="shared" si="1142"/>
        <v>79.444444444444443</v>
      </c>
      <c r="X728" s="113">
        <f t="shared" si="1142"/>
        <v>61.111111111111114</v>
      </c>
      <c r="Y728" s="113">
        <f t="shared" si="1142"/>
        <v>48.888888888888886</v>
      </c>
      <c r="Z728" s="113">
        <f t="shared" si="1142"/>
        <v>42.777777777777779</v>
      </c>
      <c r="AA728" s="113">
        <f t="shared" si="1142"/>
        <v>79.444444444444443</v>
      </c>
      <c r="AB728" s="113">
        <f t="shared" si="1142"/>
        <v>61.111111111111114</v>
      </c>
      <c r="AC728" s="113">
        <f t="shared" si="1142"/>
        <v>48.888888888888886</v>
      </c>
      <c r="AD728" s="113">
        <f t="shared" si="1142"/>
        <v>55</v>
      </c>
      <c r="AE728" s="113">
        <f t="shared" si="1142"/>
        <v>55</v>
      </c>
      <c r="AF728" s="113">
        <f t="shared" si="1142"/>
        <v>61.111111111111114</v>
      </c>
      <c r="AG728" s="113">
        <f t="shared" si="1142"/>
        <v>48.888888888888886</v>
      </c>
      <c r="AH728" s="113">
        <f t="shared" si="1142"/>
        <v>55</v>
      </c>
      <c r="AI728" s="113">
        <f t="shared" ref="AI728:BB728" si="1143">AI557*AI766/(60*60)*$R$4</f>
        <v>79.444444444444443</v>
      </c>
      <c r="AJ728" s="113">
        <f t="shared" si="1143"/>
        <v>61.111111111111114</v>
      </c>
      <c r="AK728" s="113">
        <f t="shared" si="1143"/>
        <v>48.888888888888886</v>
      </c>
      <c r="AL728" s="113">
        <f t="shared" si="1143"/>
        <v>42.777777777777779</v>
      </c>
      <c r="AM728" s="113">
        <f t="shared" si="1143"/>
        <v>79.444444444444443</v>
      </c>
      <c r="AN728" s="113">
        <f t="shared" si="1143"/>
        <v>61.111111111111114</v>
      </c>
      <c r="AO728" s="113">
        <f t="shared" si="1143"/>
        <v>48.888888888888886</v>
      </c>
      <c r="AP728" s="113">
        <f t="shared" si="1143"/>
        <v>55</v>
      </c>
      <c r="AQ728" s="113">
        <f t="shared" si="1143"/>
        <v>55</v>
      </c>
      <c r="AR728" s="113">
        <f t="shared" si="1143"/>
        <v>61.111111111111114</v>
      </c>
      <c r="AS728" s="113">
        <f t="shared" si="1143"/>
        <v>48.888888888888886</v>
      </c>
      <c r="AT728" s="113">
        <f t="shared" si="1143"/>
        <v>55</v>
      </c>
      <c r="AU728" s="113">
        <f t="shared" si="1143"/>
        <v>79.444444444444443</v>
      </c>
      <c r="AV728" s="113">
        <f t="shared" si="1143"/>
        <v>61.111111111111114</v>
      </c>
      <c r="AW728" s="113">
        <f t="shared" si="1143"/>
        <v>48.888888888888886</v>
      </c>
      <c r="AX728" s="113">
        <f t="shared" si="1143"/>
        <v>55</v>
      </c>
      <c r="AY728" s="113">
        <f t="shared" si="1143"/>
        <v>79.444444444444443</v>
      </c>
      <c r="AZ728" s="113">
        <f t="shared" si="1143"/>
        <v>61.111111111111114</v>
      </c>
      <c r="BA728" s="113">
        <f t="shared" si="1143"/>
        <v>48.888888888888886</v>
      </c>
      <c r="BB728" s="113">
        <f t="shared" si="1143"/>
        <v>42.777777777777779</v>
      </c>
      <c r="BC728" s="132">
        <f t="shared" si="1137"/>
        <v>3031.1111111111104</v>
      </c>
    </row>
    <row r="729" spans="2:56" x14ac:dyDescent="0.25">
      <c r="B729" s="113" t="str">
        <f t="shared" si="1134"/>
        <v>Product E Standard Labor Hour</v>
      </c>
      <c r="C729" s="113">
        <f t="shared" ref="C729:AH729" si="1144">C558*C767/(60*60)*$R$4</f>
        <v>30</v>
      </c>
      <c r="D729" s="113">
        <f t="shared" si="1144"/>
        <v>78</v>
      </c>
      <c r="E729" s="113">
        <f t="shared" si="1144"/>
        <v>60</v>
      </c>
      <c r="F729" s="113">
        <f t="shared" si="1144"/>
        <v>48</v>
      </c>
      <c r="G729" s="113">
        <f t="shared" si="1144"/>
        <v>30</v>
      </c>
      <c r="H729" s="113">
        <f t="shared" si="1144"/>
        <v>66.000000000000014</v>
      </c>
      <c r="I729" s="113">
        <f t="shared" si="1144"/>
        <v>60</v>
      </c>
      <c r="J729" s="113">
        <f t="shared" si="1144"/>
        <v>48</v>
      </c>
      <c r="K729" s="113">
        <f t="shared" si="1144"/>
        <v>30</v>
      </c>
      <c r="L729" s="113">
        <f t="shared" si="1144"/>
        <v>42</v>
      </c>
      <c r="M729" s="113">
        <f t="shared" si="1144"/>
        <v>36.000000000000007</v>
      </c>
      <c r="N729" s="113">
        <f t="shared" si="1144"/>
        <v>48</v>
      </c>
      <c r="O729" s="113">
        <f t="shared" si="1144"/>
        <v>30</v>
      </c>
      <c r="P729" s="113">
        <f t="shared" si="1144"/>
        <v>78</v>
      </c>
      <c r="Q729" s="113">
        <f t="shared" si="1144"/>
        <v>60</v>
      </c>
      <c r="R729" s="113">
        <f t="shared" si="1144"/>
        <v>48</v>
      </c>
      <c r="S729" s="113">
        <f t="shared" si="1144"/>
        <v>30</v>
      </c>
      <c r="T729" s="113">
        <f t="shared" si="1144"/>
        <v>78</v>
      </c>
      <c r="U729" s="113">
        <f t="shared" si="1144"/>
        <v>60</v>
      </c>
      <c r="V729" s="113">
        <f t="shared" si="1144"/>
        <v>48</v>
      </c>
      <c r="W729" s="113">
        <f t="shared" si="1144"/>
        <v>30</v>
      </c>
      <c r="X729" s="113">
        <f t="shared" si="1144"/>
        <v>42</v>
      </c>
      <c r="Y729" s="113">
        <f t="shared" si="1144"/>
        <v>60</v>
      </c>
      <c r="Z729" s="113">
        <f t="shared" si="1144"/>
        <v>48</v>
      </c>
      <c r="AA729" s="113">
        <f t="shared" si="1144"/>
        <v>30</v>
      </c>
      <c r="AB729" s="113">
        <f t="shared" si="1144"/>
        <v>78</v>
      </c>
      <c r="AC729" s="113">
        <f t="shared" si="1144"/>
        <v>60</v>
      </c>
      <c r="AD729" s="113">
        <f t="shared" si="1144"/>
        <v>48</v>
      </c>
      <c r="AE729" s="113">
        <f t="shared" si="1144"/>
        <v>30</v>
      </c>
      <c r="AF729" s="113">
        <f t="shared" si="1144"/>
        <v>66.000000000000014</v>
      </c>
      <c r="AG729" s="113">
        <f t="shared" si="1144"/>
        <v>60</v>
      </c>
      <c r="AH729" s="113">
        <f t="shared" si="1144"/>
        <v>48</v>
      </c>
      <c r="AI729" s="113">
        <f t="shared" ref="AI729:BB729" si="1145">AI558*AI767/(60*60)*$R$4</f>
        <v>30</v>
      </c>
      <c r="AJ729" s="113">
        <f t="shared" si="1145"/>
        <v>42</v>
      </c>
      <c r="AK729" s="113">
        <f t="shared" si="1145"/>
        <v>60</v>
      </c>
      <c r="AL729" s="113">
        <f t="shared" si="1145"/>
        <v>48</v>
      </c>
      <c r="AM729" s="113">
        <f t="shared" si="1145"/>
        <v>30</v>
      </c>
      <c r="AN729" s="113">
        <f t="shared" si="1145"/>
        <v>78</v>
      </c>
      <c r="AO729" s="113">
        <f t="shared" si="1145"/>
        <v>60</v>
      </c>
      <c r="AP729" s="113">
        <f t="shared" si="1145"/>
        <v>48</v>
      </c>
      <c r="AQ729" s="113">
        <f t="shared" si="1145"/>
        <v>30</v>
      </c>
      <c r="AR729" s="113">
        <f t="shared" si="1145"/>
        <v>66.000000000000014</v>
      </c>
      <c r="AS729" s="113">
        <f t="shared" si="1145"/>
        <v>60</v>
      </c>
      <c r="AT729" s="113">
        <f t="shared" si="1145"/>
        <v>48</v>
      </c>
      <c r="AU729" s="113">
        <f t="shared" si="1145"/>
        <v>30</v>
      </c>
      <c r="AV729" s="113">
        <f t="shared" si="1145"/>
        <v>78</v>
      </c>
      <c r="AW729" s="113">
        <f t="shared" si="1145"/>
        <v>60</v>
      </c>
      <c r="AX729" s="113">
        <f t="shared" si="1145"/>
        <v>48</v>
      </c>
      <c r="AY729" s="113">
        <f t="shared" si="1145"/>
        <v>30</v>
      </c>
      <c r="AZ729" s="113">
        <f t="shared" si="1145"/>
        <v>78</v>
      </c>
      <c r="BA729" s="113">
        <f t="shared" si="1145"/>
        <v>60</v>
      </c>
      <c r="BB729" s="113">
        <f t="shared" si="1145"/>
        <v>48</v>
      </c>
      <c r="BC729" s="132">
        <f t="shared" si="1137"/>
        <v>2640</v>
      </c>
    </row>
    <row r="730" spans="2:56" x14ac:dyDescent="0.25">
      <c r="B730" s="113" t="str">
        <f t="shared" si="1134"/>
        <v>Product F Standard Labor Hour</v>
      </c>
      <c r="C730" s="113">
        <f t="shared" ref="C730:AH730" si="1146">C559*C768/(60*60)*$R$4</f>
        <v>0</v>
      </c>
      <c r="D730" s="113">
        <f t="shared" si="1146"/>
        <v>29.166666666666668</v>
      </c>
      <c r="E730" s="113">
        <f t="shared" si="1146"/>
        <v>75.833333333333329</v>
      </c>
      <c r="F730" s="113">
        <f t="shared" si="1146"/>
        <v>0</v>
      </c>
      <c r="G730" s="113">
        <f t="shared" si="1146"/>
        <v>0</v>
      </c>
      <c r="H730" s="113">
        <f t="shared" si="1146"/>
        <v>29.166666666666668</v>
      </c>
      <c r="I730" s="113">
        <f t="shared" si="1146"/>
        <v>75.833333333333329</v>
      </c>
      <c r="J730" s="113">
        <f t="shared" si="1146"/>
        <v>58.333333333333336</v>
      </c>
      <c r="K730" s="113">
        <f t="shared" si="1146"/>
        <v>35</v>
      </c>
      <c r="L730" s="113">
        <f t="shared" si="1146"/>
        <v>29.166666666666668</v>
      </c>
      <c r="M730" s="113">
        <f t="shared" si="1146"/>
        <v>75.833333333333329</v>
      </c>
      <c r="N730" s="113">
        <f t="shared" si="1146"/>
        <v>58.333333333333336</v>
      </c>
      <c r="O730" s="113">
        <f t="shared" si="1146"/>
        <v>0</v>
      </c>
      <c r="P730" s="113">
        <f t="shared" si="1146"/>
        <v>29.166666666666668</v>
      </c>
      <c r="Q730" s="113">
        <f t="shared" si="1146"/>
        <v>75.833333333333329</v>
      </c>
      <c r="R730" s="113">
        <f t="shared" si="1146"/>
        <v>58.333333333333336</v>
      </c>
      <c r="S730" s="113">
        <f t="shared" si="1146"/>
        <v>0</v>
      </c>
      <c r="T730" s="113">
        <f t="shared" si="1146"/>
        <v>29.166666666666668</v>
      </c>
      <c r="U730" s="113">
        <f t="shared" si="1146"/>
        <v>75.833333333333329</v>
      </c>
      <c r="V730" s="113">
        <f t="shared" si="1146"/>
        <v>58.333333333333336</v>
      </c>
      <c r="W730" s="113">
        <f t="shared" si="1146"/>
        <v>0</v>
      </c>
      <c r="X730" s="113">
        <f t="shared" si="1146"/>
        <v>29.166666666666668</v>
      </c>
      <c r="Y730" s="113">
        <f t="shared" si="1146"/>
        <v>52.5</v>
      </c>
      <c r="Z730" s="113">
        <f t="shared" si="1146"/>
        <v>58.333333333333336</v>
      </c>
      <c r="AA730" s="113">
        <f t="shared" si="1146"/>
        <v>0</v>
      </c>
      <c r="AB730" s="113">
        <f t="shared" si="1146"/>
        <v>29.166666666666668</v>
      </c>
      <c r="AC730" s="113">
        <f t="shared" si="1146"/>
        <v>75.833333333333329</v>
      </c>
      <c r="AD730" s="113">
        <f t="shared" si="1146"/>
        <v>23.333333333333332</v>
      </c>
      <c r="AE730" s="113">
        <f t="shared" si="1146"/>
        <v>0</v>
      </c>
      <c r="AF730" s="113">
        <f t="shared" si="1146"/>
        <v>29.166666666666668</v>
      </c>
      <c r="AG730" s="113">
        <f t="shared" si="1146"/>
        <v>75.833333333333329</v>
      </c>
      <c r="AH730" s="113">
        <f t="shared" si="1146"/>
        <v>58.333333333333336</v>
      </c>
      <c r="AI730" s="113">
        <f t="shared" ref="AI730:BB730" si="1147">AI559*AI768/(60*60)*$R$4</f>
        <v>0</v>
      </c>
      <c r="AJ730" s="113">
        <f t="shared" si="1147"/>
        <v>29.166666666666668</v>
      </c>
      <c r="AK730" s="113">
        <f t="shared" si="1147"/>
        <v>52.5</v>
      </c>
      <c r="AL730" s="113">
        <f t="shared" si="1147"/>
        <v>58.333333333333336</v>
      </c>
      <c r="AM730" s="113">
        <f t="shared" si="1147"/>
        <v>0</v>
      </c>
      <c r="AN730" s="113">
        <f t="shared" si="1147"/>
        <v>29.166666666666668</v>
      </c>
      <c r="AO730" s="113">
        <f t="shared" si="1147"/>
        <v>75.833333333333329</v>
      </c>
      <c r="AP730" s="113">
        <f t="shared" si="1147"/>
        <v>23.333333333333332</v>
      </c>
      <c r="AQ730" s="113">
        <f t="shared" si="1147"/>
        <v>0</v>
      </c>
      <c r="AR730" s="113">
        <f t="shared" si="1147"/>
        <v>29.166666666666668</v>
      </c>
      <c r="AS730" s="113">
        <f t="shared" si="1147"/>
        <v>75.833333333333329</v>
      </c>
      <c r="AT730" s="113">
        <f t="shared" si="1147"/>
        <v>58.333333333333336</v>
      </c>
      <c r="AU730" s="113">
        <f t="shared" si="1147"/>
        <v>29.166666666666668</v>
      </c>
      <c r="AV730" s="113">
        <f t="shared" si="1147"/>
        <v>29.166666666666668</v>
      </c>
      <c r="AW730" s="113">
        <f t="shared" si="1147"/>
        <v>75.833333333333329</v>
      </c>
      <c r="AX730" s="113">
        <f t="shared" si="1147"/>
        <v>58.333333333333336</v>
      </c>
      <c r="AY730" s="113">
        <f t="shared" si="1147"/>
        <v>35</v>
      </c>
      <c r="AZ730" s="113">
        <f t="shared" si="1147"/>
        <v>29.166666666666668</v>
      </c>
      <c r="BA730" s="113">
        <f t="shared" si="1147"/>
        <v>52.5</v>
      </c>
      <c r="BB730" s="113">
        <f t="shared" si="1147"/>
        <v>58.333333333333336</v>
      </c>
      <c r="BC730" s="132">
        <f t="shared" si="1137"/>
        <v>2024.1666666666663</v>
      </c>
    </row>
    <row r="731" spans="2:56" x14ac:dyDescent="0.25">
      <c r="B731" s="113" t="str">
        <f t="shared" si="1134"/>
        <v>Product G Standard Labor Hour</v>
      </c>
      <c r="C731" s="113">
        <f t="shared" ref="C731:AH731" si="1148">C560*C769/(60*60)*$R$4</f>
        <v>0</v>
      </c>
      <c r="D731" s="113">
        <f t="shared" si="1148"/>
        <v>15</v>
      </c>
      <c r="E731" s="113">
        <f t="shared" si="1148"/>
        <v>30</v>
      </c>
      <c r="F731" s="113">
        <f t="shared" si="1148"/>
        <v>55</v>
      </c>
      <c r="G731" s="113">
        <f t="shared" si="1148"/>
        <v>0</v>
      </c>
      <c r="H731" s="113">
        <f t="shared" si="1148"/>
        <v>0</v>
      </c>
      <c r="I731" s="113">
        <f t="shared" si="1148"/>
        <v>25</v>
      </c>
      <c r="J731" s="113">
        <f t="shared" si="1148"/>
        <v>65</v>
      </c>
      <c r="K731" s="113">
        <f t="shared" si="1148"/>
        <v>0</v>
      </c>
      <c r="L731" s="113">
        <f t="shared" si="1148"/>
        <v>0</v>
      </c>
      <c r="M731" s="113">
        <f t="shared" si="1148"/>
        <v>25</v>
      </c>
      <c r="N731" s="113">
        <f t="shared" si="1148"/>
        <v>55</v>
      </c>
      <c r="O731" s="113">
        <f t="shared" si="1148"/>
        <v>0</v>
      </c>
      <c r="P731" s="113">
        <f t="shared" si="1148"/>
        <v>0</v>
      </c>
      <c r="Q731" s="113">
        <f t="shared" si="1148"/>
        <v>25</v>
      </c>
      <c r="R731" s="113">
        <f t="shared" si="1148"/>
        <v>35</v>
      </c>
      <c r="S731" s="113">
        <f t="shared" si="1148"/>
        <v>0</v>
      </c>
      <c r="T731" s="113">
        <f t="shared" si="1148"/>
        <v>0</v>
      </c>
      <c r="U731" s="113">
        <f t="shared" si="1148"/>
        <v>25</v>
      </c>
      <c r="V731" s="113">
        <f t="shared" si="1148"/>
        <v>65</v>
      </c>
      <c r="W731" s="113">
        <f t="shared" si="1148"/>
        <v>0</v>
      </c>
      <c r="X731" s="113">
        <f t="shared" si="1148"/>
        <v>0</v>
      </c>
      <c r="Y731" s="113">
        <f t="shared" si="1148"/>
        <v>25</v>
      </c>
      <c r="Z731" s="113">
        <f t="shared" si="1148"/>
        <v>65</v>
      </c>
      <c r="AA731" s="113">
        <f t="shared" si="1148"/>
        <v>0</v>
      </c>
      <c r="AB731" s="113">
        <f t="shared" si="1148"/>
        <v>0</v>
      </c>
      <c r="AC731" s="113">
        <f t="shared" si="1148"/>
        <v>25</v>
      </c>
      <c r="AD731" s="113">
        <f t="shared" si="1148"/>
        <v>65</v>
      </c>
      <c r="AE731" s="113">
        <f t="shared" si="1148"/>
        <v>0</v>
      </c>
      <c r="AF731" s="113">
        <f t="shared" si="1148"/>
        <v>0</v>
      </c>
      <c r="AG731" s="113">
        <f t="shared" si="1148"/>
        <v>25</v>
      </c>
      <c r="AH731" s="113">
        <f t="shared" si="1148"/>
        <v>65</v>
      </c>
      <c r="AI731" s="113">
        <f t="shared" ref="AI731:BB731" si="1149">AI560*AI769/(60*60)*$R$4</f>
        <v>0</v>
      </c>
      <c r="AJ731" s="113">
        <f t="shared" si="1149"/>
        <v>0</v>
      </c>
      <c r="AK731" s="113">
        <f t="shared" si="1149"/>
        <v>25</v>
      </c>
      <c r="AL731" s="113">
        <f t="shared" si="1149"/>
        <v>65</v>
      </c>
      <c r="AM731" s="113">
        <f t="shared" si="1149"/>
        <v>0</v>
      </c>
      <c r="AN731" s="113">
        <f t="shared" si="1149"/>
        <v>0</v>
      </c>
      <c r="AO731" s="113">
        <f t="shared" si="1149"/>
        <v>25</v>
      </c>
      <c r="AP731" s="113">
        <f t="shared" si="1149"/>
        <v>65</v>
      </c>
      <c r="AQ731" s="113">
        <f t="shared" si="1149"/>
        <v>0</v>
      </c>
      <c r="AR731" s="113">
        <f t="shared" si="1149"/>
        <v>0</v>
      </c>
      <c r="AS731" s="113">
        <f t="shared" si="1149"/>
        <v>25</v>
      </c>
      <c r="AT731" s="113">
        <f t="shared" si="1149"/>
        <v>65</v>
      </c>
      <c r="AU731" s="113">
        <f t="shared" si="1149"/>
        <v>0</v>
      </c>
      <c r="AV731" s="113">
        <f t="shared" si="1149"/>
        <v>0</v>
      </c>
      <c r="AW731" s="113">
        <f t="shared" si="1149"/>
        <v>25</v>
      </c>
      <c r="AX731" s="113">
        <f t="shared" si="1149"/>
        <v>65</v>
      </c>
      <c r="AY731" s="113">
        <f t="shared" si="1149"/>
        <v>0</v>
      </c>
      <c r="AZ731" s="113">
        <f t="shared" si="1149"/>
        <v>0</v>
      </c>
      <c r="BA731" s="113">
        <f t="shared" si="1149"/>
        <v>25</v>
      </c>
      <c r="BB731" s="113">
        <f t="shared" si="1149"/>
        <v>65</v>
      </c>
      <c r="BC731" s="132">
        <f t="shared" si="1137"/>
        <v>1140</v>
      </c>
    </row>
    <row r="732" spans="2:56" x14ac:dyDescent="0.25">
      <c r="B732" s="113" t="str">
        <f t="shared" si="1134"/>
        <v>Product H Standard Labor Hour</v>
      </c>
      <c r="C732" s="113">
        <f t="shared" ref="C732:AH732" si="1150">C561*C770/(60*60)*$R$4</f>
        <v>0</v>
      </c>
      <c r="D732" s="113">
        <f t="shared" si="1150"/>
        <v>0</v>
      </c>
      <c r="E732" s="113">
        <f t="shared" si="1150"/>
        <v>0</v>
      </c>
      <c r="F732" s="113">
        <f t="shared" si="1150"/>
        <v>25.555555555555557</v>
      </c>
      <c r="G732" s="113">
        <f t="shared" si="1150"/>
        <v>0</v>
      </c>
      <c r="H732" s="113">
        <f t="shared" si="1150"/>
        <v>0</v>
      </c>
      <c r="I732" s="113">
        <f t="shared" si="1150"/>
        <v>0</v>
      </c>
      <c r="J732" s="113">
        <f t="shared" si="1150"/>
        <v>25.555555555555557</v>
      </c>
      <c r="K732" s="113">
        <f t="shared" si="1150"/>
        <v>0</v>
      </c>
      <c r="L732" s="113">
        <f t="shared" si="1150"/>
        <v>0</v>
      </c>
      <c r="M732" s="113">
        <f t="shared" si="1150"/>
        <v>0</v>
      </c>
      <c r="N732" s="113">
        <f t="shared" si="1150"/>
        <v>25.555555555555557</v>
      </c>
      <c r="O732" s="113">
        <f t="shared" si="1150"/>
        <v>0</v>
      </c>
      <c r="P732" s="113">
        <f t="shared" si="1150"/>
        <v>0</v>
      </c>
      <c r="Q732" s="113">
        <f t="shared" si="1150"/>
        <v>30.666666666666664</v>
      </c>
      <c r="R732" s="113">
        <f t="shared" si="1150"/>
        <v>25.555555555555557</v>
      </c>
      <c r="S732" s="113">
        <f t="shared" si="1150"/>
        <v>0</v>
      </c>
      <c r="T732" s="113">
        <f t="shared" si="1150"/>
        <v>0</v>
      </c>
      <c r="U732" s="113">
        <f t="shared" si="1150"/>
        <v>0</v>
      </c>
      <c r="V732" s="113">
        <f t="shared" si="1150"/>
        <v>25.555555555555557</v>
      </c>
      <c r="W732" s="113">
        <f t="shared" si="1150"/>
        <v>30.666666666666664</v>
      </c>
      <c r="X732" s="113">
        <f t="shared" si="1150"/>
        <v>0</v>
      </c>
      <c r="Y732" s="113">
        <f t="shared" si="1150"/>
        <v>0</v>
      </c>
      <c r="Z732" s="113">
        <f t="shared" si="1150"/>
        <v>25.555555555555557</v>
      </c>
      <c r="AA732" s="113">
        <f t="shared" si="1150"/>
        <v>0</v>
      </c>
      <c r="AB732" s="113">
        <f t="shared" si="1150"/>
        <v>15.333333333333332</v>
      </c>
      <c r="AC732" s="113">
        <f t="shared" si="1150"/>
        <v>0</v>
      </c>
      <c r="AD732" s="113">
        <f t="shared" si="1150"/>
        <v>25.555555555555557</v>
      </c>
      <c r="AE732" s="113">
        <f t="shared" si="1150"/>
        <v>0</v>
      </c>
      <c r="AF732" s="113">
        <f t="shared" si="1150"/>
        <v>0</v>
      </c>
      <c r="AG732" s="113">
        <f t="shared" si="1150"/>
        <v>0</v>
      </c>
      <c r="AH732" s="113">
        <f t="shared" si="1150"/>
        <v>25.555555555555557</v>
      </c>
      <c r="AI732" s="113">
        <f t="shared" ref="AI732:BB732" si="1151">AI561*AI770/(60*60)*$R$4</f>
        <v>30.666666666666664</v>
      </c>
      <c r="AJ732" s="113">
        <f t="shared" si="1151"/>
        <v>0</v>
      </c>
      <c r="AK732" s="113">
        <f t="shared" si="1151"/>
        <v>0</v>
      </c>
      <c r="AL732" s="113">
        <f t="shared" si="1151"/>
        <v>25.555555555555557</v>
      </c>
      <c r="AM732" s="113">
        <f t="shared" si="1151"/>
        <v>0</v>
      </c>
      <c r="AN732" s="113">
        <f t="shared" si="1151"/>
        <v>0</v>
      </c>
      <c r="AO732" s="113">
        <f t="shared" si="1151"/>
        <v>30.666666666666664</v>
      </c>
      <c r="AP732" s="113">
        <f t="shared" si="1151"/>
        <v>25.555555555555557</v>
      </c>
      <c r="AQ732" s="113">
        <f t="shared" si="1151"/>
        <v>0</v>
      </c>
      <c r="AR732" s="113">
        <f t="shared" si="1151"/>
        <v>0</v>
      </c>
      <c r="AS732" s="113">
        <f t="shared" si="1151"/>
        <v>0</v>
      </c>
      <c r="AT732" s="113">
        <f t="shared" si="1151"/>
        <v>25.555555555555557</v>
      </c>
      <c r="AU732" s="113">
        <f t="shared" si="1151"/>
        <v>0</v>
      </c>
      <c r="AV732" s="113">
        <f t="shared" si="1151"/>
        <v>0</v>
      </c>
      <c r="AW732" s="113">
        <f t="shared" si="1151"/>
        <v>0</v>
      </c>
      <c r="AX732" s="113">
        <f t="shared" si="1151"/>
        <v>25.555555555555557</v>
      </c>
      <c r="AY732" s="113">
        <f t="shared" si="1151"/>
        <v>0</v>
      </c>
      <c r="AZ732" s="113">
        <f t="shared" si="1151"/>
        <v>0</v>
      </c>
      <c r="BA732" s="113">
        <f t="shared" si="1151"/>
        <v>0</v>
      </c>
      <c r="BB732" s="113">
        <f t="shared" si="1151"/>
        <v>25.555555555555557</v>
      </c>
      <c r="BC732" s="132">
        <f t="shared" si="1137"/>
        <v>470.22222222222223</v>
      </c>
    </row>
    <row r="733" spans="2:56" x14ac:dyDescent="0.25">
      <c r="B733" s="131" t="s">
        <v>286</v>
      </c>
      <c r="C733" s="131">
        <f>SUM(C725:C732)</f>
        <v>251.33333333333331</v>
      </c>
      <c r="D733" s="131">
        <f t="shared" ref="D733:BB733" si="1152">SUM(D725:D732)</f>
        <v>274.94444444444446</v>
      </c>
      <c r="E733" s="131">
        <f t="shared" si="1152"/>
        <v>287.72222222222223</v>
      </c>
      <c r="F733" s="131">
        <f t="shared" si="1152"/>
        <v>216.22222222222223</v>
      </c>
      <c r="G733" s="131">
        <f t="shared" si="1152"/>
        <v>226.88888888888889</v>
      </c>
      <c r="H733" s="131">
        <f t="shared" si="1152"/>
        <v>247.94444444444443</v>
      </c>
      <c r="I733" s="131">
        <f t="shared" si="1152"/>
        <v>257.72222222222223</v>
      </c>
      <c r="J733" s="131">
        <f t="shared" si="1152"/>
        <v>268.22222222222223</v>
      </c>
      <c r="K733" s="131">
        <f t="shared" si="1152"/>
        <v>286.33333333333331</v>
      </c>
      <c r="L733" s="131">
        <f t="shared" si="1152"/>
        <v>223.94444444444443</v>
      </c>
      <c r="M733" s="131">
        <f t="shared" si="1152"/>
        <v>233.72222222222223</v>
      </c>
      <c r="N733" s="131">
        <f t="shared" si="1152"/>
        <v>241.88888888888891</v>
      </c>
      <c r="O733" s="131">
        <f t="shared" si="1152"/>
        <v>251.33333333333331</v>
      </c>
      <c r="P733" s="131">
        <f t="shared" si="1152"/>
        <v>274.94444444444446</v>
      </c>
      <c r="Q733" s="131">
        <f t="shared" si="1152"/>
        <v>288.38888888888891</v>
      </c>
      <c r="R733" s="131">
        <f t="shared" si="1152"/>
        <v>221.88888888888891</v>
      </c>
      <c r="S733" s="131">
        <f t="shared" si="1152"/>
        <v>226.88888888888889</v>
      </c>
      <c r="T733" s="131">
        <f t="shared" si="1152"/>
        <v>247.7222222222222</v>
      </c>
      <c r="U733" s="131">
        <f t="shared" si="1152"/>
        <v>257.72222222222223</v>
      </c>
      <c r="V733" s="131">
        <f t="shared" si="1152"/>
        <v>266.88888888888891</v>
      </c>
      <c r="W733" s="131">
        <f t="shared" si="1152"/>
        <v>282</v>
      </c>
      <c r="X733" s="131">
        <f t="shared" si="1152"/>
        <v>223.94444444444443</v>
      </c>
      <c r="Y733" s="131">
        <f t="shared" si="1152"/>
        <v>234.38888888888889</v>
      </c>
      <c r="Z733" s="131">
        <f t="shared" si="1152"/>
        <v>239.66666666666669</v>
      </c>
      <c r="AA733" s="131">
        <f t="shared" si="1152"/>
        <v>251.33333333333331</v>
      </c>
      <c r="AB733" s="131">
        <f t="shared" si="1152"/>
        <v>275.27777777777777</v>
      </c>
      <c r="AC733" s="131">
        <f t="shared" si="1152"/>
        <v>287.72222222222223</v>
      </c>
      <c r="AD733" s="131">
        <f t="shared" si="1152"/>
        <v>216.88888888888886</v>
      </c>
      <c r="AE733" s="131">
        <f t="shared" si="1152"/>
        <v>226.88888888888889</v>
      </c>
      <c r="AF733" s="131">
        <f t="shared" si="1152"/>
        <v>247.94444444444443</v>
      </c>
      <c r="AG733" s="131">
        <f t="shared" si="1152"/>
        <v>257.72222222222223</v>
      </c>
      <c r="AH733" s="131">
        <f t="shared" si="1152"/>
        <v>266.88888888888891</v>
      </c>
      <c r="AI733" s="131">
        <f t="shared" si="1152"/>
        <v>282</v>
      </c>
      <c r="AJ733" s="131">
        <f t="shared" si="1152"/>
        <v>223.94444444444443</v>
      </c>
      <c r="AK733" s="131">
        <f t="shared" si="1152"/>
        <v>234.38888888888889</v>
      </c>
      <c r="AL733" s="131">
        <f t="shared" si="1152"/>
        <v>239.66666666666669</v>
      </c>
      <c r="AM733" s="131">
        <f t="shared" si="1152"/>
        <v>251.33333333333331</v>
      </c>
      <c r="AN733" s="131">
        <f t="shared" si="1152"/>
        <v>274.94444444444446</v>
      </c>
      <c r="AO733" s="131">
        <f t="shared" si="1152"/>
        <v>288.38888888888891</v>
      </c>
      <c r="AP733" s="131">
        <f t="shared" si="1152"/>
        <v>216.88888888888886</v>
      </c>
      <c r="AQ733" s="131">
        <f t="shared" si="1152"/>
        <v>226.88888888888889</v>
      </c>
      <c r="AR733" s="131">
        <f t="shared" si="1152"/>
        <v>247.94444444444443</v>
      </c>
      <c r="AS733" s="131">
        <f t="shared" si="1152"/>
        <v>282.72222222222223</v>
      </c>
      <c r="AT733" s="131">
        <f t="shared" si="1152"/>
        <v>279.11111111111114</v>
      </c>
      <c r="AU733" s="131">
        <f t="shared" si="1152"/>
        <v>280.5</v>
      </c>
      <c r="AV733" s="131">
        <f t="shared" si="1152"/>
        <v>284.94444444444446</v>
      </c>
      <c r="AW733" s="131">
        <f t="shared" si="1152"/>
        <v>257.72222222222223</v>
      </c>
      <c r="AX733" s="131">
        <f t="shared" si="1152"/>
        <v>268.22222222222223</v>
      </c>
      <c r="AY733" s="131">
        <f t="shared" si="1152"/>
        <v>286.33333333333331</v>
      </c>
      <c r="AZ733" s="131">
        <f t="shared" si="1152"/>
        <v>227.27777777777777</v>
      </c>
      <c r="BA733" s="131">
        <f t="shared" si="1152"/>
        <v>234.38888888888889</v>
      </c>
      <c r="BB733" s="131">
        <f t="shared" si="1152"/>
        <v>239.66666666666669</v>
      </c>
      <c r="BC733" s="133">
        <f t="shared" si="1137"/>
        <v>13190.611111111113</v>
      </c>
    </row>
    <row r="734" spans="2:56" x14ac:dyDescent="0.25">
      <c r="B734" s="113" t="str">
        <f t="shared" ref="B734:B741" si="1153">_xlfn.CONCAT(B457," ","Overall Standard Labor Hours")</f>
        <v>Product A Overall Standard Labor Hours</v>
      </c>
      <c r="C734" s="113">
        <f t="shared" ref="C734:AH734" si="1154">C763*C271*$R$4/(60*60)</f>
        <v>45</v>
      </c>
      <c r="D734" s="113">
        <f t="shared" si="1154"/>
        <v>0</v>
      </c>
      <c r="E734" s="113">
        <f t="shared" si="1154"/>
        <v>25</v>
      </c>
      <c r="F734" s="113">
        <f t="shared" si="1154"/>
        <v>0</v>
      </c>
      <c r="G734" s="113">
        <f t="shared" si="1154"/>
        <v>45</v>
      </c>
      <c r="H734" s="113">
        <f t="shared" si="1154"/>
        <v>0</v>
      </c>
      <c r="I734" s="113">
        <f t="shared" si="1154"/>
        <v>0</v>
      </c>
      <c r="J734" s="113">
        <f t="shared" si="1154"/>
        <v>0</v>
      </c>
      <c r="K734" s="113">
        <f t="shared" si="1154"/>
        <v>45</v>
      </c>
      <c r="L734" s="113">
        <f t="shared" si="1154"/>
        <v>0</v>
      </c>
      <c r="M734" s="113">
        <f t="shared" si="1154"/>
        <v>0</v>
      </c>
      <c r="N734" s="113">
        <f t="shared" si="1154"/>
        <v>0</v>
      </c>
      <c r="O734" s="113">
        <f t="shared" si="1154"/>
        <v>45</v>
      </c>
      <c r="P734" s="113">
        <f t="shared" si="1154"/>
        <v>15</v>
      </c>
      <c r="Q734" s="113">
        <f t="shared" si="1154"/>
        <v>0</v>
      </c>
      <c r="R734" s="113">
        <f t="shared" si="1154"/>
        <v>0</v>
      </c>
      <c r="S734" s="113">
        <f t="shared" si="1154"/>
        <v>45</v>
      </c>
      <c r="T734" s="113">
        <f t="shared" si="1154"/>
        <v>0</v>
      </c>
      <c r="U734" s="113">
        <f t="shared" si="1154"/>
        <v>0</v>
      </c>
      <c r="V734" s="113">
        <f t="shared" si="1154"/>
        <v>15</v>
      </c>
      <c r="W734" s="113">
        <f t="shared" si="1154"/>
        <v>45</v>
      </c>
      <c r="X734" s="113">
        <f t="shared" si="1154"/>
        <v>0</v>
      </c>
      <c r="Y734" s="113">
        <f t="shared" si="1154"/>
        <v>0</v>
      </c>
      <c r="Z734" s="113">
        <f t="shared" si="1154"/>
        <v>0</v>
      </c>
      <c r="AA734" s="113">
        <f t="shared" si="1154"/>
        <v>45</v>
      </c>
      <c r="AB734" s="113">
        <f t="shared" si="1154"/>
        <v>0</v>
      </c>
      <c r="AC734" s="113">
        <f t="shared" si="1154"/>
        <v>30</v>
      </c>
      <c r="AD734" s="113">
        <f t="shared" si="1154"/>
        <v>0</v>
      </c>
      <c r="AE734" s="113">
        <f t="shared" si="1154"/>
        <v>45</v>
      </c>
      <c r="AF734" s="113">
        <f t="shared" si="1154"/>
        <v>0</v>
      </c>
      <c r="AG734" s="113">
        <f t="shared" si="1154"/>
        <v>0</v>
      </c>
      <c r="AH734" s="113">
        <f t="shared" si="1154"/>
        <v>15</v>
      </c>
      <c r="AI734" s="113">
        <f t="shared" ref="AI734:BB734" si="1155">AI763*AI271*$R$4/(60*60)</f>
        <v>45</v>
      </c>
      <c r="AJ734" s="113">
        <f t="shared" si="1155"/>
        <v>0</v>
      </c>
      <c r="AK734" s="113">
        <f t="shared" si="1155"/>
        <v>0</v>
      </c>
      <c r="AL734" s="113">
        <f t="shared" si="1155"/>
        <v>0</v>
      </c>
      <c r="AM734" s="113">
        <f t="shared" si="1155"/>
        <v>45</v>
      </c>
      <c r="AN734" s="113">
        <f t="shared" si="1155"/>
        <v>15</v>
      </c>
      <c r="AO734" s="113">
        <f t="shared" si="1155"/>
        <v>0</v>
      </c>
      <c r="AP734" s="113">
        <f t="shared" si="1155"/>
        <v>0</v>
      </c>
      <c r="AQ734" s="113">
        <f t="shared" si="1155"/>
        <v>45</v>
      </c>
      <c r="AR734" s="113">
        <f t="shared" si="1155"/>
        <v>0</v>
      </c>
      <c r="AS734" s="113">
        <f t="shared" si="1155"/>
        <v>25</v>
      </c>
      <c r="AT734" s="113">
        <f t="shared" si="1155"/>
        <v>0</v>
      </c>
      <c r="AU734" s="113">
        <f t="shared" si="1155"/>
        <v>45</v>
      </c>
      <c r="AV734" s="113">
        <f t="shared" si="1155"/>
        <v>25</v>
      </c>
      <c r="AW734" s="113">
        <f t="shared" si="1155"/>
        <v>0</v>
      </c>
      <c r="AX734" s="113">
        <f t="shared" si="1155"/>
        <v>0</v>
      </c>
      <c r="AY734" s="113">
        <f t="shared" si="1155"/>
        <v>45</v>
      </c>
      <c r="AZ734" s="113">
        <f t="shared" si="1155"/>
        <v>0</v>
      </c>
      <c r="BA734" s="113">
        <f t="shared" si="1155"/>
        <v>0</v>
      </c>
      <c r="BB734" s="113">
        <f t="shared" si="1155"/>
        <v>0</v>
      </c>
      <c r="BC734" s="132">
        <f t="shared" si="1137"/>
        <v>750</v>
      </c>
      <c r="BD734" s="108"/>
    </row>
    <row r="735" spans="2:56" x14ac:dyDescent="0.25">
      <c r="B735" s="113" t="str">
        <f t="shared" si="1153"/>
        <v>Product B Overall Standard Labor Hours</v>
      </c>
      <c r="C735" s="113">
        <f t="shared" ref="C735:AH735" si="1156">C764*C272*$R$4/(60*60)</f>
        <v>43.555555555555557</v>
      </c>
      <c r="D735" s="113">
        <f t="shared" si="1156"/>
        <v>49</v>
      </c>
      <c r="E735" s="113">
        <f t="shared" si="1156"/>
        <v>0</v>
      </c>
      <c r="F735" s="113">
        <f t="shared" si="1156"/>
        <v>32.666666666666671</v>
      </c>
      <c r="G735" s="113">
        <f t="shared" si="1156"/>
        <v>43.555555555555557</v>
      </c>
      <c r="H735" s="113">
        <f t="shared" si="1156"/>
        <v>49</v>
      </c>
      <c r="I735" s="113">
        <f t="shared" si="1156"/>
        <v>0</v>
      </c>
      <c r="J735" s="113">
        <f t="shared" si="1156"/>
        <v>16.333333333333336</v>
      </c>
      <c r="K735" s="113">
        <f t="shared" si="1156"/>
        <v>43.555555555555557</v>
      </c>
      <c r="L735" s="113">
        <f t="shared" si="1156"/>
        <v>49</v>
      </c>
      <c r="M735" s="113">
        <f t="shared" si="1156"/>
        <v>0</v>
      </c>
      <c r="N735" s="113">
        <f t="shared" si="1156"/>
        <v>0</v>
      </c>
      <c r="O735" s="113">
        <f t="shared" si="1156"/>
        <v>43.555555555555557</v>
      </c>
      <c r="P735" s="113">
        <f t="shared" si="1156"/>
        <v>49</v>
      </c>
      <c r="Q735" s="113">
        <f t="shared" si="1156"/>
        <v>0</v>
      </c>
      <c r="R735" s="113">
        <f t="shared" si="1156"/>
        <v>0</v>
      </c>
      <c r="S735" s="113">
        <f t="shared" si="1156"/>
        <v>43.555555555555557</v>
      </c>
      <c r="T735" s="113">
        <f t="shared" si="1156"/>
        <v>49</v>
      </c>
      <c r="U735" s="113">
        <f t="shared" si="1156"/>
        <v>0</v>
      </c>
      <c r="V735" s="113">
        <f t="shared" si="1156"/>
        <v>0</v>
      </c>
      <c r="W735" s="113">
        <f t="shared" si="1156"/>
        <v>43.555555555555557</v>
      </c>
      <c r="X735" s="113">
        <f t="shared" si="1156"/>
        <v>49</v>
      </c>
      <c r="Y735" s="113">
        <f t="shared" si="1156"/>
        <v>0</v>
      </c>
      <c r="Z735" s="113">
        <f t="shared" si="1156"/>
        <v>0</v>
      </c>
      <c r="AA735" s="113">
        <f t="shared" si="1156"/>
        <v>43.555555555555557</v>
      </c>
      <c r="AB735" s="113">
        <f t="shared" si="1156"/>
        <v>49</v>
      </c>
      <c r="AC735" s="113">
        <f t="shared" si="1156"/>
        <v>0</v>
      </c>
      <c r="AD735" s="113">
        <f t="shared" si="1156"/>
        <v>0</v>
      </c>
      <c r="AE735" s="113">
        <f t="shared" si="1156"/>
        <v>43.555555555555557</v>
      </c>
      <c r="AF735" s="113">
        <f t="shared" si="1156"/>
        <v>49</v>
      </c>
      <c r="AG735" s="113">
        <f t="shared" si="1156"/>
        <v>0</v>
      </c>
      <c r="AH735" s="113">
        <f t="shared" si="1156"/>
        <v>0</v>
      </c>
      <c r="AI735" s="113">
        <f t="shared" ref="AI735:BB735" si="1157">AI764*AI272*$R$4/(60*60)</f>
        <v>43.555555555555557</v>
      </c>
      <c r="AJ735" s="113">
        <f t="shared" si="1157"/>
        <v>49</v>
      </c>
      <c r="AK735" s="113">
        <f t="shared" si="1157"/>
        <v>0</v>
      </c>
      <c r="AL735" s="113">
        <f t="shared" si="1157"/>
        <v>0</v>
      </c>
      <c r="AM735" s="113">
        <f t="shared" si="1157"/>
        <v>43.555555555555557</v>
      </c>
      <c r="AN735" s="113">
        <f t="shared" si="1157"/>
        <v>49</v>
      </c>
      <c r="AO735" s="113">
        <f t="shared" si="1157"/>
        <v>0</v>
      </c>
      <c r="AP735" s="113">
        <f t="shared" si="1157"/>
        <v>0</v>
      </c>
      <c r="AQ735" s="113">
        <f t="shared" si="1157"/>
        <v>43.555555555555557</v>
      </c>
      <c r="AR735" s="113">
        <f t="shared" si="1157"/>
        <v>49</v>
      </c>
      <c r="AS735" s="113">
        <f t="shared" si="1157"/>
        <v>0</v>
      </c>
      <c r="AT735" s="113">
        <f t="shared" si="1157"/>
        <v>27.222222222222221</v>
      </c>
      <c r="AU735" s="113">
        <f t="shared" si="1157"/>
        <v>43.555555555555557</v>
      </c>
      <c r="AV735" s="113">
        <f t="shared" si="1157"/>
        <v>49</v>
      </c>
      <c r="AW735" s="113">
        <f t="shared" si="1157"/>
        <v>0</v>
      </c>
      <c r="AX735" s="113">
        <f t="shared" si="1157"/>
        <v>16.333333333333336</v>
      </c>
      <c r="AY735" s="113">
        <f t="shared" si="1157"/>
        <v>43.555555555555557</v>
      </c>
      <c r="AZ735" s="113">
        <f t="shared" si="1157"/>
        <v>16.333333333333336</v>
      </c>
      <c r="BA735" s="113">
        <f t="shared" si="1157"/>
        <v>0</v>
      </c>
      <c r="BB735" s="113">
        <f t="shared" si="1157"/>
        <v>0</v>
      </c>
      <c r="BC735" s="132">
        <f t="shared" si="1137"/>
        <v>1263.1111111111111</v>
      </c>
    </row>
    <row r="736" spans="2:56" x14ac:dyDescent="0.25">
      <c r="B736" s="113" t="str">
        <f t="shared" si="1153"/>
        <v>Product C Overall Standard Labor Hours</v>
      </c>
      <c r="C736" s="113">
        <f t="shared" ref="C736:AH736" si="1158">C765*C273*$R$4/(60*60)</f>
        <v>53.333333333333336</v>
      </c>
      <c r="D736" s="113">
        <f t="shared" si="1158"/>
        <v>42.666666666666664</v>
      </c>
      <c r="E736" s="113">
        <f t="shared" si="1158"/>
        <v>48</v>
      </c>
      <c r="F736" s="113">
        <f t="shared" si="1158"/>
        <v>0</v>
      </c>
      <c r="G736" s="113">
        <f t="shared" si="1158"/>
        <v>53.333333333333336</v>
      </c>
      <c r="H736" s="113">
        <f t="shared" si="1158"/>
        <v>42.666666666666664</v>
      </c>
      <c r="I736" s="113">
        <f t="shared" si="1158"/>
        <v>48</v>
      </c>
      <c r="J736" s="113">
        <f t="shared" si="1158"/>
        <v>0</v>
      </c>
      <c r="K736" s="113">
        <f t="shared" si="1158"/>
        <v>53.333333333333336</v>
      </c>
      <c r="L736" s="113">
        <f t="shared" si="1158"/>
        <v>42.666666666666664</v>
      </c>
      <c r="M736" s="113">
        <f t="shared" si="1158"/>
        <v>48</v>
      </c>
      <c r="N736" s="113">
        <f t="shared" si="1158"/>
        <v>0</v>
      </c>
      <c r="O736" s="113">
        <f t="shared" si="1158"/>
        <v>53.333333333333336</v>
      </c>
      <c r="P736" s="113">
        <f t="shared" si="1158"/>
        <v>42.666666666666664</v>
      </c>
      <c r="Q736" s="113">
        <f t="shared" si="1158"/>
        <v>48</v>
      </c>
      <c r="R736" s="113">
        <f t="shared" si="1158"/>
        <v>0</v>
      </c>
      <c r="S736" s="113">
        <f t="shared" si="1158"/>
        <v>53.333333333333336</v>
      </c>
      <c r="T736" s="113">
        <f t="shared" si="1158"/>
        <v>42.666666666666664</v>
      </c>
      <c r="U736" s="113">
        <f t="shared" si="1158"/>
        <v>48</v>
      </c>
      <c r="V736" s="113">
        <f t="shared" si="1158"/>
        <v>0</v>
      </c>
      <c r="W736" s="113">
        <f t="shared" si="1158"/>
        <v>53.333333333333336</v>
      </c>
      <c r="X736" s="113">
        <f t="shared" si="1158"/>
        <v>42.666666666666664</v>
      </c>
      <c r="Y736" s="113">
        <f t="shared" si="1158"/>
        <v>48</v>
      </c>
      <c r="Z736" s="113">
        <f t="shared" si="1158"/>
        <v>0</v>
      </c>
      <c r="AA736" s="113">
        <f t="shared" si="1158"/>
        <v>53.333333333333336</v>
      </c>
      <c r="AB736" s="113">
        <f t="shared" si="1158"/>
        <v>42.666666666666664</v>
      </c>
      <c r="AC736" s="113">
        <f t="shared" si="1158"/>
        <v>48</v>
      </c>
      <c r="AD736" s="113">
        <f t="shared" si="1158"/>
        <v>0</v>
      </c>
      <c r="AE736" s="113">
        <f t="shared" si="1158"/>
        <v>53.333333333333336</v>
      </c>
      <c r="AF736" s="113">
        <f t="shared" si="1158"/>
        <v>42.666666666666664</v>
      </c>
      <c r="AG736" s="113">
        <f t="shared" si="1158"/>
        <v>48</v>
      </c>
      <c r="AH736" s="113">
        <f t="shared" si="1158"/>
        <v>0</v>
      </c>
      <c r="AI736" s="113">
        <f t="shared" ref="AI736:BB736" si="1159">AI765*AI273*$R$4/(60*60)</f>
        <v>53.333333333333336</v>
      </c>
      <c r="AJ736" s="113">
        <f t="shared" si="1159"/>
        <v>42.666666666666664</v>
      </c>
      <c r="AK736" s="113">
        <f t="shared" si="1159"/>
        <v>48</v>
      </c>
      <c r="AL736" s="113">
        <f t="shared" si="1159"/>
        <v>0</v>
      </c>
      <c r="AM736" s="113">
        <f t="shared" si="1159"/>
        <v>53.333333333333336</v>
      </c>
      <c r="AN736" s="113">
        <f t="shared" si="1159"/>
        <v>42.666666666666664</v>
      </c>
      <c r="AO736" s="113">
        <f t="shared" si="1159"/>
        <v>48</v>
      </c>
      <c r="AP736" s="113">
        <f t="shared" si="1159"/>
        <v>0</v>
      </c>
      <c r="AQ736" s="113">
        <f t="shared" si="1159"/>
        <v>53.333333333333336</v>
      </c>
      <c r="AR736" s="113">
        <f t="shared" si="1159"/>
        <v>42.666666666666664</v>
      </c>
      <c r="AS736" s="113">
        <f t="shared" si="1159"/>
        <v>48</v>
      </c>
      <c r="AT736" s="113">
        <f t="shared" si="1159"/>
        <v>0</v>
      </c>
      <c r="AU736" s="113">
        <f t="shared" si="1159"/>
        <v>53.333333333333336</v>
      </c>
      <c r="AV736" s="113">
        <f t="shared" si="1159"/>
        <v>42.666666666666664</v>
      </c>
      <c r="AW736" s="113">
        <f t="shared" si="1159"/>
        <v>48</v>
      </c>
      <c r="AX736" s="113">
        <f t="shared" si="1159"/>
        <v>0</v>
      </c>
      <c r="AY736" s="113">
        <f t="shared" si="1159"/>
        <v>53.333333333333336</v>
      </c>
      <c r="AZ736" s="113">
        <f t="shared" si="1159"/>
        <v>42.666666666666664</v>
      </c>
      <c r="BA736" s="113">
        <f t="shared" si="1159"/>
        <v>48</v>
      </c>
      <c r="BB736" s="113">
        <f t="shared" si="1159"/>
        <v>0</v>
      </c>
      <c r="BC736" s="132">
        <f t="shared" si="1137"/>
        <v>1872</v>
      </c>
    </row>
    <row r="737" spans="2:55" x14ac:dyDescent="0.25">
      <c r="B737" s="113" t="str">
        <f t="shared" si="1153"/>
        <v>Product D Overall Standard Labor Hours</v>
      </c>
      <c r="C737" s="113">
        <f t="shared" ref="C737:AH737" si="1160">C766*C274*$R$4/(60*60)</f>
        <v>79.444444444444443</v>
      </c>
      <c r="D737" s="113">
        <f t="shared" si="1160"/>
        <v>61.111111111111114</v>
      </c>
      <c r="E737" s="113">
        <f t="shared" si="1160"/>
        <v>48.888888888888886</v>
      </c>
      <c r="F737" s="113">
        <f t="shared" si="1160"/>
        <v>55</v>
      </c>
      <c r="G737" s="113">
        <f t="shared" si="1160"/>
        <v>55</v>
      </c>
      <c r="H737" s="113">
        <f t="shared" si="1160"/>
        <v>61.111111111111114</v>
      </c>
      <c r="I737" s="113">
        <f t="shared" si="1160"/>
        <v>48.888888888888886</v>
      </c>
      <c r="J737" s="113">
        <f t="shared" si="1160"/>
        <v>55</v>
      </c>
      <c r="K737" s="113">
        <f t="shared" si="1160"/>
        <v>79.444444444444443</v>
      </c>
      <c r="L737" s="113">
        <f t="shared" si="1160"/>
        <v>61.111111111111114</v>
      </c>
      <c r="M737" s="113">
        <f t="shared" si="1160"/>
        <v>48.888888888888886</v>
      </c>
      <c r="N737" s="113">
        <f t="shared" si="1160"/>
        <v>55</v>
      </c>
      <c r="O737" s="113">
        <f t="shared" si="1160"/>
        <v>79.444444444444443</v>
      </c>
      <c r="P737" s="113">
        <f t="shared" si="1160"/>
        <v>61.111111111111114</v>
      </c>
      <c r="Q737" s="113">
        <f t="shared" si="1160"/>
        <v>48.888888888888886</v>
      </c>
      <c r="R737" s="113">
        <f t="shared" si="1160"/>
        <v>55</v>
      </c>
      <c r="S737" s="113">
        <f t="shared" si="1160"/>
        <v>55</v>
      </c>
      <c r="T737" s="113">
        <f t="shared" si="1160"/>
        <v>48.888888888888886</v>
      </c>
      <c r="U737" s="113">
        <f t="shared" si="1160"/>
        <v>48.888888888888886</v>
      </c>
      <c r="V737" s="113">
        <f t="shared" si="1160"/>
        <v>55</v>
      </c>
      <c r="W737" s="113">
        <f t="shared" si="1160"/>
        <v>79.444444444444443</v>
      </c>
      <c r="X737" s="113">
        <f t="shared" si="1160"/>
        <v>61.111111111111114</v>
      </c>
      <c r="Y737" s="113">
        <f t="shared" si="1160"/>
        <v>48.888888888888886</v>
      </c>
      <c r="Z737" s="113">
        <f t="shared" si="1160"/>
        <v>42.777777777777779</v>
      </c>
      <c r="AA737" s="113">
        <f t="shared" si="1160"/>
        <v>79.444444444444443</v>
      </c>
      <c r="AB737" s="113">
        <f t="shared" si="1160"/>
        <v>61.111111111111114</v>
      </c>
      <c r="AC737" s="113">
        <f t="shared" si="1160"/>
        <v>48.888888888888886</v>
      </c>
      <c r="AD737" s="113">
        <f t="shared" si="1160"/>
        <v>55</v>
      </c>
      <c r="AE737" s="113">
        <f t="shared" si="1160"/>
        <v>55</v>
      </c>
      <c r="AF737" s="113">
        <f t="shared" si="1160"/>
        <v>61.111111111111114</v>
      </c>
      <c r="AG737" s="113">
        <f t="shared" si="1160"/>
        <v>48.888888888888886</v>
      </c>
      <c r="AH737" s="113">
        <f t="shared" si="1160"/>
        <v>55</v>
      </c>
      <c r="AI737" s="113">
        <f t="shared" ref="AI737:BB737" si="1161">AI766*AI274*$R$4/(60*60)</f>
        <v>79.444444444444443</v>
      </c>
      <c r="AJ737" s="113">
        <f t="shared" si="1161"/>
        <v>61.111111111111114</v>
      </c>
      <c r="AK737" s="113">
        <f t="shared" si="1161"/>
        <v>48.888888888888886</v>
      </c>
      <c r="AL737" s="113">
        <f t="shared" si="1161"/>
        <v>42.777777777777779</v>
      </c>
      <c r="AM737" s="113">
        <f t="shared" si="1161"/>
        <v>79.444444444444443</v>
      </c>
      <c r="AN737" s="113">
        <f t="shared" si="1161"/>
        <v>61.111111111111114</v>
      </c>
      <c r="AO737" s="113">
        <f t="shared" si="1161"/>
        <v>48.888888888888886</v>
      </c>
      <c r="AP737" s="113">
        <f t="shared" si="1161"/>
        <v>55</v>
      </c>
      <c r="AQ737" s="113">
        <f t="shared" si="1161"/>
        <v>55</v>
      </c>
      <c r="AR737" s="113">
        <f t="shared" si="1161"/>
        <v>61.111111111111114</v>
      </c>
      <c r="AS737" s="113">
        <f t="shared" si="1161"/>
        <v>48.888888888888886</v>
      </c>
      <c r="AT737" s="113">
        <f t="shared" si="1161"/>
        <v>55</v>
      </c>
      <c r="AU737" s="113">
        <f t="shared" si="1161"/>
        <v>79.444444444444443</v>
      </c>
      <c r="AV737" s="113">
        <f t="shared" si="1161"/>
        <v>61.111111111111114</v>
      </c>
      <c r="AW737" s="113">
        <f t="shared" si="1161"/>
        <v>48.888888888888886</v>
      </c>
      <c r="AX737" s="113">
        <f t="shared" si="1161"/>
        <v>55</v>
      </c>
      <c r="AY737" s="113">
        <f t="shared" si="1161"/>
        <v>79.444444444444443</v>
      </c>
      <c r="AZ737" s="113">
        <f t="shared" si="1161"/>
        <v>61.111111111111114</v>
      </c>
      <c r="BA737" s="113">
        <f t="shared" si="1161"/>
        <v>48.888888888888886</v>
      </c>
      <c r="BB737" s="113">
        <f t="shared" si="1161"/>
        <v>42.777777777777779</v>
      </c>
      <c r="BC737" s="132">
        <f t="shared" si="1137"/>
        <v>3031.1111111111104</v>
      </c>
    </row>
    <row r="738" spans="2:55" x14ac:dyDescent="0.25">
      <c r="B738" s="113" t="str">
        <f t="shared" si="1153"/>
        <v>Product E Overall Standard Labor Hours</v>
      </c>
      <c r="C738" s="113">
        <f t="shared" ref="C738:AH738" si="1162">C767*C275*$R$4/(60*60)</f>
        <v>30</v>
      </c>
      <c r="D738" s="113">
        <f t="shared" si="1162"/>
        <v>78</v>
      </c>
      <c r="E738" s="113">
        <f t="shared" si="1162"/>
        <v>60</v>
      </c>
      <c r="F738" s="113">
        <f t="shared" si="1162"/>
        <v>48</v>
      </c>
      <c r="G738" s="113">
        <f t="shared" si="1162"/>
        <v>30</v>
      </c>
      <c r="H738" s="113">
        <f t="shared" si="1162"/>
        <v>66.000000000000014</v>
      </c>
      <c r="I738" s="113">
        <f t="shared" si="1162"/>
        <v>60</v>
      </c>
      <c r="J738" s="113">
        <f t="shared" si="1162"/>
        <v>48</v>
      </c>
      <c r="K738" s="113">
        <f t="shared" si="1162"/>
        <v>30</v>
      </c>
      <c r="L738" s="113">
        <f t="shared" si="1162"/>
        <v>42</v>
      </c>
      <c r="M738" s="113">
        <f t="shared" si="1162"/>
        <v>36.000000000000007</v>
      </c>
      <c r="N738" s="113">
        <f t="shared" si="1162"/>
        <v>48</v>
      </c>
      <c r="O738" s="113">
        <f t="shared" si="1162"/>
        <v>30</v>
      </c>
      <c r="P738" s="113">
        <f t="shared" si="1162"/>
        <v>78</v>
      </c>
      <c r="Q738" s="113">
        <f t="shared" si="1162"/>
        <v>60</v>
      </c>
      <c r="R738" s="113">
        <f t="shared" si="1162"/>
        <v>48</v>
      </c>
      <c r="S738" s="113">
        <f t="shared" si="1162"/>
        <v>30</v>
      </c>
      <c r="T738" s="113">
        <f t="shared" si="1162"/>
        <v>78</v>
      </c>
      <c r="U738" s="113">
        <f t="shared" si="1162"/>
        <v>60</v>
      </c>
      <c r="V738" s="113">
        <f t="shared" si="1162"/>
        <v>48</v>
      </c>
      <c r="W738" s="113">
        <f t="shared" si="1162"/>
        <v>30</v>
      </c>
      <c r="X738" s="113">
        <f t="shared" si="1162"/>
        <v>42</v>
      </c>
      <c r="Y738" s="113">
        <f t="shared" si="1162"/>
        <v>60</v>
      </c>
      <c r="Z738" s="113">
        <f t="shared" si="1162"/>
        <v>48</v>
      </c>
      <c r="AA738" s="113">
        <f t="shared" si="1162"/>
        <v>30</v>
      </c>
      <c r="AB738" s="113">
        <f t="shared" si="1162"/>
        <v>78</v>
      </c>
      <c r="AC738" s="113">
        <f t="shared" si="1162"/>
        <v>60</v>
      </c>
      <c r="AD738" s="113">
        <f t="shared" si="1162"/>
        <v>48</v>
      </c>
      <c r="AE738" s="113">
        <f t="shared" si="1162"/>
        <v>30</v>
      </c>
      <c r="AF738" s="113">
        <f t="shared" si="1162"/>
        <v>66.000000000000014</v>
      </c>
      <c r="AG738" s="113">
        <f t="shared" si="1162"/>
        <v>60</v>
      </c>
      <c r="AH738" s="113">
        <f t="shared" si="1162"/>
        <v>48</v>
      </c>
      <c r="AI738" s="113">
        <f t="shared" ref="AI738:BB738" si="1163">AI767*AI275*$R$4/(60*60)</f>
        <v>30</v>
      </c>
      <c r="AJ738" s="113">
        <f t="shared" si="1163"/>
        <v>42</v>
      </c>
      <c r="AK738" s="113">
        <f t="shared" si="1163"/>
        <v>60</v>
      </c>
      <c r="AL738" s="113">
        <f t="shared" si="1163"/>
        <v>48</v>
      </c>
      <c r="AM738" s="113">
        <f t="shared" si="1163"/>
        <v>30</v>
      </c>
      <c r="AN738" s="113">
        <f t="shared" si="1163"/>
        <v>78</v>
      </c>
      <c r="AO738" s="113">
        <f t="shared" si="1163"/>
        <v>60</v>
      </c>
      <c r="AP738" s="113">
        <f t="shared" si="1163"/>
        <v>48</v>
      </c>
      <c r="AQ738" s="113">
        <f t="shared" si="1163"/>
        <v>30</v>
      </c>
      <c r="AR738" s="113">
        <f t="shared" si="1163"/>
        <v>66.000000000000014</v>
      </c>
      <c r="AS738" s="113">
        <f t="shared" si="1163"/>
        <v>60</v>
      </c>
      <c r="AT738" s="113">
        <f t="shared" si="1163"/>
        <v>48</v>
      </c>
      <c r="AU738" s="113">
        <f t="shared" si="1163"/>
        <v>30</v>
      </c>
      <c r="AV738" s="113">
        <f t="shared" si="1163"/>
        <v>78</v>
      </c>
      <c r="AW738" s="113">
        <f t="shared" si="1163"/>
        <v>60</v>
      </c>
      <c r="AX738" s="113">
        <f t="shared" si="1163"/>
        <v>48</v>
      </c>
      <c r="AY738" s="113">
        <f t="shared" si="1163"/>
        <v>30</v>
      </c>
      <c r="AZ738" s="113">
        <f t="shared" si="1163"/>
        <v>78</v>
      </c>
      <c r="BA738" s="113">
        <f t="shared" si="1163"/>
        <v>60</v>
      </c>
      <c r="BB738" s="113">
        <f t="shared" si="1163"/>
        <v>48</v>
      </c>
      <c r="BC738" s="132">
        <f t="shared" si="1137"/>
        <v>2640</v>
      </c>
    </row>
    <row r="739" spans="2:55" x14ac:dyDescent="0.25">
      <c r="B739" s="113" t="str">
        <f t="shared" si="1153"/>
        <v>Product F Overall Standard Labor Hours</v>
      </c>
      <c r="C739" s="113">
        <f t="shared" ref="C739:AH739" si="1164">C768*C276*$R$4/(60*60)</f>
        <v>0</v>
      </c>
      <c r="D739" s="113">
        <f t="shared" si="1164"/>
        <v>29.166666666666668</v>
      </c>
      <c r="E739" s="113">
        <f t="shared" si="1164"/>
        <v>75.833333333333329</v>
      </c>
      <c r="F739" s="113">
        <f t="shared" si="1164"/>
        <v>0</v>
      </c>
      <c r="G739" s="113">
        <f t="shared" si="1164"/>
        <v>0</v>
      </c>
      <c r="H739" s="113">
        <f t="shared" si="1164"/>
        <v>29.166666666666668</v>
      </c>
      <c r="I739" s="113">
        <f t="shared" si="1164"/>
        <v>75.833333333333329</v>
      </c>
      <c r="J739" s="113">
        <f t="shared" si="1164"/>
        <v>58.333333333333336</v>
      </c>
      <c r="K739" s="113">
        <f t="shared" si="1164"/>
        <v>35</v>
      </c>
      <c r="L739" s="113">
        <f t="shared" si="1164"/>
        <v>29.166666666666668</v>
      </c>
      <c r="M739" s="113">
        <f t="shared" si="1164"/>
        <v>75.833333333333329</v>
      </c>
      <c r="N739" s="113">
        <f t="shared" si="1164"/>
        <v>58.333333333333336</v>
      </c>
      <c r="O739" s="113">
        <f t="shared" si="1164"/>
        <v>0</v>
      </c>
      <c r="P739" s="113">
        <f t="shared" si="1164"/>
        <v>29.166666666666668</v>
      </c>
      <c r="Q739" s="113">
        <f t="shared" si="1164"/>
        <v>75.833333333333329</v>
      </c>
      <c r="R739" s="113">
        <f t="shared" si="1164"/>
        <v>58.333333333333336</v>
      </c>
      <c r="S739" s="113">
        <f t="shared" si="1164"/>
        <v>0</v>
      </c>
      <c r="T739" s="113">
        <f t="shared" si="1164"/>
        <v>29.166666666666668</v>
      </c>
      <c r="U739" s="113">
        <f t="shared" si="1164"/>
        <v>75.833333333333329</v>
      </c>
      <c r="V739" s="113">
        <f t="shared" si="1164"/>
        <v>58.333333333333336</v>
      </c>
      <c r="W739" s="113">
        <f t="shared" si="1164"/>
        <v>0</v>
      </c>
      <c r="X739" s="113">
        <f t="shared" si="1164"/>
        <v>29.166666666666668</v>
      </c>
      <c r="Y739" s="113">
        <f t="shared" si="1164"/>
        <v>52.5</v>
      </c>
      <c r="Z739" s="113">
        <f t="shared" si="1164"/>
        <v>58.333333333333336</v>
      </c>
      <c r="AA739" s="113">
        <f t="shared" si="1164"/>
        <v>0</v>
      </c>
      <c r="AB739" s="113">
        <f t="shared" si="1164"/>
        <v>29.166666666666668</v>
      </c>
      <c r="AC739" s="113">
        <f t="shared" si="1164"/>
        <v>75.833333333333329</v>
      </c>
      <c r="AD739" s="113">
        <f t="shared" si="1164"/>
        <v>23.333333333333332</v>
      </c>
      <c r="AE739" s="113">
        <f t="shared" si="1164"/>
        <v>0</v>
      </c>
      <c r="AF739" s="113">
        <f t="shared" si="1164"/>
        <v>29.166666666666668</v>
      </c>
      <c r="AG739" s="113">
        <f t="shared" si="1164"/>
        <v>75.833333333333329</v>
      </c>
      <c r="AH739" s="113">
        <f t="shared" si="1164"/>
        <v>58.333333333333336</v>
      </c>
      <c r="AI739" s="113">
        <f t="shared" ref="AI739:BB739" si="1165">AI768*AI276*$R$4/(60*60)</f>
        <v>0</v>
      </c>
      <c r="AJ739" s="113">
        <f t="shared" si="1165"/>
        <v>29.166666666666668</v>
      </c>
      <c r="AK739" s="113">
        <f t="shared" si="1165"/>
        <v>52.5</v>
      </c>
      <c r="AL739" s="113">
        <f t="shared" si="1165"/>
        <v>58.333333333333336</v>
      </c>
      <c r="AM739" s="113">
        <f t="shared" si="1165"/>
        <v>0</v>
      </c>
      <c r="AN739" s="113">
        <f t="shared" si="1165"/>
        <v>29.166666666666668</v>
      </c>
      <c r="AO739" s="113">
        <f t="shared" si="1165"/>
        <v>75.833333333333329</v>
      </c>
      <c r="AP739" s="113">
        <f t="shared" si="1165"/>
        <v>23.333333333333332</v>
      </c>
      <c r="AQ739" s="113">
        <f t="shared" si="1165"/>
        <v>0</v>
      </c>
      <c r="AR739" s="113">
        <f t="shared" si="1165"/>
        <v>29.166666666666668</v>
      </c>
      <c r="AS739" s="113">
        <f t="shared" si="1165"/>
        <v>75.833333333333329</v>
      </c>
      <c r="AT739" s="113">
        <f t="shared" si="1165"/>
        <v>58.333333333333336</v>
      </c>
      <c r="AU739" s="113">
        <f t="shared" si="1165"/>
        <v>29.166666666666668</v>
      </c>
      <c r="AV739" s="113">
        <f t="shared" si="1165"/>
        <v>29.166666666666668</v>
      </c>
      <c r="AW739" s="113">
        <f t="shared" si="1165"/>
        <v>75.833333333333329</v>
      </c>
      <c r="AX739" s="113">
        <f t="shared" si="1165"/>
        <v>58.333333333333336</v>
      </c>
      <c r="AY739" s="113">
        <f t="shared" si="1165"/>
        <v>35</v>
      </c>
      <c r="AZ739" s="113">
        <f t="shared" si="1165"/>
        <v>29.166666666666668</v>
      </c>
      <c r="BA739" s="113">
        <f t="shared" si="1165"/>
        <v>52.5</v>
      </c>
      <c r="BB739" s="113">
        <f t="shared" si="1165"/>
        <v>58.333333333333336</v>
      </c>
      <c r="BC739" s="132">
        <f t="shared" si="1137"/>
        <v>2024.1666666666663</v>
      </c>
    </row>
    <row r="740" spans="2:55" x14ac:dyDescent="0.25">
      <c r="B740" s="113" t="str">
        <f t="shared" si="1153"/>
        <v>Product G Overall Standard Labor Hours</v>
      </c>
      <c r="C740" s="113">
        <f t="shared" ref="C740:AH740" si="1166">C769*C277*$R$4/(60*60)</f>
        <v>0</v>
      </c>
      <c r="D740" s="113">
        <f t="shared" si="1166"/>
        <v>15</v>
      </c>
      <c r="E740" s="113">
        <f t="shared" si="1166"/>
        <v>30</v>
      </c>
      <c r="F740" s="113">
        <f t="shared" si="1166"/>
        <v>55</v>
      </c>
      <c r="G740" s="113">
        <f t="shared" si="1166"/>
        <v>0</v>
      </c>
      <c r="H740" s="113">
        <f t="shared" si="1166"/>
        <v>0</v>
      </c>
      <c r="I740" s="113">
        <f t="shared" si="1166"/>
        <v>25</v>
      </c>
      <c r="J740" s="113">
        <f t="shared" si="1166"/>
        <v>65</v>
      </c>
      <c r="K740" s="113">
        <f t="shared" si="1166"/>
        <v>0</v>
      </c>
      <c r="L740" s="113">
        <f t="shared" si="1166"/>
        <v>0</v>
      </c>
      <c r="M740" s="113">
        <f t="shared" si="1166"/>
        <v>25</v>
      </c>
      <c r="N740" s="113">
        <f t="shared" si="1166"/>
        <v>55</v>
      </c>
      <c r="O740" s="113">
        <f t="shared" si="1166"/>
        <v>0</v>
      </c>
      <c r="P740" s="113">
        <f t="shared" si="1166"/>
        <v>0</v>
      </c>
      <c r="Q740" s="113">
        <f t="shared" si="1166"/>
        <v>25</v>
      </c>
      <c r="R740" s="113">
        <f t="shared" si="1166"/>
        <v>35</v>
      </c>
      <c r="S740" s="113">
        <f t="shared" si="1166"/>
        <v>0</v>
      </c>
      <c r="T740" s="113">
        <f t="shared" si="1166"/>
        <v>0</v>
      </c>
      <c r="U740" s="113">
        <f t="shared" si="1166"/>
        <v>25</v>
      </c>
      <c r="V740" s="113">
        <f t="shared" si="1166"/>
        <v>65</v>
      </c>
      <c r="W740" s="113">
        <f t="shared" si="1166"/>
        <v>0</v>
      </c>
      <c r="X740" s="113">
        <f t="shared" si="1166"/>
        <v>0</v>
      </c>
      <c r="Y740" s="113">
        <f t="shared" si="1166"/>
        <v>25</v>
      </c>
      <c r="Z740" s="113">
        <f t="shared" si="1166"/>
        <v>65</v>
      </c>
      <c r="AA740" s="113">
        <f t="shared" si="1166"/>
        <v>0</v>
      </c>
      <c r="AB740" s="113">
        <f t="shared" si="1166"/>
        <v>0</v>
      </c>
      <c r="AC740" s="113">
        <f t="shared" si="1166"/>
        <v>25</v>
      </c>
      <c r="AD740" s="113">
        <f t="shared" si="1166"/>
        <v>65</v>
      </c>
      <c r="AE740" s="113">
        <f t="shared" si="1166"/>
        <v>0</v>
      </c>
      <c r="AF740" s="113">
        <f t="shared" si="1166"/>
        <v>0</v>
      </c>
      <c r="AG740" s="113">
        <f t="shared" si="1166"/>
        <v>25</v>
      </c>
      <c r="AH740" s="113">
        <f t="shared" si="1166"/>
        <v>65</v>
      </c>
      <c r="AI740" s="113">
        <f t="shared" ref="AI740:BB740" si="1167">AI769*AI277*$R$4/(60*60)</f>
        <v>0</v>
      </c>
      <c r="AJ740" s="113">
        <f t="shared" si="1167"/>
        <v>0</v>
      </c>
      <c r="AK740" s="113">
        <f t="shared" si="1167"/>
        <v>25</v>
      </c>
      <c r="AL740" s="113">
        <f t="shared" si="1167"/>
        <v>65</v>
      </c>
      <c r="AM740" s="113">
        <f t="shared" si="1167"/>
        <v>0</v>
      </c>
      <c r="AN740" s="113">
        <f t="shared" si="1167"/>
        <v>0</v>
      </c>
      <c r="AO740" s="113">
        <f t="shared" si="1167"/>
        <v>25</v>
      </c>
      <c r="AP740" s="113">
        <f t="shared" si="1167"/>
        <v>65</v>
      </c>
      <c r="AQ740" s="113">
        <f t="shared" si="1167"/>
        <v>0</v>
      </c>
      <c r="AR740" s="113">
        <f t="shared" si="1167"/>
        <v>0</v>
      </c>
      <c r="AS740" s="113">
        <f t="shared" si="1167"/>
        <v>25</v>
      </c>
      <c r="AT740" s="113">
        <f t="shared" si="1167"/>
        <v>65</v>
      </c>
      <c r="AU740" s="113">
        <f t="shared" si="1167"/>
        <v>0</v>
      </c>
      <c r="AV740" s="113">
        <f t="shared" si="1167"/>
        <v>0</v>
      </c>
      <c r="AW740" s="113">
        <f t="shared" si="1167"/>
        <v>25</v>
      </c>
      <c r="AX740" s="113">
        <f t="shared" si="1167"/>
        <v>65</v>
      </c>
      <c r="AY740" s="113">
        <f t="shared" si="1167"/>
        <v>0</v>
      </c>
      <c r="AZ740" s="113">
        <f t="shared" si="1167"/>
        <v>0</v>
      </c>
      <c r="BA740" s="113">
        <f t="shared" si="1167"/>
        <v>25</v>
      </c>
      <c r="BB740" s="113">
        <f t="shared" si="1167"/>
        <v>65</v>
      </c>
      <c r="BC740" s="132">
        <f t="shared" si="1137"/>
        <v>1140</v>
      </c>
    </row>
    <row r="741" spans="2:55" x14ac:dyDescent="0.25">
      <c r="B741" s="113" t="str">
        <f t="shared" si="1153"/>
        <v>Product H Overall Standard Labor Hours</v>
      </c>
      <c r="C741" s="113">
        <f t="shared" ref="C741:AH741" si="1168">C770*C278*$R$4/(60*60)</f>
        <v>0</v>
      </c>
      <c r="D741" s="113">
        <f t="shared" si="1168"/>
        <v>0</v>
      </c>
      <c r="E741" s="113">
        <f t="shared" si="1168"/>
        <v>0</v>
      </c>
      <c r="F741" s="113">
        <f t="shared" si="1168"/>
        <v>25.555555555555557</v>
      </c>
      <c r="G741" s="113">
        <f t="shared" si="1168"/>
        <v>0</v>
      </c>
      <c r="H741" s="113">
        <f t="shared" si="1168"/>
        <v>0</v>
      </c>
      <c r="I741" s="113">
        <f t="shared" si="1168"/>
        <v>0</v>
      </c>
      <c r="J741" s="113">
        <f t="shared" si="1168"/>
        <v>25.555555555555557</v>
      </c>
      <c r="K741" s="113">
        <f t="shared" si="1168"/>
        <v>0</v>
      </c>
      <c r="L741" s="113">
        <f t="shared" si="1168"/>
        <v>0</v>
      </c>
      <c r="M741" s="113">
        <f t="shared" si="1168"/>
        <v>0</v>
      </c>
      <c r="N741" s="113">
        <f t="shared" si="1168"/>
        <v>25.555555555555557</v>
      </c>
      <c r="O741" s="113">
        <f t="shared" si="1168"/>
        <v>0</v>
      </c>
      <c r="P741" s="113">
        <f t="shared" si="1168"/>
        <v>0</v>
      </c>
      <c r="Q741" s="113">
        <f t="shared" si="1168"/>
        <v>30.666666666666664</v>
      </c>
      <c r="R741" s="113">
        <f t="shared" si="1168"/>
        <v>25.555555555555557</v>
      </c>
      <c r="S741" s="113">
        <f t="shared" si="1168"/>
        <v>0</v>
      </c>
      <c r="T741" s="113">
        <f t="shared" si="1168"/>
        <v>0</v>
      </c>
      <c r="U741" s="113">
        <f t="shared" si="1168"/>
        <v>0</v>
      </c>
      <c r="V741" s="113">
        <f t="shared" si="1168"/>
        <v>25.555555555555557</v>
      </c>
      <c r="W741" s="113">
        <f t="shared" si="1168"/>
        <v>30.666666666666664</v>
      </c>
      <c r="X741" s="113">
        <f t="shared" si="1168"/>
        <v>0</v>
      </c>
      <c r="Y741" s="113">
        <f t="shared" si="1168"/>
        <v>0</v>
      </c>
      <c r="Z741" s="113">
        <f t="shared" si="1168"/>
        <v>25.555555555555557</v>
      </c>
      <c r="AA741" s="113">
        <f t="shared" si="1168"/>
        <v>0</v>
      </c>
      <c r="AB741" s="113">
        <f t="shared" si="1168"/>
        <v>15.333333333333332</v>
      </c>
      <c r="AC741" s="113">
        <f t="shared" si="1168"/>
        <v>0</v>
      </c>
      <c r="AD741" s="113">
        <f t="shared" si="1168"/>
        <v>25.555555555555557</v>
      </c>
      <c r="AE741" s="113">
        <f t="shared" si="1168"/>
        <v>0</v>
      </c>
      <c r="AF741" s="113">
        <f t="shared" si="1168"/>
        <v>0</v>
      </c>
      <c r="AG741" s="113">
        <f t="shared" si="1168"/>
        <v>0</v>
      </c>
      <c r="AH741" s="113">
        <f t="shared" si="1168"/>
        <v>25.555555555555557</v>
      </c>
      <c r="AI741" s="113">
        <f t="shared" ref="AI741:BB741" si="1169">AI770*AI278*$R$4/(60*60)</f>
        <v>30.666666666666664</v>
      </c>
      <c r="AJ741" s="113">
        <f t="shared" si="1169"/>
        <v>0</v>
      </c>
      <c r="AK741" s="113">
        <f t="shared" si="1169"/>
        <v>0</v>
      </c>
      <c r="AL741" s="113">
        <f t="shared" si="1169"/>
        <v>25.555555555555557</v>
      </c>
      <c r="AM741" s="113">
        <f t="shared" si="1169"/>
        <v>0</v>
      </c>
      <c r="AN741" s="113">
        <f t="shared" si="1169"/>
        <v>0</v>
      </c>
      <c r="AO741" s="113">
        <f t="shared" si="1169"/>
        <v>30.666666666666664</v>
      </c>
      <c r="AP741" s="113">
        <f t="shared" si="1169"/>
        <v>25.555555555555557</v>
      </c>
      <c r="AQ741" s="113">
        <f t="shared" si="1169"/>
        <v>0</v>
      </c>
      <c r="AR741" s="113">
        <f t="shared" si="1169"/>
        <v>0</v>
      </c>
      <c r="AS741" s="113">
        <f t="shared" si="1169"/>
        <v>0</v>
      </c>
      <c r="AT741" s="113">
        <f t="shared" si="1169"/>
        <v>25.555555555555557</v>
      </c>
      <c r="AU741" s="113">
        <f t="shared" si="1169"/>
        <v>0</v>
      </c>
      <c r="AV741" s="113">
        <f t="shared" si="1169"/>
        <v>0</v>
      </c>
      <c r="AW741" s="113">
        <f t="shared" si="1169"/>
        <v>0</v>
      </c>
      <c r="AX741" s="113">
        <f t="shared" si="1169"/>
        <v>25.555555555555557</v>
      </c>
      <c r="AY741" s="113">
        <f t="shared" si="1169"/>
        <v>0</v>
      </c>
      <c r="AZ741" s="113">
        <f t="shared" si="1169"/>
        <v>0</v>
      </c>
      <c r="BA741" s="113">
        <f t="shared" si="1169"/>
        <v>0</v>
      </c>
      <c r="BB741" s="113">
        <f t="shared" si="1169"/>
        <v>25.555555555555557</v>
      </c>
      <c r="BC741" s="132">
        <f t="shared" si="1137"/>
        <v>470.22222222222223</v>
      </c>
    </row>
    <row r="742" spans="2:55" x14ac:dyDescent="0.25">
      <c r="B742" s="43" t="str">
        <f t="shared" ref="B742:B749" si="1170">_xlfn.CONCAT(B457," ","Overall Loss Labor Hours")</f>
        <v>Product A Overall Loss Labor Hours</v>
      </c>
      <c r="C742" s="43">
        <f t="shared" ref="C742:AH742" si="1171">C734-C610</f>
        <v>-15.159151193633953</v>
      </c>
      <c r="D742" s="43">
        <f t="shared" si="1171"/>
        <v>0</v>
      </c>
      <c r="E742" s="43">
        <f t="shared" si="1171"/>
        <v>-4.1948252558408967</v>
      </c>
      <c r="F742" s="43">
        <f t="shared" si="1171"/>
        <v>0</v>
      </c>
      <c r="G742" s="43">
        <f t="shared" si="1171"/>
        <v>-21.640548481880515</v>
      </c>
      <c r="H742" s="43">
        <f t="shared" si="1171"/>
        <v>0</v>
      </c>
      <c r="I742" s="43">
        <f t="shared" si="1171"/>
        <v>0</v>
      </c>
      <c r="J742" s="43">
        <f t="shared" si="1171"/>
        <v>0</v>
      </c>
      <c r="K742" s="43">
        <f t="shared" si="1171"/>
        <v>-7.8055878928987212</v>
      </c>
      <c r="L742" s="43">
        <f t="shared" si="1171"/>
        <v>0</v>
      </c>
      <c r="M742" s="43">
        <f t="shared" si="1171"/>
        <v>0</v>
      </c>
      <c r="N742" s="43">
        <f t="shared" si="1171"/>
        <v>0</v>
      </c>
      <c r="O742" s="43">
        <f t="shared" si="1171"/>
        <v>-15.159151193633953</v>
      </c>
      <c r="P742" s="43">
        <f t="shared" si="1171"/>
        <v>-3.3309759547383315</v>
      </c>
      <c r="Q742" s="43">
        <f t="shared" si="1171"/>
        <v>0</v>
      </c>
      <c r="R742" s="43">
        <f t="shared" si="1171"/>
        <v>0</v>
      </c>
      <c r="S742" s="43">
        <f t="shared" si="1171"/>
        <v>-21.640548481880515</v>
      </c>
      <c r="T742" s="43">
        <f t="shared" si="1171"/>
        <v>0</v>
      </c>
      <c r="U742" s="43">
        <f t="shared" si="1171"/>
        <v>0</v>
      </c>
      <c r="V742" s="43">
        <f t="shared" si="1171"/>
        <v>-3.884263114071608</v>
      </c>
      <c r="W742" s="43">
        <f t="shared" si="1171"/>
        <v>-8.617021276595743</v>
      </c>
      <c r="X742" s="43">
        <f t="shared" si="1171"/>
        <v>0</v>
      </c>
      <c r="Y742" s="43">
        <f t="shared" si="1171"/>
        <v>0</v>
      </c>
      <c r="Z742" s="43">
        <f t="shared" si="1171"/>
        <v>0</v>
      </c>
      <c r="AA742" s="43">
        <f t="shared" si="1171"/>
        <v>-15.159151193633953</v>
      </c>
      <c r="AB742" s="43">
        <f t="shared" si="1171"/>
        <v>0</v>
      </c>
      <c r="AC742" s="43">
        <f t="shared" si="1171"/>
        <v>-5.0337903070090775</v>
      </c>
      <c r="AD742" s="43">
        <f t="shared" si="1171"/>
        <v>0</v>
      </c>
      <c r="AE742" s="43">
        <f t="shared" si="1171"/>
        <v>-21.640548481880515</v>
      </c>
      <c r="AF742" s="43">
        <f t="shared" si="1171"/>
        <v>0</v>
      </c>
      <c r="AG742" s="43">
        <f t="shared" si="1171"/>
        <v>0</v>
      </c>
      <c r="AH742" s="43">
        <f t="shared" si="1171"/>
        <v>-3.884263114071608</v>
      </c>
      <c r="AI742" s="43">
        <f t="shared" ref="AI742:BB742" si="1172">AI734-AI610</f>
        <v>-8.617021276595743</v>
      </c>
      <c r="AJ742" s="43">
        <f t="shared" si="1172"/>
        <v>0</v>
      </c>
      <c r="AK742" s="43">
        <f t="shared" si="1172"/>
        <v>0</v>
      </c>
      <c r="AL742" s="43">
        <f t="shared" si="1172"/>
        <v>0</v>
      </c>
      <c r="AM742" s="43">
        <f t="shared" si="1172"/>
        <v>-15.159151193633953</v>
      </c>
      <c r="AN742" s="43">
        <f t="shared" si="1172"/>
        <v>-3.3309759547383315</v>
      </c>
      <c r="AO742" s="43">
        <f t="shared" si="1172"/>
        <v>0</v>
      </c>
      <c r="AP742" s="43">
        <f t="shared" si="1172"/>
        <v>0</v>
      </c>
      <c r="AQ742" s="43">
        <f t="shared" si="1172"/>
        <v>-21.640548481880515</v>
      </c>
      <c r="AR742" s="43">
        <f t="shared" si="1172"/>
        <v>0</v>
      </c>
      <c r="AS742" s="43">
        <f t="shared" si="1172"/>
        <v>-4.7111416781292981</v>
      </c>
      <c r="AT742" s="43">
        <f t="shared" si="1172"/>
        <v>0</v>
      </c>
      <c r="AU742" s="43">
        <f t="shared" si="1172"/>
        <v>-8.9037433155080237</v>
      </c>
      <c r="AV742" s="43">
        <f t="shared" si="1172"/>
        <v>-4.4794306882433226</v>
      </c>
      <c r="AW742" s="43">
        <f t="shared" si="1172"/>
        <v>0</v>
      </c>
      <c r="AX742" s="43">
        <f t="shared" si="1172"/>
        <v>0</v>
      </c>
      <c r="AY742" s="43">
        <f t="shared" si="1172"/>
        <v>-7.8055878928987212</v>
      </c>
      <c r="AZ742" s="43">
        <f t="shared" si="1172"/>
        <v>0</v>
      </c>
      <c r="BA742" s="43">
        <f t="shared" si="1172"/>
        <v>0</v>
      </c>
      <c r="BB742" s="43">
        <f t="shared" si="1172"/>
        <v>0</v>
      </c>
      <c r="BC742" s="132">
        <f t="shared" si="1137"/>
        <v>-221.79742642339738</v>
      </c>
    </row>
    <row r="743" spans="2:55" x14ac:dyDescent="0.25">
      <c r="B743" s="43" t="str">
        <f t="shared" si="1170"/>
        <v>Product B Overall Loss Labor Hours</v>
      </c>
      <c r="C743" s="43">
        <f t="shared" ref="C743:AH743" si="1173">C735-C611</f>
        <v>-14.672561155319777</v>
      </c>
      <c r="D743" s="43">
        <f t="shared" si="1173"/>
        <v>-10.881188118811885</v>
      </c>
      <c r="E743" s="43">
        <f t="shared" si="1173"/>
        <v>0</v>
      </c>
      <c r="F743" s="43">
        <f t="shared" si="1173"/>
        <v>-18.095923261390894</v>
      </c>
      <c r="G743" s="43">
        <f t="shared" si="1173"/>
        <v>-20.94591359233867</v>
      </c>
      <c r="H743" s="43">
        <f t="shared" si="1173"/>
        <v>-17.401971767869142</v>
      </c>
      <c r="I743" s="43">
        <f t="shared" si="1173"/>
        <v>0</v>
      </c>
      <c r="J743" s="43">
        <f t="shared" si="1173"/>
        <v>-4.1273128969897819</v>
      </c>
      <c r="K743" s="43">
        <f t="shared" si="1173"/>
        <v>-7.5550381580649315</v>
      </c>
      <c r="L743" s="43">
        <f t="shared" si="1173"/>
        <v>-24.518233688910939</v>
      </c>
      <c r="M743" s="43">
        <f t="shared" si="1173"/>
        <v>0</v>
      </c>
      <c r="N743" s="43">
        <f t="shared" si="1173"/>
        <v>0</v>
      </c>
      <c r="O743" s="43">
        <f t="shared" si="1173"/>
        <v>-14.672561155319777</v>
      </c>
      <c r="P743" s="43">
        <f t="shared" si="1173"/>
        <v>-10.881188118811885</v>
      </c>
      <c r="Q743" s="43">
        <f t="shared" si="1173"/>
        <v>0</v>
      </c>
      <c r="R743" s="43">
        <f t="shared" si="1173"/>
        <v>0</v>
      </c>
      <c r="S743" s="43">
        <f t="shared" si="1173"/>
        <v>-20.94591359233867</v>
      </c>
      <c r="T743" s="43">
        <f t="shared" si="1173"/>
        <v>-17.461538461538467</v>
      </c>
      <c r="U743" s="43">
        <f t="shared" si="1173"/>
        <v>0</v>
      </c>
      <c r="V743" s="43">
        <f t="shared" si="1173"/>
        <v>0</v>
      </c>
      <c r="W743" s="43">
        <f t="shared" si="1173"/>
        <v>-8.3404255319148888</v>
      </c>
      <c r="X743" s="43">
        <f t="shared" si="1173"/>
        <v>-24.518233688910939</v>
      </c>
      <c r="Y743" s="43">
        <f t="shared" si="1173"/>
        <v>0</v>
      </c>
      <c r="Z743" s="43">
        <f t="shared" si="1173"/>
        <v>0</v>
      </c>
      <c r="AA743" s="43">
        <f t="shared" si="1173"/>
        <v>-14.672561155319777</v>
      </c>
      <c r="AB743" s="43">
        <f t="shared" si="1173"/>
        <v>-10.808678102926336</v>
      </c>
      <c r="AC743" s="43">
        <f t="shared" si="1173"/>
        <v>0</v>
      </c>
      <c r="AD743" s="43">
        <f t="shared" si="1173"/>
        <v>0</v>
      </c>
      <c r="AE743" s="43">
        <f t="shared" si="1173"/>
        <v>-20.94591359233867</v>
      </c>
      <c r="AF743" s="43">
        <f t="shared" si="1173"/>
        <v>-17.401971767869142</v>
      </c>
      <c r="AG743" s="43">
        <f t="shared" si="1173"/>
        <v>0</v>
      </c>
      <c r="AH743" s="43">
        <f t="shared" si="1173"/>
        <v>0</v>
      </c>
      <c r="AI743" s="43">
        <f t="shared" ref="AI743:BB743" si="1174">AI735-AI611</f>
        <v>-8.3404255319148888</v>
      </c>
      <c r="AJ743" s="43">
        <f t="shared" si="1174"/>
        <v>-24.518233688910939</v>
      </c>
      <c r="AK743" s="43">
        <f t="shared" si="1174"/>
        <v>0</v>
      </c>
      <c r="AL743" s="43">
        <f t="shared" si="1174"/>
        <v>0</v>
      </c>
      <c r="AM743" s="43">
        <f t="shared" si="1174"/>
        <v>-14.672561155319777</v>
      </c>
      <c r="AN743" s="43">
        <f t="shared" si="1174"/>
        <v>-10.881188118811885</v>
      </c>
      <c r="AO743" s="43">
        <f t="shared" si="1174"/>
        <v>0</v>
      </c>
      <c r="AP743" s="43">
        <f t="shared" si="1174"/>
        <v>0</v>
      </c>
      <c r="AQ743" s="43">
        <f t="shared" si="1174"/>
        <v>-20.94591359233867</v>
      </c>
      <c r="AR743" s="43">
        <f t="shared" si="1174"/>
        <v>-17.401971767869142</v>
      </c>
      <c r="AS743" s="43">
        <f t="shared" si="1174"/>
        <v>0</v>
      </c>
      <c r="AT743" s="43">
        <f t="shared" si="1174"/>
        <v>-5.5484784147204564</v>
      </c>
      <c r="AU743" s="43">
        <f t="shared" si="1174"/>
        <v>-8.6179441473559137</v>
      </c>
      <c r="AV743" s="43">
        <f t="shared" si="1174"/>
        <v>-8.7796841489569104</v>
      </c>
      <c r="AW743" s="43">
        <f t="shared" si="1174"/>
        <v>0</v>
      </c>
      <c r="AX743" s="43">
        <f t="shared" si="1174"/>
        <v>-4.1273128969897819</v>
      </c>
      <c r="AY743" s="43">
        <f t="shared" si="1174"/>
        <v>-7.5550381580649315</v>
      </c>
      <c r="AZ743" s="43">
        <f t="shared" si="1174"/>
        <v>-7.8133300741465028</v>
      </c>
      <c r="BA743" s="43">
        <f t="shared" si="1174"/>
        <v>0</v>
      </c>
      <c r="BB743" s="43">
        <f t="shared" si="1174"/>
        <v>0</v>
      </c>
      <c r="BC743" s="132">
        <f t="shared" si="1137"/>
        <v>-418.04920950238437</v>
      </c>
    </row>
    <row r="744" spans="2:55" x14ac:dyDescent="0.25">
      <c r="B744" s="43" t="str">
        <f t="shared" si="1170"/>
        <v>Product C Overall Loss Labor Hours</v>
      </c>
      <c r="C744" s="43">
        <f t="shared" ref="C744:AH744" si="1175">C736-C612</f>
        <v>-17.966401414677271</v>
      </c>
      <c r="D744" s="43">
        <f t="shared" si="1175"/>
        <v>-9.4747760490334798</v>
      </c>
      <c r="E744" s="43">
        <f t="shared" si="1175"/>
        <v>-8.0540644912145183</v>
      </c>
      <c r="F744" s="43">
        <f t="shared" si="1175"/>
        <v>0</v>
      </c>
      <c r="G744" s="43">
        <f t="shared" si="1175"/>
        <v>-25.648057460006534</v>
      </c>
      <c r="H744" s="43">
        <f t="shared" si="1175"/>
        <v>-15.152737321681983</v>
      </c>
      <c r="I744" s="43">
        <f t="shared" si="1175"/>
        <v>-14.579004095710282</v>
      </c>
      <c r="J744" s="43">
        <f t="shared" si="1175"/>
        <v>0</v>
      </c>
      <c r="K744" s="43">
        <f t="shared" si="1175"/>
        <v>-9.2510671323244082</v>
      </c>
      <c r="L744" s="43">
        <f t="shared" si="1175"/>
        <v>-21.349210286942856</v>
      </c>
      <c r="M744" s="43">
        <f t="shared" si="1175"/>
        <v>-21.004991680532441</v>
      </c>
      <c r="N744" s="43">
        <f t="shared" si="1175"/>
        <v>0</v>
      </c>
      <c r="O744" s="43">
        <f t="shared" si="1175"/>
        <v>-17.966401414677271</v>
      </c>
      <c r="P744" s="43">
        <f t="shared" si="1175"/>
        <v>-9.4747760490334798</v>
      </c>
      <c r="Q744" s="43">
        <f t="shared" si="1175"/>
        <v>-7.9244846850317856</v>
      </c>
      <c r="R744" s="43">
        <f t="shared" si="1175"/>
        <v>0</v>
      </c>
      <c r="S744" s="43">
        <f t="shared" si="1175"/>
        <v>-25.648057460006534</v>
      </c>
      <c r="T744" s="43">
        <f t="shared" si="1175"/>
        <v>-15.204604918890638</v>
      </c>
      <c r="U744" s="43">
        <f t="shared" si="1175"/>
        <v>-14.579004095710282</v>
      </c>
      <c r="V744" s="43">
        <f t="shared" si="1175"/>
        <v>0</v>
      </c>
      <c r="W744" s="43">
        <f t="shared" si="1175"/>
        <v>-10.212765957446805</v>
      </c>
      <c r="X744" s="43">
        <f t="shared" si="1175"/>
        <v>-21.349210286942856</v>
      </c>
      <c r="Y744" s="43">
        <f t="shared" si="1175"/>
        <v>-20.808722446077269</v>
      </c>
      <c r="Z744" s="43">
        <f t="shared" si="1175"/>
        <v>0</v>
      </c>
      <c r="AA744" s="43">
        <f t="shared" si="1175"/>
        <v>-17.966401414677271</v>
      </c>
      <c r="AB744" s="43">
        <f t="shared" si="1175"/>
        <v>-9.4116380760174962</v>
      </c>
      <c r="AC744" s="43">
        <f t="shared" si="1175"/>
        <v>-8.0540644912145183</v>
      </c>
      <c r="AD744" s="43">
        <f t="shared" si="1175"/>
        <v>0</v>
      </c>
      <c r="AE744" s="43">
        <f t="shared" si="1175"/>
        <v>-25.648057460006534</v>
      </c>
      <c r="AF744" s="43">
        <f t="shared" si="1175"/>
        <v>-15.152737321681983</v>
      </c>
      <c r="AG744" s="43">
        <f t="shared" si="1175"/>
        <v>-14.579004095710282</v>
      </c>
      <c r="AH744" s="43">
        <f t="shared" si="1175"/>
        <v>0</v>
      </c>
      <c r="AI744" s="43">
        <f t="shared" ref="AI744:BB744" si="1176">AI736-AI612</f>
        <v>-10.212765957446805</v>
      </c>
      <c r="AJ744" s="43">
        <f t="shared" si="1176"/>
        <v>-21.349210286942856</v>
      </c>
      <c r="AK744" s="43">
        <f t="shared" si="1176"/>
        <v>-20.808722446077269</v>
      </c>
      <c r="AL744" s="43">
        <f t="shared" si="1176"/>
        <v>0</v>
      </c>
      <c r="AM744" s="43">
        <f t="shared" si="1176"/>
        <v>-17.966401414677271</v>
      </c>
      <c r="AN744" s="43">
        <f t="shared" si="1176"/>
        <v>-9.4747760490334798</v>
      </c>
      <c r="AO744" s="43">
        <f t="shared" si="1176"/>
        <v>-7.9244846850317856</v>
      </c>
      <c r="AP744" s="43">
        <f t="shared" si="1176"/>
        <v>0</v>
      </c>
      <c r="AQ744" s="43">
        <f t="shared" si="1176"/>
        <v>-25.648057460006534</v>
      </c>
      <c r="AR744" s="43">
        <f t="shared" si="1176"/>
        <v>-15.152737321681983</v>
      </c>
      <c r="AS744" s="43">
        <f t="shared" si="1176"/>
        <v>-9.0453920220082509</v>
      </c>
      <c r="AT744" s="43">
        <f t="shared" si="1176"/>
        <v>0</v>
      </c>
      <c r="AU744" s="43">
        <f t="shared" si="1176"/>
        <v>-10.552584670231724</v>
      </c>
      <c r="AV744" s="43">
        <f t="shared" si="1176"/>
        <v>-7.6448950412686045</v>
      </c>
      <c r="AW744" s="43">
        <f t="shared" si="1176"/>
        <v>-14.579004095710282</v>
      </c>
      <c r="AX744" s="43">
        <f t="shared" si="1176"/>
        <v>0</v>
      </c>
      <c r="AY744" s="43">
        <f t="shared" si="1176"/>
        <v>-9.2510671323244082</v>
      </c>
      <c r="AZ744" s="43">
        <f t="shared" si="1176"/>
        <v>-20.410331622260252</v>
      </c>
      <c r="BA744" s="43">
        <f t="shared" si="1176"/>
        <v>-20.808722446077269</v>
      </c>
      <c r="BB744" s="43">
        <f t="shared" si="1176"/>
        <v>0</v>
      </c>
      <c r="BC744" s="132">
        <f t="shared" si="1137"/>
        <v>-597.28939275602738</v>
      </c>
    </row>
    <row r="745" spans="2:55" x14ac:dyDescent="0.25">
      <c r="B745" s="43" t="str">
        <f t="shared" si="1170"/>
        <v>Product D Overall Loss Labor Hours</v>
      </c>
      <c r="C745" s="43">
        <f t="shared" ref="C745:AH745" si="1177">C737-C613</f>
        <v>-26.762452107279699</v>
      </c>
      <c r="D745" s="43">
        <f t="shared" si="1177"/>
        <v>-13.570642778563567</v>
      </c>
      <c r="E745" s="43">
        <f t="shared" si="1177"/>
        <v>-8.2032138336444191</v>
      </c>
      <c r="F745" s="43">
        <f t="shared" si="1177"/>
        <v>-30.467625899280577</v>
      </c>
      <c r="G745" s="43">
        <f t="shared" si="1177"/>
        <v>-26.44955925563174</v>
      </c>
      <c r="H745" s="43">
        <f t="shared" si="1177"/>
        <v>-21.703139393034078</v>
      </c>
      <c r="I745" s="43">
        <f t="shared" si="1177"/>
        <v>-14.848985653038255</v>
      </c>
      <c r="J745" s="43">
        <f t="shared" si="1177"/>
        <v>-13.898094449047221</v>
      </c>
      <c r="K745" s="43">
        <f t="shared" si="1177"/>
        <v>-13.780235415858229</v>
      </c>
      <c r="L745" s="43">
        <f t="shared" si="1177"/>
        <v>-30.578295983902535</v>
      </c>
      <c r="M745" s="43">
        <f t="shared" si="1177"/>
        <v>-21.393973007949711</v>
      </c>
      <c r="N745" s="43">
        <f t="shared" si="1177"/>
        <v>-21.39871382636656</v>
      </c>
      <c r="O745" s="43">
        <f t="shared" si="1177"/>
        <v>-26.762452107279699</v>
      </c>
      <c r="P745" s="43">
        <f t="shared" si="1177"/>
        <v>-13.570642778563567</v>
      </c>
      <c r="Q745" s="43">
        <f t="shared" si="1177"/>
        <v>-8.0712344014212647</v>
      </c>
      <c r="R745" s="43">
        <f t="shared" si="1177"/>
        <v>-28.284927391086626</v>
      </c>
      <c r="S745" s="43">
        <f t="shared" si="1177"/>
        <v>-26.44955925563174</v>
      </c>
      <c r="T745" s="43">
        <f t="shared" si="1177"/>
        <v>-17.421943136228847</v>
      </c>
      <c r="U745" s="43">
        <f t="shared" si="1177"/>
        <v>-14.848985653038255</v>
      </c>
      <c r="V745" s="43">
        <f t="shared" si="1177"/>
        <v>-14.242298084929232</v>
      </c>
      <c r="W745" s="43">
        <f t="shared" si="1177"/>
        <v>-15.212765957446805</v>
      </c>
      <c r="X745" s="43">
        <f t="shared" si="1177"/>
        <v>-30.578295983902535</v>
      </c>
      <c r="Y745" s="43">
        <f t="shared" si="1177"/>
        <v>-21.194069158041671</v>
      </c>
      <c r="Z745" s="43">
        <f t="shared" si="1177"/>
        <v>-17.19440581053933</v>
      </c>
      <c r="AA745" s="43">
        <f t="shared" si="1177"/>
        <v>-26.762452107279699</v>
      </c>
      <c r="AB745" s="43">
        <f t="shared" si="1177"/>
        <v>-13.480210785962555</v>
      </c>
      <c r="AC745" s="43">
        <f t="shared" si="1177"/>
        <v>-8.2032138336444191</v>
      </c>
      <c r="AD745" s="43">
        <f t="shared" si="1177"/>
        <v>-30.204918032786878</v>
      </c>
      <c r="AE745" s="43">
        <f t="shared" si="1177"/>
        <v>-26.44955925563174</v>
      </c>
      <c r="AF745" s="43">
        <f t="shared" si="1177"/>
        <v>-21.703139393034078</v>
      </c>
      <c r="AG745" s="43">
        <f t="shared" si="1177"/>
        <v>-14.848985653038255</v>
      </c>
      <c r="AH745" s="43">
        <f t="shared" si="1177"/>
        <v>-14.242298084929232</v>
      </c>
      <c r="AI745" s="43">
        <f t="shared" ref="AI745:BB745" si="1178">AI737-AI613</f>
        <v>-15.212765957446805</v>
      </c>
      <c r="AJ745" s="43">
        <f t="shared" si="1178"/>
        <v>-30.578295983902535</v>
      </c>
      <c r="AK745" s="43">
        <f t="shared" si="1178"/>
        <v>-21.194069158041671</v>
      </c>
      <c r="AL745" s="43">
        <f t="shared" si="1178"/>
        <v>-17.19440581053933</v>
      </c>
      <c r="AM745" s="43">
        <f t="shared" si="1178"/>
        <v>-26.762452107279699</v>
      </c>
      <c r="AN745" s="43">
        <f t="shared" si="1178"/>
        <v>-13.570642778563567</v>
      </c>
      <c r="AO745" s="43">
        <f t="shared" si="1178"/>
        <v>-8.0712344014212647</v>
      </c>
      <c r="AP745" s="43">
        <f t="shared" si="1178"/>
        <v>-30.204918032786878</v>
      </c>
      <c r="AQ745" s="43">
        <f t="shared" si="1178"/>
        <v>-26.44955925563174</v>
      </c>
      <c r="AR745" s="43">
        <f t="shared" si="1178"/>
        <v>-21.703139393034078</v>
      </c>
      <c r="AS745" s="43">
        <f t="shared" si="1178"/>
        <v>-9.2128992816750781</v>
      </c>
      <c r="AT745" s="43">
        <f t="shared" si="1178"/>
        <v>-11.210191082802552</v>
      </c>
      <c r="AU745" s="43">
        <f t="shared" si="1178"/>
        <v>-15.718954248366018</v>
      </c>
      <c r="AV745" s="43">
        <f t="shared" si="1178"/>
        <v>-10.949719460150334</v>
      </c>
      <c r="AW745" s="43">
        <f t="shared" si="1178"/>
        <v>-14.848985653038255</v>
      </c>
      <c r="AX745" s="43">
        <f t="shared" si="1178"/>
        <v>-13.898094449047221</v>
      </c>
      <c r="AY745" s="43">
        <f t="shared" si="1178"/>
        <v>-13.780235415858229</v>
      </c>
      <c r="AZ745" s="43">
        <f t="shared" si="1178"/>
        <v>-29.23354789646649</v>
      </c>
      <c r="BA745" s="43">
        <f t="shared" si="1178"/>
        <v>-21.194069158041671</v>
      </c>
      <c r="BB745" s="43">
        <f t="shared" si="1178"/>
        <v>-17.19440581053933</v>
      </c>
      <c r="BC745" s="132">
        <f t="shared" si="1137"/>
        <v>-1000.9638738026456</v>
      </c>
    </row>
    <row r="746" spans="2:55" x14ac:dyDescent="0.25">
      <c r="B746" s="43" t="str">
        <f t="shared" si="1170"/>
        <v>Product E Overall Loss Labor Hours</v>
      </c>
      <c r="C746" s="43">
        <f t="shared" ref="C746:AH746" si="1179">C738-C614</f>
        <v>-10.106100795755971</v>
      </c>
      <c r="D746" s="43">
        <f t="shared" si="1179"/>
        <v>-17.321074964639323</v>
      </c>
      <c r="E746" s="43">
        <f t="shared" si="1179"/>
        <v>-10.067580614018155</v>
      </c>
      <c r="F746" s="43">
        <f t="shared" si="1179"/>
        <v>-26.589928057553962</v>
      </c>
      <c r="G746" s="43">
        <f t="shared" si="1179"/>
        <v>-14.42703232125367</v>
      </c>
      <c r="H746" s="43">
        <f t="shared" si="1179"/>
        <v>-23.439390544476808</v>
      </c>
      <c r="I746" s="43">
        <f t="shared" si="1179"/>
        <v>-18.223755119637858</v>
      </c>
      <c r="J746" s="43">
        <f t="shared" si="1179"/>
        <v>-12.129246064623032</v>
      </c>
      <c r="K746" s="43">
        <f t="shared" si="1179"/>
        <v>-5.2037252619324761</v>
      </c>
      <c r="L746" s="43">
        <f t="shared" si="1179"/>
        <v>-21.015628876209377</v>
      </c>
      <c r="M746" s="43">
        <f t="shared" si="1179"/>
        <v>-15.753743760399338</v>
      </c>
      <c r="N746" s="43">
        <f t="shared" si="1179"/>
        <v>-18.675241157556272</v>
      </c>
      <c r="O746" s="43">
        <f t="shared" si="1179"/>
        <v>-10.106100795755971</v>
      </c>
      <c r="P746" s="43">
        <f t="shared" si="1179"/>
        <v>-17.321074964639323</v>
      </c>
      <c r="Q746" s="43">
        <f t="shared" si="1179"/>
        <v>-9.9056058562897391</v>
      </c>
      <c r="R746" s="43">
        <f t="shared" si="1179"/>
        <v>-24.685027541311968</v>
      </c>
      <c r="S746" s="43">
        <f t="shared" si="1179"/>
        <v>-14.42703232125367</v>
      </c>
      <c r="T746" s="43">
        <f t="shared" si="1179"/>
        <v>-27.795918367346943</v>
      </c>
      <c r="U746" s="43">
        <f t="shared" si="1179"/>
        <v>-18.223755119637858</v>
      </c>
      <c r="V746" s="43">
        <f t="shared" si="1179"/>
        <v>-12.429641965029141</v>
      </c>
      <c r="W746" s="43">
        <f t="shared" si="1179"/>
        <v>-5.7446808510638263</v>
      </c>
      <c r="X746" s="43">
        <f t="shared" si="1179"/>
        <v>-21.015628876209377</v>
      </c>
      <c r="Y746" s="43">
        <f t="shared" si="1179"/>
        <v>-26.010903057596593</v>
      </c>
      <c r="Z746" s="43">
        <f t="shared" si="1179"/>
        <v>-19.293463143254513</v>
      </c>
      <c r="AA746" s="43">
        <f t="shared" si="1179"/>
        <v>-10.106100795755971</v>
      </c>
      <c r="AB746" s="43">
        <f t="shared" si="1179"/>
        <v>-17.205650857719476</v>
      </c>
      <c r="AC746" s="43">
        <f t="shared" si="1179"/>
        <v>-10.067580614018155</v>
      </c>
      <c r="AD746" s="43">
        <f t="shared" si="1179"/>
        <v>-26.360655737704917</v>
      </c>
      <c r="AE746" s="43">
        <f t="shared" si="1179"/>
        <v>-14.42703232125367</v>
      </c>
      <c r="AF746" s="43">
        <f t="shared" si="1179"/>
        <v>-23.439390544476808</v>
      </c>
      <c r="AG746" s="43">
        <f t="shared" si="1179"/>
        <v>-18.223755119637858</v>
      </c>
      <c r="AH746" s="43">
        <f t="shared" si="1179"/>
        <v>-12.429641965029141</v>
      </c>
      <c r="AI746" s="43">
        <f t="shared" ref="AI746:BB746" si="1180">AI738-AI614</f>
        <v>-5.7446808510638263</v>
      </c>
      <c r="AJ746" s="43">
        <f t="shared" si="1180"/>
        <v>-21.015628876209377</v>
      </c>
      <c r="AK746" s="43">
        <f t="shared" si="1180"/>
        <v>-26.010903057596593</v>
      </c>
      <c r="AL746" s="43">
        <f t="shared" si="1180"/>
        <v>-19.293463143254513</v>
      </c>
      <c r="AM746" s="43">
        <f t="shared" si="1180"/>
        <v>-10.106100795755971</v>
      </c>
      <c r="AN746" s="43">
        <f t="shared" si="1180"/>
        <v>-17.321074964639323</v>
      </c>
      <c r="AO746" s="43">
        <f t="shared" si="1180"/>
        <v>-9.9056058562897391</v>
      </c>
      <c r="AP746" s="43">
        <f t="shared" si="1180"/>
        <v>-26.360655737704917</v>
      </c>
      <c r="AQ746" s="43">
        <f t="shared" si="1180"/>
        <v>-14.42703232125367</v>
      </c>
      <c r="AR746" s="43">
        <f t="shared" si="1180"/>
        <v>-23.439390544476808</v>
      </c>
      <c r="AS746" s="43">
        <f t="shared" si="1180"/>
        <v>-11.306740027510315</v>
      </c>
      <c r="AT746" s="43">
        <f t="shared" si="1180"/>
        <v>-9.7834394904458577</v>
      </c>
      <c r="AU746" s="43">
        <f t="shared" si="1180"/>
        <v>-5.9358288770053491</v>
      </c>
      <c r="AV746" s="43">
        <f t="shared" si="1180"/>
        <v>-13.975823747319168</v>
      </c>
      <c r="AW746" s="43">
        <f t="shared" si="1180"/>
        <v>-18.223755119637858</v>
      </c>
      <c r="AX746" s="43">
        <f t="shared" si="1180"/>
        <v>-12.129246064623032</v>
      </c>
      <c r="AY746" s="43">
        <f t="shared" si="1180"/>
        <v>-5.2037252619324761</v>
      </c>
      <c r="AZ746" s="43">
        <f t="shared" si="1180"/>
        <v>-37.312637496944518</v>
      </c>
      <c r="BA746" s="43">
        <f t="shared" si="1180"/>
        <v>-26.010903057596593</v>
      </c>
      <c r="BB746" s="43">
        <f t="shared" si="1180"/>
        <v>-19.293463143254513</v>
      </c>
      <c r="BC746" s="132">
        <f t="shared" si="1137"/>
        <v>-864.97118678755555</v>
      </c>
    </row>
    <row r="747" spans="2:55" x14ac:dyDescent="0.25">
      <c r="B747" s="43" t="str">
        <f t="shared" si="1170"/>
        <v>Product F Overall Loss Labor Hours</v>
      </c>
      <c r="C747" s="43">
        <f t="shared" ref="C747:AH747" si="1181">C739-C615</f>
        <v>0</v>
      </c>
      <c r="D747" s="43">
        <f t="shared" si="1181"/>
        <v>-6.4768976897689789</v>
      </c>
      <c r="E747" s="43">
        <f t="shared" si="1181"/>
        <v>-12.724303276050719</v>
      </c>
      <c r="F747" s="43">
        <f t="shared" si="1181"/>
        <v>0</v>
      </c>
      <c r="G747" s="43">
        <f t="shared" si="1181"/>
        <v>0</v>
      </c>
      <c r="H747" s="43">
        <f t="shared" si="1181"/>
        <v>-10.358316528493535</v>
      </c>
      <c r="I747" s="43">
        <f t="shared" si="1181"/>
        <v>-23.03280160954229</v>
      </c>
      <c r="J747" s="43">
        <f t="shared" si="1181"/>
        <v>-14.740403203534932</v>
      </c>
      <c r="K747" s="43">
        <f t="shared" si="1181"/>
        <v>-6.0710128055878911</v>
      </c>
      <c r="L747" s="43">
        <f t="shared" si="1181"/>
        <v>-14.594186719589846</v>
      </c>
      <c r="M747" s="43">
        <f t="shared" si="1181"/>
        <v>-33.184969495285642</v>
      </c>
      <c r="N747" s="43">
        <f t="shared" si="1181"/>
        <v>-22.69560557341908</v>
      </c>
      <c r="O747" s="43">
        <f t="shared" si="1181"/>
        <v>0</v>
      </c>
      <c r="P747" s="43">
        <f t="shared" si="1181"/>
        <v>-6.4768976897689789</v>
      </c>
      <c r="Q747" s="43">
        <f t="shared" si="1181"/>
        <v>-12.519585179477303</v>
      </c>
      <c r="R747" s="43">
        <f t="shared" si="1181"/>
        <v>-29.999165414788841</v>
      </c>
      <c r="S747" s="43">
        <f t="shared" si="1181"/>
        <v>0</v>
      </c>
      <c r="T747" s="43">
        <f t="shared" si="1181"/>
        <v>-10.393772893772894</v>
      </c>
      <c r="U747" s="43">
        <f t="shared" si="1181"/>
        <v>-23.03280160954229</v>
      </c>
      <c r="V747" s="43">
        <f t="shared" si="1181"/>
        <v>-15.10546766583402</v>
      </c>
      <c r="W747" s="43">
        <f t="shared" si="1181"/>
        <v>0</v>
      </c>
      <c r="X747" s="43">
        <f t="shared" si="1181"/>
        <v>-14.594186719589846</v>
      </c>
      <c r="Y747" s="43">
        <f t="shared" si="1181"/>
        <v>-22.759540175397007</v>
      </c>
      <c r="Z747" s="43">
        <f t="shared" si="1181"/>
        <v>-23.446917014371813</v>
      </c>
      <c r="AA747" s="43">
        <f t="shared" si="1181"/>
        <v>0</v>
      </c>
      <c r="AB747" s="43">
        <f t="shared" si="1181"/>
        <v>-6.4337369660275776</v>
      </c>
      <c r="AC747" s="43">
        <f t="shared" si="1181"/>
        <v>-12.724303276050719</v>
      </c>
      <c r="AD747" s="43">
        <f t="shared" si="1181"/>
        <v>-12.814207650273229</v>
      </c>
      <c r="AE747" s="43">
        <f t="shared" si="1181"/>
        <v>0</v>
      </c>
      <c r="AF747" s="43">
        <f t="shared" si="1181"/>
        <v>-10.358316528493535</v>
      </c>
      <c r="AG747" s="43">
        <f t="shared" si="1181"/>
        <v>-23.03280160954229</v>
      </c>
      <c r="AH747" s="43">
        <f t="shared" si="1181"/>
        <v>-15.10546766583402</v>
      </c>
      <c r="AI747" s="43">
        <f t="shared" ref="AI747:BB747" si="1182">AI739-AI615</f>
        <v>0</v>
      </c>
      <c r="AJ747" s="43">
        <f t="shared" si="1182"/>
        <v>-14.594186719589846</v>
      </c>
      <c r="AK747" s="43">
        <f t="shared" si="1182"/>
        <v>-22.759540175397007</v>
      </c>
      <c r="AL747" s="43">
        <f t="shared" si="1182"/>
        <v>-23.446917014371813</v>
      </c>
      <c r="AM747" s="43">
        <f t="shared" si="1182"/>
        <v>0</v>
      </c>
      <c r="AN747" s="43">
        <f t="shared" si="1182"/>
        <v>-6.4768976897689789</v>
      </c>
      <c r="AO747" s="43">
        <f t="shared" si="1182"/>
        <v>-12.519585179477303</v>
      </c>
      <c r="AP747" s="43">
        <f t="shared" si="1182"/>
        <v>-12.814207650273229</v>
      </c>
      <c r="AQ747" s="43">
        <f t="shared" si="1182"/>
        <v>0</v>
      </c>
      <c r="AR747" s="43">
        <f t="shared" si="1182"/>
        <v>-10.358316528493535</v>
      </c>
      <c r="AS747" s="43">
        <f t="shared" si="1182"/>
        <v>-14.290463090325545</v>
      </c>
      <c r="AT747" s="43">
        <f t="shared" si="1182"/>
        <v>-11.889596602972397</v>
      </c>
      <c r="AU747" s="43">
        <f t="shared" si="1182"/>
        <v>-5.7709447415329755</v>
      </c>
      <c r="AV747" s="43">
        <f t="shared" si="1182"/>
        <v>-5.2260024696172103</v>
      </c>
      <c r="AW747" s="43">
        <f t="shared" si="1182"/>
        <v>-23.03280160954229</v>
      </c>
      <c r="AX747" s="43">
        <f t="shared" si="1182"/>
        <v>-14.740403203534932</v>
      </c>
      <c r="AY747" s="43">
        <f t="shared" si="1182"/>
        <v>-6.0710128055878911</v>
      </c>
      <c r="AZ747" s="43">
        <f t="shared" si="1182"/>
        <v>-13.952375132404466</v>
      </c>
      <c r="BA747" s="43">
        <f t="shared" si="1182"/>
        <v>-22.759540175397007</v>
      </c>
      <c r="BB747" s="43">
        <f t="shared" si="1182"/>
        <v>-23.446917014371813</v>
      </c>
      <c r="BC747" s="132">
        <f t="shared" si="1137"/>
        <v>-626.82537276269557</v>
      </c>
    </row>
    <row r="748" spans="2:55" x14ac:dyDescent="0.25">
      <c r="B748" s="43" t="str">
        <f t="shared" si="1170"/>
        <v>Product G Overall Loss Labor Hours</v>
      </c>
      <c r="C748" s="43">
        <f t="shared" ref="C748:AH748" si="1183">C740-C616</f>
        <v>0</v>
      </c>
      <c r="D748" s="43">
        <f t="shared" si="1183"/>
        <v>-3.3309759547383315</v>
      </c>
      <c r="E748" s="43">
        <f t="shared" si="1183"/>
        <v>-5.0337903070090775</v>
      </c>
      <c r="F748" s="43">
        <f t="shared" si="1183"/>
        <v>-30.467625899280577</v>
      </c>
      <c r="G748" s="43">
        <f t="shared" si="1183"/>
        <v>0</v>
      </c>
      <c r="H748" s="43">
        <f t="shared" si="1183"/>
        <v>0</v>
      </c>
      <c r="I748" s="43">
        <f t="shared" si="1183"/>
        <v>-7.5932312998491085</v>
      </c>
      <c r="J748" s="43">
        <f t="shared" si="1183"/>
        <v>-16.42502071251036</v>
      </c>
      <c r="K748" s="43">
        <f t="shared" si="1183"/>
        <v>0</v>
      </c>
      <c r="L748" s="43">
        <f t="shared" si="1183"/>
        <v>0</v>
      </c>
      <c r="M748" s="43">
        <f t="shared" si="1183"/>
        <v>-10.940099833610645</v>
      </c>
      <c r="N748" s="43">
        <f t="shared" si="1183"/>
        <v>-21.39871382636656</v>
      </c>
      <c r="O748" s="43">
        <f t="shared" si="1183"/>
        <v>0</v>
      </c>
      <c r="P748" s="43">
        <f t="shared" si="1183"/>
        <v>0</v>
      </c>
      <c r="Q748" s="43">
        <f t="shared" si="1183"/>
        <v>-4.1273357734540568</v>
      </c>
      <c r="R748" s="43">
        <f t="shared" si="1183"/>
        <v>-17.999499248873313</v>
      </c>
      <c r="S748" s="43">
        <f t="shared" si="1183"/>
        <v>0</v>
      </c>
      <c r="T748" s="43">
        <f t="shared" si="1183"/>
        <v>0</v>
      </c>
      <c r="U748" s="43">
        <f t="shared" si="1183"/>
        <v>-7.5932312998491085</v>
      </c>
      <c r="V748" s="43">
        <f t="shared" si="1183"/>
        <v>-16.831806827643632</v>
      </c>
      <c r="W748" s="43">
        <f t="shared" si="1183"/>
        <v>0</v>
      </c>
      <c r="X748" s="43">
        <f t="shared" si="1183"/>
        <v>0</v>
      </c>
      <c r="Y748" s="43">
        <f t="shared" si="1183"/>
        <v>-10.837876273998575</v>
      </c>
      <c r="Z748" s="43">
        <f t="shared" si="1183"/>
        <v>-26.126564673157162</v>
      </c>
      <c r="AA748" s="43">
        <f t="shared" si="1183"/>
        <v>0</v>
      </c>
      <c r="AB748" s="43">
        <f t="shared" si="1183"/>
        <v>0</v>
      </c>
      <c r="AC748" s="43">
        <f t="shared" si="1183"/>
        <v>-4.1948252558408967</v>
      </c>
      <c r="AD748" s="43">
        <f t="shared" si="1183"/>
        <v>-35.696721311475414</v>
      </c>
      <c r="AE748" s="43">
        <f t="shared" si="1183"/>
        <v>0</v>
      </c>
      <c r="AF748" s="43">
        <f t="shared" si="1183"/>
        <v>0</v>
      </c>
      <c r="AG748" s="43">
        <f t="shared" si="1183"/>
        <v>-7.5932312998491085</v>
      </c>
      <c r="AH748" s="43">
        <f t="shared" si="1183"/>
        <v>-16.831806827643632</v>
      </c>
      <c r="AI748" s="43">
        <f t="shared" ref="AI748:BB748" si="1184">AI740-AI616</f>
        <v>0</v>
      </c>
      <c r="AJ748" s="43">
        <f t="shared" si="1184"/>
        <v>0</v>
      </c>
      <c r="AK748" s="43">
        <f t="shared" si="1184"/>
        <v>-10.837876273998575</v>
      </c>
      <c r="AL748" s="43">
        <f t="shared" si="1184"/>
        <v>-26.126564673157162</v>
      </c>
      <c r="AM748" s="43">
        <f t="shared" si="1184"/>
        <v>0</v>
      </c>
      <c r="AN748" s="43">
        <f t="shared" si="1184"/>
        <v>0</v>
      </c>
      <c r="AO748" s="43">
        <f t="shared" si="1184"/>
        <v>-4.1273357734540568</v>
      </c>
      <c r="AP748" s="43">
        <f t="shared" si="1184"/>
        <v>-35.696721311475414</v>
      </c>
      <c r="AQ748" s="43">
        <f t="shared" si="1184"/>
        <v>0</v>
      </c>
      <c r="AR748" s="43">
        <f t="shared" si="1184"/>
        <v>0</v>
      </c>
      <c r="AS748" s="43">
        <f t="shared" si="1184"/>
        <v>-4.7111416781292981</v>
      </c>
      <c r="AT748" s="43">
        <f t="shared" si="1184"/>
        <v>-13.248407643312106</v>
      </c>
      <c r="AU748" s="43">
        <f t="shared" si="1184"/>
        <v>0</v>
      </c>
      <c r="AV748" s="43">
        <f t="shared" si="1184"/>
        <v>0</v>
      </c>
      <c r="AW748" s="43">
        <f t="shared" si="1184"/>
        <v>-7.5932312998491085</v>
      </c>
      <c r="AX748" s="43">
        <f t="shared" si="1184"/>
        <v>-16.42502071251036</v>
      </c>
      <c r="AY748" s="43">
        <f t="shared" si="1184"/>
        <v>0</v>
      </c>
      <c r="AZ748" s="43">
        <f t="shared" si="1184"/>
        <v>0</v>
      </c>
      <c r="BA748" s="43">
        <f t="shared" si="1184"/>
        <v>-10.837876273998575</v>
      </c>
      <c r="BB748" s="43">
        <f t="shared" si="1184"/>
        <v>-26.126564673157162</v>
      </c>
      <c r="BC748" s="132">
        <f t="shared" si="1137"/>
        <v>-398.75309693819122</v>
      </c>
    </row>
    <row r="749" spans="2:55" x14ac:dyDescent="0.25">
      <c r="B749" s="43" t="str">
        <f t="shared" si="1170"/>
        <v>Product H Overall Loss Labor Hours</v>
      </c>
      <c r="C749" s="43">
        <f t="shared" ref="C749:AH749" si="1185">C741-C617</f>
        <v>0</v>
      </c>
      <c r="D749" s="43">
        <f t="shared" si="1185"/>
        <v>0</v>
      </c>
      <c r="E749" s="43">
        <f t="shared" si="1185"/>
        <v>0</v>
      </c>
      <c r="F749" s="43">
        <f t="shared" si="1185"/>
        <v>-14.156674660271783</v>
      </c>
      <c r="G749" s="43">
        <f t="shared" si="1185"/>
        <v>0</v>
      </c>
      <c r="H749" s="43">
        <f t="shared" si="1185"/>
        <v>0</v>
      </c>
      <c r="I749" s="43">
        <f t="shared" si="1185"/>
        <v>0</v>
      </c>
      <c r="J749" s="43">
        <f t="shared" si="1185"/>
        <v>-6.4577004510724478</v>
      </c>
      <c r="K749" s="43">
        <f t="shared" si="1185"/>
        <v>0</v>
      </c>
      <c r="L749" s="43">
        <f t="shared" si="1185"/>
        <v>0</v>
      </c>
      <c r="M749" s="43">
        <f t="shared" si="1185"/>
        <v>0</v>
      </c>
      <c r="N749" s="43">
        <f t="shared" si="1185"/>
        <v>-9.9428367274026428</v>
      </c>
      <c r="O749" s="43">
        <f t="shared" si="1185"/>
        <v>0</v>
      </c>
      <c r="P749" s="43">
        <f t="shared" si="1185"/>
        <v>0</v>
      </c>
      <c r="Q749" s="43">
        <f t="shared" si="1185"/>
        <v>-5.0628652154369718</v>
      </c>
      <c r="R749" s="43">
        <f t="shared" si="1185"/>
        <v>-13.142491515050352</v>
      </c>
      <c r="S749" s="43">
        <f t="shared" si="1185"/>
        <v>0</v>
      </c>
      <c r="T749" s="43">
        <f t="shared" si="1185"/>
        <v>0</v>
      </c>
      <c r="U749" s="43">
        <f t="shared" si="1185"/>
        <v>0</v>
      </c>
      <c r="V749" s="43">
        <f t="shared" si="1185"/>
        <v>-6.6176334536034744</v>
      </c>
      <c r="W749" s="43">
        <f t="shared" si="1185"/>
        <v>-5.8723404255319096</v>
      </c>
      <c r="X749" s="43">
        <f t="shared" si="1185"/>
        <v>0</v>
      </c>
      <c r="Y749" s="43">
        <f t="shared" si="1185"/>
        <v>0</v>
      </c>
      <c r="Z749" s="43">
        <f t="shared" si="1185"/>
        <v>-10.271982692010504</v>
      </c>
      <c r="AA749" s="43">
        <f t="shared" si="1185"/>
        <v>0</v>
      </c>
      <c r="AB749" s="43">
        <f t="shared" si="1185"/>
        <v>-3.3823074335687835</v>
      </c>
      <c r="AC749" s="43">
        <f t="shared" si="1185"/>
        <v>0</v>
      </c>
      <c r="AD749" s="43">
        <f t="shared" si="1185"/>
        <v>-14.034608378870672</v>
      </c>
      <c r="AE749" s="43">
        <f t="shared" si="1185"/>
        <v>0</v>
      </c>
      <c r="AF749" s="43">
        <f t="shared" si="1185"/>
        <v>0</v>
      </c>
      <c r="AG749" s="43">
        <f t="shared" si="1185"/>
        <v>0</v>
      </c>
      <c r="AH749" s="43">
        <f t="shared" si="1185"/>
        <v>-6.6176334536034744</v>
      </c>
      <c r="AI749" s="43">
        <f t="shared" ref="AI749:BB749" si="1186">AI741-AI617</f>
        <v>-5.8723404255319096</v>
      </c>
      <c r="AJ749" s="43">
        <f t="shared" si="1186"/>
        <v>0</v>
      </c>
      <c r="AK749" s="43">
        <f t="shared" si="1186"/>
        <v>0</v>
      </c>
      <c r="AL749" s="43">
        <f t="shared" si="1186"/>
        <v>-10.271982692010504</v>
      </c>
      <c r="AM749" s="43">
        <f t="shared" si="1186"/>
        <v>0</v>
      </c>
      <c r="AN749" s="43">
        <f t="shared" si="1186"/>
        <v>0</v>
      </c>
      <c r="AO749" s="43">
        <f t="shared" si="1186"/>
        <v>-5.0628652154369718</v>
      </c>
      <c r="AP749" s="43">
        <f t="shared" si="1186"/>
        <v>-14.034608378870672</v>
      </c>
      <c r="AQ749" s="43">
        <f t="shared" si="1186"/>
        <v>0</v>
      </c>
      <c r="AR749" s="43">
        <f t="shared" si="1186"/>
        <v>0</v>
      </c>
      <c r="AS749" s="43">
        <f t="shared" si="1186"/>
        <v>0</v>
      </c>
      <c r="AT749" s="43">
        <f t="shared" si="1186"/>
        <v>-5.2087756546355273</v>
      </c>
      <c r="AU749" s="43">
        <f t="shared" si="1186"/>
        <v>0</v>
      </c>
      <c r="AV749" s="43">
        <f t="shared" si="1186"/>
        <v>0</v>
      </c>
      <c r="AW749" s="43">
        <f t="shared" si="1186"/>
        <v>0</v>
      </c>
      <c r="AX749" s="43">
        <f t="shared" si="1186"/>
        <v>-6.4577004510724478</v>
      </c>
      <c r="AY749" s="43">
        <f t="shared" si="1186"/>
        <v>0</v>
      </c>
      <c r="AZ749" s="43">
        <f t="shared" si="1186"/>
        <v>0</v>
      </c>
      <c r="BA749" s="43">
        <f t="shared" si="1186"/>
        <v>0</v>
      </c>
      <c r="BB749" s="43">
        <f t="shared" si="1186"/>
        <v>-10.271982692010504</v>
      </c>
      <c r="BC749" s="132">
        <f t="shared" si="1137"/>
        <v>-152.73932991599156</v>
      </c>
    </row>
    <row r="750" spans="2:55" x14ac:dyDescent="0.25">
      <c r="B750" s="131" t="s">
        <v>287</v>
      </c>
      <c r="C750" s="131">
        <f>IF(SUM(C742:C749)&lt;0,SUM(C742:C749)*(-1),0)</f>
        <v>84.666666666666657</v>
      </c>
      <c r="D750" s="131">
        <f t="shared" ref="D750:BB750" si="1187">IF(SUM(D742:D749)&lt;0,SUM(D742:D749)*(-1),0)</f>
        <v>61.055555555555571</v>
      </c>
      <c r="E750" s="131">
        <f t="shared" si="1187"/>
        <v>48.277777777777786</v>
      </c>
      <c r="F750" s="131">
        <f t="shared" si="1187"/>
        <v>119.7777777777778</v>
      </c>
      <c r="G750" s="131">
        <f t="shared" si="1187"/>
        <v>109.11111111111111</v>
      </c>
      <c r="H750" s="131">
        <f t="shared" si="1187"/>
        <v>88.055555555555543</v>
      </c>
      <c r="I750" s="131">
        <f t="shared" si="1187"/>
        <v>78.277777777777786</v>
      </c>
      <c r="J750" s="131">
        <f t="shared" si="1187"/>
        <v>67.777777777777771</v>
      </c>
      <c r="K750" s="131">
        <f t="shared" si="1187"/>
        <v>49.666666666666657</v>
      </c>
      <c r="L750" s="131">
        <f t="shared" si="1187"/>
        <v>112.05555555555556</v>
      </c>
      <c r="M750" s="131">
        <f t="shared" si="1187"/>
        <v>102.27777777777777</v>
      </c>
      <c r="N750" s="131">
        <f t="shared" si="1187"/>
        <v>94.111111111111114</v>
      </c>
      <c r="O750" s="131">
        <f t="shared" si="1187"/>
        <v>84.666666666666657</v>
      </c>
      <c r="P750" s="131">
        <f t="shared" si="1187"/>
        <v>61.055555555555557</v>
      </c>
      <c r="Q750" s="131">
        <f t="shared" si="1187"/>
        <v>47.611111111111121</v>
      </c>
      <c r="R750" s="131">
        <f t="shared" si="1187"/>
        <v>114.11111111111111</v>
      </c>
      <c r="S750" s="131">
        <f t="shared" si="1187"/>
        <v>109.11111111111111</v>
      </c>
      <c r="T750" s="131">
        <f t="shared" si="1187"/>
        <v>88.277777777777786</v>
      </c>
      <c r="U750" s="131">
        <f t="shared" si="1187"/>
        <v>78.277777777777786</v>
      </c>
      <c r="V750" s="131">
        <f t="shared" si="1187"/>
        <v>69.111111111111114</v>
      </c>
      <c r="W750" s="131">
        <f t="shared" si="1187"/>
        <v>53.999999999999979</v>
      </c>
      <c r="X750" s="131">
        <f t="shared" si="1187"/>
        <v>112.05555555555556</v>
      </c>
      <c r="Y750" s="131">
        <f t="shared" si="1187"/>
        <v>101.61111111111111</v>
      </c>
      <c r="Z750" s="131">
        <f t="shared" si="1187"/>
        <v>96.333333333333314</v>
      </c>
      <c r="AA750" s="131">
        <f t="shared" si="1187"/>
        <v>84.666666666666657</v>
      </c>
      <c r="AB750" s="131">
        <f t="shared" si="1187"/>
        <v>60.722222222222229</v>
      </c>
      <c r="AC750" s="131">
        <f t="shared" si="1187"/>
        <v>48.277777777777786</v>
      </c>
      <c r="AD750" s="131">
        <f t="shared" si="1187"/>
        <v>119.11111111111111</v>
      </c>
      <c r="AE750" s="131">
        <f t="shared" si="1187"/>
        <v>109.11111111111111</v>
      </c>
      <c r="AF750" s="131">
        <f t="shared" si="1187"/>
        <v>88.055555555555543</v>
      </c>
      <c r="AG750" s="131">
        <f t="shared" si="1187"/>
        <v>78.277777777777786</v>
      </c>
      <c r="AH750" s="131">
        <f t="shared" si="1187"/>
        <v>69.111111111111114</v>
      </c>
      <c r="AI750" s="131">
        <f t="shared" si="1187"/>
        <v>53.999999999999979</v>
      </c>
      <c r="AJ750" s="131">
        <f t="shared" si="1187"/>
        <v>112.05555555555556</v>
      </c>
      <c r="AK750" s="131">
        <f t="shared" si="1187"/>
        <v>101.61111111111111</v>
      </c>
      <c r="AL750" s="131">
        <f t="shared" si="1187"/>
        <v>96.333333333333314</v>
      </c>
      <c r="AM750" s="131">
        <f t="shared" si="1187"/>
        <v>84.666666666666657</v>
      </c>
      <c r="AN750" s="131">
        <f t="shared" si="1187"/>
        <v>61.055555555555557</v>
      </c>
      <c r="AO750" s="131">
        <f t="shared" si="1187"/>
        <v>47.611111111111121</v>
      </c>
      <c r="AP750" s="131">
        <f t="shared" si="1187"/>
        <v>119.11111111111111</v>
      </c>
      <c r="AQ750" s="131">
        <f t="shared" si="1187"/>
        <v>109.11111111111111</v>
      </c>
      <c r="AR750" s="131">
        <f t="shared" si="1187"/>
        <v>88.055555555555543</v>
      </c>
      <c r="AS750" s="131">
        <f t="shared" si="1187"/>
        <v>53.277777777777786</v>
      </c>
      <c r="AT750" s="131">
        <f t="shared" si="1187"/>
        <v>56.8888888888889</v>
      </c>
      <c r="AU750" s="131">
        <f t="shared" si="1187"/>
        <v>55.5</v>
      </c>
      <c r="AV750" s="131">
        <f t="shared" si="1187"/>
        <v>51.055555555555557</v>
      </c>
      <c r="AW750" s="131">
        <f t="shared" si="1187"/>
        <v>78.277777777777786</v>
      </c>
      <c r="AX750" s="131">
        <f t="shared" si="1187"/>
        <v>67.777777777777771</v>
      </c>
      <c r="AY750" s="131">
        <f t="shared" si="1187"/>
        <v>49.666666666666657</v>
      </c>
      <c r="AZ750" s="131">
        <f t="shared" si="1187"/>
        <v>108.72222222222223</v>
      </c>
      <c r="BA750" s="131">
        <f t="shared" si="1187"/>
        <v>101.61111111111111</v>
      </c>
      <c r="BB750" s="131">
        <f t="shared" si="1187"/>
        <v>96.333333333333314</v>
      </c>
      <c r="BC750" s="133">
        <f t="shared" si="1137"/>
        <v>4281.3888888888905</v>
      </c>
    </row>
    <row r="751" spans="2:55" x14ac:dyDescent="0.25">
      <c r="B751" s="113" t="str">
        <f t="shared" ref="B751:B758" si="1188">_xlfn.CONCAT(B457," ","Labor Loss VAS")</f>
        <v>Product A Labor Loss VAS</v>
      </c>
      <c r="C751" s="134">
        <f>IF(C742&lt;0,C742*(-1)*$AB$4,0)</f>
        <v>181.90981432360743</v>
      </c>
      <c r="D751" s="134">
        <f t="shared" ref="D751:BB751" si="1189">IF(D742&lt;0,D742*(-1)*$AB$4,0)</f>
        <v>0</v>
      </c>
      <c r="E751" s="134">
        <f t="shared" si="1189"/>
        <v>50.337903070090761</v>
      </c>
      <c r="F751" s="134">
        <f t="shared" si="1189"/>
        <v>0</v>
      </c>
      <c r="G751" s="134">
        <f t="shared" si="1189"/>
        <v>259.68658178256618</v>
      </c>
      <c r="H751" s="134">
        <f t="shared" si="1189"/>
        <v>0</v>
      </c>
      <c r="I751" s="134">
        <f t="shared" si="1189"/>
        <v>0</v>
      </c>
      <c r="J751" s="134">
        <f t="shared" si="1189"/>
        <v>0</v>
      </c>
      <c r="K751" s="134">
        <f t="shared" si="1189"/>
        <v>93.667054714784655</v>
      </c>
      <c r="L751" s="134">
        <f t="shared" si="1189"/>
        <v>0</v>
      </c>
      <c r="M751" s="134">
        <f t="shared" si="1189"/>
        <v>0</v>
      </c>
      <c r="N751" s="134">
        <f t="shared" si="1189"/>
        <v>0</v>
      </c>
      <c r="O751" s="134">
        <f t="shared" si="1189"/>
        <v>181.90981432360743</v>
      </c>
      <c r="P751" s="134">
        <f t="shared" si="1189"/>
        <v>39.971711456859978</v>
      </c>
      <c r="Q751" s="134">
        <f t="shared" si="1189"/>
        <v>0</v>
      </c>
      <c r="R751" s="134">
        <f t="shared" si="1189"/>
        <v>0</v>
      </c>
      <c r="S751" s="134">
        <f t="shared" si="1189"/>
        <v>259.68658178256618</v>
      </c>
      <c r="T751" s="134">
        <f t="shared" si="1189"/>
        <v>0</v>
      </c>
      <c r="U751" s="134">
        <f t="shared" si="1189"/>
        <v>0</v>
      </c>
      <c r="V751" s="134">
        <f t="shared" si="1189"/>
        <v>46.611157368859296</v>
      </c>
      <c r="W751" s="134">
        <f t="shared" si="1189"/>
        <v>103.40425531914892</v>
      </c>
      <c r="X751" s="134">
        <f t="shared" si="1189"/>
        <v>0</v>
      </c>
      <c r="Y751" s="134">
        <f t="shared" si="1189"/>
        <v>0</v>
      </c>
      <c r="Z751" s="134">
        <f t="shared" si="1189"/>
        <v>0</v>
      </c>
      <c r="AA751" s="134">
        <f t="shared" si="1189"/>
        <v>181.90981432360743</v>
      </c>
      <c r="AB751" s="134">
        <f t="shared" si="1189"/>
        <v>0</v>
      </c>
      <c r="AC751" s="134">
        <f t="shared" si="1189"/>
        <v>60.40548368410893</v>
      </c>
      <c r="AD751" s="134">
        <f t="shared" si="1189"/>
        <v>0</v>
      </c>
      <c r="AE751" s="134">
        <f t="shared" si="1189"/>
        <v>259.68658178256618</v>
      </c>
      <c r="AF751" s="134">
        <f t="shared" si="1189"/>
        <v>0</v>
      </c>
      <c r="AG751" s="134">
        <f t="shared" si="1189"/>
        <v>0</v>
      </c>
      <c r="AH751" s="134">
        <f t="shared" si="1189"/>
        <v>46.611157368859296</v>
      </c>
      <c r="AI751" s="134">
        <f t="shared" si="1189"/>
        <v>103.40425531914892</v>
      </c>
      <c r="AJ751" s="134">
        <f t="shared" si="1189"/>
        <v>0</v>
      </c>
      <c r="AK751" s="134">
        <f t="shared" si="1189"/>
        <v>0</v>
      </c>
      <c r="AL751" s="134">
        <f t="shared" si="1189"/>
        <v>0</v>
      </c>
      <c r="AM751" s="134">
        <f t="shared" si="1189"/>
        <v>181.90981432360743</v>
      </c>
      <c r="AN751" s="134">
        <f t="shared" si="1189"/>
        <v>39.971711456859978</v>
      </c>
      <c r="AO751" s="134">
        <f t="shared" si="1189"/>
        <v>0</v>
      </c>
      <c r="AP751" s="134">
        <f t="shared" si="1189"/>
        <v>0</v>
      </c>
      <c r="AQ751" s="134">
        <f t="shared" si="1189"/>
        <v>259.68658178256618</v>
      </c>
      <c r="AR751" s="134">
        <f t="shared" si="1189"/>
        <v>0</v>
      </c>
      <c r="AS751" s="134">
        <f t="shared" si="1189"/>
        <v>56.533700137551577</v>
      </c>
      <c r="AT751" s="134">
        <f t="shared" si="1189"/>
        <v>0</v>
      </c>
      <c r="AU751" s="134">
        <f t="shared" si="1189"/>
        <v>106.84491978609628</v>
      </c>
      <c r="AV751" s="134">
        <f t="shared" si="1189"/>
        <v>53.753168258919871</v>
      </c>
      <c r="AW751" s="134">
        <f t="shared" si="1189"/>
        <v>0</v>
      </c>
      <c r="AX751" s="134">
        <f t="shared" si="1189"/>
        <v>0</v>
      </c>
      <c r="AY751" s="134">
        <f t="shared" si="1189"/>
        <v>93.667054714784655</v>
      </c>
      <c r="AZ751" s="134">
        <f t="shared" si="1189"/>
        <v>0</v>
      </c>
      <c r="BA751" s="134">
        <f t="shared" si="1189"/>
        <v>0</v>
      </c>
      <c r="BB751" s="134">
        <f t="shared" si="1189"/>
        <v>0</v>
      </c>
      <c r="BC751" s="132">
        <f t="shared" si="1137"/>
        <v>2661.5691170807672</v>
      </c>
    </row>
    <row r="752" spans="2:55" x14ac:dyDescent="0.25">
      <c r="B752" s="113" t="str">
        <f t="shared" si="1188"/>
        <v>Product B Labor Loss VAS</v>
      </c>
      <c r="C752" s="134">
        <f t="shared" ref="C752:R758" si="1190">IF(C743&lt;0,C743*(-1)*$AB$4,0)</f>
        <v>176.07073386383732</v>
      </c>
      <c r="D752" s="134">
        <f t="shared" si="1190"/>
        <v>130.57425742574262</v>
      </c>
      <c r="E752" s="134">
        <f t="shared" si="1190"/>
        <v>0</v>
      </c>
      <c r="F752" s="134">
        <f t="shared" si="1190"/>
        <v>217.15107913669073</v>
      </c>
      <c r="G752" s="134">
        <f t="shared" si="1190"/>
        <v>251.35096310806404</v>
      </c>
      <c r="H752" s="134">
        <f t="shared" si="1190"/>
        <v>208.82366121442971</v>
      </c>
      <c r="I752" s="134">
        <f t="shared" si="1190"/>
        <v>0</v>
      </c>
      <c r="J752" s="134">
        <f t="shared" si="1190"/>
        <v>49.527754763877383</v>
      </c>
      <c r="K752" s="134">
        <f t="shared" si="1190"/>
        <v>90.660457896779178</v>
      </c>
      <c r="L752" s="134">
        <f t="shared" si="1190"/>
        <v>294.21880426693127</v>
      </c>
      <c r="M752" s="134">
        <f t="shared" si="1190"/>
        <v>0</v>
      </c>
      <c r="N752" s="134">
        <f t="shared" si="1190"/>
        <v>0</v>
      </c>
      <c r="O752" s="134">
        <f t="shared" si="1190"/>
        <v>176.07073386383732</v>
      </c>
      <c r="P752" s="134">
        <f t="shared" si="1190"/>
        <v>130.57425742574262</v>
      </c>
      <c r="Q752" s="134">
        <f t="shared" si="1190"/>
        <v>0</v>
      </c>
      <c r="R752" s="134">
        <f t="shared" si="1190"/>
        <v>0</v>
      </c>
      <c r="S752" s="134">
        <f t="shared" ref="S752:BB752" si="1191">IF(S743&lt;0,S743*(-1)*$AB$4,0)</f>
        <v>251.35096310806404</v>
      </c>
      <c r="T752" s="134">
        <f t="shared" si="1191"/>
        <v>209.5384615384616</v>
      </c>
      <c r="U752" s="134">
        <f t="shared" si="1191"/>
        <v>0</v>
      </c>
      <c r="V752" s="134">
        <f t="shared" si="1191"/>
        <v>0</v>
      </c>
      <c r="W752" s="134">
        <f t="shared" si="1191"/>
        <v>100.08510638297867</v>
      </c>
      <c r="X752" s="134">
        <f t="shared" si="1191"/>
        <v>294.21880426693127</v>
      </c>
      <c r="Y752" s="134">
        <f t="shared" si="1191"/>
        <v>0</v>
      </c>
      <c r="Z752" s="134">
        <f t="shared" si="1191"/>
        <v>0</v>
      </c>
      <c r="AA752" s="134">
        <f t="shared" si="1191"/>
        <v>176.07073386383732</v>
      </c>
      <c r="AB752" s="134">
        <f t="shared" si="1191"/>
        <v>129.70413723511604</v>
      </c>
      <c r="AC752" s="134">
        <f t="shared" si="1191"/>
        <v>0</v>
      </c>
      <c r="AD752" s="134">
        <f t="shared" si="1191"/>
        <v>0</v>
      </c>
      <c r="AE752" s="134">
        <f t="shared" si="1191"/>
        <v>251.35096310806404</v>
      </c>
      <c r="AF752" s="134">
        <f t="shared" si="1191"/>
        <v>208.82366121442971</v>
      </c>
      <c r="AG752" s="134">
        <f t="shared" si="1191"/>
        <v>0</v>
      </c>
      <c r="AH752" s="134">
        <f t="shared" si="1191"/>
        <v>0</v>
      </c>
      <c r="AI752" s="134">
        <f t="shared" si="1191"/>
        <v>100.08510638297867</v>
      </c>
      <c r="AJ752" s="134">
        <f t="shared" si="1191"/>
        <v>294.21880426693127</v>
      </c>
      <c r="AK752" s="134">
        <f t="shared" si="1191"/>
        <v>0</v>
      </c>
      <c r="AL752" s="134">
        <f t="shared" si="1191"/>
        <v>0</v>
      </c>
      <c r="AM752" s="134">
        <f t="shared" si="1191"/>
        <v>176.07073386383732</v>
      </c>
      <c r="AN752" s="134">
        <f t="shared" si="1191"/>
        <v>130.57425742574262</v>
      </c>
      <c r="AO752" s="134">
        <f t="shared" si="1191"/>
        <v>0</v>
      </c>
      <c r="AP752" s="134">
        <f t="shared" si="1191"/>
        <v>0</v>
      </c>
      <c r="AQ752" s="134">
        <f t="shared" si="1191"/>
        <v>251.35096310806404</v>
      </c>
      <c r="AR752" s="134">
        <f t="shared" si="1191"/>
        <v>208.82366121442971</v>
      </c>
      <c r="AS752" s="134">
        <f t="shared" si="1191"/>
        <v>0</v>
      </c>
      <c r="AT752" s="134">
        <f t="shared" si="1191"/>
        <v>66.581740976645477</v>
      </c>
      <c r="AU752" s="134">
        <f t="shared" si="1191"/>
        <v>103.41532976827096</v>
      </c>
      <c r="AV752" s="134">
        <f t="shared" si="1191"/>
        <v>105.35620978748292</v>
      </c>
      <c r="AW752" s="134">
        <f t="shared" si="1191"/>
        <v>0</v>
      </c>
      <c r="AX752" s="134">
        <f t="shared" si="1191"/>
        <v>49.527754763877383</v>
      </c>
      <c r="AY752" s="134">
        <f t="shared" si="1191"/>
        <v>90.660457896779178</v>
      </c>
      <c r="AZ752" s="134">
        <f t="shared" si="1191"/>
        <v>93.759960889758034</v>
      </c>
      <c r="BA752" s="134">
        <f t="shared" si="1191"/>
        <v>0</v>
      </c>
      <c r="BB752" s="134">
        <f t="shared" si="1191"/>
        <v>0</v>
      </c>
      <c r="BC752" s="132">
        <f t="shared" si="1137"/>
        <v>5016.5905140286113</v>
      </c>
    </row>
    <row r="753" spans="1:57" x14ac:dyDescent="0.25">
      <c r="B753" s="113" t="str">
        <f t="shared" si="1188"/>
        <v>Product C Labor Loss VAS</v>
      </c>
      <c r="C753" s="134">
        <f t="shared" si="1190"/>
        <v>215.59681697612726</v>
      </c>
      <c r="D753" s="134">
        <f t="shared" si="1190"/>
        <v>113.69731258840176</v>
      </c>
      <c r="E753" s="134">
        <f t="shared" si="1190"/>
        <v>96.648773894574219</v>
      </c>
      <c r="F753" s="134">
        <f t="shared" si="1190"/>
        <v>0</v>
      </c>
      <c r="G753" s="134">
        <f t="shared" si="1190"/>
        <v>307.77668952007843</v>
      </c>
      <c r="H753" s="134">
        <f t="shared" si="1190"/>
        <v>181.83284786018379</v>
      </c>
      <c r="I753" s="134">
        <f t="shared" si="1190"/>
        <v>174.94804914852338</v>
      </c>
      <c r="J753" s="134">
        <f t="shared" si="1190"/>
        <v>0</v>
      </c>
      <c r="K753" s="134">
        <f t="shared" si="1190"/>
        <v>111.0128055878929</v>
      </c>
      <c r="L753" s="134">
        <f t="shared" si="1190"/>
        <v>256.19052344331431</v>
      </c>
      <c r="M753" s="134">
        <f t="shared" si="1190"/>
        <v>252.0599001663893</v>
      </c>
      <c r="N753" s="134">
        <f t="shared" si="1190"/>
        <v>0</v>
      </c>
      <c r="O753" s="134">
        <f t="shared" si="1190"/>
        <v>215.59681697612726</v>
      </c>
      <c r="P753" s="134">
        <f t="shared" si="1190"/>
        <v>113.69731258840176</v>
      </c>
      <c r="Q753" s="134">
        <f t="shared" si="1190"/>
        <v>95.093816220381427</v>
      </c>
      <c r="R753" s="134">
        <f t="shared" si="1190"/>
        <v>0</v>
      </c>
      <c r="S753" s="134">
        <f t="shared" ref="S753:BB753" si="1192">IF(S744&lt;0,S744*(-1)*$AB$4,0)</f>
        <v>307.77668952007843</v>
      </c>
      <c r="T753" s="134">
        <f t="shared" si="1192"/>
        <v>182.45525902668766</v>
      </c>
      <c r="U753" s="134">
        <f t="shared" si="1192"/>
        <v>174.94804914852338</v>
      </c>
      <c r="V753" s="134">
        <f t="shared" si="1192"/>
        <v>0</v>
      </c>
      <c r="W753" s="134">
        <f t="shared" si="1192"/>
        <v>122.55319148936167</v>
      </c>
      <c r="X753" s="134">
        <f t="shared" si="1192"/>
        <v>256.19052344331431</v>
      </c>
      <c r="Y753" s="134">
        <f t="shared" si="1192"/>
        <v>249.70466935292723</v>
      </c>
      <c r="Z753" s="134">
        <f t="shared" si="1192"/>
        <v>0</v>
      </c>
      <c r="AA753" s="134">
        <f t="shared" si="1192"/>
        <v>215.59681697612726</v>
      </c>
      <c r="AB753" s="134">
        <f t="shared" si="1192"/>
        <v>112.93965691220995</v>
      </c>
      <c r="AC753" s="134">
        <f t="shared" si="1192"/>
        <v>96.648773894574219</v>
      </c>
      <c r="AD753" s="134">
        <f t="shared" si="1192"/>
        <v>0</v>
      </c>
      <c r="AE753" s="134">
        <f t="shared" si="1192"/>
        <v>307.77668952007843</v>
      </c>
      <c r="AF753" s="134">
        <f t="shared" si="1192"/>
        <v>181.83284786018379</v>
      </c>
      <c r="AG753" s="134">
        <f t="shared" si="1192"/>
        <v>174.94804914852338</v>
      </c>
      <c r="AH753" s="134">
        <f t="shared" si="1192"/>
        <v>0</v>
      </c>
      <c r="AI753" s="134">
        <f t="shared" si="1192"/>
        <v>122.55319148936167</v>
      </c>
      <c r="AJ753" s="134">
        <f t="shared" si="1192"/>
        <v>256.19052344331431</v>
      </c>
      <c r="AK753" s="134">
        <f t="shared" si="1192"/>
        <v>249.70466935292723</v>
      </c>
      <c r="AL753" s="134">
        <f t="shared" si="1192"/>
        <v>0</v>
      </c>
      <c r="AM753" s="134">
        <f t="shared" si="1192"/>
        <v>215.59681697612726</v>
      </c>
      <c r="AN753" s="134">
        <f t="shared" si="1192"/>
        <v>113.69731258840176</v>
      </c>
      <c r="AO753" s="134">
        <f t="shared" si="1192"/>
        <v>95.093816220381427</v>
      </c>
      <c r="AP753" s="134">
        <f t="shared" si="1192"/>
        <v>0</v>
      </c>
      <c r="AQ753" s="134">
        <f t="shared" si="1192"/>
        <v>307.77668952007843</v>
      </c>
      <c r="AR753" s="134">
        <f t="shared" si="1192"/>
        <v>181.83284786018379</v>
      </c>
      <c r="AS753" s="134">
        <f t="shared" si="1192"/>
        <v>108.54470426409901</v>
      </c>
      <c r="AT753" s="134">
        <f t="shared" si="1192"/>
        <v>0</v>
      </c>
      <c r="AU753" s="134">
        <f t="shared" si="1192"/>
        <v>126.63101604278069</v>
      </c>
      <c r="AV753" s="134">
        <f t="shared" si="1192"/>
        <v>91.738740495223254</v>
      </c>
      <c r="AW753" s="134">
        <f t="shared" si="1192"/>
        <v>174.94804914852338</v>
      </c>
      <c r="AX753" s="134">
        <f t="shared" si="1192"/>
        <v>0</v>
      </c>
      <c r="AY753" s="134">
        <f t="shared" si="1192"/>
        <v>111.0128055878929</v>
      </c>
      <c r="AZ753" s="134">
        <f t="shared" si="1192"/>
        <v>244.92397946712302</v>
      </c>
      <c r="BA753" s="134">
        <f t="shared" si="1192"/>
        <v>249.70466935292723</v>
      </c>
      <c r="BB753" s="134">
        <f t="shared" si="1192"/>
        <v>0</v>
      </c>
      <c r="BC753" s="132">
        <f t="shared" si="1137"/>
        <v>7167.4727130723313</v>
      </c>
    </row>
    <row r="754" spans="1:57" x14ac:dyDescent="0.25">
      <c r="B754" s="113" t="str">
        <f t="shared" si="1188"/>
        <v>Product D Labor Loss VAS</v>
      </c>
      <c r="C754" s="134">
        <f t="shared" si="1190"/>
        <v>321.14942528735639</v>
      </c>
      <c r="D754" s="134">
        <f t="shared" si="1190"/>
        <v>162.8477133427628</v>
      </c>
      <c r="E754" s="134">
        <f t="shared" si="1190"/>
        <v>98.43856600373303</v>
      </c>
      <c r="F754" s="134">
        <f t="shared" si="1190"/>
        <v>365.61151079136692</v>
      </c>
      <c r="G754" s="134">
        <f t="shared" si="1190"/>
        <v>317.39471106758089</v>
      </c>
      <c r="H754" s="134">
        <f t="shared" si="1190"/>
        <v>260.43767271640894</v>
      </c>
      <c r="I754" s="134">
        <f t="shared" si="1190"/>
        <v>178.18782783645906</v>
      </c>
      <c r="J754" s="134">
        <f t="shared" si="1190"/>
        <v>166.77713338856665</v>
      </c>
      <c r="K754" s="134">
        <f t="shared" si="1190"/>
        <v>165.36282499029875</v>
      </c>
      <c r="L754" s="134">
        <f t="shared" si="1190"/>
        <v>366.93955180683042</v>
      </c>
      <c r="M754" s="134">
        <f t="shared" si="1190"/>
        <v>256.72767609539653</v>
      </c>
      <c r="N754" s="134">
        <f t="shared" si="1190"/>
        <v>256.78456591639872</v>
      </c>
      <c r="O754" s="134">
        <f t="shared" si="1190"/>
        <v>321.14942528735639</v>
      </c>
      <c r="P754" s="134">
        <f t="shared" si="1190"/>
        <v>162.8477133427628</v>
      </c>
      <c r="Q754" s="134">
        <f t="shared" si="1190"/>
        <v>96.854812817055176</v>
      </c>
      <c r="R754" s="134">
        <f t="shared" si="1190"/>
        <v>339.41912869303951</v>
      </c>
      <c r="S754" s="134">
        <f t="shared" ref="S754:BB754" si="1193">IF(S745&lt;0,S745*(-1)*$AB$4,0)</f>
        <v>317.39471106758089</v>
      </c>
      <c r="T754" s="134">
        <f t="shared" si="1193"/>
        <v>209.06331763474617</v>
      </c>
      <c r="U754" s="134">
        <f t="shared" si="1193"/>
        <v>178.18782783645906</v>
      </c>
      <c r="V754" s="134">
        <f t="shared" si="1193"/>
        <v>170.90757701915078</v>
      </c>
      <c r="W754" s="134">
        <f t="shared" si="1193"/>
        <v>182.55319148936167</v>
      </c>
      <c r="X754" s="134">
        <f t="shared" si="1193"/>
        <v>366.93955180683042</v>
      </c>
      <c r="Y754" s="134">
        <f t="shared" si="1193"/>
        <v>254.32882989650005</v>
      </c>
      <c r="Z754" s="134">
        <f t="shared" si="1193"/>
        <v>206.33286972647196</v>
      </c>
      <c r="AA754" s="134">
        <f t="shared" si="1193"/>
        <v>321.14942528735639</v>
      </c>
      <c r="AB754" s="134">
        <f t="shared" si="1193"/>
        <v>161.76252943155066</v>
      </c>
      <c r="AC754" s="134">
        <f t="shared" si="1193"/>
        <v>98.43856600373303</v>
      </c>
      <c r="AD754" s="134">
        <f t="shared" si="1193"/>
        <v>362.45901639344254</v>
      </c>
      <c r="AE754" s="134">
        <f t="shared" si="1193"/>
        <v>317.39471106758089</v>
      </c>
      <c r="AF754" s="134">
        <f t="shared" si="1193"/>
        <v>260.43767271640894</v>
      </c>
      <c r="AG754" s="134">
        <f t="shared" si="1193"/>
        <v>178.18782783645906</v>
      </c>
      <c r="AH754" s="134">
        <f t="shared" si="1193"/>
        <v>170.90757701915078</v>
      </c>
      <c r="AI754" s="134">
        <f t="shared" si="1193"/>
        <v>182.55319148936167</v>
      </c>
      <c r="AJ754" s="134">
        <f t="shared" si="1193"/>
        <v>366.93955180683042</v>
      </c>
      <c r="AK754" s="134">
        <f t="shared" si="1193"/>
        <v>254.32882989650005</v>
      </c>
      <c r="AL754" s="134">
        <f t="shared" si="1193"/>
        <v>206.33286972647196</v>
      </c>
      <c r="AM754" s="134">
        <f t="shared" si="1193"/>
        <v>321.14942528735639</v>
      </c>
      <c r="AN754" s="134">
        <f t="shared" si="1193"/>
        <v>162.8477133427628</v>
      </c>
      <c r="AO754" s="134">
        <f t="shared" si="1193"/>
        <v>96.854812817055176</v>
      </c>
      <c r="AP754" s="134">
        <f t="shared" si="1193"/>
        <v>362.45901639344254</v>
      </c>
      <c r="AQ754" s="134">
        <f t="shared" si="1193"/>
        <v>317.39471106758089</v>
      </c>
      <c r="AR754" s="134">
        <f t="shared" si="1193"/>
        <v>260.43767271640894</v>
      </c>
      <c r="AS754" s="134">
        <f t="shared" si="1193"/>
        <v>110.55479138010094</v>
      </c>
      <c r="AT754" s="134">
        <f t="shared" si="1193"/>
        <v>134.52229299363063</v>
      </c>
      <c r="AU754" s="134">
        <f t="shared" si="1193"/>
        <v>188.62745098039221</v>
      </c>
      <c r="AV754" s="134">
        <f t="shared" si="1193"/>
        <v>131.39663352180401</v>
      </c>
      <c r="AW754" s="134">
        <f t="shared" si="1193"/>
        <v>178.18782783645906</v>
      </c>
      <c r="AX754" s="134">
        <f t="shared" si="1193"/>
        <v>166.77713338856665</v>
      </c>
      <c r="AY754" s="134">
        <f t="shared" si="1193"/>
        <v>165.36282499029875</v>
      </c>
      <c r="AZ754" s="134">
        <f t="shared" si="1193"/>
        <v>350.80257475759788</v>
      </c>
      <c r="BA754" s="134">
        <f t="shared" si="1193"/>
        <v>254.32882989650005</v>
      </c>
      <c r="BB754" s="134">
        <f t="shared" si="1193"/>
        <v>206.33286972647196</v>
      </c>
      <c r="BC754" s="132">
        <f t="shared" si="1137"/>
        <v>12011.566485631749</v>
      </c>
    </row>
    <row r="755" spans="1:57" x14ac:dyDescent="0.25">
      <c r="B755" s="113" t="str">
        <f t="shared" si="1188"/>
        <v>Product E Labor Loss VAS</v>
      </c>
      <c r="C755" s="134">
        <f t="shared" si="1190"/>
        <v>121.27320954907165</v>
      </c>
      <c r="D755" s="134">
        <f t="shared" si="1190"/>
        <v>207.85289957567187</v>
      </c>
      <c r="E755" s="134">
        <f t="shared" si="1190"/>
        <v>120.81096736821786</v>
      </c>
      <c r="F755" s="134">
        <f t="shared" si="1190"/>
        <v>319.07913669064754</v>
      </c>
      <c r="G755" s="134">
        <f t="shared" si="1190"/>
        <v>173.12438785504403</v>
      </c>
      <c r="H755" s="134">
        <f t="shared" si="1190"/>
        <v>281.2726865337217</v>
      </c>
      <c r="I755" s="134">
        <f t="shared" si="1190"/>
        <v>218.68506143565429</v>
      </c>
      <c r="J755" s="134">
        <f t="shared" si="1190"/>
        <v>145.55095277547639</v>
      </c>
      <c r="K755" s="134">
        <f t="shared" si="1190"/>
        <v>62.444703143189713</v>
      </c>
      <c r="L755" s="134">
        <f t="shared" si="1190"/>
        <v>252.18754651451252</v>
      </c>
      <c r="M755" s="134">
        <f t="shared" si="1190"/>
        <v>189.04492512479206</v>
      </c>
      <c r="N755" s="134">
        <f t="shared" si="1190"/>
        <v>224.10289389067526</v>
      </c>
      <c r="O755" s="134">
        <f t="shared" si="1190"/>
        <v>121.27320954907165</v>
      </c>
      <c r="P755" s="134">
        <f t="shared" si="1190"/>
        <v>207.85289957567187</v>
      </c>
      <c r="Q755" s="134">
        <f t="shared" si="1190"/>
        <v>118.86727027547687</v>
      </c>
      <c r="R755" s="134">
        <f t="shared" si="1190"/>
        <v>296.22033049574361</v>
      </c>
      <c r="S755" s="134">
        <f t="shared" ref="S755:BB755" si="1194">IF(S746&lt;0,S746*(-1)*$AB$4,0)</f>
        <v>173.12438785504403</v>
      </c>
      <c r="T755" s="134">
        <f t="shared" si="1194"/>
        <v>333.55102040816331</v>
      </c>
      <c r="U755" s="134">
        <f t="shared" si="1194"/>
        <v>218.68506143565429</v>
      </c>
      <c r="V755" s="134">
        <f t="shared" si="1194"/>
        <v>149.15570358034969</v>
      </c>
      <c r="W755" s="134">
        <f t="shared" si="1194"/>
        <v>68.936170212765916</v>
      </c>
      <c r="X755" s="134">
        <f t="shared" si="1194"/>
        <v>252.18754651451252</v>
      </c>
      <c r="Y755" s="134">
        <f t="shared" si="1194"/>
        <v>312.13083669115912</v>
      </c>
      <c r="Z755" s="134">
        <f t="shared" si="1194"/>
        <v>231.52155771905416</v>
      </c>
      <c r="AA755" s="134">
        <f t="shared" si="1194"/>
        <v>121.27320954907165</v>
      </c>
      <c r="AB755" s="134">
        <f t="shared" si="1194"/>
        <v>206.46781029263371</v>
      </c>
      <c r="AC755" s="134">
        <f t="shared" si="1194"/>
        <v>120.81096736821786</v>
      </c>
      <c r="AD755" s="134">
        <f t="shared" si="1194"/>
        <v>316.32786885245901</v>
      </c>
      <c r="AE755" s="134">
        <f t="shared" si="1194"/>
        <v>173.12438785504403</v>
      </c>
      <c r="AF755" s="134">
        <f t="shared" si="1194"/>
        <v>281.2726865337217</v>
      </c>
      <c r="AG755" s="134">
        <f t="shared" si="1194"/>
        <v>218.68506143565429</v>
      </c>
      <c r="AH755" s="134">
        <f t="shared" si="1194"/>
        <v>149.15570358034969</v>
      </c>
      <c r="AI755" s="134">
        <f t="shared" si="1194"/>
        <v>68.936170212765916</v>
      </c>
      <c r="AJ755" s="134">
        <f t="shared" si="1194"/>
        <v>252.18754651451252</v>
      </c>
      <c r="AK755" s="134">
        <f t="shared" si="1194"/>
        <v>312.13083669115912</v>
      </c>
      <c r="AL755" s="134">
        <f t="shared" si="1194"/>
        <v>231.52155771905416</v>
      </c>
      <c r="AM755" s="134">
        <f t="shared" si="1194"/>
        <v>121.27320954907165</v>
      </c>
      <c r="AN755" s="134">
        <f t="shared" si="1194"/>
        <v>207.85289957567187</v>
      </c>
      <c r="AO755" s="134">
        <f t="shared" si="1194"/>
        <v>118.86727027547687</v>
      </c>
      <c r="AP755" s="134">
        <f t="shared" si="1194"/>
        <v>316.32786885245901</v>
      </c>
      <c r="AQ755" s="134">
        <f t="shared" si="1194"/>
        <v>173.12438785504403</v>
      </c>
      <c r="AR755" s="134">
        <f t="shared" si="1194"/>
        <v>281.2726865337217</v>
      </c>
      <c r="AS755" s="134">
        <f t="shared" si="1194"/>
        <v>135.68088033012378</v>
      </c>
      <c r="AT755" s="134">
        <f t="shared" si="1194"/>
        <v>117.40127388535029</v>
      </c>
      <c r="AU755" s="134">
        <f t="shared" si="1194"/>
        <v>71.229946524064189</v>
      </c>
      <c r="AV755" s="134">
        <f t="shared" si="1194"/>
        <v>167.70988496783002</v>
      </c>
      <c r="AW755" s="134">
        <f t="shared" si="1194"/>
        <v>218.68506143565429</v>
      </c>
      <c r="AX755" s="134">
        <f t="shared" si="1194"/>
        <v>145.55095277547639</v>
      </c>
      <c r="AY755" s="134">
        <f t="shared" si="1194"/>
        <v>62.444703143189713</v>
      </c>
      <c r="AZ755" s="134">
        <f t="shared" si="1194"/>
        <v>447.75164996333422</v>
      </c>
      <c r="BA755" s="134">
        <f t="shared" si="1194"/>
        <v>312.13083669115912</v>
      </c>
      <c r="BB755" s="134">
        <f t="shared" si="1194"/>
        <v>231.52155771905416</v>
      </c>
      <c r="BC755" s="132">
        <f t="shared" si="1137"/>
        <v>10379.654241450668</v>
      </c>
    </row>
    <row r="756" spans="1:57" x14ac:dyDescent="0.25">
      <c r="B756" s="113" t="str">
        <f t="shared" si="1188"/>
        <v>Product F Labor Loss VAS</v>
      </c>
      <c r="C756" s="134">
        <f t="shared" si="1190"/>
        <v>0</v>
      </c>
      <c r="D756" s="134">
        <f t="shared" si="1190"/>
        <v>77.722772277227747</v>
      </c>
      <c r="E756" s="134">
        <f t="shared" si="1190"/>
        <v>152.69163931260863</v>
      </c>
      <c r="F756" s="134">
        <f t="shared" si="1190"/>
        <v>0</v>
      </c>
      <c r="G756" s="134">
        <f t="shared" si="1190"/>
        <v>0</v>
      </c>
      <c r="H756" s="134">
        <f t="shared" si="1190"/>
        <v>124.29979834192243</v>
      </c>
      <c r="I756" s="134">
        <f t="shared" si="1190"/>
        <v>276.39361931450748</v>
      </c>
      <c r="J756" s="134">
        <f t="shared" si="1190"/>
        <v>176.88483844241918</v>
      </c>
      <c r="K756" s="134">
        <f t="shared" si="1190"/>
        <v>72.852153667054694</v>
      </c>
      <c r="L756" s="134">
        <f t="shared" si="1190"/>
        <v>175.13024063507817</v>
      </c>
      <c r="M756" s="134">
        <f t="shared" si="1190"/>
        <v>398.21963394342771</v>
      </c>
      <c r="N756" s="134">
        <f t="shared" si="1190"/>
        <v>272.34726688102899</v>
      </c>
      <c r="O756" s="134">
        <f t="shared" si="1190"/>
        <v>0</v>
      </c>
      <c r="P756" s="134">
        <f t="shared" si="1190"/>
        <v>77.722772277227747</v>
      </c>
      <c r="Q756" s="134">
        <f t="shared" si="1190"/>
        <v>150.23502215372764</v>
      </c>
      <c r="R756" s="134">
        <f t="shared" si="1190"/>
        <v>359.98998497746607</v>
      </c>
      <c r="S756" s="134">
        <f t="shared" ref="S756:BB756" si="1195">IF(S747&lt;0,S747*(-1)*$AB$4,0)</f>
        <v>0</v>
      </c>
      <c r="T756" s="134">
        <f t="shared" si="1195"/>
        <v>124.72527472527473</v>
      </c>
      <c r="U756" s="134">
        <f t="shared" si="1195"/>
        <v>276.39361931450748</v>
      </c>
      <c r="V756" s="134">
        <f t="shared" si="1195"/>
        <v>181.26561199000824</v>
      </c>
      <c r="W756" s="134">
        <f t="shared" si="1195"/>
        <v>0</v>
      </c>
      <c r="X756" s="134">
        <f t="shared" si="1195"/>
        <v>175.13024063507817</v>
      </c>
      <c r="Y756" s="134">
        <f t="shared" si="1195"/>
        <v>273.11448210476408</v>
      </c>
      <c r="Z756" s="134">
        <f t="shared" si="1195"/>
        <v>281.36300417246173</v>
      </c>
      <c r="AA756" s="134">
        <f t="shared" si="1195"/>
        <v>0</v>
      </c>
      <c r="AB756" s="134">
        <f t="shared" si="1195"/>
        <v>77.204843592330931</v>
      </c>
      <c r="AC756" s="134">
        <f t="shared" si="1195"/>
        <v>152.69163931260863</v>
      </c>
      <c r="AD756" s="134">
        <f t="shared" si="1195"/>
        <v>153.77049180327873</v>
      </c>
      <c r="AE756" s="134">
        <f t="shared" si="1195"/>
        <v>0</v>
      </c>
      <c r="AF756" s="134">
        <f t="shared" si="1195"/>
        <v>124.29979834192243</v>
      </c>
      <c r="AG756" s="134">
        <f t="shared" si="1195"/>
        <v>276.39361931450748</v>
      </c>
      <c r="AH756" s="134">
        <f t="shared" si="1195"/>
        <v>181.26561199000824</v>
      </c>
      <c r="AI756" s="134">
        <f t="shared" si="1195"/>
        <v>0</v>
      </c>
      <c r="AJ756" s="134">
        <f t="shared" si="1195"/>
        <v>175.13024063507817</v>
      </c>
      <c r="AK756" s="134">
        <f t="shared" si="1195"/>
        <v>273.11448210476408</v>
      </c>
      <c r="AL756" s="134">
        <f t="shared" si="1195"/>
        <v>281.36300417246173</v>
      </c>
      <c r="AM756" s="134">
        <f t="shared" si="1195"/>
        <v>0</v>
      </c>
      <c r="AN756" s="134">
        <f t="shared" si="1195"/>
        <v>77.722772277227747</v>
      </c>
      <c r="AO756" s="134">
        <f t="shared" si="1195"/>
        <v>150.23502215372764</v>
      </c>
      <c r="AP756" s="134">
        <f t="shared" si="1195"/>
        <v>153.77049180327873</v>
      </c>
      <c r="AQ756" s="134">
        <f t="shared" si="1195"/>
        <v>0</v>
      </c>
      <c r="AR756" s="134">
        <f t="shared" si="1195"/>
        <v>124.29979834192243</v>
      </c>
      <c r="AS756" s="134">
        <f t="shared" si="1195"/>
        <v>171.48555708390654</v>
      </c>
      <c r="AT756" s="134">
        <f t="shared" si="1195"/>
        <v>142.67515923566876</v>
      </c>
      <c r="AU756" s="134">
        <f t="shared" si="1195"/>
        <v>69.251336898395706</v>
      </c>
      <c r="AV756" s="134">
        <f t="shared" si="1195"/>
        <v>62.712029635406523</v>
      </c>
      <c r="AW756" s="134">
        <f t="shared" si="1195"/>
        <v>276.39361931450748</v>
      </c>
      <c r="AX756" s="134">
        <f t="shared" si="1195"/>
        <v>176.88483844241918</v>
      </c>
      <c r="AY756" s="134">
        <f t="shared" si="1195"/>
        <v>72.852153667054694</v>
      </c>
      <c r="AZ756" s="134">
        <f t="shared" si="1195"/>
        <v>167.42850158885358</v>
      </c>
      <c r="BA756" s="134">
        <f t="shared" si="1195"/>
        <v>273.11448210476408</v>
      </c>
      <c r="BB756" s="134">
        <f t="shared" si="1195"/>
        <v>281.36300417246173</v>
      </c>
      <c r="BC756" s="132">
        <f t="shared" si="1137"/>
        <v>7521.9044731523454</v>
      </c>
    </row>
    <row r="757" spans="1:57" x14ac:dyDescent="0.25">
      <c r="B757" s="113" t="str">
        <f t="shared" si="1188"/>
        <v>Product G Labor Loss VAS</v>
      </c>
      <c r="C757" s="134">
        <f t="shared" si="1190"/>
        <v>0</v>
      </c>
      <c r="D757" s="134">
        <f t="shared" si="1190"/>
        <v>39.971711456859978</v>
      </c>
      <c r="E757" s="134">
        <f t="shared" si="1190"/>
        <v>60.40548368410893</v>
      </c>
      <c r="F757" s="134">
        <f t="shared" si="1190"/>
        <v>365.61151079136692</v>
      </c>
      <c r="G757" s="134">
        <f t="shared" si="1190"/>
        <v>0</v>
      </c>
      <c r="H757" s="134">
        <f t="shared" si="1190"/>
        <v>0</v>
      </c>
      <c r="I757" s="134">
        <f t="shared" si="1190"/>
        <v>91.118775598189302</v>
      </c>
      <c r="J757" s="134">
        <f t="shared" si="1190"/>
        <v>197.10024855012432</v>
      </c>
      <c r="K757" s="134">
        <f t="shared" si="1190"/>
        <v>0</v>
      </c>
      <c r="L757" s="134">
        <f t="shared" si="1190"/>
        <v>0</v>
      </c>
      <c r="M757" s="134">
        <f t="shared" si="1190"/>
        <v>131.28119800332775</v>
      </c>
      <c r="N757" s="134">
        <f t="shared" si="1190"/>
        <v>256.78456591639872</v>
      </c>
      <c r="O757" s="134">
        <f t="shared" si="1190"/>
        <v>0</v>
      </c>
      <c r="P757" s="134">
        <f t="shared" si="1190"/>
        <v>0</v>
      </c>
      <c r="Q757" s="134">
        <f t="shared" si="1190"/>
        <v>49.528029281448681</v>
      </c>
      <c r="R757" s="134">
        <f t="shared" si="1190"/>
        <v>215.99399098647976</v>
      </c>
      <c r="S757" s="134">
        <f t="shared" ref="S757:BB757" si="1196">IF(S748&lt;0,S748*(-1)*$AB$4,0)</f>
        <v>0</v>
      </c>
      <c r="T757" s="134">
        <f t="shared" si="1196"/>
        <v>0</v>
      </c>
      <c r="U757" s="134">
        <f t="shared" si="1196"/>
        <v>91.118775598189302</v>
      </c>
      <c r="V757" s="134">
        <f t="shared" si="1196"/>
        <v>201.98168193172359</v>
      </c>
      <c r="W757" s="134">
        <f t="shared" si="1196"/>
        <v>0</v>
      </c>
      <c r="X757" s="134">
        <f t="shared" si="1196"/>
        <v>0</v>
      </c>
      <c r="Y757" s="134">
        <f t="shared" si="1196"/>
        <v>130.05451528798289</v>
      </c>
      <c r="Z757" s="134">
        <f t="shared" si="1196"/>
        <v>313.51877607788595</v>
      </c>
      <c r="AA757" s="134">
        <f t="shared" si="1196"/>
        <v>0</v>
      </c>
      <c r="AB757" s="134">
        <f t="shared" si="1196"/>
        <v>0</v>
      </c>
      <c r="AC757" s="134">
        <f t="shared" si="1196"/>
        <v>50.337903070090761</v>
      </c>
      <c r="AD757" s="134">
        <f t="shared" si="1196"/>
        <v>428.36065573770497</v>
      </c>
      <c r="AE757" s="134">
        <f t="shared" si="1196"/>
        <v>0</v>
      </c>
      <c r="AF757" s="134">
        <f t="shared" si="1196"/>
        <v>0</v>
      </c>
      <c r="AG757" s="134">
        <f t="shared" si="1196"/>
        <v>91.118775598189302</v>
      </c>
      <c r="AH757" s="134">
        <f t="shared" si="1196"/>
        <v>201.98168193172359</v>
      </c>
      <c r="AI757" s="134">
        <f t="shared" si="1196"/>
        <v>0</v>
      </c>
      <c r="AJ757" s="134">
        <f t="shared" si="1196"/>
        <v>0</v>
      </c>
      <c r="AK757" s="134">
        <f t="shared" si="1196"/>
        <v>130.05451528798289</v>
      </c>
      <c r="AL757" s="134">
        <f t="shared" si="1196"/>
        <v>313.51877607788595</v>
      </c>
      <c r="AM757" s="134">
        <f t="shared" si="1196"/>
        <v>0</v>
      </c>
      <c r="AN757" s="134">
        <f t="shared" si="1196"/>
        <v>0</v>
      </c>
      <c r="AO757" s="134">
        <f t="shared" si="1196"/>
        <v>49.528029281448681</v>
      </c>
      <c r="AP757" s="134">
        <f t="shared" si="1196"/>
        <v>428.36065573770497</v>
      </c>
      <c r="AQ757" s="134">
        <f t="shared" si="1196"/>
        <v>0</v>
      </c>
      <c r="AR757" s="134">
        <f t="shared" si="1196"/>
        <v>0</v>
      </c>
      <c r="AS757" s="134">
        <f t="shared" si="1196"/>
        <v>56.533700137551577</v>
      </c>
      <c r="AT757" s="134">
        <f t="shared" si="1196"/>
        <v>158.98089171974527</v>
      </c>
      <c r="AU757" s="134">
        <f t="shared" si="1196"/>
        <v>0</v>
      </c>
      <c r="AV757" s="134">
        <f t="shared" si="1196"/>
        <v>0</v>
      </c>
      <c r="AW757" s="134">
        <f t="shared" si="1196"/>
        <v>91.118775598189302</v>
      </c>
      <c r="AX757" s="134">
        <f t="shared" si="1196"/>
        <v>197.10024855012432</v>
      </c>
      <c r="AY757" s="134">
        <f t="shared" si="1196"/>
        <v>0</v>
      </c>
      <c r="AZ757" s="134">
        <f t="shared" si="1196"/>
        <v>0</v>
      </c>
      <c r="BA757" s="134">
        <f t="shared" si="1196"/>
        <v>130.05451528798289</v>
      </c>
      <c r="BB757" s="134">
        <f t="shared" si="1196"/>
        <v>313.51877607788595</v>
      </c>
      <c r="BC757" s="132">
        <f t="shared" si="1137"/>
        <v>4785.0371632582955</v>
      </c>
    </row>
    <row r="758" spans="1:57" x14ac:dyDescent="0.25">
      <c r="B758" s="113" t="str">
        <f t="shared" si="1188"/>
        <v>Product H Labor Loss VAS</v>
      </c>
      <c r="C758" s="134">
        <f t="shared" si="1190"/>
        <v>0</v>
      </c>
      <c r="D758" s="134">
        <f t="shared" si="1190"/>
        <v>0</v>
      </c>
      <c r="E758" s="134">
        <f t="shared" si="1190"/>
        <v>0</v>
      </c>
      <c r="F758" s="134">
        <f t="shared" si="1190"/>
        <v>169.88009592326139</v>
      </c>
      <c r="G758" s="134">
        <f t="shared" si="1190"/>
        <v>0</v>
      </c>
      <c r="H758" s="134">
        <f t="shared" si="1190"/>
        <v>0</v>
      </c>
      <c r="I758" s="134">
        <f t="shared" si="1190"/>
        <v>0</v>
      </c>
      <c r="J758" s="134">
        <f t="shared" si="1190"/>
        <v>77.492405412869374</v>
      </c>
      <c r="K758" s="134">
        <f t="shared" si="1190"/>
        <v>0</v>
      </c>
      <c r="L758" s="134">
        <f t="shared" si="1190"/>
        <v>0</v>
      </c>
      <c r="M758" s="134">
        <f t="shared" si="1190"/>
        <v>0</v>
      </c>
      <c r="N758" s="134">
        <f t="shared" si="1190"/>
        <v>119.31404072883171</v>
      </c>
      <c r="O758" s="134">
        <f t="shared" si="1190"/>
        <v>0</v>
      </c>
      <c r="P758" s="134">
        <f t="shared" si="1190"/>
        <v>0</v>
      </c>
      <c r="Q758" s="134">
        <f t="shared" si="1190"/>
        <v>60.754382585243661</v>
      </c>
      <c r="R758" s="134">
        <f t="shared" si="1190"/>
        <v>157.70989818060423</v>
      </c>
      <c r="S758" s="134">
        <f t="shared" ref="S758:BB758" si="1197">IF(S749&lt;0,S749*(-1)*$AB$4,0)</f>
        <v>0</v>
      </c>
      <c r="T758" s="134">
        <f t="shared" si="1197"/>
        <v>0</v>
      </c>
      <c r="U758" s="134">
        <f t="shared" si="1197"/>
        <v>0</v>
      </c>
      <c r="V758" s="134">
        <f t="shared" si="1197"/>
        <v>79.411601443241693</v>
      </c>
      <c r="W758" s="134">
        <f t="shared" si="1197"/>
        <v>70.468085106382915</v>
      </c>
      <c r="X758" s="134">
        <f t="shared" si="1197"/>
        <v>0</v>
      </c>
      <c r="Y758" s="134">
        <f t="shared" si="1197"/>
        <v>0</v>
      </c>
      <c r="Z758" s="134">
        <f t="shared" si="1197"/>
        <v>123.26379230412604</v>
      </c>
      <c r="AA758" s="134">
        <f t="shared" si="1197"/>
        <v>0</v>
      </c>
      <c r="AB758" s="134">
        <f t="shared" si="1197"/>
        <v>40.587689202825402</v>
      </c>
      <c r="AC758" s="134">
        <f t="shared" si="1197"/>
        <v>0</v>
      </c>
      <c r="AD758" s="134">
        <f t="shared" si="1197"/>
        <v>168.41530054644807</v>
      </c>
      <c r="AE758" s="134">
        <f t="shared" si="1197"/>
        <v>0</v>
      </c>
      <c r="AF758" s="134">
        <f t="shared" si="1197"/>
        <v>0</v>
      </c>
      <c r="AG758" s="134">
        <f t="shared" si="1197"/>
        <v>0</v>
      </c>
      <c r="AH758" s="134">
        <f t="shared" si="1197"/>
        <v>79.411601443241693</v>
      </c>
      <c r="AI758" s="134">
        <f t="shared" si="1197"/>
        <v>70.468085106382915</v>
      </c>
      <c r="AJ758" s="134">
        <f t="shared" si="1197"/>
        <v>0</v>
      </c>
      <c r="AK758" s="134">
        <f t="shared" si="1197"/>
        <v>0</v>
      </c>
      <c r="AL758" s="134">
        <f t="shared" si="1197"/>
        <v>123.26379230412604</v>
      </c>
      <c r="AM758" s="134">
        <f t="shared" si="1197"/>
        <v>0</v>
      </c>
      <c r="AN758" s="134">
        <f t="shared" si="1197"/>
        <v>0</v>
      </c>
      <c r="AO758" s="134">
        <f t="shared" si="1197"/>
        <v>60.754382585243661</v>
      </c>
      <c r="AP758" s="134">
        <f t="shared" si="1197"/>
        <v>168.41530054644807</v>
      </c>
      <c r="AQ758" s="134">
        <f t="shared" si="1197"/>
        <v>0</v>
      </c>
      <c r="AR758" s="134">
        <f t="shared" si="1197"/>
        <v>0</v>
      </c>
      <c r="AS758" s="134">
        <f t="shared" si="1197"/>
        <v>0</v>
      </c>
      <c r="AT758" s="134">
        <f t="shared" si="1197"/>
        <v>62.505307855626327</v>
      </c>
      <c r="AU758" s="134">
        <f t="shared" si="1197"/>
        <v>0</v>
      </c>
      <c r="AV758" s="134">
        <f t="shared" si="1197"/>
        <v>0</v>
      </c>
      <c r="AW758" s="134">
        <f t="shared" si="1197"/>
        <v>0</v>
      </c>
      <c r="AX758" s="134">
        <f t="shared" si="1197"/>
        <v>77.492405412869374</v>
      </c>
      <c r="AY758" s="134">
        <f t="shared" si="1197"/>
        <v>0</v>
      </c>
      <c r="AZ758" s="134">
        <f t="shared" si="1197"/>
        <v>0</v>
      </c>
      <c r="BA758" s="134">
        <f t="shared" si="1197"/>
        <v>0</v>
      </c>
      <c r="BB758" s="134">
        <f t="shared" si="1197"/>
        <v>123.26379230412604</v>
      </c>
      <c r="BC758" s="132">
        <f t="shared" si="1137"/>
        <v>1832.8719589918987</v>
      </c>
    </row>
    <row r="759" spans="1:57" x14ac:dyDescent="0.25">
      <c r="B759" s="131" t="s">
        <v>288</v>
      </c>
      <c r="C759" s="131">
        <f>SUM(C751:C758)</f>
        <v>1016.0000000000001</v>
      </c>
      <c r="D759" s="131">
        <f t="shared" ref="D759:BB759" si="1198">SUM(D751:D758)</f>
        <v>732.66666666666674</v>
      </c>
      <c r="E759" s="131">
        <f t="shared" si="1198"/>
        <v>579.33333333333348</v>
      </c>
      <c r="F759" s="131">
        <f t="shared" si="1198"/>
        <v>1437.3333333333337</v>
      </c>
      <c r="G759" s="131">
        <f t="shared" si="1198"/>
        <v>1309.3333333333335</v>
      </c>
      <c r="H759" s="131">
        <f t="shared" si="1198"/>
        <v>1056.6666666666667</v>
      </c>
      <c r="I759" s="131">
        <f t="shared" si="1198"/>
        <v>939.33333333333371</v>
      </c>
      <c r="J759" s="131">
        <f t="shared" si="1198"/>
        <v>813.33333333333337</v>
      </c>
      <c r="K759" s="131">
        <f t="shared" si="1198"/>
        <v>595.99999999999989</v>
      </c>
      <c r="L759" s="131">
        <f t="shared" si="1198"/>
        <v>1344.666666666667</v>
      </c>
      <c r="M759" s="131">
        <f t="shared" si="1198"/>
        <v>1227.3333333333333</v>
      </c>
      <c r="N759" s="131">
        <f t="shared" si="1198"/>
        <v>1129.3333333333333</v>
      </c>
      <c r="O759" s="131">
        <f t="shared" si="1198"/>
        <v>1016.0000000000001</v>
      </c>
      <c r="P759" s="131">
        <f t="shared" si="1198"/>
        <v>732.66666666666674</v>
      </c>
      <c r="Q759" s="131">
        <f t="shared" si="1198"/>
        <v>571.33333333333348</v>
      </c>
      <c r="R759" s="131">
        <f t="shared" si="1198"/>
        <v>1369.333333333333</v>
      </c>
      <c r="S759" s="131">
        <f t="shared" si="1198"/>
        <v>1309.3333333333335</v>
      </c>
      <c r="T759" s="131">
        <f t="shared" si="1198"/>
        <v>1059.3333333333335</v>
      </c>
      <c r="U759" s="131">
        <f t="shared" si="1198"/>
        <v>939.33333333333371</v>
      </c>
      <c r="V759" s="131">
        <f t="shared" si="1198"/>
        <v>829.33333333333337</v>
      </c>
      <c r="W759" s="131">
        <f t="shared" si="1198"/>
        <v>647.99999999999966</v>
      </c>
      <c r="X759" s="131">
        <f t="shared" si="1198"/>
        <v>1344.666666666667</v>
      </c>
      <c r="Y759" s="131">
        <f t="shared" si="1198"/>
        <v>1219.3333333333333</v>
      </c>
      <c r="Z759" s="131">
        <f t="shared" si="1198"/>
        <v>1156</v>
      </c>
      <c r="AA759" s="131">
        <f t="shared" si="1198"/>
        <v>1016.0000000000001</v>
      </c>
      <c r="AB759" s="131">
        <f t="shared" si="1198"/>
        <v>728.66666666666674</v>
      </c>
      <c r="AC759" s="131">
        <f t="shared" si="1198"/>
        <v>579.33333333333348</v>
      </c>
      <c r="AD759" s="131">
        <f t="shared" si="1198"/>
        <v>1429.3333333333335</v>
      </c>
      <c r="AE759" s="131">
        <f t="shared" si="1198"/>
        <v>1309.3333333333335</v>
      </c>
      <c r="AF759" s="131">
        <f t="shared" si="1198"/>
        <v>1056.6666666666667</v>
      </c>
      <c r="AG759" s="131">
        <f t="shared" si="1198"/>
        <v>939.33333333333371</v>
      </c>
      <c r="AH759" s="131">
        <f t="shared" si="1198"/>
        <v>829.33333333333337</v>
      </c>
      <c r="AI759" s="131">
        <f t="shared" si="1198"/>
        <v>647.99999999999966</v>
      </c>
      <c r="AJ759" s="131">
        <f t="shared" si="1198"/>
        <v>1344.666666666667</v>
      </c>
      <c r="AK759" s="131">
        <f t="shared" si="1198"/>
        <v>1219.3333333333333</v>
      </c>
      <c r="AL759" s="131">
        <f t="shared" si="1198"/>
        <v>1156</v>
      </c>
      <c r="AM759" s="131">
        <f t="shared" si="1198"/>
        <v>1016.0000000000001</v>
      </c>
      <c r="AN759" s="131">
        <f t="shared" si="1198"/>
        <v>732.66666666666674</v>
      </c>
      <c r="AO759" s="131">
        <f t="shared" si="1198"/>
        <v>571.33333333333348</v>
      </c>
      <c r="AP759" s="131">
        <f t="shared" si="1198"/>
        <v>1429.3333333333335</v>
      </c>
      <c r="AQ759" s="131">
        <f t="shared" si="1198"/>
        <v>1309.3333333333335</v>
      </c>
      <c r="AR759" s="131">
        <f t="shared" si="1198"/>
        <v>1056.6666666666667</v>
      </c>
      <c r="AS759" s="131">
        <f t="shared" si="1198"/>
        <v>639.33333333333337</v>
      </c>
      <c r="AT759" s="131">
        <f t="shared" si="1198"/>
        <v>682.66666666666674</v>
      </c>
      <c r="AU759" s="131">
        <f t="shared" si="1198"/>
        <v>666</v>
      </c>
      <c r="AV759" s="131">
        <f t="shared" si="1198"/>
        <v>612.66666666666663</v>
      </c>
      <c r="AW759" s="131">
        <f t="shared" si="1198"/>
        <v>939.33333333333371</v>
      </c>
      <c r="AX759" s="131">
        <f t="shared" si="1198"/>
        <v>813.33333333333337</v>
      </c>
      <c r="AY759" s="131">
        <f t="shared" si="1198"/>
        <v>595.99999999999989</v>
      </c>
      <c r="AZ759" s="131">
        <f t="shared" si="1198"/>
        <v>1304.6666666666667</v>
      </c>
      <c r="BA759" s="131">
        <f t="shared" si="1198"/>
        <v>1219.3333333333333</v>
      </c>
      <c r="BB759" s="131">
        <f t="shared" si="1198"/>
        <v>1156</v>
      </c>
      <c r="BC759" s="149">
        <f>SUM(C759:BB759)</f>
        <v>51376.666666666664</v>
      </c>
    </row>
    <row r="762" spans="1:57" x14ac:dyDescent="0.25">
      <c r="A762" s="73">
        <f>'Client Data'!A2</f>
        <v>8</v>
      </c>
      <c r="B762" s="61" t="s">
        <v>201</v>
      </c>
      <c r="C762" s="61">
        <f t="shared" ref="C762:AH762" si="1199">C56</f>
        <v>1</v>
      </c>
      <c r="D762" s="61">
        <f t="shared" si="1199"/>
        <v>2</v>
      </c>
      <c r="E762" s="61">
        <f t="shared" si="1199"/>
        <v>3</v>
      </c>
      <c r="F762" s="61">
        <f t="shared" si="1199"/>
        <v>4</v>
      </c>
      <c r="G762" s="61">
        <f t="shared" si="1199"/>
        <v>5</v>
      </c>
      <c r="H762" s="61">
        <f t="shared" si="1199"/>
        <v>6</v>
      </c>
      <c r="I762" s="61">
        <f t="shared" si="1199"/>
        <v>7</v>
      </c>
      <c r="J762" s="61">
        <f t="shared" si="1199"/>
        <v>8</v>
      </c>
      <c r="K762" s="61">
        <f t="shared" si="1199"/>
        <v>9</v>
      </c>
      <c r="L762" s="61">
        <f t="shared" si="1199"/>
        <v>10</v>
      </c>
      <c r="M762" s="61">
        <f t="shared" si="1199"/>
        <v>11</v>
      </c>
      <c r="N762" s="61">
        <f t="shared" si="1199"/>
        <v>12</v>
      </c>
      <c r="O762" s="61">
        <f t="shared" si="1199"/>
        <v>13</v>
      </c>
      <c r="P762" s="61">
        <f t="shared" si="1199"/>
        <v>14</v>
      </c>
      <c r="Q762" s="61">
        <f t="shared" si="1199"/>
        <v>15</v>
      </c>
      <c r="R762" s="61">
        <f t="shared" si="1199"/>
        <v>16</v>
      </c>
      <c r="S762" s="61">
        <f t="shared" si="1199"/>
        <v>17</v>
      </c>
      <c r="T762" s="61">
        <f t="shared" si="1199"/>
        <v>18</v>
      </c>
      <c r="U762" s="61">
        <f t="shared" si="1199"/>
        <v>19</v>
      </c>
      <c r="V762" s="61">
        <f t="shared" si="1199"/>
        <v>20</v>
      </c>
      <c r="W762" s="61">
        <f t="shared" si="1199"/>
        <v>21</v>
      </c>
      <c r="X762" s="61">
        <f t="shared" si="1199"/>
        <v>22</v>
      </c>
      <c r="Y762" s="61">
        <f t="shared" si="1199"/>
        <v>23</v>
      </c>
      <c r="Z762" s="61">
        <f t="shared" si="1199"/>
        <v>24</v>
      </c>
      <c r="AA762" s="61">
        <f t="shared" si="1199"/>
        <v>25</v>
      </c>
      <c r="AB762" s="61">
        <f t="shared" si="1199"/>
        <v>26</v>
      </c>
      <c r="AC762" s="61">
        <f t="shared" si="1199"/>
        <v>27</v>
      </c>
      <c r="AD762" s="61">
        <f t="shared" si="1199"/>
        <v>28</v>
      </c>
      <c r="AE762" s="61">
        <f t="shared" si="1199"/>
        <v>29</v>
      </c>
      <c r="AF762" s="61">
        <f t="shared" si="1199"/>
        <v>30</v>
      </c>
      <c r="AG762" s="61">
        <f t="shared" si="1199"/>
        <v>31</v>
      </c>
      <c r="AH762" s="61">
        <f t="shared" si="1199"/>
        <v>32</v>
      </c>
      <c r="AI762" s="61">
        <f t="shared" ref="AI762:BB762" si="1200">AI56</f>
        <v>33</v>
      </c>
      <c r="AJ762" s="61">
        <f t="shared" si="1200"/>
        <v>34</v>
      </c>
      <c r="AK762" s="61">
        <f t="shared" si="1200"/>
        <v>35</v>
      </c>
      <c r="AL762" s="61">
        <f t="shared" si="1200"/>
        <v>36</v>
      </c>
      <c r="AM762" s="61">
        <f t="shared" si="1200"/>
        <v>37</v>
      </c>
      <c r="AN762" s="61">
        <f t="shared" si="1200"/>
        <v>38</v>
      </c>
      <c r="AO762" s="61">
        <f t="shared" si="1200"/>
        <v>39</v>
      </c>
      <c r="AP762" s="61">
        <f t="shared" si="1200"/>
        <v>40</v>
      </c>
      <c r="AQ762" s="61">
        <f t="shared" si="1200"/>
        <v>41</v>
      </c>
      <c r="AR762" s="61">
        <f t="shared" si="1200"/>
        <v>42</v>
      </c>
      <c r="AS762" s="61">
        <f t="shared" si="1200"/>
        <v>43</v>
      </c>
      <c r="AT762" s="61">
        <f t="shared" si="1200"/>
        <v>44</v>
      </c>
      <c r="AU762" s="61">
        <f t="shared" si="1200"/>
        <v>45</v>
      </c>
      <c r="AV762" s="61">
        <f t="shared" si="1200"/>
        <v>46</v>
      </c>
      <c r="AW762" s="61">
        <f t="shared" si="1200"/>
        <v>47</v>
      </c>
      <c r="AX762" s="61">
        <f t="shared" si="1200"/>
        <v>48</v>
      </c>
      <c r="AY762" s="61">
        <f t="shared" si="1200"/>
        <v>49</v>
      </c>
      <c r="AZ762" s="61">
        <f t="shared" si="1200"/>
        <v>50</v>
      </c>
      <c r="BA762" s="61">
        <f t="shared" si="1200"/>
        <v>51</v>
      </c>
      <c r="BB762" s="61">
        <f t="shared" si="1200"/>
        <v>52</v>
      </c>
      <c r="BC762" s="19" t="s">
        <v>323</v>
      </c>
      <c r="BD762" s="19" t="s">
        <v>322</v>
      </c>
      <c r="BE762" s="19" t="s">
        <v>11</v>
      </c>
    </row>
    <row r="763" spans="1:57" x14ac:dyDescent="0.25">
      <c r="A763">
        <f>A762</f>
        <v>8</v>
      </c>
      <c r="B763" s="19" t="str">
        <f t="shared" ref="B763:B782" si="1201">B10</f>
        <v>Product A</v>
      </c>
      <c r="C763" s="35">
        <f>IF(AND(C$190&gt;0,$A763&gt;0),'Client Data'!D3,0)</f>
        <v>9000</v>
      </c>
      <c r="D763" s="35">
        <f>IF(AND(D$190&gt;0,$A763&gt;0),'Client Data'!E3,0)</f>
        <v>0</v>
      </c>
      <c r="E763" s="35">
        <f>IF(AND(E$190&gt;0,$A763&gt;0),'Client Data'!F3,0)</f>
        <v>5000</v>
      </c>
      <c r="F763" s="35">
        <f>IF(AND(F$190&gt;0,$A763&gt;0),'Client Data'!G3,0)</f>
        <v>0</v>
      </c>
      <c r="G763" s="35">
        <f>IF(AND(G$190&gt;0,$A763&gt;0),'Client Data'!H3,0)</f>
        <v>9000</v>
      </c>
      <c r="H763" s="35">
        <f>IF(AND(H$190&gt;0,$A763&gt;0),'Client Data'!I3,0)</f>
        <v>0</v>
      </c>
      <c r="I763" s="35">
        <f>IF(AND(I$190&gt;0,$A763&gt;0),'Client Data'!J3,0)</f>
        <v>0</v>
      </c>
      <c r="J763" s="35">
        <f>IF(AND(J$190&gt;0,$A763&gt;0),'Client Data'!K3,0)</f>
        <v>0</v>
      </c>
      <c r="K763" s="35">
        <f>IF(AND(K$190&gt;0,$A763&gt;0),'Client Data'!L3,0)</f>
        <v>9000</v>
      </c>
      <c r="L763" s="35">
        <f>IF(AND(L$190&gt;0,$A763&gt;0),'Client Data'!M3,0)</f>
        <v>0</v>
      </c>
      <c r="M763" s="35">
        <f>IF(AND(M$190&gt;0,$A763&gt;0),'Client Data'!N3,0)</f>
        <v>0</v>
      </c>
      <c r="N763" s="35">
        <f>IF(AND(N$190&gt;0,$A763&gt;0),'Client Data'!O3,0)</f>
        <v>0</v>
      </c>
      <c r="O763" s="35">
        <f>IF(AND(O$190&gt;0,$A763&gt;0),'Client Data'!P3,0)</f>
        <v>9000</v>
      </c>
      <c r="P763" s="35">
        <f>IF(AND(P$190&gt;0,$A763&gt;0),'Client Data'!Q3,0)</f>
        <v>3000</v>
      </c>
      <c r="Q763" s="35">
        <f>IF(AND(Q$190&gt;0,$A763&gt;0),'Client Data'!R3,0)</f>
        <v>0</v>
      </c>
      <c r="R763" s="35">
        <f>IF(AND(R$190&gt;0,$A763&gt;0),'Client Data'!S3,0)</f>
        <v>0</v>
      </c>
      <c r="S763" s="35">
        <f>IF(AND(S$190&gt;0,$A763&gt;0),'Client Data'!T3,0)</f>
        <v>9000</v>
      </c>
      <c r="T763" s="35">
        <f>IF(AND(T$190&gt;0,$A763&gt;0),'Client Data'!U3,0)</f>
        <v>0</v>
      </c>
      <c r="U763" s="35">
        <f>IF(AND(U$190&gt;0,$A763&gt;0),'Client Data'!V3,0)</f>
        <v>0</v>
      </c>
      <c r="V763" s="35">
        <f>IF(AND(V$190&gt;0,$A763&gt;0),'Client Data'!W3,0)</f>
        <v>3000</v>
      </c>
      <c r="W763" s="35">
        <f>IF(AND(W$190&gt;0,$A763&gt;0),'Client Data'!X3,0)</f>
        <v>9000</v>
      </c>
      <c r="X763" s="35">
        <f>IF(AND(X$190&gt;0,$A763&gt;0),'Client Data'!Y3,0)</f>
        <v>0</v>
      </c>
      <c r="Y763" s="35">
        <f>IF(AND(Y$190&gt;0,$A763&gt;0),'Client Data'!Z3,0)</f>
        <v>0</v>
      </c>
      <c r="Z763" s="35">
        <f>IF(AND(Z$190&gt;0,$A763&gt;0),'Client Data'!AA3,0)</f>
        <v>0</v>
      </c>
      <c r="AA763" s="35">
        <f>IF(AND(AA$190&gt;0,$A763&gt;0),'Client Data'!AB3,0)</f>
        <v>9000</v>
      </c>
      <c r="AB763" s="35">
        <f>IF(AND(AB$190&gt;0,$A763&gt;0),'Client Data'!AC3,0)</f>
        <v>0</v>
      </c>
      <c r="AC763" s="35">
        <f>IF(AND(AC$190&gt;0,$A763&gt;0),'Client Data'!AD3,0)</f>
        <v>6000</v>
      </c>
      <c r="AD763" s="35">
        <f>IF(AND(AD$190&gt;0,$A763&gt;0),'Client Data'!AE3,0)</f>
        <v>0</v>
      </c>
      <c r="AE763" s="35">
        <f>IF(AND(AE$190&gt;0,$A763&gt;0),'Client Data'!AF3,0)</f>
        <v>9000</v>
      </c>
      <c r="AF763" s="35">
        <f>IF(AND(AF$190&gt;0,$A763&gt;0),'Client Data'!AG3,0)</f>
        <v>0</v>
      </c>
      <c r="AG763" s="35">
        <f>IF(AND(AG$190&gt;0,$A763&gt;0),'Client Data'!AH3,0)</f>
        <v>0</v>
      </c>
      <c r="AH763" s="35">
        <f>IF(AND(AH$190&gt;0,$A763&gt;0),'Client Data'!AI3,0)</f>
        <v>3000</v>
      </c>
      <c r="AI763" s="35">
        <f>IF(AND(AI$190&gt;0,$A763&gt;0),'Client Data'!AJ3,0)</f>
        <v>9000</v>
      </c>
      <c r="AJ763" s="35">
        <f>IF(AND(AJ$190&gt;0,$A763&gt;0),'Client Data'!AK3,0)</f>
        <v>0</v>
      </c>
      <c r="AK763" s="35">
        <f>IF(AND(AK$190&gt;0,$A763&gt;0),'Client Data'!AL3,0)</f>
        <v>0</v>
      </c>
      <c r="AL763" s="35">
        <f>IF(AND(AL$190&gt;0,$A763&gt;0),'Client Data'!AM3,0)</f>
        <v>0</v>
      </c>
      <c r="AM763" s="35">
        <f>IF(AND(AM$190&gt;0,$A763&gt;0),'Client Data'!AN3,0)</f>
        <v>9000</v>
      </c>
      <c r="AN763" s="35">
        <f>IF(AND(AN$190&gt;0,$A763&gt;0),'Client Data'!AO3,0)</f>
        <v>3000</v>
      </c>
      <c r="AO763" s="35">
        <f>IF(AND(AO$190&gt;0,$A763&gt;0),'Client Data'!AP3,0)</f>
        <v>0</v>
      </c>
      <c r="AP763" s="35">
        <f>IF(AND(AP$190&gt;0,$A763&gt;0),'Client Data'!AQ3,0)</f>
        <v>0</v>
      </c>
      <c r="AQ763" s="35">
        <f>IF(AND(AQ$190&gt;0,$A763&gt;0),'Client Data'!AR3,0)</f>
        <v>9000</v>
      </c>
      <c r="AR763" s="35">
        <f>IF(AND(AR$190&gt;0,$A763&gt;0),'Client Data'!AS3,0)</f>
        <v>0</v>
      </c>
      <c r="AS763" s="35">
        <f>IF(AND(AS$190&gt;0,$A763&gt;0),'Client Data'!AT3,0)</f>
        <v>5000</v>
      </c>
      <c r="AT763" s="35">
        <f>IF(AND(AT$190&gt;0,$A763&gt;0),'Client Data'!AU3,0)</f>
        <v>0</v>
      </c>
      <c r="AU763" s="35">
        <f>IF(AND(AU$190&gt;0,$A763&gt;0),'Client Data'!AV3,0)</f>
        <v>9000</v>
      </c>
      <c r="AV763" s="35">
        <f>IF(AND(AV$190&gt;0,$A763&gt;0),'Client Data'!AW3,0)</f>
        <v>5000</v>
      </c>
      <c r="AW763" s="35">
        <f>IF(AND(AW$190&gt;0,$A763&gt;0),'Client Data'!AX3,0)</f>
        <v>0</v>
      </c>
      <c r="AX763" s="35">
        <f>IF(AND(AX$190&gt;0,$A763&gt;0),'Client Data'!AY3,0)</f>
        <v>0</v>
      </c>
      <c r="AY763" s="35">
        <f>IF(AND(AY$190&gt;0,$A763&gt;0),'Client Data'!AZ3,0)</f>
        <v>9000</v>
      </c>
      <c r="AZ763" s="35">
        <f>IF(AND(AZ$190&gt;0,$A763&gt;0),'Client Data'!BA3,0)</f>
        <v>0</v>
      </c>
      <c r="BA763" s="35">
        <f>IF(AND(BA$190&gt;0,$A763&gt;0),'Client Data'!BB3,0)</f>
        <v>0</v>
      </c>
      <c r="BB763" s="35">
        <f>IF(AND(BB$190&gt;0,$A763&gt;0),'Client Data'!BC3,0)</f>
        <v>0</v>
      </c>
      <c r="BC763" s="19">
        <f t="shared" ref="BC763:BC782" si="1202">SUM(C763:BB763)</f>
        <v>150000</v>
      </c>
      <c r="BD763" s="19">
        <f t="shared" ref="BD763:BD782" si="1203">BC763*C825</f>
        <v>1350000</v>
      </c>
      <c r="BE763" s="19">
        <f t="shared" ref="BE763:BE770" si="1204">BD763-BC798</f>
        <v>-297819.83395461505</v>
      </c>
    </row>
    <row r="764" spans="1:57" x14ac:dyDescent="0.25">
      <c r="A764">
        <f>A763-1</f>
        <v>7</v>
      </c>
      <c r="B764" s="19" t="str">
        <f t="shared" si="1201"/>
        <v>Product B</v>
      </c>
      <c r="C764" s="35">
        <f>IF(AND(C$190&gt;0,$A764&gt;0),'Client Data'!D4,0)</f>
        <v>8000</v>
      </c>
      <c r="D764" s="35">
        <f>IF(AND(D$190&gt;0,$A764&gt;0),'Client Data'!E4,0)</f>
        <v>9000</v>
      </c>
      <c r="E764" s="35">
        <f>IF(AND(E$190&gt;0,$A764&gt;0),'Client Data'!F4,0)</f>
        <v>0</v>
      </c>
      <c r="F764" s="35">
        <f>IF(AND(F$190&gt;0,$A764&gt;0),'Client Data'!G4,0)</f>
        <v>6000</v>
      </c>
      <c r="G764" s="35">
        <f>IF(AND(G$190&gt;0,$A764&gt;0),'Client Data'!H4,0)</f>
        <v>8000</v>
      </c>
      <c r="H764" s="35">
        <f>IF(AND(H$190&gt;0,$A764&gt;0),'Client Data'!I4,0)</f>
        <v>9000</v>
      </c>
      <c r="I764" s="35">
        <f>IF(AND(I$190&gt;0,$A764&gt;0),'Client Data'!J4,0)</f>
        <v>0</v>
      </c>
      <c r="J764" s="35">
        <f>IF(AND(J$190&gt;0,$A764&gt;0),'Client Data'!K4,0)</f>
        <v>3000</v>
      </c>
      <c r="K764" s="35">
        <f>IF(AND(K$190&gt;0,$A764&gt;0),'Client Data'!L4,0)</f>
        <v>8000</v>
      </c>
      <c r="L764" s="35">
        <f>IF(AND(L$190&gt;0,$A764&gt;0),'Client Data'!M4,0)</f>
        <v>9000</v>
      </c>
      <c r="M764" s="35">
        <f>IF(AND(M$190&gt;0,$A764&gt;0),'Client Data'!N4,0)</f>
        <v>0</v>
      </c>
      <c r="N764" s="35">
        <f>IF(AND(N$190&gt;0,$A764&gt;0),'Client Data'!O4,0)</f>
        <v>0</v>
      </c>
      <c r="O764" s="35">
        <f>IF(AND(O$190&gt;0,$A764&gt;0),'Client Data'!P4,0)</f>
        <v>8000</v>
      </c>
      <c r="P764" s="35">
        <f>IF(AND(P$190&gt;0,$A764&gt;0),'Client Data'!Q4,0)</f>
        <v>9000</v>
      </c>
      <c r="Q764" s="35">
        <f>IF(AND(Q$190&gt;0,$A764&gt;0),'Client Data'!R4,0)</f>
        <v>0</v>
      </c>
      <c r="R764" s="35">
        <f>IF(AND(R$190&gt;0,$A764&gt;0),'Client Data'!S4,0)</f>
        <v>0</v>
      </c>
      <c r="S764" s="35">
        <f>IF(AND(S$190&gt;0,$A764&gt;0),'Client Data'!T4,0)</f>
        <v>8000</v>
      </c>
      <c r="T764" s="35">
        <f>IF(AND(T$190&gt;0,$A764&gt;0),'Client Data'!U4,0)</f>
        <v>9000</v>
      </c>
      <c r="U764" s="35">
        <f>IF(AND(U$190&gt;0,$A764&gt;0),'Client Data'!V4,0)</f>
        <v>0</v>
      </c>
      <c r="V764" s="35">
        <f>IF(AND(V$190&gt;0,$A764&gt;0),'Client Data'!W4,0)</f>
        <v>0</v>
      </c>
      <c r="W764" s="35">
        <f>IF(AND(W$190&gt;0,$A764&gt;0),'Client Data'!X4,0)</f>
        <v>8000</v>
      </c>
      <c r="X764" s="35">
        <f>IF(AND(X$190&gt;0,$A764&gt;0),'Client Data'!Y4,0)</f>
        <v>9000</v>
      </c>
      <c r="Y764" s="35">
        <f>IF(AND(Y$190&gt;0,$A764&gt;0),'Client Data'!Z4,0)</f>
        <v>0</v>
      </c>
      <c r="Z764" s="35">
        <f>IF(AND(Z$190&gt;0,$A764&gt;0),'Client Data'!AA4,0)</f>
        <v>0</v>
      </c>
      <c r="AA764" s="35">
        <f>IF(AND(AA$190&gt;0,$A764&gt;0),'Client Data'!AB4,0)</f>
        <v>8000</v>
      </c>
      <c r="AB764" s="35">
        <f>IF(AND(AB$190&gt;0,$A764&gt;0),'Client Data'!AC4,0)</f>
        <v>9000</v>
      </c>
      <c r="AC764" s="35">
        <f>IF(AND(AC$190&gt;0,$A764&gt;0),'Client Data'!AD4,0)</f>
        <v>0</v>
      </c>
      <c r="AD764" s="35">
        <f>IF(AND(AD$190&gt;0,$A764&gt;0),'Client Data'!AE4,0)</f>
        <v>0</v>
      </c>
      <c r="AE764" s="35">
        <f>IF(AND(AE$190&gt;0,$A764&gt;0),'Client Data'!AF4,0)</f>
        <v>8000</v>
      </c>
      <c r="AF764" s="35">
        <f>IF(AND(AF$190&gt;0,$A764&gt;0),'Client Data'!AG4,0)</f>
        <v>9000</v>
      </c>
      <c r="AG764" s="35">
        <f>IF(AND(AG$190&gt;0,$A764&gt;0),'Client Data'!AH4,0)</f>
        <v>0</v>
      </c>
      <c r="AH764" s="35">
        <f>IF(AND(AH$190&gt;0,$A764&gt;0),'Client Data'!AI4,0)</f>
        <v>0</v>
      </c>
      <c r="AI764" s="35">
        <f>IF(AND(AI$190&gt;0,$A764&gt;0),'Client Data'!AJ4,0)</f>
        <v>8000</v>
      </c>
      <c r="AJ764" s="35">
        <f>IF(AND(AJ$190&gt;0,$A764&gt;0),'Client Data'!AK4,0)</f>
        <v>9000</v>
      </c>
      <c r="AK764" s="35">
        <f>IF(AND(AK$190&gt;0,$A764&gt;0),'Client Data'!AL4,0)</f>
        <v>0</v>
      </c>
      <c r="AL764" s="35">
        <f>IF(AND(AL$190&gt;0,$A764&gt;0),'Client Data'!AM4,0)</f>
        <v>0</v>
      </c>
      <c r="AM764" s="35">
        <f>IF(AND(AM$190&gt;0,$A764&gt;0),'Client Data'!AN4,0)</f>
        <v>8000</v>
      </c>
      <c r="AN764" s="35">
        <f>IF(AND(AN$190&gt;0,$A764&gt;0),'Client Data'!AO4,0)</f>
        <v>9000</v>
      </c>
      <c r="AO764" s="35">
        <f>IF(AND(AO$190&gt;0,$A764&gt;0),'Client Data'!AP4,0)</f>
        <v>0</v>
      </c>
      <c r="AP764" s="35">
        <f>IF(AND(AP$190&gt;0,$A764&gt;0),'Client Data'!AQ4,0)</f>
        <v>0</v>
      </c>
      <c r="AQ764" s="35">
        <f>IF(AND(AQ$190&gt;0,$A764&gt;0),'Client Data'!AR4,0)</f>
        <v>8000</v>
      </c>
      <c r="AR764" s="35">
        <f>IF(AND(AR$190&gt;0,$A764&gt;0),'Client Data'!AS4,0)</f>
        <v>9000</v>
      </c>
      <c r="AS764" s="35">
        <f>IF(AND(AS$190&gt;0,$A764&gt;0),'Client Data'!AT4,0)</f>
        <v>0</v>
      </c>
      <c r="AT764" s="35">
        <f>IF(AND(AT$190&gt;0,$A764&gt;0),'Client Data'!AU4,0)</f>
        <v>5000</v>
      </c>
      <c r="AU764" s="35">
        <f>IF(AND(AU$190&gt;0,$A764&gt;0),'Client Data'!AV4,0)</f>
        <v>8000</v>
      </c>
      <c r="AV764" s="35">
        <f>IF(AND(AV$190&gt;0,$A764&gt;0),'Client Data'!AW4,0)</f>
        <v>9000</v>
      </c>
      <c r="AW764" s="35">
        <f>IF(AND(AW$190&gt;0,$A764&gt;0),'Client Data'!AX4,0)</f>
        <v>0</v>
      </c>
      <c r="AX764" s="35">
        <f>IF(AND(AX$190&gt;0,$A764&gt;0),'Client Data'!AY4,0)</f>
        <v>3000</v>
      </c>
      <c r="AY764" s="35">
        <f>IF(AND(AY$190&gt;0,$A764&gt;0),'Client Data'!AZ4,0)</f>
        <v>8000</v>
      </c>
      <c r="AZ764" s="35">
        <f>IF(AND(AZ$190&gt;0,$A764&gt;0),'Client Data'!BA4,0)</f>
        <v>3000</v>
      </c>
      <c r="BA764" s="35">
        <f>IF(AND(BA$190&gt;0,$A764&gt;0),'Client Data'!BB4,0)</f>
        <v>0</v>
      </c>
      <c r="BB764" s="35">
        <f>IF(AND(BB$190&gt;0,$A764&gt;0),'Client Data'!BC4,0)</f>
        <v>0</v>
      </c>
      <c r="BC764" s="19">
        <f t="shared" si="1202"/>
        <v>232000</v>
      </c>
      <c r="BD764" s="19">
        <f t="shared" si="1203"/>
        <v>2273600</v>
      </c>
      <c r="BE764" s="19">
        <f t="shared" si="1204"/>
        <v>-565175.04612561641</v>
      </c>
    </row>
    <row r="765" spans="1:57" x14ac:dyDescent="0.25">
      <c r="A765">
        <f t="shared" ref="A765:A782" si="1205">A764-1</f>
        <v>6</v>
      </c>
      <c r="B765" s="19" t="str">
        <f t="shared" si="1201"/>
        <v>Product C</v>
      </c>
      <c r="C765" s="35">
        <f>IF(AND(C$190&gt;0,$A765&gt;0),'Client Data'!D5,0)</f>
        <v>10000</v>
      </c>
      <c r="D765" s="35">
        <f>IF(AND(D$190&gt;0,$A765&gt;0),'Client Data'!E5,0)</f>
        <v>8000</v>
      </c>
      <c r="E765" s="35">
        <f>IF(AND(E$190&gt;0,$A765&gt;0),'Client Data'!F5,0)</f>
        <v>9000</v>
      </c>
      <c r="F765" s="35">
        <f>IF(AND(F$190&gt;0,$A765&gt;0),'Client Data'!G5,0)</f>
        <v>0</v>
      </c>
      <c r="G765" s="35">
        <f>IF(AND(G$190&gt;0,$A765&gt;0),'Client Data'!H5,0)</f>
        <v>10000</v>
      </c>
      <c r="H765" s="35">
        <f>IF(AND(H$190&gt;0,$A765&gt;0),'Client Data'!I5,0)</f>
        <v>8000</v>
      </c>
      <c r="I765" s="35">
        <f>IF(AND(I$190&gt;0,$A765&gt;0),'Client Data'!J5,0)</f>
        <v>9000</v>
      </c>
      <c r="J765" s="35">
        <f>IF(AND(J$190&gt;0,$A765&gt;0),'Client Data'!K5,0)</f>
        <v>0</v>
      </c>
      <c r="K765" s="35">
        <f>IF(AND(K$190&gt;0,$A765&gt;0),'Client Data'!L5,0)</f>
        <v>10000</v>
      </c>
      <c r="L765" s="35">
        <f>IF(AND(L$190&gt;0,$A765&gt;0),'Client Data'!M5,0)</f>
        <v>8000</v>
      </c>
      <c r="M765" s="35">
        <f>IF(AND(M$190&gt;0,$A765&gt;0),'Client Data'!N5,0)</f>
        <v>9000</v>
      </c>
      <c r="N765" s="35">
        <f>IF(AND(N$190&gt;0,$A765&gt;0),'Client Data'!O5,0)</f>
        <v>0</v>
      </c>
      <c r="O765" s="35">
        <f>IF(AND(O$190&gt;0,$A765&gt;0),'Client Data'!P5,0)</f>
        <v>10000</v>
      </c>
      <c r="P765" s="35">
        <f>IF(AND(P$190&gt;0,$A765&gt;0),'Client Data'!Q5,0)</f>
        <v>8000</v>
      </c>
      <c r="Q765" s="35">
        <f>IF(AND(Q$190&gt;0,$A765&gt;0),'Client Data'!R5,0)</f>
        <v>9000</v>
      </c>
      <c r="R765" s="35">
        <f>IF(AND(R$190&gt;0,$A765&gt;0),'Client Data'!S5,0)</f>
        <v>0</v>
      </c>
      <c r="S765" s="35">
        <f>IF(AND(S$190&gt;0,$A765&gt;0),'Client Data'!T5,0)</f>
        <v>10000</v>
      </c>
      <c r="T765" s="35">
        <f>IF(AND(T$190&gt;0,$A765&gt;0),'Client Data'!U5,0)</f>
        <v>8000</v>
      </c>
      <c r="U765" s="35">
        <f>IF(AND(U$190&gt;0,$A765&gt;0),'Client Data'!V5,0)</f>
        <v>9000</v>
      </c>
      <c r="V765" s="35">
        <f>IF(AND(V$190&gt;0,$A765&gt;0),'Client Data'!W5,0)</f>
        <v>0</v>
      </c>
      <c r="W765" s="35">
        <f>IF(AND(W$190&gt;0,$A765&gt;0),'Client Data'!X5,0)</f>
        <v>10000</v>
      </c>
      <c r="X765" s="35">
        <f>IF(AND(X$190&gt;0,$A765&gt;0),'Client Data'!Y5,0)</f>
        <v>8000</v>
      </c>
      <c r="Y765" s="35">
        <f>IF(AND(Y$190&gt;0,$A765&gt;0),'Client Data'!Z5,0)</f>
        <v>9000</v>
      </c>
      <c r="Z765" s="35">
        <f>IF(AND(Z$190&gt;0,$A765&gt;0),'Client Data'!AA5,0)</f>
        <v>0</v>
      </c>
      <c r="AA765" s="35">
        <f>IF(AND(AA$190&gt;0,$A765&gt;0),'Client Data'!AB5,0)</f>
        <v>10000</v>
      </c>
      <c r="AB765" s="35">
        <f>IF(AND(AB$190&gt;0,$A765&gt;0),'Client Data'!AC5,0)</f>
        <v>8000</v>
      </c>
      <c r="AC765" s="35">
        <f>IF(AND(AC$190&gt;0,$A765&gt;0),'Client Data'!AD5,0)</f>
        <v>9000</v>
      </c>
      <c r="AD765" s="35">
        <f>IF(AND(AD$190&gt;0,$A765&gt;0),'Client Data'!AE5,0)</f>
        <v>0</v>
      </c>
      <c r="AE765" s="35">
        <f>IF(AND(AE$190&gt;0,$A765&gt;0),'Client Data'!AF5,0)</f>
        <v>10000</v>
      </c>
      <c r="AF765" s="35">
        <f>IF(AND(AF$190&gt;0,$A765&gt;0),'Client Data'!AG5,0)</f>
        <v>8000</v>
      </c>
      <c r="AG765" s="35">
        <f>IF(AND(AG$190&gt;0,$A765&gt;0),'Client Data'!AH5,0)</f>
        <v>9000</v>
      </c>
      <c r="AH765" s="35">
        <f>IF(AND(AH$190&gt;0,$A765&gt;0),'Client Data'!AI5,0)</f>
        <v>0</v>
      </c>
      <c r="AI765" s="35">
        <f>IF(AND(AI$190&gt;0,$A765&gt;0),'Client Data'!AJ5,0)</f>
        <v>10000</v>
      </c>
      <c r="AJ765" s="35">
        <f>IF(AND(AJ$190&gt;0,$A765&gt;0),'Client Data'!AK5,0)</f>
        <v>8000</v>
      </c>
      <c r="AK765" s="35">
        <f>IF(AND(AK$190&gt;0,$A765&gt;0),'Client Data'!AL5,0)</f>
        <v>9000</v>
      </c>
      <c r="AL765" s="35">
        <f>IF(AND(AL$190&gt;0,$A765&gt;0),'Client Data'!AM5,0)</f>
        <v>0</v>
      </c>
      <c r="AM765" s="35">
        <f>IF(AND(AM$190&gt;0,$A765&gt;0),'Client Data'!AN5,0)</f>
        <v>10000</v>
      </c>
      <c r="AN765" s="35">
        <f>IF(AND(AN$190&gt;0,$A765&gt;0),'Client Data'!AO5,0)</f>
        <v>8000</v>
      </c>
      <c r="AO765" s="35">
        <f>IF(AND(AO$190&gt;0,$A765&gt;0),'Client Data'!AP5,0)</f>
        <v>9000</v>
      </c>
      <c r="AP765" s="35">
        <f>IF(AND(AP$190&gt;0,$A765&gt;0),'Client Data'!AQ5,0)</f>
        <v>0</v>
      </c>
      <c r="AQ765" s="35">
        <f>IF(AND(AQ$190&gt;0,$A765&gt;0),'Client Data'!AR5,0)</f>
        <v>10000</v>
      </c>
      <c r="AR765" s="35">
        <f>IF(AND(AR$190&gt;0,$A765&gt;0),'Client Data'!AS5,0)</f>
        <v>8000</v>
      </c>
      <c r="AS765" s="35">
        <f>IF(AND(AS$190&gt;0,$A765&gt;0),'Client Data'!AT5,0)</f>
        <v>9000</v>
      </c>
      <c r="AT765" s="35">
        <f>IF(AND(AT$190&gt;0,$A765&gt;0),'Client Data'!AU5,0)</f>
        <v>0</v>
      </c>
      <c r="AU765" s="35">
        <f>IF(AND(AU$190&gt;0,$A765&gt;0),'Client Data'!AV5,0)</f>
        <v>10000</v>
      </c>
      <c r="AV765" s="35">
        <f>IF(AND(AV$190&gt;0,$A765&gt;0),'Client Data'!AW5,0)</f>
        <v>8000</v>
      </c>
      <c r="AW765" s="35">
        <f>IF(AND(AW$190&gt;0,$A765&gt;0),'Client Data'!AX5,0)</f>
        <v>9000</v>
      </c>
      <c r="AX765" s="35">
        <f>IF(AND(AX$190&gt;0,$A765&gt;0),'Client Data'!AY5,0)</f>
        <v>0</v>
      </c>
      <c r="AY765" s="35">
        <f>IF(AND(AY$190&gt;0,$A765&gt;0),'Client Data'!AZ5,0)</f>
        <v>10000</v>
      </c>
      <c r="AZ765" s="35">
        <f>IF(AND(AZ$190&gt;0,$A765&gt;0),'Client Data'!BA5,0)</f>
        <v>8000</v>
      </c>
      <c r="BA765" s="35">
        <f>IF(AND(BA$190&gt;0,$A765&gt;0),'Client Data'!BB5,0)</f>
        <v>9000</v>
      </c>
      <c r="BB765" s="35">
        <f>IF(AND(BB$190&gt;0,$A765&gt;0),'Client Data'!BC5,0)</f>
        <v>0</v>
      </c>
      <c r="BC765" s="19">
        <f t="shared" si="1202"/>
        <v>351000</v>
      </c>
      <c r="BD765" s="19">
        <f t="shared" si="1203"/>
        <v>3369600</v>
      </c>
      <c r="BE765" s="19">
        <f t="shared" si="1204"/>
        <v>-809502.8820710266</v>
      </c>
    </row>
    <row r="766" spans="1:57" x14ac:dyDescent="0.25">
      <c r="A766">
        <f t="shared" si="1205"/>
        <v>5</v>
      </c>
      <c r="B766" s="19" t="str">
        <f t="shared" si="1201"/>
        <v>Product D</v>
      </c>
      <c r="C766" s="35">
        <f>IF(AND(C$190&gt;0,$A766&gt;0),'Client Data'!D6,0)</f>
        <v>13000</v>
      </c>
      <c r="D766" s="35">
        <f>IF(AND(D$190&gt;0,$A766&gt;0),'Client Data'!E6,0)</f>
        <v>10000</v>
      </c>
      <c r="E766" s="35">
        <f>IF(AND(E$190&gt;0,$A766&gt;0),'Client Data'!F6,0)</f>
        <v>8000</v>
      </c>
      <c r="F766" s="35">
        <f>IF(AND(F$190&gt;0,$A766&gt;0),'Client Data'!G6,0)</f>
        <v>9000</v>
      </c>
      <c r="G766" s="35">
        <f>IF(AND(G$190&gt;0,$A766&gt;0),'Client Data'!H6,0)</f>
        <v>9000</v>
      </c>
      <c r="H766" s="35">
        <f>IF(AND(H$190&gt;0,$A766&gt;0),'Client Data'!I6,0)</f>
        <v>10000</v>
      </c>
      <c r="I766" s="35">
        <f>IF(AND(I$190&gt;0,$A766&gt;0),'Client Data'!J6,0)</f>
        <v>8000</v>
      </c>
      <c r="J766" s="35">
        <f>IF(AND(J$190&gt;0,$A766&gt;0),'Client Data'!K6,0)</f>
        <v>9000</v>
      </c>
      <c r="K766" s="35">
        <f>IF(AND(K$190&gt;0,$A766&gt;0),'Client Data'!L6,0)</f>
        <v>13000</v>
      </c>
      <c r="L766" s="35">
        <f>IF(AND(L$190&gt;0,$A766&gt;0),'Client Data'!M6,0)</f>
        <v>10000</v>
      </c>
      <c r="M766" s="35">
        <f>IF(AND(M$190&gt;0,$A766&gt;0),'Client Data'!N6,0)</f>
        <v>8000</v>
      </c>
      <c r="N766" s="35">
        <f>IF(AND(N$190&gt;0,$A766&gt;0),'Client Data'!O6,0)</f>
        <v>9000</v>
      </c>
      <c r="O766" s="35">
        <f>IF(AND(O$190&gt;0,$A766&gt;0),'Client Data'!P6,0)</f>
        <v>13000</v>
      </c>
      <c r="P766" s="35">
        <f>IF(AND(P$190&gt;0,$A766&gt;0),'Client Data'!Q6,0)</f>
        <v>10000</v>
      </c>
      <c r="Q766" s="35">
        <f>IF(AND(Q$190&gt;0,$A766&gt;0),'Client Data'!R6,0)</f>
        <v>8000</v>
      </c>
      <c r="R766" s="35">
        <f>IF(AND(R$190&gt;0,$A766&gt;0),'Client Data'!S6,0)</f>
        <v>9000</v>
      </c>
      <c r="S766" s="35">
        <f>IF(AND(S$190&gt;0,$A766&gt;0),'Client Data'!T6,0)</f>
        <v>9000</v>
      </c>
      <c r="T766" s="35">
        <f>IF(AND(T$190&gt;0,$A766&gt;0),'Client Data'!U6,0)</f>
        <v>8000</v>
      </c>
      <c r="U766" s="35">
        <f>IF(AND(U$190&gt;0,$A766&gt;0),'Client Data'!V6,0)</f>
        <v>8000</v>
      </c>
      <c r="V766" s="35">
        <f>IF(AND(V$190&gt;0,$A766&gt;0),'Client Data'!W6,0)</f>
        <v>9000</v>
      </c>
      <c r="W766" s="35">
        <f>IF(AND(W$190&gt;0,$A766&gt;0),'Client Data'!X6,0)</f>
        <v>13000</v>
      </c>
      <c r="X766" s="35">
        <f>IF(AND(X$190&gt;0,$A766&gt;0),'Client Data'!Y6,0)</f>
        <v>10000</v>
      </c>
      <c r="Y766" s="35">
        <f>IF(AND(Y$190&gt;0,$A766&gt;0),'Client Data'!Z6,0)</f>
        <v>8000</v>
      </c>
      <c r="Z766" s="35">
        <f>IF(AND(Z$190&gt;0,$A766&gt;0),'Client Data'!AA6,0)</f>
        <v>7000</v>
      </c>
      <c r="AA766" s="35">
        <f>IF(AND(AA$190&gt;0,$A766&gt;0),'Client Data'!AB6,0)</f>
        <v>13000</v>
      </c>
      <c r="AB766" s="35">
        <f>IF(AND(AB$190&gt;0,$A766&gt;0),'Client Data'!AC6,0)</f>
        <v>10000</v>
      </c>
      <c r="AC766" s="35">
        <f>IF(AND(AC$190&gt;0,$A766&gt;0),'Client Data'!AD6,0)</f>
        <v>8000</v>
      </c>
      <c r="AD766" s="35">
        <f>IF(AND(AD$190&gt;0,$A766&gt;0),'Client Data'!AE6,0)</f>
        <v>9000</v>
      </c>
      <c r="AE766" s="35">
        <f>IF(AND(AE$190&gt;0,$A766&gt;0),'Client Data'!AF6,0)</f>
        <v>9000</v>
      </c>
      <c r="AF766" s="35">
        <f>IF(AND(AF$190&gt;0,$A766&gt;0),'Client Data'!AG6,0)</f>
        <v>10000</v>
      </c>
      <c r="AG766" s="35">
        <f>IF(AND(AG$190&gt;0,$A766&gt;0),'Client Data'!AH6,0)</f>
        <v>8000</v>
      </c>
      <c r="AH766" s="35">
        <f>IF(AND(AH$190&gt;0,$A766&gt;0),'Client Data'!AI6,0)</f>
        <v>9000</v>
      </c>
      <c r="AI766" s="35">
        <f>IF(AND(AI$190&gt;0,$A766&gt;0),'Client Data'!AJ6,0)</f>
        <v>13000</v>
      </c>
      <c r="AJ766" s="35">
        <f>IF(AND(AJ$190&gt;0,$A766&gt;0),'Client Data'!AK6,0)</f>
        <v>10000</v>
      </c>
      <c r="AK766" s="35">
        <f>IF(AND(AK$190&gt;0,$A766&gt;0),'Client Data'!AL6,0)</f>
        <v>8000</v>
      </c>
      <c r="AL766" s="35">
        <f>IF(AND(AL$190&gt;0,$A766&gt;0),'Client Data'!AM6,0)</f>
        <v>7000</v>
      </c>
      <c r="AM766" s="35">
        <f>IF(AND(AM$190&gt;0,$A766&gt;0),'Client Data'!AN6,0)</f>
        <v>13000</v>
      </c>
      <c r="AN766" s="35">
        <f>IF(AND(AN$190&gt;0,$A766&gt;0),'Client Data'!AO6,0)</f>
        <v>10000</v>
      </c>
      <c r="AO766" s="35">
        <f>IF(AND(AO$190&gt;0,$A766&gt;0),'Client Data'!AP6,0)</f>
        <v>8000</v>
      </c>
      <c r="AP766" s="35">
        <f>IF(AND(AP$190&gt;0,$A766&gt;0),'Client Data'!AQ6,0)</f>
        <v>9000</v>
      </c>
      <c r="AQ766" s="35">
        <f>IF(AND(AQ$190&gt;0,$A766&gt;0),'Client Data'!AR6,0)</f>
        <v>9000</v>
      </c>
      <c r="AR766" s="35">
        <f>IF(AND(AR$190&gt;0,$A766&gt;0),'Client Data'!AS6,0)</f>
        <v>10000</v>
      </c>
      <c r="AS766" s="35">
        <f>IF(AND(AS$190&gt;0,$A766&gt;0),'Client Data'!AT6,0)</f>
        <v>8000</v>
      </c>
      <c r="AT766" s="35">
        <f>IF(AND(AT$190&gt;0,$A766&gt;0),'Client Data'!AU6,0)</f>
        <v>9000</v>
      </c>
      <c r="AU766" s="35">
        <f>IF(AND(AU$190&gt;0,$A766&gt;0),'Client Data'!AV6,0)</f>
        <v>13000</v>
      </c>
      <c r="AV766" s="35">
        <f>IF(AND(AV$190&gt;0,$A766&gt;0),'Client Data'!AW6,0)</f>
        <v>10000</v>
      </c>
      <c r="AW766" s="35">
        <f>IF(AND(AW$190&gt;0,$A766&gt;0),'Client Data'!AX6,0)</f>
        <v>8000</v>
      </c>
      <c r="AX766" s="35">
        <f>IF(AND(AX$190&gt;0,$A766&gt;0),'Client Data'!AY6,0)</f>
        <v>9000</v>
      </c>
      <c r="AY766" s="35">
        <f>IF(AND(AY$190&gt;0,$A766&gt;0),'Client Data'!AZ6,0)</f>
        <v>13000</v>
      </c>
      <c r="AZ766" s="35">
        <f>IF(AND(AZ$190&gt;0,$A766&gt;0),'Client Data'!BA6,0)</f>
        <v>10000</v>
      </c>
      <c r="BA766" s="35">
        <f>IF(AND(BA$190&gt;0,$A766&gt;0),'Client Data'!BB6,0)</f>
        <v>8000</v>
      </c>
      <c r="BB766" s="35">
        <f>IF(AND(BB$190&gt;0,$A766&gt;0),'Client Data'!BC6,0)</f>
        <v>7000</v>
      </c>
      <c r="BC766" s="19">
        <f t="shared" si="1202"/>
        <v>496000</v>
      </c>
      <c r="BD766" s="19">
        <f t="shared" si="1203"/>
        <v>5456000</v>
      </c>
      <c r="BE766" s="19">
        <f t="shared" si="1204"/>
        <v>-1359588.0424146838</v>
      </c>
    </row>
    <row r="767" spans="1:57" x14ac:dyDescent="0.25">
      <c r="A767">
        <f t="shared" si="1205"/>
        <v>4</v>
      </c>
      <c r="B767" s="19" t="str">
        <f t="shared" si="1201"/>
        <v>Product E</v>
      </c>
      <c r="C767" s="35">
        <f>IF(AND(C$190&gt;0,$A767&gt;0),'Client Data'!D7,0)</f>
        <v>5000</v>
      </c>
      <c r="D767" s="35">
        <f>IF(AND(D$190&gt;0,$A767&gt;0),'Client Data'!E7,0)</f>
        <v>13000</v>
      </c>
      <c r="E767" s="35">
        <f>IF(AND(E$190&gt;0,$A767&gt;0),'Client Data'!F7,0)</f>
        <v>10000</v>
      </c>
      <c r="F767" s="35">
        <f>IF(AND(F$190&gt;0,$A767&gt;0),'Client Data'!G7,0)</f>
        <v>8000</v>
      </c>
      <c r="G767" s="35">
        <f>IF(AND(G$190&gt;0,$A767&gt;0),'Client Data'!H7,0)</f>
        <v>5000</v>
      </c>
      <c r="H767" s="35">
        <f>IF(AND(H$190&gt;0,$A767&gt;0),'Client Data'!I7,0)</f>
        <v>11000</v>
      </c>
      <c r="I767" s="35">
        <f>IF(AND(I$190&gt;0,$A767&gt;0),'Client Data'!J7,0)</f>
        <v>10000</v>
      </c>
      <c r="J767" s="35">
        <f>IF(AND(J$190&gt;0,$A767&gt;0),'Client Data'!K7,0)</f>
        <v>8000</v>
      </c>
      <c r="K767" s="35">
        <f>IF(AND(K$190&gt;0,$A767&gt;0),'Client Data'!L7,0)</f>
        <v>5000</v>
      </c>
      <c r="L767" s="35">
        <f>IF(AND(L$190&gt;0,$A767&gt;0),'Client Data'!M7,0)</f>
        <v>7000</v>
      </c>
      <c r="M767" s="35">
        <f>IF(AND(M$190&gt;0,$A767&gt;0),'Client Data'!N7,0)</f>
        <v>6000</v>
      </c>
      <c r="N767" s="35">
        <f>IF(AND(N$190&gt;0,$A767&gt;0),'Client Data'!O7,0)</f>
        <v>8000</v>
      </c>
      <c r="O767" s="35">
        <f>IF(AND(O$190&gt;0,$A767&gt;0),'Client Data'!P7,0)</f>
        <v>5000</v>
      </c>
      <c r="P767" s="35">
        <f>IF(AND(P$190&gt;0,$A767&gt;0),'Client Data'!Q7,0)</f>
        <v>13000</v>
      </c>
      <c r="Q767" s="35">
        <f>IF(AND(Q$190&gt;0,$A767&gt;0),'Client Data'!R7,0)</f>
        <v>10000</v>
      </c>
      <c r="R767" s="35">
        <f>IF(AND(R$190&gt;0,$A767&gt;0),'Client Data'!S7,0)</f>
        <v>8000</v>
      </c>
      <c r="S767" s="35">
        <f>IF(AND(S$190&gt;0,$A767&gt;0),'Client Data'!T7,0)</f>
        <v>5000</v>
      </c>
      <c r="T767" s="35">
        <f>IF(AND(T$190&gt;0,$A767&gt;0),'Client Data'!U7,0)</f>
        <v>13000</v>
      </c>
      <c r="U767" s="35">
        <f>IF(AND(U$190&gt;0,$A767&gt;0),'Client Data'!V7,0)</f>
        <v>10000</v>
      </c>
      <c r="V767" s="35">
        <f>IF(AND(V$190&gt;0,$A767&gt;0),'Client Data'!W7,0)</f>
        <v>8000</v>
      </c>
      <c r="W767" s="35">
        <f>IF(AND(W$190&gt;0,$A767&gt;0),'Client Data'!X7,0)</f>
        <v>5000</v>
      </c>
      <c r="X767" s="35">
        <f>IF(AND(X$190&gt;0,$A767&gt;0),'Client Data'!Y7,0)</f>
        <v>7000</v>
      </c>
      <c r="Y767" s="35">
        <f>IF(AND(Y$190&gt;0,$A767&gt;0),'Client Data'!Z7,0)</f>
        <v>10000</v>
      </c>
      <c r="Z767" s="35">
        <f>IF(AND(Z$190&gt;0,$A767&gt;0),'Client Data'!AA7,0)</f>
        <v>8000</v>
      </c>
      <c r="AA767" s="35">
        <f>IF(AND(AA$190&gt;0,$A767&gt;0),'Client Data'!AB7,0)</f>
        <v>5000</v>
      </c>
      <c r="AB767" s="35">
        <f>IF(AND(AB$190&gt;0,$A767&gt;0),'Client Data'!AC7,0)</f>
        <v>13000</v>
      </c>
      <c r="AC767" s="35">
        <f>IF(AND(AC$190&gt;0,$A767&gt;0),'Client Data'!AD7,0)</f>
        <v>10000</v>
      </c>
      <c r="AD767" s="35">
        <f>IF(AND(AD$190&gt;0,$A767&gt;0),'Client Data'!AE7,0)</f>
        <v>8000</v>
      </c>
      <c r="AE767" s="35">
        <f>IF(AND(AE$190&gt;0,$A767&gt;0),'Client Data'!AF7,0)</f>
        <v>5000</v>
      </c>
      <c r="AF767" s="35">
        <f>IF(AND(AF$190&gt;0,$A767&gt;0),'Client Data'!AG7,0)</f>
        <v>11000</v>
      </c>
      <c r="AG767" s="35">
        <f>IF(AND(AG$190&gt;0,$A767&gt;0),'Client Data'!AH7,0)</f>
        <v>10000</v>
      </c>
      <c r="AH767" s="35">
        <f>IF(AND(AH$190&gt;0,$A767&gt;0),'Client Data'!AI7,0)</f>
        <v>8000</v>
      </c>
      <c r="AI767" s="35">
        <f>IF(AND(AI$190&gt;0,$A767&gt;0),'Client Data'!AJ7,0)</f>
        <v>5000</v>
      </c>
      <c r="AJ767" s="35">
        <f>IF(AND(AJ$190&gt;0,$A767&gt;0),'Client Data'!AK7,0)</f>
        <v>7000</v>
      </c>
      <c r="AK767" s="35">
        <f>IF(AND(AK$190&gt;0,$A767&gt;0),'Client Data'!AL7,0)</f>
        <v>10000</v>
      </c>
      <c r="AL767" s="35">
        <f>IF(AND(AL$190&gt;0,$A767&gt;0),'Client Data'!AM7,0)</f>
        <v>8000</v>
      </c>
      <c r="AM767" s="35">
        <f>IF(AND(AM$190&gt;0,$A767&gt;0),'Client Data'!AN7,0)</f>
        <v>5000</v>
      </c>
      <c r="AN767" s="35">
        <f>IF(AND(AN$190&gt;0,$A767&gt;0),'Client Data'!AO7,0)</f>
        <v>13000</v>
      </c>
      <c r="AO767" s="35">
        <f>IF(AND(AO$190&gt;0,$A767&gt;0),'Client Data'!AP7,0)</f>
        <v>10000</v>
      </c>
      <c r="AP767" s="35">
        <f>IF(AND(AP$190&gt;0,$A767&gt;0),'Client Data'!AQ7,0)</f>
        <v>8000</v>
      </c>
      <c r="AQ767" s="35">
        <f>IF(AND(AQ$190&gt;0,$A767&gt;0),'Client Data'!AR7,0)</f>
        <v>5000</v>
      </c>
      <c r="AR767" s="35">
        <f>IF(AND(AR$190&gt;0,$A767&gt;0),'Client Data'!AS7,0)</f>
        <v>11000</v>
      </c>
      <c r="AS767" s="35">
        <f>IF(AND(AS$190&gt;0,$A767&gt;0),'Client Data'!AT7,0)</f>
        <v>10000</v>
      </c>
      <c r="AT767" s="35">
        <f>IF(AND(AT$190&gt;0,$A767&gt;0),'Client Data'!AU7,0)</f>
        <v>8000</v>
      </c>
      <c r="AU767" s="35">
        <f>IF(AND(AU$190&gt;0,$A767&gt;0),'Client Data'!AV7,0)</f>
        <v>5000</v>
      </c>
      <c r="AV767" s="35">
        <f>IF(AND(AV$190&gt;0,$A767&gt;0),'Client Data'!AW7,0)</f>
        <v>13000</v>
      </c>
      <c r="AW767" s="35">
        <f>IF(AND(AW$190&gt;0,$A767&gt;0),'Client Data'!AX7,0)</f>
        <v>10000</v>
      </c>
      <c r="AX767" s="35">
        <f>IF(AND(AX$190&gt;0,$A767&gt;0),'Client Data'!AY7,0)</f>
        <v>8000</v>
      </c>
      <c r="AY767" s="35">
        <f>IF(AND(AY$190&gt;0,$A767&gt;0),'Client Data'!AZ7,0)</f>
        <v>5000</v>
      </c>
      <c r="AZ767" s="35">
        <f>IF(AND(AZ$190&gt;0,$A767&gt;0),'Client Data'!BA7,0)</f>
        <v>13000</v>
      </c>
      <c r="BA767" s="35">
        <f>IF(AND(BA$190&gt;0,$A767&gt;0),'Client Data'!BB7,0)</f>
        <v>10000</v>
      </c>
      <c r="BB767" s="35">
        <f>IF(AND(BB$190&gt;0,$A767&gt;0),'Client Data'!BC7,0)</f>
        <v>8000</v>
      </c>
      <c r="BC767" s="19">
        <f t="shared" si="1202"/>
        <v>440000</v>
      </c>
      <c r="BD767" s="19">
        <f t="shared" si="1203"/>
        <v>4752000</v>
      </c>
      <c r="BE767" s="19">
        <f t="shared" si="1204"/>
        <v>-1170970.0261665294</v>
      </c>
    </row>
    <row r="768" spans="1:57" x14ac:dyDescent="0.25">
      <c r="A768">
        <f t="shared" si="1205"/>
        <v>3</v>
      </c>
      <c r="B768" s="19" t="str">
        <f t="shared" si="1201"/>
        <v>Product F</v>
      </c>
      <c r="C768" s="35">
        <f>IF(AND(C$190&gt;0,$A768&gt;0),'Client Data'!D8,0)</f>
        <v>0</v>
      </c>
      <c r="D768" s="35">
        <f>IF(AND(D$190&gt;0,$A768&gt;0),'Client Data'!E8,0)</f>
        <v>5000</v>
      </c>
      <c r="E768" s="35">
        <f>IF(AND(E$190&gt;0,$A768&gt;0),'Client Data'!F8,0)</f>
        <v>13000</v>
      </c>
      <c r="F768" s="35">
        <f>IF(AND(F$190&gt;0,$A768&gt;0),'Client Data'!G8,0)</f>
        <v>0</v>
      </c>
      <c r="G768" s="35">
        <f>IF(AND(G$190&gt;0,$A768&gt;0),'Client Data'!H8,0)</f>
        <v>0</v>
      </c>
      <c r="H768" s="35">
        <f>IF(AND(H$190&gt;0,$A768&gt;0),'Client Data'!I8,0)</f>
        <v>5000</v>
      </c>
      <c r="I768" s="35">
        <f>IF(AND(I$190&gt;0,$A768&gt;0),'Client Data'!J8,0)</f>
        <v>13000</v>
      </c>
      <c r="J768" s="35">
        <f>IF(AND(J$190&gt;0,$A768&gt;0),'Client Data'!K8,0)</f>
        <v>10000</v>
      </c>
      <c r="K768" s="35">
        <f>IF(AND(K$190&gt;0,$A768&gt;0),'Client Data'!L8,0)</f>
        <v>6000</v>
      </c>
      <c r="L768" s="35">
        <f>IF(AND(L$190&gt;0,$A768&gt;0),'Client Data'!M8,0)</f>
        <v>5000</v>
      </c>
      <c r="M768" s="35">
        <f>IF(AND(M$190&gt;0,$A768&gt;0),'Client Data'!N8,0)</f>
        <v>13000</v>
      </c>
      <c r="N768" s="35">
        <f>IF(AND(N$190&gt;0,$A768&gt;0),'Client Data'!O8,0)</f>
        <v>10000</v>
      </c>
      <c r="O768" s="35">
        <f>IF(AND(O$190&gt;0,$A768&gt;0),'Client Data'!P8,0)</f>
        <v>0</v>
      </c>
      <c r="P768" s="35">
        <f>IF(AND(P$190&gt;0,$A768&gt;0),'Client Data'!Q8,0)</f>
        <v>5000</v>
      </c>
      <c r="Q768" s="35">
        <f>IF(AND(Q$190&gt;0,$A768&gt;0),'Client Data'!R8,0)</f>
        <v>13000</v>
      </c>
      <c r="R768" s="35">
        <f>IF(AND(R$190&gt;0,$A768&gt;0),'Client Data'!S8,0)</f>
        <v>10000</v>
      </c>
      <c r="S768" s="35">
        <f>IF(AND(S$190&gt;0,$A768&gt;0),'Client Data'!T8,0)</f>
        <v>0</v>
      </c>
      <c r="T768" s="35">
        <f>IF(AND(T$190&gt;0,$A768&gt;0),'Client Data'!U8,0)</f>
        <v>5000</v>
      </c>
      <c r="U768" s="35">
        <f>IF(AND(U$190&gt;0,$A768&gt;0),'Client Data'!V8,0)</f>
        <v>13000</v>
      </c>
      <c r="V768" s="35">
        <f>IF(AND(V$190&gt;0,$A768&gt;0),'Client Data'!W8,0)</f>
        <v>10000</v>
      </c>
      <c r="W768" s="35">
        <f>IF(AND(W$190&gt;0,$A768&gt;0),'Client Data'!X8,0)</f>
        <v>0</v>
      </c>
      <c r="X768" s="35">
        <f>IF(AND(X$190&gt;0,$A768&gt;0),'Client Data'!Y8,0)</f>
        <v>5000</v>
      </c>
      <c r="Y768" s="35">
        <f>IF(AND(Y$190&gt;0,$A768&gt;0),'Client Data'!Z8,0)</f>
        <v>9000</v>
      </c>
      <c r="Z768" s="35">
        <f>IF(AND(Z$190&gt;0,$A768&gt;0),'Client Data'!AA8,0)</f>
        <v>10000</v>
      </c>
      <c r="AA768" s="35">
        <f>IF(AND(AA$190&gt;0,$A768&gt;0),'Client Data'!AB8,0)</f>
        <v>0</v>
      </c>
      <c r="AB768" s="35">
        <f>IF(AND(AB$190&gt;0,$A768&gt;0),'Client Data'!AC8,0)</f>
        <v>5000</v>
      </c>
      <c r="AC768" s="35">
        <f>IF(AND(AC$190&gt;0,$A768&gt;0),'Client Data'!AD8,0)</f>
        <v>13000</v>
      </c>
      <c r="AD768" s="35">
        <f>IF(AND(AD$190&gt;0,$A768&gt;0),'Client Data'!AE8,0)</f>
        <v>4000</v>
      </c>
      <c r="AE768" s="35">
        <f>IF(AND(AE$190&gt;0,$A768&gt;0),'Client Data'!AF8,0)</f>
        <v>0</v>
      </c>
      <c r="AF768" s="35">
        <f>IF(AND(AF$190&gt;0,$A768&gt;0),'Client Data'!AG8,0)</f>
        <v>5000</v>
      </c>
      <c r="AG768" s="35">
        <f>IF(AND(AG$190&gt;0,$A768&gt;0),'Client Data'!AH8,0)</f>
        <v>13000</v>
      </c>
      <c r="AH768" s="35">
        <f>IF(AND(AH$190&gt;0,$A768&gt;0),'Client Data'!AI8,0)</f>
        <v>10000</v>
      </c>
      <c r="AI768" s="35">
        <f>IF(AND(AI$190&gt;0,$A768&gt;0),'Client Data'!AJ8,0)</f>
        <v>0</v>
      </c>
      <c r="AJ768" s="35">
        <f>IF(AND(AJ$190&gt;0,$A768&gt;0),'Client Data'!AK8,0)</f>
        <v>5000</v>
      </c>
      <c r="AK768" s="35">
        <f>IF(AND(AK$190&gt;0,$A768&gt;0),'Client Data'!AL8,0)</f>
        <v>9000</v>
      </c>
      <c r="AL768" s="35">
        <f>IF(AND(AL$190&gt;0,$A768&gt;0),'Client Data'!AM8,0)</f>
        <v>10000</v>
      </c>
      <c r="AM768" s="35">
        <f>IF(AND(AM$190&gt;0,$A768&gt;0),'Client Data'!AN8,0)</f>
        <v>0</v>
      </c>
      <c r="AN768" s="35">
        <f>IF(AND(AN$190&gt;0,$A768&gt;0),'Client Data'!AO8,0)</f>
        <v>5000</v>
      </c>
      <c r="AO768" s="35">
        <f>IF(AND(AO$190&gt;0,$A768&gt;0),'Client Data'!AP8,0)</f>
        <v>13000</v>
      </c>
      <c r="AP768" s="35">
        <f>IF(AND(AP$190&gt;0,$A768&gt;0),'Client Data'!AQ8,0)</f>
        <v>4000</v>
      </c>
      <c r="AQ768" s="35">
        <f>IF(AND(AQ$190&gt;0,$A768&gt;0),'Client Data'!AR8,0)</f>
        <v>0</v>
      </c>
      <c r="AR768" s="35">
        <f>IF(AND(AR$190&gt;0,$A768&gt;0),'Client Data'!AS8,0)</f>
        <v>5000</v>
      </c>
      <c r="AS768" s="35">
        <f>IF(AND(AS$190&gt;0,$A768&gt;0),'Client Data'!AT8,0)</f>
        <v>13000</v>
      </c>
      <c r="AT768" s="35">
        <f>IF(AND(AT$190&gt;0,$A768&gt;0),'Client Data'!AU8,0)</f>
        <v>10000</v>
      </c>
      <c r="AU768" s="35">
        <f>IF(AND(AU$190&gt;0,$A768&gt;0),'Client Data'!AV8,0)</f>
        <v>5000</v>
      </c>
      <c r="AV768" s="35">
        <f>IF(AND(AV$190&gt;0,$A768&gt;0),'Client Data'!AW8,0)</f>
        <v>5000</v>
      </c>
      <c r="AW768" s="35">
        <f>IF(AND(AW$190&gt;0,$A768&gt;0),'Client Data'!AX8,0)</f>
        <v>13000</v>
      </c>
      <c r="AX768" s="35">
        <f>IF(AND(AX$190&gt;0,$A768&gt;0),'Client Data'!AY8,0)</f>
        <v>10000</v>
      </c>
      <c r="AY768" s="35">
        <f>IF(AND(AY$190&gt;0,$A768&gt;0),'Client Data'!AZ8,0)</f>
        <v>6000</v>
      </c>
      <c r="AZ768" s="35">
        <f>IF(AND(AZ$190&gt;0,$A768&gt;0),'Client Data'!BA8,0)</f>
        <v>5000</v>
      </c>
      <c r="BA768" s="35">
        <f>IF(AND(BA$190&gt;0,$A768&gt;0),'Client Data'!BB8,0)</f>
        <v>9000</v>
      </c>
      <c r="BB768" s="35">
        <f>IF(AND(BB$190&gt;0,$A768&gt;0),'Client Data'!BC8,0)</f>
        <v>10000</v>
      </c>
      <c r="BC768" s="19">
        <f t="shared" si="1202"/>
        <v>347000</v>
      </c>
      <c r="BD768" s="19">
        <f t="shared" si="1203"/>
        <v>3643500</v>
      </c>
      <c r="BE768" s="19">
        <f t="shared" si="1204"/>
        <v>-842277.08023048937</v>
      </c>
    </row>
    <row r="769" spans="1:57" x14ac:dyDescent="0.25">
      <c r="A769">
        <f t="shared" si="1205"/>
        <v>2</v>
      </c>
      <c r="B769" s="19" t="str">
        <f t="shared" si="1201"/>
        <v>Product G</v>
      </c>
      <c r="C769" s="35">
        <f>IF(AND(C$190&gt;0,$A769&gt;0),'Client Data'!D9,0)</f>
        <v>0</v>
      </c>
      <c r="D769" s="35">
        <f>IF(AND(D$190&gt;0,$A769&gt;0),'Client Data'!E9,0)</f>
        <v>3000</v>
      </c>
      <c r="E769" s="35">
        <f>IF(AND(E$190&gt;0,$A769&gt;0),'Client Data'!F9,0)</f>
        <v>6000</v>
      </c>
      <c r="F769" s="35">
        <f>IF(AND(F$190&gt;0,$A769&gt;0),'Client Data'!G9,0)</f>
        <v>11000</v>
      </c>
      <c r="G769" s="35">
        <f>IF(AND(G$190&gt;0,$A769&gt;0),'Client Data'!H9,0)</f>
        <v>0</v>
      </c>
      <c r="H769" s="35">
        <f>IF(AND(H$190&gt;0,$A769&gt;0),'Client Data'!I9,0)</f>
        <v>0</v>
      </c>
      <c r="I769" s="35">
        <f>IF(AND(I$190&gt;0,$A769&gt;0),'Client Data'!J9,0)</f>
        <v>5000</v>
      </c>
      <c r="J769" s="35">
        <f>IF(AND(J$190&gt;0,$A769&gt;0),'Client Data'!K9,0)</f>
        <v>13000</v>
      </c>
      <c r="K769" s="35">
        <f>IF(AND(K$190&gt;0,$A769&gt;0),'Client Data'!L9,0)</f>
        <v>0</v>
      </c>
      <c r="L769" s="35">
        <f>IF(AND(L$190&gt;0,$A769&gt;0),'Client Data'!M9,0)</f>
        <v>0</v>
      </c>
      <c r="M769" s="35">
        <f>IF(AND(M$190&gt;0,$A769&gt;0),'Client Data'!N9,0)</f>
        <v>5000</v>
      </c>
      <c r="N769" s="35">
        <f>IF(AND(N$190&gt;0,$A769&gt;0),'Client Data'!O9,0)</f>
        <v>11000</v>
      </c>
      <c r="O769" s="35">
        <f>IF(AND(O$190&gt;0,$A769&gt;0),'Client Data'!P9,0)</f>
        <v>0</v>
      </c>
      <c r="P769" s="35">
        <f>IF(AND(P$190&gt;0,$A769&gt;0),'Client Data'!Q9,0)</f>
        <v>0</v>
      </c>
      <c r="Q769" s="35">
        <f>IF(AND(Q$190&gt;0,$A769&gt;0),'Client Data'!R9,0)</f>
        <v>5000</v>
      </c>
      <c r="R769" s="35">
        <f>IF(AND(R$190&gt;0,$A769&gt;0),'Client Data'!S9,0)</f>
        <v>7000</v>
      </c>
      <c r="S769" s="35">
        <f>IF(AND(S$190&gt;0,$A769&gt;0),'Client Data'!T9,0)</f>
        <v>0</v>
      </c>
      <c r="T769" s="35">
        <f>IF(AND(T$190&gt;0,$A769&gt;0),'Client Data'!U9,0)</f>
        <v>0</v>
      </c>
      <c r="U769" s="35">
        <f>IF(AND(U$190&gt;0,$A769&gt;0),'Client Data'!V9,0)</f>
        <v>5000</v>
      </c>
      <c r="V769" s="35">
        <f>IF(AND(V$190&gt;0,$A769&gt;0),'Client Data'!W9,0)</f>
        <v>13000</v>
      </c>
      <c r="W769" s="35">
        <f>IF(AND(W$190&gt;0,$A769&gt;0),'Client Data'!X9,0)</f>
        <v>0</v>
      </c>
      <c r="X769" s="35">
        <f>IF(AND(X$190&gt;0,$A769&gt;0),'Client Data'!Y9,0)</f>
        <v>0</v>
      </c>
      <c r="Y769" s="35">
        <f>IF(AND(Y$190&gt;0,$A769&gt;0),'Client Data'!Z9,0)</f>
        <v>5000</v>
      </c>
      <c r="Z769" s="35">
        <f>IF(AND(Z$190&gt;0,$A769&gt;0),'Client Data'!AA9,0)</f>
        <v>13000</v>
      </c>
      <c r="AA769" s="35">
        <f>IF(AND(AA$190&gt;0,$A769&gt;0),'Client Data'!AB9,0)</f>
        <v>0</v>
      </c>
      <c r="AB769" s="35">
        <f>IF(AND(AB$190&gt;0,$A769&gt;0),'Client Data'!AC9,0)</f>
        <v>0</v>
      </c>
      <c r="AC769" s="35">
        <f>IF(AND(AC$190&gt;0,$A769&gt;0),'Client Data'!AD9,0)</f>
        <v>5000</v>
      </c>
      <c r="AD769" s="35">
        <f>IF(AND(AD$190&gt;0,$A769&gt;0),'Client Data'!AE9,0)</f>
        <v>13000</v>
      </c>
      <c r="AE769" s="35">
        <f>IF(AND(AE$190&gt;0,$A769&gt;0),'Client Data'!AF9,0)</f>
        <v>0</v>
      </c>
      <c r="AF769" s="35">
        <f>IF(AND(AF$190&gt;0,$A769&gt;0),'Client Data'!AG9,0)</f>
        <v>0</v>
      </c>
      <c r="AG769" s="35">
        <f>IF(AND(AG$190&gt;0,$A769&gt;0),'Client Data'!AH9,0)</f>
        <v>5000</v>
      </c>
      <c r="AH769" s="35">
        <f>IF(AND(AH$190&gt;0,$A769&gt;0),'Client Data'!AI9,0)</f>
        <v>13000</v>
      </c>
      <c r="AI769" s="35">
        <f>IF(AND(AI$190&gt;0,$A769&gt;0),'Client Data'!AJ9,0)</f>
        <v>0</v>
      </c>
      <c r="AJ769" s="35">
        <f>IF(AND(AJ$190&gt;0,$A769&gt;0),'Client Data'!AK9,0)</f>
        <v>0</v>
      </c>
      <c r="AK769" s="35">
        <f>IF(AND(AK$190&gt;0,$A769&gt;0),'Client Data'!AL9,0)</f>
        <v>5000</v>
      </c>
      <c r="AL769" s="35">
        <f>IF(AND(AL$190&gt;0,$A769&gt;0),'Client Data'!AM9,0)</f>
        <v>13000</v>
      </c>
      <c r="AM769" s="35">
        <f>IF(AND(AM$190&gt;0,$A769&gt;0),'Client Data'!AN9,0)</f>
        <v>0</v>
      </c>
      <c r="AN769" s="35">
        <f>IF(AND(AN$190&gt;0,$A769&gt;0),'Client Data'!AO9,0)</f>
        <v>0</v>
      </c>
      <c r="AO769" s="35">
        <f>IF(AND(AO$190&gt;0,$A769&gt;0),'Client Data'!AP9,0)</f>
        <v>5000</v>
      </c>
      <c r="AP769" s="35">
        <f>IF(AND(AP$190&gt;0,$A769&gt;0),'Client Data'!AQ9,0)</f>
        <v>13000</v>
      </c>
      <c r="AQ769" s="35">
        <f>IF(AND(AQ$190&gt;0,$A769&gt;0),'Client Data'!AR9,0)</f>
        <v>0</v>
      </c>
      <c r="AR769" s="35">
        <f>IF(AND(AR$190&gt;0,$A769&gt;0),'Client Data'!AS9,0)</f>
        <v>0</v>
      </c>
      <c r="AS769" s="35">
        <f>IF(AND(AS$190&gt;0,$A769&gt;0),'Client Data'!AT9,0)</f>
        <v>5000</v>
      </c>
      <c r="AT769" s="35">
        <f>IF(AND(AT$190&gt;0,$A769&gt;0),'Client Data'!AU9,0)</f>
        <v>13000</v>
      </c>
      <c r="AU769" s="35">
        <f>IF(AND(AU$190&gt;0,$A769&gt;0),'Client Data'!AV9,0)</f>
        <v>0</v>
      </c>
      <c r="AV769" s="35">
        <f>IF(AND(AV$190&gt;0,$A769&gt;0),'Client Data'!AW9,0)</f>
        <v>0</v>
      </c>
      <c r="AW769" s="35">
        <f>IF(AND(AW$190&gt;0,$A769&gt;0),'Client Data'!AX9,0)</f>
        <v>5000</v>
      </c>
      <c r="AX769" s="35">
        <f>IF(AND(AX$190&gt;0,$A769&gt;0),'Client Data'!AY9,0)</f>
        <v>13000</v>
      </c>
      <c r="AY769" s="35">
        <f>IF(AND(AY$190&gt;0,$A769&gt;0),'Client Data'!AZ9,0)</f>
        <v>0</v>
      </c>
      <c r="AZ769" s="35">
        <f>IF(AND(AZ$190&gt;0,$A769&gt;0),'Client Data'!BA9,0)</f>
        <v>0</v>
      </c>
      <c r="BA769" s="35">
        <f>IF(AND(BA$190&gt;0,$A769&gt;0),'Client Data'!BB9,0)</f>
        <v>5000</v>
      </c>
      <c r="BB769" s="35">
        <f>IF(AND(BB$190&gt;0,$A769&gt;0),'Client Data'!BC9,0)</f>
        <v>13000</v>
      </c>
      <c r="BC769" s="19">
        <f t="shared" si="1202"/>
        <v>228000</v>
      </c>
      <c r="BD769" s="19">
        <f t="shared" si="1203"/>
        <v>2052000</v>
      </c>
      <c r="BE769" s="19">
        <f t="shared" si="1204"/>
        <v>-546384.68190374086</v>
      </c>
    </row>
    <row r="770" spans="1:57" x14ac:dyDescent="0.25">
      <c r="A770">
        <f t="shared" si="1205"/>
        <v>1</v>
      </c>
      <c r="B770" s="19" t="str">
        <f t="shared" si="1201"/>
        <v>Product H</v>
      </c>
      <c r="C770" s="35">
        <f>IF(AND(C$190&gt;0,$A770&gt;0),'Client Data'!D10,0)</f>
        <v>0</v>
      </c>
      <c r="D770" s="35">
        <f>IF(AND(D$190&gt;0,$A770&gt;0),'Client Data'!E10,0)</f>
        <v>0</v>
      </c>
      <c r="E770" s="35">
        <f>IF(AND(E$190&gt;0,$A770&gt;0),'Client Data'!F10,0)</f>
        <v>0</v>
      </c>
      <c r="F770" s="35">
        <f>IF(AND(F$190&gt;0,$A770&gt;0),'Client Data'!G10,0)</f>
        <v>5000</v>
      </c>
      <c r="G770" s="35">
        <f>IF(AND(G$190&gt;0,$A770&gt;0),'Client Data'!H10,0)</f>
        <v>0</v>
      </c>
      <c r="H770" s="35">
        <f>IF(AND(H$190&gt;0,$A770&gt;0),'Client Data'!I10,0)</f>
        <v>0</v>
      </c>
      <c r="I770" s="35">
        <f>IF(AND(I$190&gt;0,$A770&gt;0),'Client Data'!J10,0)</f>
        <v>0</v>
      </c>
      <c r="J770" s="35">
        <f>IF(AND(J$190&gt;0,$A770&gt;0),'Client Data'!K10,0)</f>
        <v>5000</v>
      </c>
      <c r="K770" s="35">
        <f>IF(AND(K$190&gt;0,$A770&gt;0),'Client Data'!L10,0)</f>
        <v>0</v>
      </c>
      <c r="L770" s="35">
        <f>IF(AND(L$190&gt;0,$A770&gt;0),'Client Data'!M10,0)</f>
        <v>0</v>
      </c>
      <c r="M770" s="35">
        <f>IF(AND(M$190&gt;0,$A770&gt;0),'Client Data'!N10,0)</f>
        <v>0</v>
      </c>
      <c r="N770" s="35">
        <f>IF(AND(N$190&gt;0,$A770&gt;0),'Client Data'!O10,0)</f>
        <v>5000</v>
      </c>
      <c r="O770" s="35">
        <f>IF(AND(O$190&gt;0,$A770&gt;0),'Client Data'!P10,0)</f>
        <v>0</v>
      </c>
      <c r="P770" s="35">
        <f>IF(AND(P$190&gt;0,$A770&gt;0),'Client Data'!Q10,0)</f>
        <v>0</v>
      </c>
      <c r="Q770" s="35">
        <f>IF(AND(Q$190&gt;0,$A770&gt;0),'Client Data'!R10,0)</f>
        <v>6000</v>
      </c>
      <c r="R770" s="35">
        <f>IF(AND(R$190&gt;0,$A770&gt;0),'Client Data'!S10,0)</f>
        <v>5000</v>
      </c>
      <c r="S770" s="35">
        <f>IF(AND(S$190&gt;0,$A770&gt;0),'Client Data'!T10,0)</f>
        <v>0</v>
      </c>
      <c r="T770" s="35">
        <f>IF(AND(T$190&gt;0,$A770&gt;0),'Client Data'!U10,0)</f>
        <v>0</v>
      </c>
      <c r="U770" s="35">
        <f>IF(AND(U$190&gt;0,$A770&gt;0),'Client Data'!V10,0)</f>
        <v>0</v>
      </c>
      <c r="V770" s="35">
        <f>IF(AND(V$190&gt;0,$A770&gt;0),'Client Data'!W10,0)</f>
        <v>5000</v>
      </c>
      <c r="W770" s="35">
        <f>IF(AND(W$190&gt;0,$A770&gt;0),'Client Data'!X10,0)</f>
        <v>6000</v>
      </c>
      <c r="X770" s="35">
        <f>IF(AND(X$190&gt;0,$A770&gt;0),'Client Data'!Y10,0)</f>
        <v>0</v>
      </c>
      <c r="Y770" s="35">
        <f>IF(AND(Y$190&gt;0,$A770&gt;0),'Client Data'!Z10,0)</f>
        <v>0</v>
      </c>
      <c r="Z770" s="35">
        <f>IF(AND(Z$190&gt;0,$A770&gt;0),'Client Data'!AA10,0)</f>
        <v>5000</v>
      </c>
      <c r="AA770" s="35">
        <f>IF(AND(AA$190&gt;0,$A770&gt;0),'Client Data'!AB10,0)</f>
        <v>0</v>
      </c>
      <c r="AB770" s="35">
        <f>IF(AND(AB$190&gt;0,$A770&gt;0),'Client Data'!AC10,0)</f>
        <v>3000</v>
      </c>
      <c r="AC770" s="35">
        <f>IF(AND(AC$190&gt;0,$A770&gt;0),'Client Data'!AD10,0)</f>
        <v>0</v>
      </c>
      <c r="AD770" s="35">
        <f>IF(AND(AD$190&gt;0,$A770&gt;0),'Client Data'!AE10,0)</f>
        <v>5000</v>
      </c>
      <c r="AE770" s="35">
        <f>IF(AND(AE$190&gt;0,$A770&gt;0),'Client Data'!AF10,0)</f>
        <v>0</v>
      </c>
      <c r="AF770" s="35">
        <f>IF(AND(AF$190&gt;0,$A770&gt;0),'Client Data'!AG10,0)</f>
        <v>0</v>
      </c>
      <c r="AG770" s="35">
        <f>IF(AND(AG$190&gt;0,$A770&gt;0),'Client Data'!AH10,0)</f>
        <v>0</v>
      </c>
      <c r="AH770" s="35">
        <f>IF(AND(AH$190&gt;0,$A770&gt;0),'Client Data'!AI10,0)</f>
        <v>5000</v>
      </c>
      <c r="AI770" s="35">
        <f>IF(AND(AI$190&gt;0,$A770&gt;0),'Client Data'!AJ10,0)</f>
        <v>6000</v>
      </c>
      <c r="AJ770" s="35">
        <f>IF(AND(AJ$190&gt;0,$A770&gt;0),'Client Data'!AK10,0)</f>
        <v>0</v>
      </c>
      <c r="AK770" s="35">
        <f>IF(AND(AK$190&gt;0,$A770&gt;0),'Client Data'!AL10,0)</f>
        <v>0</v>
      </c>
      <c r="AL770" s="35">
        <f>IF(AND(AL$190&gt;0,$A770&gt;0),'Client Data'!AM10,0)</f>
        <v>5000</v>
      </c>
      <c r="AM770" s="35">
        <f>IF(AND(AM$190&gt;0,$A770&gt;0),'Client Data'!AN10,0)</f>
        <v>0</v>
      </c>
      <c r="AN770" s="35">
        <f>IF(AND(AN$190&gt;0,$A770&gt;0),'Client Data'!AO10,0)</f>
        <v>0</v>
      </c>
      <c r="AO770" s="35">
        <f>IF(AND(AO$190&gt;0,$A770&gt;0),'Client Data'!AP10,0)</f>
        <v>6000</v>
      </c>
      <c r="AP770" s="35">
        <f>IF(AND(AP$190&gt;0,$A770&gt;0),'Client Data'!AQ10,0)</f>
        <v>5000</v>
      </c>
      <c r="AQ770" s="35">
        <f>IF(AND(AQ$190&gt;0,$A770&gt;0),'Client Data'!AR10,0)</f>
        <v>0</v>
      </c>
      <c r="AR770" s="35">
        <f>IF(AND(AR$190&gt;0,$A770&gt;0),'Client Data'!AS10,0)</f>
        <v>0</v>
      </c>
      <c r="AS770" s="35">
        <f>IF(AND(AS$190&gt;0,$A770&gt;0),'Client Data'!AT10,0)</f>
        <v>0</v>
      </c>
      <c r="AT770" s="35">
        <f>IF(AND(AT$190&gt;0,$A770&gt;0),'Client Data'!AU10,0)</f>
        <v>5000</v>
      </c>
      <c r="AU770" s="35">
        <f>IF(AND(AU$190&gt;0,$A770&gt;0),'Client Data'!AV10,0)</f>
        <v>0</v>
      </c>
      <c r="AV770" s="35">
        <f>IF(AND(AV$190&gt;0,$A770&gt;0),'Client Data'!AW10,0)</f>
        <v>0</v>
      </c>
      <c r="AW770" s="35">
        <f>IF(AND(AW$190&gt;0,$A770&gt;0),'Client Data'!AX10,0)</f>
        <v>0</v>
      </c>
      <c r="AX770" s="35">
        <f>IF(AND(AX$190&gt;0,$A770&gt;0),'Client Data'!AY10,0)</f>
        <v>5000</v>
      </c>
      <c r="AY770" s="35">
        <f>IF(AND(AY$190&gt;0,$A770&gt;0),'Client Data'!AZ10,0)</f>
        <v>0</v>
      </c>
      <c r="AZ770" s="35">
        <f>IF(AND(AZ$190&gt;0,$A770&gt;0),'Client Data'!BA10,0)</f>
        <v>0</v>
      </c>
      <c r="BA770" s="35">
        <f>IF(AND(BA$190&gt;0,$A770&gt;0),'Client Data'!BB10,0)</f>
        <v>0</v>
      </c>
      <c r="BB770" s="35">
        <f>IF(AND(BB$190&gt;0,$A770&gt;0),'Client Data'!BC10,0)</f>
        <v>5000</v>
      </c>
      <c r="BC770" s="19">
        <f t="shared" si="1202"/>
        <v>92000</v>
      </c>
      <c r="BD770" s="19">
        <f t="shared" si="1203"/>
        <v>846399.99999999988</v>
      </c>
      <c r="BE770" s="19">
        <f t="shared" si="1204"/>
        <v>-203902.40713329858</v>
      </c>
    </row>
    <row r="771" spans="1:57" x14ac:dyDescent="0.25">
      <c r="A771">
        <f t="shared" si="1205"/>
        <v>0</v>
      </c>
      <c r="B771" s="19">
        <f t="shared" si="1201"/>
        <v>0</v>
      </c>
      <c r="C771" s="35">
        <f>IF(AND(C$190&gt;0,$A771&gt;0),'Client Data'!D11,0)</f>
        <v>0</v>
      </c>
      <c r="D771" s="35">
        <f>IF(AND(D$190&gt;0,$A771&gt;0),'Client Data'!E11,0)</f>
        <v>0</v>
      </c>
      <c r="E771" s="35">
        <f>IF(AND(E$190&gt;0,$A771&gt;0),'Client Data'!F11,0)</f>
        <v>0</v>
      </c>
      <c r="F771" s="35">
        <f>IF(AND(F$190&gt;0,$A771&gt;0),'Client Data'!G11,0)</f>
        <v>0</v>
      </c>
      <c r="G771" s="35">
        <f>IF(AND(G$190&gt;0,$A771&gt;0),'Client Data'!H11,0)</f>
        <v>0</v>
      </c>
      <c r="H771" s="35">
        <f>IF(AND(H$190&gt;0,$A771&gt;0),'Client Data'!I11,0)</f>
        <v>0</v>
      </c>
      <c r="I771" s="35">
        <f>IF(AND(I$190&gt;0,$A771&gt;0),'Client Data'!J11,0)</f>
        <v>0</v>
      </c>
      <c r="J771" s="35">
        <f>IF(AND(J$190&gt;0,$A771&gt;0),'Client Data'!K11,0)</f>
        <v>0</v>
      </c>
      <c r="K771" s="35">
        <f>IF(AND(K$190&gt;0,$A771&gt;0),'Client Data'!L11,0)</f>
        <v>0</v>
      </c>
      <c r="L771" s="35">
        <f>IF(AND(L$190&gt;0,$A771&gt;0),'Client Data'!M11,0)</f>
        <v>0</v>
      </c>
      <c r="M771" s="35">
        <f>IF(AND(M$190&gt;0,$A771&gt;0),'Client Data'!N11,0)</f>
        <v>0</v>
      </c>
      <c r="N771" s="35">
        <f>IF(AND(N$190&gt;0,$A771&gt;0),'Client Data'!O11,0)</f>
        <v>0</v>
      </c>
      <c r="O771" s="35">
        <f>IF(AND(O$190&gt;0,$A771&gt;0),'Client Data'!P11,0)</f>
        <v>0</v>
      </c>
      <c r="P771" s="35">
        <f>IF(AND(P$190&gt;0,$A771&gt;0),'Client Data'!Q11,0)</f>
        <v>0</v>
      </c>
      <c r="Q771" s="35">
        <f>IF(AND(Q$190&gt;0,$A771&gt;0),'Client Data'!R11,0)</f>
        <v>0</v>
      </c>
      <c r="R771" s="35">
        <f>IF(AND(R$190&gt;0,$A771&gt;0),'Client Data'!S11,0)</f>
        <v>0</v>
      </c>
      <c r="S771" s="35">
        <f>IF(AND(S$190&gt;0,$A771&gt;0),'Client Data'!T11,0)</f>
        <v>0</v>
      </c>
      <c r="T771" s="35">
        <f>IF(AND(T$190&gt;0,$A771&gt;0),'Client Data'!U11,0)</f>
        <v>0</v>
      </c>
      <c r="U771" s="35">
        <f>IF(AND(U$190&gt;0,$A771&gt;0),'Client Data'!V11,0)</f>
        <v>0</v>
      </c>
      <c r="V771" s="35">
        <f>IF(AND(V$190&gt;0,$A771&gt;0),'Client Data'!W11,0)</f>
        <v>0</v>
      </c>
      <c r="W771" s="35">
        <f>IF(AND(W$190&gt;0,$A771&gt;0),'Client Data'!X11,0)</f>
        <v>0</v>
      </c>
      <c r="X771" s="35">
        <f>IF(AND(X$190&gt;0,$A771&gt;0),'Client Data'!Y11,0)</f>
        <v>0</v>
      </c>
      <c r="Y771" s="35">
        <f>IF(AND(Y$190&gt;0,$A771&gt;0),'Client Data'!Z11,0)</f>
        <v>0</v>
      </c>
      <c r="Z771" s="35">
        <f>IF(AND(Z$190&gt;0,$A771&gt;0),'Client Data'!AA11,0)</f>
        <v>0</v>
      </c>
      <c r="AA771" s="35">
        <f>IF(AND(AA$190&gt;0,$A771&gt;0),'Client Data'!AB11,0)</f>
        <v>0</v>
      </c>
      <c r="AB771" s="35">
        <f>IF(AND(AB$190&gt;0,$A771&gt;0),'Client Data'!AC11,0)</f>
        <v>0</v>
      </c>
      <c r="AC771" s="35">
        <f>IF(AND(AC$190&gt;0,$A771&gt;0),'Client Data'!AD11,0)</f>
        <v>0</v>
      </c>
      <c r="AD771" s="35">
        <f>IF(AND(AD$190&gt;0,$A771&gt;0),'Client Data'!AE11,0)</f>
        <v>0</v>
      </c>
      <c r="AE771" s="35">
        <f>IF(AND(AE$190&gt;0,$A771&gt;0),'Client Data'!AF11,0)</f>
        <v>0</v>
      </c>
      <c r="AF771" s="35">
        <f>IF(AND(AF$190&gt;0,$A771&gt;0),'Client Data'!AG11,0)</f>
        <v>0</v>
      </c>
      <c r="AG771" s="35">
        <f>IF(AND(AG$190&gt;0,$A771&gt;0),'Client Data'!AH11,0)</f>
        <v>0</v>
      </c>
      <c r="AH771" s="35">
        <f>IF(AND(AH$190&gt;0,$A771&gt;0),'Client Data'!AI11,0)</f>
        <v>0</v>
      </c>
      <c r="AI771" s="35">
        <f>IF(AND(AI$190&gt;0,$A771&gt;0),'Client Data'!AJ11,0)</f>
        <v>0</v>
      </c>
      <c r="AJ771" s="35">
        <f>IF(AND(AJ$190&gt;0,$A771&gt;0),'Client Data'!AK11,0)</f>
        <v>0</v>
      </c>
      <c r="AK771" s="35">
        <f>IF(AND(AK$190&gt;0,$A771&gt;0),'Client Data'!AL11,0)</f>
        <v>0</v>
      </c>
      <c r="AL771" s="35">
        <f>IF(AND(AL$190&gt;0,$A771&gt;0),'Client Data'!AM11,0)</f>
        <v>0</v>
      </c>
      <c r="AM771" s="35">
        <f>IF(AND(AM$190&gt;0,$A771&gt;0),'Client Data'!AN11,0)</f>
        <v>0</v>
      </c>
      <c r="AN771" s="35">
        <f>IF(AND(AN$190&gt;0,$A771&gt;0),'Client Data'!AO11,0)</f>
        <v>0</v>
      </c>
      <c r="AO771" s="35">
        <f>IF(AND(AO$190&gt;0,$A771&gt;0),'Client Data'!AP11,0)</f>
        <v>0</v>
      </c>
      <c r="AP771" s="35">
        <f>IF(AND(AP$190&gt;0,$A771&gt;0),'Client Data'!AQ11,0)</f>
        <v>0</v>
      </c>
      <c r="AQ771" s="35">
        <f>IF(AND(AQ$190&gt;0,$A771&gt;0),'Client Data'!AR11,0)</f>
        <v>0</v>
      </c>
      <c r="AR771" s="35">
        <f>IF(AND(AR$190&gt;0,$A771&gt;0),'Client Data'!AS11,0)</f>
        <v>0</v>
      </c>
      <c r="AS771" s="35">
        <f>IF(AND(AS$190&gt;0,$A771&gt;0),'Client Data'!AT11,0)</f>
        <v>0</v>
      </c>
      <c r="AT771" s="35">
        <f>IF(AND(AT$190&gt;0,$A771&gt;0),'Client Data'!AU11,0)</f>
        <v>0</v>
      </c>
      <c r="AU771" s="35">
        <f>IF(AND(AU$190&gt;0,$A771&gt;0),'Client Data'!AV11,0)</f>
        <v>0</v>
      </c>
      <c r="AV771" s="35">
        <f>IF(AND(AV$190&gt;0,$A771&gt;0),'Client Data'!AW11,0)</f>
        <v>0</v>
      </c>
      <c r="AW771" s="35">
        <f>IF(AND(AW$190&gt;0,$A771&gt;0),'Client Data'!AX11,0)</f>
        <v>0</v>
      </c>
      <c r="AX771" s="35">
        <f>IF(AND(AX$190&gt;0,$A771&gt;0),'Client Data'!AY11,0)</f>
        <v>0</v>
      </c>
      <c r="AY771" s="35">
        <f>IF(AND(AY$190&gt;0,$A771&gt;0),'Client Data'!AZ11,0)</f>
        <v>0</v>
      </c>
      <c r="AZ771" s="35">
        <f>IF(AND(AZ$190&gt;0,$A771&gt;0),'Client Data'!BA11,0)</f>
        <v>0</v>
      </c>
      <c r="BA771" s="35">
        <f>IF(AND(BA$190&gt;0,$A771&gt;0),'Client Data'!BB11,0)</f>
        <v>0</v>
      </c>
      <c r="BB771" s="35">
        <f>IF(AND(BB$190&gt;0,$A771&gt;0),'Client Data'!BC11,0)</f>
        <v>0</v>
      </c>
      <c r="BC771" s="19">
        <f t="shared" si="1202"/>
        <v>0</v>
      </c>
      <c r="BD771" s="19">
        <f t="shared" si="1203"/>
        <v>0</v>
      </c>
      <c r="BE771" s="19"/>
    </row>
    <row r="772" spans="1:57" x14ac:dyDescent="0.25">
      <c r="A772">
        <f t="shared" si="1205"/>
        <v>-1</v>
      </c>
      <c r="B772" s="19">
        <f t="shared" si="1201"/>
        <v>0</v>
      </c>
      <c r="C772" s="35">
        <f>IF(AND(C$190&gt;0,$A772&gt;0),'Client Data'!D12,0)</f>
        <v>0</v>
      </c>
      <c r="D772" s="35">
        <f>IF(AND(D$190&gt;0,$A772&gt;0),'Client Data'!E12,0)</f>
        <v>0</v>
      </c>
      <c r="E772" s="35">
        <f>IF(AND(E$190&gt;0,$A772&gt;0),'Client Data'!F12,0)</f>
        <v>0</v>
      </c>
      <c r="F772" s="35">
        <f>IF(AND(F$190&gt;0,$A772&gt;0),'Client Data'!G12,0)</f>
        <v>0</v>
      </c>
      <c r="G772" s="35">
        <f>IF(AND(G$190&gt;0,$A772&gt;0),'Client Data'!H12,0)</f>
        <v>0</v>
      </c>
      <c r="H772" s="35">
        <f>IF(AND(H$190&gt;0,$A772&gt;0),'Client Data'!I12,0)</f>
        <v>0</v>
      </c>
      <c r="I772" s="35">
        <f>IF(AND(I$190&gt;0,$A772&gt;0),'Client Data'!J12,0)</f>
        <v>0</v>
      </c>
      <c r="J772" s="35">
        <f>IF(AND(J$190&gt;0,$A772&gt;0),'Client Data'!K12,0)</f>
        <v>0</v>
      </c>
      <c r="K772" s="35">
        <f>IF(AND(K$190&gt;0,$A772&gt;0),'Client Data'!L12,0)</f>
        <v>0</v>
      </c>
      <c r="L772" s="35">
        <f>IF(AND(L$190&gt;0,$A772&gt;0),'Client Data'!M12,0)</f>
        <v>0</v>
      </c>
      <c r="M772" s="35">
        <f>IF(AND(M$190&gt;0,$A772&gt;0),'Client Data'!N12,0)</f>
        <v>0</v>
      </c>
      <c r="N772" s="35">
        <f>IF(AND(N$190&gt;0,$A772&gt;0),'Client Data'!O12,0)</f>
        <v>0</v>
      </c>
      <c r="O772" s="35">
        <f>IF(AND(O$190&gt;0,$A772&gt;0),'Client Data'!P12,0)</f>
        <v>0</v>
      </c>
      <c r="P772" s="35">
        <f>IF(AND(P$190&gt;0,$A772&gt;0),'Client Data'!Q12,0)</f>
        <v>0</v>
      </c>
      <c r="Q772" s="35">
        <f>IF(AND(Q$190&gt;0,$A772&gt;0),'Client Data'!R12,0)</f>
        <v>0</v>
      </c>
      <c r="R772" s="35">
        <f>IF(AND(R$190&gt;0,$A772&gt;0),'Client Data'!S12,0)</f>
        <v>0</v>
      </c>
      <c r="S772" s="35">
        <f>IF(AND(S$190&gt;0,$A772&gt;0),'Client Data'!T12,0)</f>
        <v>0</v>
      </c>
      <c r="T772" s="35">
        <f>IF(AND(T$190&gt;0,$A772&gt;0),'Client Data'!U12,0)</f>
        <v>0</v>
      </c>
      <c r="U772" s="35">
        <f>IF(AND(U$190&gt;0,$A772&gt;0),'Client Data'!V12,0)</f>
        <v>0</v>
      </c>
      <c r="V772" s="35">
        <f>IF(AND(V$190&gt;0,$A772&gt;0),'Client Data'!W12,0)</f>
        <v>0</v>
      </c>
      <c r="W772" s="35">
        <f>IF(AND(W$190&gt;0,$A772&gt;0),'Client Data'!X12,0)</f>
        <v>0</v>
      </c>
      <c r="X772" s="35">
        <f>IF(AND(X$190&gt;0,$A772&gt;0),'Client Data'!Y12,0)</f>
        <v>0</v>
      </c>
      <c r="Y772" s="35">
        <f>IF(AND(Y$190&gt;0,$A772&gt;0),'Client Data'!Z12,0)</f>
        <v>0</v>
      </c>
      <c r="Z772" s="35">
        <f>IF(AND(Z$190&gt;0,$A772&gt;0),'Client Data'!AA12,0)</f>
        <v>0</v>
      </c>
      <c r="AA772" s="35">
        <f>IF(AND(AA$190&gt;0,$A772&gt;0),'Client Data'!AB12,0)</f>
        <v>0</v>
      </c>
      <c r="AB772" s="35">
        <f>IF(AND(AB$190&gt;0,$A772&gt;0),'Client Data'!AC12,0)</f>
        <v>0</v>
      </c>
      <c r="AC772" s="35">
        <f>IF(AND(AC$190&gt;0,$A772&gt;0),'Client Data'!AD12,0)</f>
        <v>0</v>
      </c>
      <c r="AD772" s="35">
        <f>IF(AND(AD$190&gt;0,$A772&gt;0),'Client Data'!AE12,0)</f>
        <v>0</v>
      </c>
      <c r="AE772" s="35">
        <f>IF(AND(AE$190&gt;0,$A772&gt;0),'Client Data'!AF12,0)</f>
        <v>0</v>
      </c>
      <c r="AF772" s="35">
        <f>IF(AND(AF$190&gt;0,$A772&gt;0),'Client Data'!AG12,0)</f>
        <v>0</v>
      </c>
      <c r="AG772" s="35">
        <f>IF(AND(AG$190&gt;0,$A772&gt;0),'Client Data'!AH12,0)</f>
        <v>0</v>
      </c>
      <c r="AH772" s="35">
        <f>IF(AND(AH$190&gt;0,$A772&gt;0),'Client Data'!AI12,0)</f>
        <v>0</v>
      </c>
      <c r="AI772" s="35">
        <f>IF(AND(AI$190&gt;0,$A772&gt;0),'Client Data'!AJ12,0)</f>
        <v>0</v>
      </c>
      <c r="AJ772" s="35">
        <f>IF(AND(AJ$190&gt;0,$A772&gt;0),'Client Data'!AK12,0)</f>
        <v>0</v>
      </c>
      <c r="AK772" s="35">
        <f>IF(AND(AK$190&gt;0,$A772&gt;0),'Client Data'!AL12,0)</f>
        <v>0</v>
      </c>
      <c r="AL772" s="35">
        <f>IF(AND(AL$190&gt;0,$A772&gt;0),'Client Data'!AM12,0)</f>
        <v>0</v>
      </c>
      <c r="AM772" s="35">
        <f>IF(AND(AM$190&gt;0,$A772&gt;0),'Client Data'!AN12,0)</f>
        <v>0</v>
      </c>
      <c r="AN772" s="35">
        <f>IF(AND(AN$190&gt;0,$A772&gt;0),'Client Data'!AO12,0)</f>
        <v>0</v>
      </c>
      <c r="AO772" s="35">
        <f>IF(AND(AO$190&gt;0,$A772&gt;0),'Client Data'!AP12,0)</f>
        <v>0</v>
      </c>
      <c r="AP772" s="35">
        <f>IF(AND(AP$190&gt;0,$A772&gt;0),'Client Data'!AQ12,0)</f>
        <v>0</v>
      </c>
      <c r="AQ772" s="35">
        <f>IF(AND(AQ$190&gt;0,$A772&gt;0),'Client Data'!AR12,0)</f>
        <v>0</v>
      </c>
      <c r="AR772" s="35">
        <f>IF(AND(AR$190&gt;0,$A772&gt;0),'Client Data'!AS12,0)</f>
        <v>0</v>
      </c>
      <c r="AS772" s="35">
        <f>IF(AND(AS$190&gt;0,$A772&gt;0),'Client Data'!AT12,0)</f>
        <v>0</v>
      </c>
      <c r="AT772" s="35">
        <f>IF(AND(AT$190&gt;0,$A772&gt;0),'Client Data'!AU12,0)</f>
        <v>0</v>
      </c>
      <c r="AU772" s="35">
        <f>IF(AND(AU$190&gt;0,$A772&gt;0),'Client Data'!AV12,0)</f>
        <v>0</v>
      </c>
      <c r="AV772" s="35">
        <f>IF(AND(AV$190&gt;0,$A772&gt;0),'Client Data'!AW12,0)</f>
        <v>0</v>
      </c>
      <c r="AW772" s="35">
        <f>IF(AND(AW$190&gt;0,$A772&gt;0),'Client Data'!AX12,0)</f>
        <v>0</v>
      </c>
      <c r="AX772" s="35">
        <f>IF(AND(AX$190&gt;0,$A772&gt;0),'Client Data'!AY12,0)</f>
        <v>0</v>
      </c>
      <c r="AY772" s="35">
        <f>IF(AND(AY$190&gt;0,$A772&gt;0),'Client Data'!AZ12,0)</f>
        <v>0</v>
      </c>
      <c r="AZ772" s="35">
        <f>IF(AND(AZ$190&gt;0,$A772&gt;0),'Client Data'!BA12,0)</f>
        <v>0</v>
      </c>
      <c r="BA772" s="35">
        <f>IF(AND(BA$190&gt;0,$A772&gt;0),'Client Data'!BB12,0)</f>
        <v>0</v>
      </c>
      <c r="BB772" s="35">
        <f>IF(AND(BB$190&gt;0,$A772&gt;0),'Client Data'!BC12,0)</f>
        <v>0</v>
      </c>
      <c r="BC772" s="19">
        <f t="shared" si="1202"/>
        <v>0</v>
      </c>
      <c r="BD772" s="19">
        <f t="shared" si="1203"/>
        <v>0</v>
      </c>
      <c r="BE772" s="19"/>
    </row>
    <row r="773" spans="1:57" x14ac:dyDescent="0.25">
      <c r="A773">
        <f t="shared" si="1205"/>
        <v>-2</v>
      </c>
      <c r="B773" s="19">
        <f t="shared" si="1201"/>
        <v>0</v>
      </c>
      <c r="C773" s="35">
        <f>IF(AND(C$190&gt;0,$A773&gt;0),'Client Data'!D13,0)</f>
        <v>0</v>
      </c>
      <c r="D773" s="35">
        <f>IF(AND(D$190&gt;0,$A773&gt;0),'Client Data'!E13,0)</f>
        <v>0</v>
      </c>
      <c r="E773" s="35">
        <f>IF(AND(E$190&gt;0,$A773&gt;0),'Client Data'!F13,0)</f>
        <v>0</v>
      </c>
      <c r="F773" s="35">
        <f>IF(AND(F$190&gt;0,$A773&gt;0),'Client Data'!G13,0)</f>
        <v>0</v>
      </c>
      <c r="G773" s="35">
        <f>IF(AND(G$190&gt;0,$A773&gt;0),'Client Data'!H13,0)</f>
        <v>0</v>
      </c>
      <c r="H773" s="35">
        <f>IF(AND(H$190&gt;0,$A773&gt;0),'Client Data'!I13,0)</f>
        <v>0</v>
      </c>
      <c r="I773" s="35">
        <f>IF(AND(I$190&gt;0,$A773&gt;0),'Client Data'!J13,0)</f>
        <v>0</v>
      </c>
      <c r="J773" s="35">
        <f>IF(AND(J$190&gt;0,$A773&gt;0),'Client Data'!K13,0)</f>
        <v>0</v>
      </c>
      <c r="K773" s="35">
        <f>IF(AND(K$190&gt;0,$A773&gt;0),'Client Data'!L13,0)</f>
        <v>0</v>
      </c>
      <c r="L773" s="35">
        <f>IF(AND(L$190&gt;0,$A773&gt;0),'Client Data'!M13,0)</f>
        <v>0</v>
      </c>
      <c r="M773" s="35">
        <f>IF(AND(M$190&gt;0,$A773&gt;0),'Client Data'!N13,0)</f>
        <v>0</v>
      </c>
      <c r="N773" s="35">
        <f>IF(AND(N$190&gt;0,$A773&gt;0),'Client Data'!O13,0)</f>
        <v>0</v>
      </c>
      <c r="O773" s="35">
        <f>IF(AND(O$190&gt;0,$A773&gt;0),'Client Data'!P13,0)</f>
        <v>0</v>
      </c>
      <c r="P773" s="35">
        <f>IF(AND(P$190&gt;0,$A773&gt;0),'Client Data'!Q13,0)</f>
        <v>0</v>
      </c>
      <c r="Q773" s="35">
        <f>IF(AND(Q$190&gt;0,$A773&gt;0),'Client Data'!R13,0)</f>
        <v>0</v>
      </c>
      <c r="R773" s="35">
        <f>IF(AND(R$190&gt;0,$A773&gt;0),'Client Data'!S13,0)</f>
        <v>0</v>
      </c>
      <c r="S773" s="35">
        <f>IF(AND(S$190&gt;0,$A773&gt;0),'Client Data'!T13,0)</f>
        <v>0</v>
      </c>
      <c r="T773" s="35">
        <f>IF(AND(T$190&gt;0,$A773&gt;0),'Client Data'!U13,0)</f>
        <v>0</v>
      </c>
      <c r="U773" s="35">
        <f>IF(AND(U$190&gt;0,$A773&gt;0),'Client Data'!V13,0)</f>
        <v>0</v>
      </c>
      <c r="V773" s="35">
        <f>IF(AND(V$190&gt;0,$A773&gt;0),'Client Data'!W13,0)</f>
        <v>0</v>
      </c>
      <c r="W773" s="35">
        <f>IF(AND(W$190&gt;0,$A773&gt;0),'Client Data'!X13,0)</f>
        <v>0</v>
      </c>
      <c r="X773" s="35">
        <f>IF(AND(X$190&gt;0,$A773&gt;0),'Client Data'!Y13,0)</f>
        <v>0</v>
      </c>
      <c r="Y773" s="35">
        <f>IF(AND(Y$190&gt;0,$A773&gt;0),'Client Data'!Z13,0)</f>
        <v>0</v>
      </c>
      <c r="Z773" s="35">
        <f>IF(AND(Z$190&gt;0,$A773&gt;0),'Client Data'!AA13,0)</f>
        <v>0</v>
      </c>
      <c r="AA773" s="35">
        <f>IF(AND(AA$190&gt;0,$A773&gt;0),'Client Data'!AB13,0)</f>
        <v>0</v>
      </c>
      <c r="AB773" s="35">
        <f>IF(AND(AB$190&gt;0,$A773&gt;0),'Client Data'!AC13,0)</f>
        <v>0</v>
      </c>
      <c r="AC773" s="35">
        <f>IF(AND(AC$190&gt;0,$A773&gt;0),'Client Data'!AD13,0)</f>
        <v>0</v>
      </c>
      <c r="AD773" s="35">
        <f>IF(AND(AD$190&gt;0,$A773&gt;0),'Client Data'!AE13,0)</f>
        <v>0</v>
      </c>
      <c r="AE773" s="35">
        <f>IF(AND(AE$190&gt;0,$A773&gt;0),'Client Data'!AF13,0)</f>
        <v>0</v>
      </c>
      <c r="AF773" s="35">
        <f>IF(AND(AF$190&gt;0,$A773&gt;0),'Client Data'!AG13,0)</f>
        <v>0</v>
      </c>
      <c r="AG773" s="35">
        <f>IF(AND(AG$190&gt;0,$A773&gt;0),'Client Data'!AH13,0)</f>
        <v>0</v>
      </c>
      <c r="AH773" s="35">
        <f>IF(AND(AH$190&gt;0,$A773&gt;0),'Client Data'!AI13,0)</f>
        <v>0</v>
      </c>
      <c r="AI773" s="35">
        <f>IF(AND(AI$190&gt;0,$A773&gt;0),'Client Data'!AJ13,0)</f>
        <v>0</v>
      </c>
      <c r="AJ773" s="35">
        <f>IF(AND(AJ$190&gt;0,$A773&gt;0),'Client Data'!AK13,0)</f>
        <v>0</v>
      </c>
      <c r="AK773" s="35">
        <f>IF(AND(AK$190&gt;0,$A773&gt;0),'Client Data'!AL13,0)</f>
        <v>0</v>
      </c>
      <c r="AL773" s="35">
        <f>IF(AND(AL$190&gt;0,$A773&gt;0),'Client Data'!AM13,0)</f>
        <v>0</v>
      </c>
      <c r="AM773" s="35">
        <f>IF(AND(AM$190&gt;0,$A773&gt;0),'Client Data'!AN13,0)</f>
        <v>0</v>
      </c>
      <c r="AN773" s="35">
        <f>IF(AND(AN$190&gt;0,$A773&gt;0),'Client Data'!AO13,0)</f>
        <v>0</v>
      </c>
      <c r="AO773" s="35">
        <f>IF(AND(AO$190&gt;0,$A773&gt;0),'Client Data'!AP13,0)</f>
        <v>0</v>
      </c>
      <c r="AP773" s="35">
        <f>IF(AND(AP$190&gt;0,$A773&gt;0),'Client Data'!AQ13,0)</f>
        <v>0</v>
      </c>
      <c r="AQ773" s="35">
        <f>IF(AND(AQ$190&gt;0,$A773&gt;0),'Client Data'!AR13,0)</f>
        <v>0</v>
      </c>
      <c r="AR773" s="35">
        <f>IF(AND(AR$190&gt;0,$A773&gt;0),'Client Data'!AS13,0)</f>
        <v>0</v>
      </c>
      <c r="AS773" s="35">
        <f>IF(AND(AS$190&gt;0,$A773&gt;0),'Client Data'!AT13,0)</f>
        <v>0</v>
      </c>
      <c r="AT773" s="35">
        <f>IF(AND(AT$190&gt;0,$A773&gt;0),'Client Data'!AU13,0)</f>
        <v>0</v>
      </c>
      <c r="AU773" s="35">
        <f>IF(AND(AU$190&gt;0,$A773&gt;0),'Client Data'!AV13,0)</f>
        <v>0</v>
      </c>
      <c r="AV773" s="35">
        <f>IF(AND(AV$190&gt;0,$A773&gt;0),'Client Data'!AW13,0)</f>
        <v>0</v>
      </c>
      <c r="AW773" s="35">
        <f>IF(AND(AW$190&gt;0,$A773&gt;0),'Client Data'!AX13,0)</f>
        <v>0</v>
      </c>
      <c r="AX773" s="35">
        <f>IF(AND(AX$190&gt;0,$A773&gt;0),'Client Data'!AY13,0)</f>
        <v>0</v>
      </c>
      <c r="AY773" s="35">
        <f>IF(AND(AY$190&gt;0,$A773&gt;0),'Client Data'!AZ13,0)</f>
        <v>0</v>
      </c>
      <c r="AZ773" s="35">
        <f>IF(AND(AZ$190&gt;0,$A773&gt;0),'Client Data'!BA13,0)</f>
        <v>0</v>
      </c>
      <c r="BA773" s="35">
        <f>IF(AND(BA$190&gt;0,$A773&gt;0),'Client Data'!BB13,0)</f>
        <v>0</v>
      </c>
      <c r="BB773" s="35">
        <f>IF(AND(BB$190&gt;0,$A773&gt;0),'Client Data'!BC13,0)</f>
        <v>0</v>
      </c>
      <c r="BC773" s="19">
        <f t="shared" si="1202"/>
        <v>0</v>
      </c>
      <c r="BD773" s="19">
        <f t="shared" si="1203"/>
        <v>0</v>
      </c>
      <c r="BE773" s="19"/>
    </row>
    <row r="774" spans="1:57" x14ac:dyDescent="0.25">
      <c r="A774">
        <f t="shared" si="1205"/>
        <v>-3</v>
      </c>
      <c r="B774" s="19">
        <f t="shared" si="1201"/>
        <v>0</v>
      </c>
      <c r="C774" s="35">
        <f>IF(AND(C$190&gt;0,$A774&gt;0),'Client Data'!D14,0)</f>
        <v>0</v>
      </c>
      <c r="D774" s="35">
        <f>IF(AND(D$190&gt;0,$A774&gt;0),'Client Data'!E14,0)</f>
        <v>0</v>
      </c>
      <c r="E774" s="35">
        <f>IF(AND(E$190&gt;0,$A774&gt;0),'Client Data'!F14,0)</f>
        <v>0</v>
      </c>
      <c r="F774" s="35">
        <f>IF(AND(F$190&gt;0,$A774&gt;0),'Client Data'!G14,0)</f>
        <v>0</v>
      </c>
      <c r="G774" s="35">
        <f>IF(AND(G$190&gt;0,$A774&gt;0),'Client Data'!H14,0)</f>
        <v>0</v>
      </c>
      <c r="H774" s="35">
        <f>IF(AND(H$190&gt;0,$A774&gt;0),'Client Data'!I14,0)</f>
        <v>0</v>
      </c>
      <c r="I774" s="35">
        <f>IF(AND(I$190&gt;0,$A774&gt;0),'Client Data'!J14,0)</f>
        <v>0</v>
      </c>
      <c r="J774" s="35">
        <f>IF(AND(J$190&gt;0,$A774&gt;0),'Client Data'!K14,0)</f>
        <v>0</v>
      </c>
      <c r="K774" s="35">
        <f>IF(AND(K$190&gt;0,$A774&gt;0),'Client Data'!L14,0)</f>
        <v>0</v>
      </c>
      <c r="L774" s="35">
        <f>IF(AND(L$190&gt;0,$A774&gt;0),'Client Data'!M14,0)</f>
        <v>0</v>
      </c>
      <c r="M774" s="35">
        <f>IF(AND(M$190&gt;0,$A774&gt;0),'Client Data'!N14,0)</f>
        <v>0</v>
      </c>
      <c r="N774" s="35">
        <f>IF(AND(N$190&gt;0,$A774&gt;0),'Client Data'!O14,0)</f>
        <v>0</v>
      </c>
      <c r="O774" s="35">
        <f>IF(AND(O$190&gt;0,$A774&gt;0),'Client Data'!P14,0)</f>
        <v>0</v>
      </c>
      <c r="P774" s="35">
        <f>IF(AND(P$190&gt;0,$A774&gt;0),'Client Data'!Q14,0)</f>
        <v>0</v>
      </c>
      <c r="Q774" s="35">
        <f>IF(AND(Q$190&gt;0,$A774&gt;0),'Client Data'!R14,0)</f>
        <v>0</v>
      </c>
      <c r="R774" s="35">
        <f>IF(AND(R$190&gt;0,$A774&gt;0),'Client Data'!S14,0)</f>
        <v>0</v>
      </c>
      <c r="S774" s="35">
        <f>IF(AND(S$190&gt;0,$A774&gt;0),'Client Data'!T14,0)</f>
        <v>0</v>
      </c>
      <c r="T774" s="35">
        <f>IF(AND(T$190&gt;0,$A774&gt;0),'Client Data'!U14,0)</f>
        <v>0</v>
      </c>
      <c r="U774" s="35">
        <f>IF(AND(U$190&gt;0,$A774&gt;0),'Client Data'!V14,0)</f>
        <v>0</v>
      </c>
      <c r="V774" s="35">
        <f>IF(AND(V$190&gt;0,$A774&gt;0),'Client Data'!W14,0)</f>
        <v>0</v>
      </c>
      <c r="W774" s="35">
        <f>IF(AND(W$190&gt;0,$A774&gt;0),'Client Data'!X14,0)</f>
        <v>0</v>
      </c>
      <c r="X774" s="35">
        <f>IF(AND(X$190&gt;0,$A774&gt;0),'Client Data'!Y14,0)</f>
        <v>0</v>
      </c>
      <c r="Y774" s="35">
        <f>IF(AND(Y$190&gt;0,$A774&gt;0),'Client Data'!Z14,0)</f>
        <v>0</v>
      </c>
      <c r="Z774" s="35">
        <f>IF(AND(Z$190&gt;0,$A774&gt;0),'Client Data'!AA14,0)</f>
        <v>0</v>
      </c>
      <c r="AA774" s="35">
        <f>IF(AND(AA$190&gt;0,$A774&gt;0),'Client Data'!AB14,0)</f>
        <v>0</v>
      </c>
      <c r="AB774" s="35">
        <f>IF(AND(AB$190&gt;0,$A774&gt;0),'Client Data'!AC14,0)</f>
        <v>0</v>
      </c>
      <c r="AC774" s="35">
        <f>IF(AND(AC$190&gt;0,$A774&gt;0),'Client Data'!AD14,0)</f>
        <v>0</v>
      </c>
      <c r="AD774" s="35">
        <f>IF(AND(AD$190&gt;0,$A774&gt;0),'Client Data'!AE14,0)</f>
        <v>0</v>
      </c>
      <c r="AE774" s="35">
        <f>IF(AND(AE$190&gt;0,$A774&gt;0),'Client Data'!AF14,0)</f>
        <v>0</v>
      </c>
      <c r="AF774" s="35">
        <f>IF(AND(AF$190&gt;0,$A774&gt;0),'Client Data'!AG14,0)</f>
        <v>0</v>
      </c>
      <c r="AG774" s="35">
        <f>IF(AND(AG$190&gt;0,$A774&gt;0),'Client Data'!AH14,0)</f>
        <v>0</v>
      </c>
      <c r="AH774" s="35">
        <f>IF(AND(AH$190&gt;0,$A774&gt;0),'Client Data'!AI14,0)</f>
        <v>0</v>
      </c>
      <c r="AI774" s="35">
        <f>IF(AND(AI$190&gt;0,$A774&gt;0),'Client Data'!AJ14,0)</f>
        <v>0</v>
      </c>
      <c r="AJ774" s="35">
        <f>IF(AND(AJ$190&gt;0,$A774&gt;0),'Client Data'!AK14,0)</f>
        <v>0</v>
      </c>
      <c r="AK774" s="35">
        <f>IF(AND(AK$190&gt;0,$A774&gt;0),'Client Data'!AL14,0)</f>
        <v>0</v>
      </c>
      <c r="AL774" s="35">
        <f>IF(AND(AL$190&gt;0,$A774&gt;0),'Client Data'!AM14,0)</f>
        <v>0</v>
      </c>
      <c r="AM774" s="35">
        <f>IF(AND(AM$190&gt;0,$A774&gt;0),'Client Data'!AN14,0)</f>
        <v>0</v>
      </c>
      <c r="AN774" s="35">
        <f>IF(AND(AN$190&gt;0,$A774&gt;0),'Client Data'!AO14,0)</f>
        <v>0</v>
      </c>
      <c r="AO774" s="35">
        <f>IF(AND(AO$190&gt;0,$A774&gt;0),'Client Data'!AP14,0)</f>
        <v>0</v>
      </c>
      <c r="AP774" s="35">
        <f>IF(AND(AP$190&gt;0,$A774&gt;0),'Client Data'!AQ14,0)</f>
        <v>0</v>
      </c>
      <c r="AQ774" s="35">
        <f>IF(AND(AQ$190&gt;0,$A774&gt;0),'Client Data'!AR14,0)</f>
        <v>0</v>
      </c>
      <c r="AR774" s="35">
        <f>IF(AND(AR$190&gt;0,$A774&gt;0),'Client Data'!AS14,0)</f>
        <v>0</v>
      </c>
      <c r="AS774" s="35">
        <f>IF(AND(AS$190&gt;0,$A774&gt;0),'Client Data'!AT14,0)</f>
        <v>0</v>
      </c>
      <c r="AT774" s="35">
        <f>IF(AND(AT$190&gt;0,$A774&gt;0),'Client Data'!AU14,0)</f>
        <v>0</v>
      </c>
      <c r="AU774" s="35">
        <f>IF(AND(AU$190&gt;0,$A774&gt;0),'Client Data'!AV14,0)</f>
        <v>0</v>
      </c>
      <c r="AV774" s="35">
        <f>IF(AND(AV$190&gt;0,$A774&gt;0),'Client Data'!AW14,0)</f>
        <v>0</v>
      </c>
      <c r="AW774" s="35">
        <f>IF(AND(AW$190&gt;0,$A774&gt;0),'Client Data'!AX14,0)</f>
        <v>0</v>
      </c>
      <c r="AX774" s="35">
        <f>IF(AND(AX$190&gt;0,$A774&gt;0),'Client Data'!AY14,0)</f>
        <v>0</v>
      </c>
      <c r="AY774" s="35">
        <f>IF(AND(AY$190&gt;0,$A774&gt;0),'Client Data'!AZ14,0)</f>
        <v>0</v>
      </c>
      <c r="AZ774" s="35">
        <f>IF(AND(AZ$190&gt;0,$A774&gt;0),'Client Data'!BA14,0)</f>
        <v>0</v>
      </c>
      <c r="BA774" s="35">
        <f>IF(AND(BA$190&gt;0,$A774&gt;0),'Client Data'!BB14,0)</f>
        <v>0</v>
      </c>
      <c r="BB774" s="35">
        <f>IF(AND(BB$190&gt;0,$A774&gt;0),'Client Data'!BC14,0)</f>
        <v>0</v>
      </c>
      <c r="BC774" s="19">
        <f t="shared" si="1202"/>
        <v>0</v>
      </c>
      <c r="BD774" s="19">
        <f t="shared" si="1203"/>
        <v>0</v>
      </c>
      <c r="BE774" s="19"/>
    </row>
    <row r="775" spans="1:57" x14ac:dyDescent="0.25">
      <c r="A775">
        <f t="shared" si="1205"/>
        <v>-4</v>
      </c>
      <c r="B775" s="19">
        <f t="shared" si="1201"/>
        <v>0</v>
      </c>
      <c r="C775" s="35">
        <f>IF(AND(C$190&gt;0,$A775&gt;0),'Client Data'!D15,0)</f>
        <v>0</v>
      </c>
      <c r="D775" s="35">
        <f>IF(AND(D$190&gt;0,$A775&gt;0),'Client Data'!E15,0)</f>
        <v>0</v>
      </c>
      <c r="E775" s="35">
        <f>IF(AND(E$190&gt;0,$A775&gt;0),'Client Data'!F15,0)</f>
        <v>0</v>
      </c>
      <c r="F775" s="35">
        <f>IF(AND(F$190&gt;0,$A775&gt;0),'Client Data'!G15,0)</f>
        <v>0</v>
      </c>
      <c r="G775" s="35">
        <f>IF(AND(G$190&gt;0,$A775&gt;0),'Client Data'!H15,0)</f>
        <v>0</v>
      </c>
      <c r="H775" s="35">
        <f>IF(AND(H$190&gt;0,$A775&gt;0),'Client Data'!I15,0)</f>
        <v>0</v>
      </c>
      <c r="I775" s="35">
        <f>IF(AND(I$190&gt;0,$A775&gt;0),'Client Data'!J15,0)</f>
        <v>0</v>
      </c>
      <c r="J775" s="35">
        <f>IF(AND(J$190&gt;0,$A775&gt;0),'Client Data'!K15,0)</f>
        <v>0</v>
      </c>
      <c r="K775" s="35">
        <f>IF(AND(K$190&gt;0,$A775&gt;0),'Client Data'!L15,0)</f>
        <v>0</v>
      </c>
      <c r="L775" s="35">
        <f>IF(AND(L$190&gt;0,$A775&gt;0),'Client Data'!M15,0)</f>
        <v>0</v>
      </c>
      <c r="M775" s="35">
        <f>IF(AND(M$190&gt;0,$A775&gt;0),'Client Data'!N15,0)</f>
        <v>0</v>
      </c>
      <c r="N775" s="35">
        <f>IF(AND(N$190&gt;0,$A775&gt;0),'Client Data'!O15,0)</f>
        <v>0</v>
      </c>
      <c r="O775" s="35">
        <f>IF(AND(O$190&gt;0,$A775&gt;0),'Client Data'!P15,0)</f>
        <v>0</v>
      </c>
      <c r="P775" s="35">
        <f>IF(AND(P$190&gt;0,$A775&gt;0),'Client Data'!Q15,0)</f>
        <v>0</v>
      </c>
      <c r="Q775" s="35">
        <f>IF(AND(Q$190&gt;0,$A775&gt;0),'Client Data'!R15,0)</f>
        <v>0</v>
      </c>
      <c r="R775" s="35">
        <f>IF(AND(R$190&gt;0,$A775&gt;0),'Client Data'!S15,0)</f>
        <v>0</v>
      </c>
      <c r="S775" s="35">
        <f>IF(AND(S$190&gt;0,$A775&gt;0),'Client Data'!T15,0)</f>
        <v>0</v>
      </c>
      <c r="T775" s="35">
        <f>IF(AND(T$190&gt;0,$A775&gt;0),'Client Data'!U15,0)</f>
        <v>0</v>
      </c>
      <c r="U775" s="35">
        <f>IF(AND(U$190&gt;0,$A775&gt;0),'Client Data'!V15,0)</f>
        <v>0</v>
      </c>
      <c r="V775" s="35">
        <f>IF(AND(V$190&gt;0,$A775&gt;0),'Client Data'!W15,0)</f>
        <v>0</v>
      </c>
      <c r="W775" s="35">
        <f>IF(AND(W$190&gt;0,$A775&gt;0),'Client Data'!X15,0)</f>
        <v>0</v>
      </c>
      <c r="X775" s="35">
        <f>IF(AND(X$190&gt;0,$A775&gt;0),'Client Data'!Y15,0)</f>
        <v>0</v>
      </c>
      <c r="Y775" s="35">
        <f>IF(AND(Y$190&gt;0,$A775&gt;0),'Client Data'!Z15,0)</f>
        <v>0</v>
      </c>
      <c r="Z775" s="35">
        <f>IF(AND(Z$190&gt;0,$A775&gt;0),'Client Data'!AA15,0)</f>
        <v>0</v>
      </c>
      <c r="AA775" s="35">
        <f>IF(AND(AA$190&gt;0,$A775&gt;0),'Client Data'!AB15,0)</f>
        <v>0</v>
      </c>
      <c r="AB775" s="35">
        <f>IF(AND(AB$190&gt;0,$A775&gt;0),'Client Data'!AC15,0)</f>
        <v>0</v>
      </c>
      <c r="AC775" s="35">
        <f>IF(AND(AC$190&gt;0,$A775&gt;0),'Client Data'!AD15,0)</f>
        <v>0</v>
      </c>
      <c r="AD775" s="35">
        <f>IF(AND(AD$190&gt;0,$A775&gt;0),'Client Data'!AE15,0)</f>
        <v>0</v>
      </c>
      <c r="AE775" s="35">
        <f>IF(AND(AE$190&gt;0,$A775&gt;0),'Client Data'!AF15,0)</f>
        <v>0</v>
      </c>
      <c r="AF775" s="35">
        <f>IF(AND(AF$190&gt;0,$A775&gt;0),'Client Data'!AG15,0)</f>
        <v>0</v>
      </c>
      <c r="AG775" s="35">
        <f>IF(AND(AG$190&gt;0,$A775&gt;0),'Client Data'!AH15,0)</f>
        <v>0</v>
      </c>
      <c r="AH775" s="35">
        <f>IF(AND(AH$190&gt;0,$A775&gt;0),'Client Data'!AI15,0)</f>
        <v>0</v>
      </c>
      <c r="AI775" s="35">
        <f>IF(AND(AI$190&gt;0,$A775&gt;0),'Client Data'!AJ15,0)</f>
        <v>0</v>
      </c>
      <c r="AJ775" s="35">
        <f>IF(AND(AJ$190&gt;0,$A775&gt;0),'Client Data'!AK15,0)</f>
        <v>0</v>
      </c>
      <c r="AK775" s="35">
        <f>IF(AND(AK$190&gt;0,$A775&gt;0),'Client Data'!AL15,0)</f>
        <v>0</v>
      </c>
      <c r="AL775" s="35">
        <f>IF(AND(AL$190&gt;0,$A775&gt;0),'Client Data'!AM15,0)</f>
        <v>0</v>
      </c>
      <c r="AM775" s="35">
        <f>IF(AND(AM$190&gt;0,$A775&gt;0),'Client Data'!AN15,0)</f>
        <v>0</v>
      </c>
      <c r="AN775" s="35">
        <f>IF(AND(AN$190&gt;0,$A775&gt;0),'Client Data'!AO15,0)</f>
        <v>0</v>
      </c>
      <c r="AO775" s="35">
        <f>IF(AND(AO$190&gt;0,$A775&gt;0),'Client Data'!AP15,0)</f>
        <v>0</v>
      </c>
      <c r="AP775" s="35">
        <f>IF(AND(AP$190&gt;0,$A775&gt;0),'Client Data'!AQ15,0)</f>
        <v>0</v>
      </c>
      <c r="AQ775" s="35">
        <f>IF(AND(AQ$190&gt;0,$A775&gt;0),'Client Data'!AR15,0)</f>
        <v>0</v>
      </c>
      <c r="AR775" s="35">
        <f>IF(AND(AR$190&gt;0,$A775&gt;0),'Client Data'!AS15,0)</f>
        <v>0</v>
      </c>
      <c r="AS775" s="35">
        <f>IF(AND(AS$190&gt;0,$A775&gt;0),'Client Data'!AT15,0)</f>
        <v>0</v>
      </c>
      <c r="AT775" s="35">
        <f>IF(AND(AT$190&gt;0,$A775&gt;0),'Client Data'!AU15,0)</f>
        <v>0</v>
      </c>
      <c r="AU775" s="35">
        <f>IF(AND(AU$190&gt;0,$A775&gt;0),'Client Data'!AV15,0)</f>
        <v>0</v>
      </c>
      <c r="AV775" s="35">
        <f>IF(AND(AV$190&gt;0,$A775&gt;0),'Client Data'!AW15,0)</f>
        <v>0</v>
      </c>
      <c r="AW775" s="35">
        <f>IF(AND(AW$190&gt;0,$A775&gt;0),'Client Data'!AX15,0)</f>
        <v>0</v>
      </c>
      <c r="AX775" s="35">
        <f>IF(AND(AX$190&gt;0,$A775&gt;0),'Client Data'!AY15,0)</f>
        <v>0</v>
      </c>
      <c r="AY775" s="35">
        <f>IF(AND(AY$190&gt;0,$A775&gt;0),'Client Data'!AZ15,0)</f>
        <v>0</v>
      </c>
      <c r="AZ775" s="35">
        <f>IF(AND(AZ$190&gt;0,$A775&gt;0),'Client Data'!BA15,0)</f>
        <v>0</v>
      </c>
      <c r="BA775" s="35">
        <f>IF(AND(BA$190&gt;0,$A775&gt;0),'Client Data'!BB15,0)</f>
        <v>0</v>
      </c>
      <c r="BB775" s="35">
        <f>IF(AND(BB$190&gt;0,$A775&gt;0),'Client Data'!BC15,0)</f>
        <v>0</v>
      </c>
      <c r="BC775" s="19">
        <f t="shared" si="1202"/>
        <v>0</v>
      </c>
      <c r="BD775" s="19">
        <f t="shared" si="1203"/>
        <v>0</v>
      </c>
      <c r="BE775" s="19"/>
    </row>
    <row r="776" spans="1:57" x14ac:dyDescent="0.25">
      <c r="A776">
        <f t="shared" si="1205"/>
        <v>-5</v>
      </c>
      <c r="B776" s="19">
        <f t="shared" si="1201"/>
        <v>0</v>
      </c>
      <c r="C776" s="35">
        <f>IF(AND(C$190&gt;0,$A776&gt;0),'Client Data'!D16,0)</f>
        <v>0</v>
      </c>
      <c r="D776" s="35">
        <f>IF(AND(D$190&gt;0,$A776&gt;0),'Client Data'!E16,0)</f>
        <v>0</v>
      </c>
      <c r="E776" s="35">
        <f>IF(AND(E$190&gt;0,$A776&gt;0),'Client Data'!F16,0)</f>
        <v>0</v>
      </c>
      <c r="F776" s="35">
        <f>IF(AND(F$190&gt;0,$A776&gt;0),'Client Data'!G16,0)</f>
        <v>0</v>
      </c>
      <c r="G776" s="35">
        <f>IF(AND(G$190&gt;0,$A776&gt;0),'Client Data'!H16,0)</f>
        <v>0</v>
      </c>
      <c r="H776" s="35">
        <f>IF(AND(H$190&gt;0,$A776&gt;0),'Client Data'!I16,0)</f>
        <v>0</v>
      </c>
      <c r="I776" s="35">
        <f>IF(AND(I$190&gt;0,$A776&gt;0),'Client Data'!J16,0)</f>
        <v>0</v>
      </c>
      <c r="J776" s="35">
        <f>IF(AND(J$190&gt;0,$A776&gt;0),'Client Data'!K16,0)</f>
        <v>0</v>
      </c>
      <c r="K776" s="35">
        <f>IF(AND(K$190&gt;0,$A776&gt;0),'Client Data'!L16,0)</f>
        <v>0</v>
      </c>
      <c r="L776" s="35">
        <f>IF(AND(L$190&gt;0,$A776&gt;0),'Client Data'!M16,0)</f>
        <v>0</v>
      </c>
      <c r="M776" s="35">
        <f>IF(AND(M$190&gt;0,$A776&gt;0),'Client Data'!N16,0)</f>
        <v>0</v>
      </c>
      <c r="N776" s="35">
        <f>IF(AND(N$190&gt;0,$A776&gt;0),'Client Data'!O16,0)</f>
        <v>0</v>
      </c>
      <c r="O776" s="35">
        <f>IF(AND(O$190&gt;0,$A776&gt;0),'Client Data'!P16,0)</f>
        <v>0</v>
      </c>
      <c r="P776" s="35">
        <f>IF(AND(P$190&gt;0,$A776&gt;0),'Client Data'!Q16,0)</f>
        <v>0</v>
      </c>
      <c r="Q776" s="35">
        <f>IF(AND(Q$190&gt;0,$A776&gt;0),'Client Data'!R16,0)</f>
        <v>0</v>
      </c>
      <c r="R776" s="35">
        <f>IF(AND(R$190&gt;0,$A776&gt;0),'Client Data'!S16,0)</f>
        <v>0</v>
      </c>
      <c r="S776" s="35">
        <f>IF(AND(S$190&gt;0,$A776&gt;0),'Client Data'!T16,0)</f>
        <v>0</v>
      </c>
      <c r="T776" s="35">
        <f>IF(AND(T$190&gt;0,$A776&gt;0),'Client Data'!U16,0)</f>
        <v>0</v>
      </c>
      <c r="U776" s="35">
        <f>IF(AND(U$190&gt;0,$A776&gt;0),'Client Data'!V16,0)</f>
        <v>0</v>
      </c>
      <c r="V776" s="35">
        <f>IF(AND(V$190&gt;0,$A776&gt;0),'Client Data'!W16,0)</f>
        <v>0</v>
      </c>
      <c r="W776" s="35">
        <f>IF(AND(W$190&gt;0,$A776&gt;0),'Client Data'!X16,0)</f>
        <v>0</v>
      </c>
      <c r="X776" s="35">
        <f>IF(AND(X$190&gt;0,$A776&gt;0),'Client Data'!Y16,0)</f>
        <v>0</v>
      </c>
      <c r="Y776" s="35">
        <f>IF(AND(Y$190&gt;0,$A776&gt;0),'Client Data'!Z16,0)</f>
        <v>0</v>
      </c>
      <c r="Z776" s="35">
        <f>IF(AND(Z$190&gt;0,$A776&gt;0),'Client Data'!AA16,0)</f>
        <v>0</v>
      </c>
      <c r="AA776" s="35">
        <f>IF(AND(AA$190&gt;0,$A776&gt;0),'Client Data'!AB16,0)</f>
        <v>0</v>
      </c>
      <c r="AB776" s="35">
        <f>IF(AND(AB$190&gt;0,$A776&gt;0),'Client Data'!AC16,0)</f>
        <v>0</v>
      </c>
      <c r="AC776" s="35">
        <f>IF(AND(AC$190&gt;0,$A776&gt;0),'Client Data'!AD16,0)</f>
        <v>0</v>
      </c>
      <c r="AD776" s="35">
        <f>IF(AND(AD$190&gt;0,$A776&gt;0),'Client Data'!AE16,0)</f>
        <v>0</v>
      </c>
      <c r="AE776" s="35">
        <f>IF(AND(AE$190&gt;0,$A776&gt;0),'Client Data'!AF16,0)</f>
        <v>0</v>
      </c>
      <c r="AF776" s="35">
        <f>IF(AND(AF$190&gt;0,$A776&gt;0),'Client Data'!AG16,0)</f>
        <v>0</v>
      </c>
      <c r="AG776" s="35">
        <f>IF(AND(AG$190&gt;0,$A776&gt;0),'Client Data'!AH16,0)</f>
        <v>0</v>
      </c>
      <c r="AH776" s="35">
        <f>IF(AND(AH$190&gt;0,$A776&gt;0),'Client Data'!AI16,0)</f>
        <v>0</v>
      </c>
      <c r="AI776" s="35">
        <f>IF(AND(AI$190&gt;0,$A776&gt;0),'Client Data'!AJ16,0)</f>
        <v>0</v>
      </c>
      <c r="AJ776" s="35">
        <f>IF(AND(AJ$190&gt;0,$A776&gt;0),'Client Data'!AK16,0)</f>
        <v>0</v>
      </c>
      <c r="AK776" s="35">
        <f>IF(AND(AK$190&gt;0,$A776&gt;0),'Client Data'!AL16,0)</f>
        <v>0</v>
      </c>
      <c r="AL776" s="35">
        <f>IF(AND(AL$190&gt;0,$A776&gt;0),'Client Data'!AM16,0)</f>
        <v>0</v>
      </c>
      <c r="AM776" s="35">
        <f>IF(AND(AM$190&gt;0,$A776&gt;0),'Client Data'!AN16,0)</f>
        <v>0</v>
      </c>
      <c r="AN776" s="35">
        <f>IF(AND(AN$190&gt;0,$A776&gt;0),'Client Data'!AO16,0)</f>
        <v>0</v>
      </c>
      <c r="AO776" s="35">
        <f>IF(AND(AO$190&gt;0,$A776&gt;0),'Client Data'!AP16,0)</f>
        <v>0</v>
      </c>
      <c r="AP776" s="35">
        <f>IF(AND(AP$190&gt;0,$A776&gt;0),'Client Data'!AQ16,0)</f>
        <v>0</v>
      </c>
      <c r="AQ776" s="35">
        <f>IF(AND(AQ$190&gt;0,$A776&gt;0),'Client Data'!AR16,0)</f>
        <v>0</v>
      </c>
      <c r="AR776" s="35">
        <f>IF(AND(AR$190&gt;0,$A776&gt;0),'Client Data'!AS16,0)</f>
        <v>0</v>
      </c>
      <c r="AS776" s="35">
        <f>IF(AND(AS$190&gt;0,$A776&gt;0),'Client Data'!AT16,0)</f>
        <v>0</v>
      </c>
      <c r="AT776" s="35">
        <f>IF(AND(AT$190&gt;0,$A776&gt;0),'Client Data'!AU16,0)</f>
        <v>0</v>
      </c>
      <c r="AU776" s="35">
        <f>IF(AND(AU$190&gt;0,$A776&gt;0),'Client Data'!AV16,0)</f>
        <v>0</v>
      </c>
      <c r="AV776" s="35">
        <f>IF(AND(AV$190&gt;0,$A776&gt;0),'Client Data'!AW16,0)</f>
        <v>0</v>
      </c>
      <c r="AW776" s="35">
        <f>IF(AND(AW$190&gt;0,$A776&gt;0),'Client Data'!AX16,0)</f>
        <v>0</v>
      </c>
      <c r="AX776" s="35">
        <f>IF(AND(AX$190&gt;0,$A776&gt;0),'Client Data'!AY16,0)</f>
        <v>0</v>
      </c>
      <c r="AY776" s="35">
        <f>IF(AND(AY$190&gt;0,$A776&gt;0),'Client Data'!AZ16,0)</f>
        <v>0</v>
      </c>
      <c r="AZ776" s="35">
        <f>IF(AND(AZ$190&gt;0,$A776&gt;0),'Client Data'!BA16,0)</f>
        <v>0</v>
      </c>
      <c r="BA776" s="35">
        <f>IF(AND(BA$190&gt;0,$A776&gt;0),'Client Data'!BB16,0)</f>
        <v>0</v>
      </c>
      <c r="BB776" s="35">
        <f>IF(AND(BB$190&gt;0,$A776&gt;0),'Client Data'!BC16,0)</f>
        <v>0</v>
      </c>
      <c r="BC776" s="19">
        <f t="shared" si="1202"/>
        <v>0</v>
      </c>
      <c r="BD776" s="19">
        <f t="shared" si="1203"/>
        <v>0</v>
      </c>
      <c r="BE776" s="19"/>
    </row>
    <row r="777" spans="1:57" x14ac:dyDescent="0.25">
      <c r="A777">
        <f t="shared" si="1205"/>
        <v>-6</v>
      </c>
      <c r="B777" s="19">
        <f t="shared" si="1201"/>
        <v>0</v>
      </c>
      <c r="C777" s="35">
        <f>IF(AND(C$190&gt;0,$A777&gt;0),'Client Data'!D17,0)</f>
        <v>0</v>
      </c>
      <c r="D777" s="35">
        <f>IF(AND(D$190&gt;0,$A777&gt;0),'Client Data'!E17,0)</f>
        <v>0</v>
      </c>
      <c r="E777" s="35">
        <f>IF(AND(E$190&gt;0,$A777&gt;0),'Client Data'!F17,0)</f>
        <v>0</v>
      </c>
      <c r="F777" s="35">
        <f>IF(AND(F$190&gt;0,$A777&gt;0),'Client Data'!G17,0)</f>
        <v>0</v>
      </c>
      <c r="G777" s="35">
        <f>IF(AND(G$190&gt;0,$A777&gt;0),'Client Data'!H17,0)</f>
        <v>0</v>
      </c>
      <c r="H777" s="35">
        <f>IF(AND(H$190&gt;0,$A777&gt;0),'Client Data'!I17,0)</f>
        <v>0</v>
      </c>
      <c r="I777" s="35">
        <f>IF(AND(I$190&gt;0,$A777&gt;0),'Client Data'!J17,0)</f>
        <v>0</v>
      </c>
      <c r="J777" s="35">
        <f>IF(AND(J$190&gt;0,$A777&gt;0),'Client Data'!K17,0)</f>
        <v>0</v>
      </c>
      <c r="K777" s="35">
        <f>IF(AND(K$190&gt;0,$A777&gt;0),'Client Data'!L17,0)</f>
        <v>0</v>
      </c>
      <c r="L777" s="35">
        <f>IF(AND(L$190&gt;0,$A777&gt;0),'Client Data'!M17,0)</f>
        <v>0</v>
      </c>
      <c r="M777" s="35">
        <f>IF(AND(M$190&gt;0,$A777&gt;0),'Client Data'!N17,0)</f>
        <v>0</v>
      </c>
      <c r="N777" s="35">
        <f>IF(AND(N$190&gt;0,$A777&gt;0),'Client Data'!O17,0)</f>
        <v>0</v>
      </c>
      <c r="O777" s="35">
        <f>IF(AND(O$190&gt;0,$A777&gt;0),'Client Data'!P17,0)</f>
        <v>0</v>
      </c>
      <c r="P777" s="35">
        <f>IF(AND(P$190&gt;0,$A777&gt;0),'Client Data'!Q17,0)</f>
        <v>0</v>
      </c>
      <c r="Q777" s="35">
        <f>IF(AND(Q$190&gt;0,$A777&gt;0),'Client Data'!R17,0)</f>
        <v>0</v>
      </c>
      <c r="R777" s="35">
        <f>IF(AND(R$190&gt;0,$A777&gt;0),'Client Data'!S17,0)</f>
        <v>0</v>
      </c>
      <c r="S777" s="35">
        <f>IF(AND(S$190&gt;0,$A777&gt;0),'Client Data'!T17,0)</f>
        <v>0</v>
      </c>
      <c r="T777" s="35">
        <f>IF(AND(T$190&gt;0,$A777&gt;0),'Client Data'!U17,0)</f>
        <v>0</v>
      </c>
      <c r="U777" s="35">
        <f>IF(AND(U$190&gt;0,$A777&gt;0),'Client Data'!V17,0)</f>
        <v>0</v>
      </c>
      <c r="V777" s="35">
        <f>IF(AND(V$190&gt;0,$A777&gt;0),'Client Data'!W17,0)</f>
        <v>0</v>
      </c>
      <c r="W777" s="35">
        <f>IF(AND(W$190&gt;0,$A777&gt;0),'Client Data'!X17,0)</f>
        <v>0</v>
      </c>
      <c r="X777" s="35">
        <f>IF(AND(X$190&gt;0,$A777&gt;0),'Client Data'!Y17,0)</f>
        <v>0</v>
      </c>
      <c r="Y777" s="35">
        <f>IF(AND(Y$190&gt;0,$A777&gt;0),'Client Data'!Z17,0)</f>
        <v>0</v>
      </c>
      <c r="Z777" s="35">
        <f>IF(AND(Z$190&gt;0,$A777&gt;0),'Client Data'!AA17,0)</f>
        <v>0</v>
      </c>
      <c r="AA777" s="35">
        <f>IF(AND(AA$190&gt;0,$A777&gt;0),'Client Data'!AB17,0)</f>
        <v>0</v>
      </c>
      <c r="AB777" s="35">
        <f>IF(AND(AB$190&gt;0,$A777&gt;0),'Client Data'!AC17,0)</f>
        <v>0</v>
      </c>
      <c r="AC777" s="35">
        <f>IF(AND(AC$190&gt;0,$A777&gt;0),'Client Data'!AD17,0)</f>
        <v>0</v>
      </c>
      <c r="AD777" s="35">
        <f>IF(AND(AD$190&gt;0,$A777&gt;0),'Client Data'!AE17,0)</f>
        <v>0</v>
      </c>
      <c r="AE777" s="35">
        <f>IF(AND(AE$190&gt;0,$A777&gt;0),'Client Data'!AF17,0)</f>
        <v>0</v>
      </c>
      <c r="AF777" s="35">
        <f>IF(AND(AF$190&gt;0,$A777&gt;0),'Client Data'!AG17,0)</f>
        <v>0</v>
      </c>
      <c r="AG777" s="35">
        <f>IF(AND(AG$190&gt;0,$A777&gt;0),'Client Data'!AH17,0)</f>
        <v>0</v>
      </c>
      <c r="AH777" s="35">
        <f>IF(AND(AH$190&gt;0,$A777&gt;0),'Client Data'!AI17,0)</f>
        <v>0</v>
      </c>
      <c r="AI777" s="35">
        <f>IF(AND(AI$190&gt;0,$A777&gt;0),'Client Data'!AJ17,0)</f>
        <v>0</v>
      </c>
      <c r="AJ777" s="35">
        <f>IF(AND(AJ$190&gt;0,$A777&gt;0),'Client Data'!AK17,0)</f>
        <v>0</v>
      </c>
      <c r="AK777" s="35">
        <f>IF(AND(AK$190&gt;0,$A777&gt;0),'Client Data'!AL17,0)</f>
        <v>0</v>
      </c>
      <c r="AL777" s="35">
        <f>IF(AND(AL$190&gt;0,$A777&gt;0),'Client Data'!AM17,0)</f>
        <v>0</v>
      </c>
      <c r="AM777" s="35">
        <f>IF(AND(AM$190&gt;0,$A777&gt;0),'Client Data'!AN17,0)</f>
        <v>0</v>
      </c>
      <c r="AN777" s="35">
        <f>IF(AND(AN$190&gt;0,$A777&gt;0),'Client Data'!AO17,0)</f>
        <v>0</v>
      </c>
      <c r="AO777" s="35">
        <f>IF(AND(AO$190&gt;0,$A777&gt;0),'Client Data'!AP17,0)</f>
        <v>0</v>
      </c>
      <c r="AP777" s="35">
        <f>IF(AND(AP$190&gt;0,$A777&gt;0),'Client Data'!AQ17,0)</f>
        <v>0</v>
      </c>
      <c r="AQ777" s="35">
        <f>IF(AND(AQ$190&gt;0,$A777&gt;0),'Client Data'!AR17,0)</f>
        <v>0</v>
      </c>
      <c r="AR777" s="35">
        <f>IF(AND(AR$190&gt;0,$A777&gt;0),'Client Data'!AS17,0)</f>
        <v>0</v>
      </c>
      <c r="AS777" s="35">
        <f>IF(AND(AS$190&gt;0,$A777&gt;0),'Client Data'!AT17,0)</f>
        <v>0</v>
      </c>
      <c r="AT777" s="35">
        <f>IF(AND(AT$190&gt;0,$A777&gt;0),'Client Data'!AU17,0)</f>
        <v>0</v>
      </c>
      <c r="AU777" s="35">
        <f>IF(AND(AU$190&gt;0,$A777&gt;0),'Client Data'!AV17,0)</f>
        <v>0</v>
      </c>
      <c r="AV777" s="35">
        <f>IF(AND(AV$190&gt;0,$A777&gt;0),'Client Data'!AW17,0)</f>
        <v>0</v>
      </c>
      <c r="AW777" s="35">
        <f>IF(AND(AW$190&gt;0,$A777&gt;0),'Client Data'!AX17,0)</f>
        <v>0</v>
      </c>
      <c r="AX777" s="35">
        <f>IF(AND(AX$190&gt;0,$A777&gt;0),'Client Data'!AY17,0)</f>
        <v>0</v>
      </c>
      <c r="AY777" s="35">
        <f>IF(AND(AY$190&gt;0,$A777&gt;0),'Client Data'!AZ17,0)</f>
        <v>0</v>
      </c>
      <c r="AZ777" s="35">
        <f>IF(AND(AZ$190&gt;0,$A777&gt;0),'Client Data'!BA17,0)</f>
        <v>0</v>
      </c>
      <c r="BA777" s="35">
        <f>IF(AND(BA$190&gt;0,$A777&gt;0),'Client Data'!BB17,0)</f>
        <v>0</v>
      </c>
      <c r="BB777" s="35">
        <f>IF(AND(BB$190&gt;0,$A777&gt;0),'Client Data'!BC17,0)</f>
        <v>0</v>
      </c>
      <c r="BC777" s="19">
        <f t="shared" si="1202"/>
        <v>0</v>
      </c>
      <c r="BD777" s="19">
        <f t="shared" si="1203"/>
        <v>0</v>
      </c>
      <c r="BE777" s="19"/>
    </row>
    <row r="778" spans="1:57" x14ac:dyDescent="0.25">
      <c r="A778">
        <f t="shared" si="1205"/>
        <v>-7</v>
      </c>
      <c r="B778" s="19">
        <f t="shared" si="1201"/>
        <v>0</v>
      </c>
      <c r="C778" s="35">
        <f>IF(AND(C$190&gt;0,$A778&gt;0),'Client Data'!D18,0)</f>
        <v>0</v>
      </c>
      <c r="D778" s="35">
        <f>IF(AND(D$190&gt;0,$A778&gt;0),'Client Data'!E18,0)</f>
        <v>0</v>
      </c>
      <c r="E778" s="35">
        <f>IF(AND(E$190&gt;0,$A778&gt;0),'Client Data'!F18,0)</f>
        <v>0</v>
      </c>
      <c r="F778" s="35">
        <f>IF(AND(F$190&gt;0,$A778&gt;0),'Client Data'!G18,0)</f>
        <v>0</v>
      </c>
      <c r="G778" s="35">
        <f>IF(AND(G$190&gt;0,$A778&gt;0),'Client Data'!H18,0)</f>
        <v>0</v>
      </c>
      <c r="H778" s="35">
        <f>IF(AND(H$190&gt;0,$A778&gt;0),'Client Data'!I18,0)</f>
        <v>0</v>
      </c>
      <c r="I778" s="35">
        <f>IF(AND(I$190&gt;0,$A778&gt;0),'Client Data'!J18,0)</f>
        <v>0</v>
      </c>
      <c r="J778" s="35">
        <f>IF(AND(J$190&gt;0,$A778&gt;0),'Client Data'!K18,0)</f>
        <v>0</v>
      </c>
      <c r="K778" s="35">
        <f>IF(AND(K$190&gt;0,$A778&gt;0),'Client Data'!L18,0)</f>
        <v>0</v>
      </c>
      <c r="L778" s="35">
        <f>IF(AND(L$190&gt;0,$A778&gt;0),'Client Data'!M18,0)</f>
        <v>0</v>
      </c>
      <c r="M778" s="35">
        <f>IF(AND(M$190&gt;0,$A778&gt;0),'Client Data'!N18,0)</f>
        <v>0</v>
      </c>
      <c r="N778" s="35">
        <f>IF(AND(N$190&gt;0,$A778&gt;0),'Client Data'!O18,0)</f>
        <v>0</v>
      </c>
      <c r="O778" s="35">
        <f>IF(AND(O$190&gt;0,$A778&gt;0),'Client Data'!P18,0)</f>
        <v>0</v>
      </c>
      <c r="P778" s="35">
        <f>IF(AND(P$190&gt;0,$A778&gt;0),'Client Data'!Q18,0)</f>
        <v>0</v>
      </c>
      <c r="Q778" s="35">
        <f>IF(AND(Q$190&gt;0,$A778&gt;0),'Client Data'!R18,0)</f>
        <v>0</v>
      </c>
      <c r="R778" s="35">
        <f>IF(AND(R$190&gt;0,$A778&gt;0),'Client Data'!S18,0)</f>
        <v>0</v>
      </c>
      <c r="S778" s="35">
        <f>IF(AND(S$190&gt;0,$A778&gt;0),'Client Data'!T18,0)</f>
        <v>0</v>
      </c>
      <c r="T778" s="35">
        <f>IF(AND(T$190&gt;0,$A778&gt;0),'Client Data'!U18,0)</f>
        <v>0</v>
      </c>
      <c r="U778" s="35">
        <f>IF(AND(U$190&gt;0,$A778&gt;0),'Client Data'!V18,0)</f>
        <v>0</v>
      </c>
      <c r="V778" s="35">
        <f>IF(AND(V$190&gt;0,$A778&gt;0),'Client Data'!W18,0)</f>
        <v>0</v>
      </c>
      <c r="W778" s="35">
        <f>IF(AND(W$190&gt;0,$A778&gt;0),'Client Data'!X18,0)</f>
        <v>0</v>
      </c>
      <c r="X778" s="35">
        <f>IF(AND(X$190&gt;0,$A778&gt;0),'Client Data'!Y18,0)</f>
        <v>0</v>
      </c>
      <c r="Y778" s="35">
        <f>IF(AND(Y$190&gt;0,$A778&gt;0),'Client Data'!Z18,0)</f>
        <v>0</v>
      </c>
      <c r="Z778" s="35">
        <f>IF(AND(Z$190&gt;0,$A778&gt;0),'Client Data'!AA18,0)</f>
        <v>0</v>
      </c>
      <c r="AA778" s="35">
        <f>IF(AND(AA$190&gt;0,$A778&gt;0),'Client Data'!AB18,0)</f>
        <v>0</v>
      </c>
      <c r="AB778" s="35">
        <f>IF(AND(AB$190&gt;0,$A778&gt;0),'Client Data'!AC18,0)</f>
        <v>0</v>
      </c>
      <c r="AC778" s="35">
        <f>IF(AND(AC$190&gt;0,$A778&gt;0),'Client Data'!AD18,0)</f>
        <v>0</v>
      </c>
      <c r="AD778" s="35">
        <f>IF(AND(AD$190&gt;0,$A778&gt;0),'Client Data'!AE18,0)</f>
        <v>0</v>
      </c>
      <c r="AE778" s="35">
        <f>IF(AND(AE$190&gt;0,$A778&gt;0),'Client Data'!AF18,0)</f>
        <v>0</v>
      </c>
      <c r="AF778" s="35">
        <f>IF(AND(AF$190&gt;0,$A778&gt;0),'Client Data'!AG18,0)</f>
        <v>0</v>
      </c>
      <c r="AG778" s="35">
        <f>IF(AND(AG$190&gt;0,$A778&gt;0),'Client Data'!AH18,0)</f>
        <v>0</v>
      </c>
      <c r="AH778" s="35">
        <f>IF(AND(AH$190&gt;0,$A778&gt;0),'Client Data'!AI18,0)</f>
        <v>0</v>
      </c>
      <c r="AI778" s="35">
        <f>IF(AND(AI$190&gt;0,$A778&gt;0),'Client Data'!AJ18,0)</f>
        <v>0</v>
      </c>
      <c r="AJ778" s="35">
        <f>IF(AND(AJ$190&gt;0,$A778&gt;0),'Client Data'!AK18,0)</f>
        <v>0</v>
      </c>
      <c r="AK778" s="35">
        <f>IF(AND(AK$190&gt;0,$A778&gt;0),'Client Data'!AL18,0)</f>
        <v>0</v>
      </c>
      <c r="AL778" s="35">
        <f>IF(AND(AL$190&gt;0,$A778&gt;0),'Client Data'!AM18,0)</f>
        <v>0</v>
      </c>
      <c r="AM778" s="35">
        <f>IF(AND(AM$190&gt;0,$A778&gt;0),'Client Data'!AN18,0)</f>
        <v>0</v>
      </c>
      <c r="AN778" s="35">
        <f>IF(AND(AN$190&gt;0,$A778&gt;0),'Client Data'!AO18,0)</f>
        <v>0</v>
      </c>
      <c r="AO778" s="35">
        <f>IF(AND(AO$190&gt;0,$A778&gt;0),'Client Data'!AP18,0)</f>
        <v>0</v>
      </c>
      <c r="AP778" s="35">
        <f>IF(AND(AP$190&gt;0,$A778&gt;0),'Client Data'!AQ18,0)</f>
        <v>0</v>
      </c>
      <c r="AQ778" s="35">
        <f>IF(AND(AQ$190&gt;0,$A778&gt;0),'Client Data'!AR18,0)</f>
        <v>0</v>
      </c>
      <c r="AR778" s="35">
        <f>IF(AND(AR$190&gt;0,$A778&gt;0),'Client Data'!AS18,0)</f>
        <v>0</v>
      </c>
      <c r="AS778" s="35">
        <f>IF(AND(AS$190&gt;0,$A778&gt;0),'Client Data'!AT18,0)</f>
        <v>0</v>
      </c>
      <c r="AT778" s="35">
        <f>IF(AND(AT$190&gt;0,$A778&gt;0),'Client Data'!AU18,0)</f>
        <v>0</v>
      </c>
      <c r="AU778" s="35">
        <f>IF(AND(AU$190&gt;0,$A778&gt;0),'Client Data'!AV18,0)</f>
        <v>0</v>
      </c>
      <c r="AV778" s="35">
        <f>IF(AND(AV$190&gt;0,$A778&gt;0),'Client Data'!AW18,0)</f>
        <v>0</v>
      </c>
      <c r="AW778" s="35">
        <f>IF(AND(AW$190&gt;0,$A778&gt;0),'Client Data'!AX18,0)</f>
        <v>0</v>
      </c>
      <c r="AX778" s="35">
        <f>IF(AND(AX$190&gt;0,$A778&gt;0),'Client Data'!AY18,0)</f>
        <v>0</v>
      </c>
      <c r="AY778" s="35">
        <f>IF(AND(AY$190&gt;0,$A778&gt;0),'Client Data'!AZ18,0)</f>
        <v>0</v>
      </c>
      <c r="AZ778" s="35">
        <f>IF(AND(AZ$190&gt;0,$A778&gt;0),'Client Data'!BA18,0)</f>
        <v>0</v>
      </c>
      <c r="BA778" s="35">
        <f>IF(AND(BA$190&gt;0,$A778&gt;0),'Client Data'!BB18,0)</f>
        <v>0</v>
      </c>
      <c r="BB778" s="35">
        <f>IF(AND(BB$190&gt;0,$A778&gt;0),'Client Data'!BC18,0)</f>
        <v>0</v>
      </c>
      <c r="BC778" s="19">
        <f t="shared" si="1202"/>
        <v>0</v>
      </c>
      <c r="BD778" s="19">
        <f t="shared" si="1203"/>
        <v>0</v>
      </c>
      <c r="BE778" s="19"/>
    </row>
    <row r="779" spans="1:57" x14ac:dyDescent="0.25">
      <c r="A779">
        <f t="shared" si="1205"/>
        <v>-8</v>
      </c>
      <c r="B779" s="19">
        <f t="shared" si="1201"/>
        <v>0</v>
      </c>
      <c r="C779" s="35">
        <f>IF(AND(C$190&gt;0,$A779&gt;0),'Client Data'!D19,0)</f>
        <v>0</v>
      </c>
      <c r="D779" s="35">
        <f>IF(AND(D$190&gt;0,$A779&gt;0),'Client Data'!E19,0)</f>
        <v>0</v>
      </c>
      <c r="E779" s="35">
        <f>IF(AND(E$190&gt;0,$A779&gt;0),'Client Data'!F19,0)</f>
        <v>0</v>
      </c>
      <c r="F779" s="35">
        <f>IF(AND(F$190&gt;0,$A779&gt;0),'Client Data'!G19,0)</f>
        <v>0</v>
      </c>
      <c r="G779" s="35">
        <f>IF(AND(G$190&gt;0,$A779&gt;0),'Client Data'!H19,0)</f>
        <v>0</v>
      </c>
      <c r="H779" s="35">
        <f>IF(AND(H$190&gt;0,$A779&gt;0),'Client Data'!I19,0)</f>
        <v>0</v>
      </c>
      <c r="I779" s="35">
        <f>IF(AND(I$190&gt;0,$A779&gt;0),'Client Data'!J19,0)</f>
        <v>0</v>
      </c>
      <c r="J779" s="35">
        <f>IF(AND(J$190&gt;0,$A779&gt;0),'Client Data'!K19,0)</f>
        <v>0</v>
      </c>
      <c r="K779" s="35">
        <f>IF(AND(K$190&gt;0,$A779&gt;0),'Client Data'!L19,0)</f>
        <v>0</v>
      </c>
      <c r="L779" s="35">
        <f>IF(AND(L$190&gt;0,$A779&gt;0),'Client Data'!M19,0)</f>
        <v>0</v>
      </c>
      <c r="M779" s="35">
        <f>IF(AND(M$190&gt;0,$A779&gt;0),'Client Data'!N19,0)</f>
        <v>0</v>
      </c>
      <c r="N779" s="35">
        <f>IF(AND(N$190&gt;0,$A779&gt;0),'Client Data'!O19,0)</f>
        <v>0</v>
      </c>
      <c r="O779" s="35">
        <f>IF(AND(O$190&gt;0,$A779&gt;0),'Client Data'!P19,0)</f>
        <v>0</v>
      </c>
      <c r="P779" s="35">
        <f>IF(AND(P$190&gt;0,$A779&gt;0),'Client Data'!Q19,0)</f>
        <v>0</v>
      </c>
      <c r="Q779" s="35">
        <f>IF(AND(Q$190&gt;0,$A779&gt;0),'Client Data'!R19,0)</f>
        <v>0</v>
      </c>
      <c r="R779" s="35">
        <f>IF(AND(R$190&gt;0,$A779&gt;0),'Client Data'!S19,0)</f>
        <v>0</v>
      </c>
      <c r="S779" s="35">
        <f>IF(AND(S$190&gt;0,$A779&gt;0),'Client Data'!T19,0)</f>
        <v>0</v>
      </c>
      <c r="T779" s="35">
        <f>IF(AND(T$190&gt;0,$A779&gt;0),'Client Data'!U19,0)</f>
        <v>0</v>
      </c>
      <c r="U779" s="35">
        <f>IF(AND(U$190&gt;0,$A779&gt;0),'Client Data'!V19,0)</f>
        <v>0</v>
      </c>
      <c r="V779" s="35">
        <f>IF(AND(V$190&gt;0,$A779&gt;0),'Client Data'!W19,0)</f>
        <v>0</v>
      </c>
      <c r="W779" s="35">
        <f>IF(AND(W$190&gt;0,$A779&gt;0),'Client Data'!X19,0)</f>
        <v>0</v>
      </c>
      <c r="X779" s="35">
        <f>IF(AND(X$190&gt;0,$A779&gt;0),'Client Data'!Y19,0)</f>
        <v>0</v>
      </c>
      <c r="Y779" s="35">
        <f>IF(AND(Y$190&gt;0,$A779&gt;0),'Client Data'!Z19,0)</f>
        <v>0</v>
      </c>
      <c r="Z779" s="35">
        <f>IF(AND(Z$190&gt;0,$A779&gt;0),'Client Data'!AA19,0)</f>
        <v>0</v>
      </c>
      <c r="AA779" s="35">
        <f>IF(AND(AA$190&gt;0,$A779&gt;0),'Client Data'!AB19,0)</f>
        <v>0</v>
      </c>
      <c r="AB779" s="35">
        <f>IF(AND(AB$190&gt;0,$A779&gt;0),'Client Data'!AC19,0)</f>
        <v>0</v>
      </c>
      <c r="AC779" s="35">
        <f>IF(AND(AC$190&gt;0,$A779&gt;0),'Client Data'!AD19,0)</f>
        <v>0</v>
      </c>
      <c r="AD779" s="35">
        <f>IF(AND(AD$190&gt;0,$A779&gt;0),'Client Data'!AE19,0)</f>
        <v>0</v>
      </c>
      <c r="AE779" s="35">
        <f>IF(AND(AE$190&gt;0,$A779&gt;0),'Client Data'!AF19,0)</f>
        <v>0</v>
      </c>
      <c r="AF779" s="35">
        <f>IF(AND(AF$190&gt;0,$A779&gt;0),'Client Data'!AG19,0)</f>
        <v>0</v>
      </c>
      <c r="AG779" s="35">
        <f>IF(AND(AG$190&gt;0,$A779&gt;0),'Client Data'!AH19,0)</f>
        <v>0</v>
      </c>
      <c r="AH779" s="35">
        <f>IF(AND(AH$190&gt;0,$A779&gt;0),'Client Data'!AI19,0)</f>
        <v>0</v>
      </c>
      <c r="AI779" s="35">
        <f>IF(AND(AI$190&gt;0,$A779&gt;0),'Client Data'!AJ19,0)</f>
        <v>0</v>
      </c>
      <c r="AJ779" s="35">
        <f>IF(AND(AJ$190&gt;0,$A779&gt;0),'Client Data'!AK19,0)</f>
        <v>0</v>
      </c>
      <c r="AK779" s="35">
        <f>IF(AND(AK$190&gt;0,$A779&gt;0),'Client Data'!AL19,0)</f>
        <v>0</v>
      </c>
      <c r="AL779" s="35">
        <f>IF(AND(AL$190&gt;0,$A779&gt;0),'Client Data'!AM19,0)</f>
        <v>0</v>
      </c>
      <c r="AM779" s="35">
        <f>IF(AND(AM$190&gt;0,$A779&gt;0),'Client Data'!AN19,0)</f>
        <v>0</v>
      </c>
      <c r="AN779" s="35">
        <f>IF(AND(AN$190&gt;0,$A779&gt;0),'Client Data'!AO19,0)</f>
        <v>0</v>
      </c>
      <c r="AO779" s="35">
        <f>IF(AND(AO$190&gt;0,$A779&gt;0),'Client Data'!AP19,0)</f>
        <v>0</v>
      </c>
      <c r="AP779" s="35">
        <f>IF(AND(AP$190&gt;0,$A779&gt;0),'Client Data'!AQ19,0)</f>
        <v>0</v>
      </c>
      <c r="AQ779" s="35">
        <f>IF(AND(AQ$190&gt;0,$A779&gt;0),'Client Data'!AR19,0)</f>
        <v>0</v>
      </c>
      <c r="AR779" s="35">
        <f>IF(AND(AR$190&gt;0,$A779&gt;0),'Client Data'!AS19,0)</f>
        <v>0</v>
      </c>
      <c r="AS779" s="35">
        <f>IF(AND(AS$190&gt;0,$A779&gt;0),'Client Data'!AT19,0)</f>
        <v>0</v>
      </c>
      <c r="AT779" s="35">
        <f>IF(AND(AT$190&gt;0,$A779&gt;0),'Client Data'!AU19,0)</f>
        <v>0</v>
      </c>
      <c r="AU779" s="35">
        <f>IF(AND(AU$190&gt;0,$A779&gt;0),'Client Data'!AV19,0)</f>
        <v>0</v>
      </c>
      <c r="AV779" s="35">
        <f>IF(AND(AV$190&gt;0,$A779&gt;0),'Client Data'!AW19,0)</f>
        <v>0</v>
      </c>
      <c r="AW779" s="35">
        <f>IF(AND(AW$190&gt;0,$A779&gt;0),'Client Data'!AX19,0)</f>
        <v>0</v>
      </c>
      <c r="AX779" s="35">
        <f>IF(AND(AX$190&gt;0,$A779&gt;0),'Client Data'!AY19,0)</f>
        <v>0</v>
      </c>
      <c r="AY779" s="35">
        <f>IF(AND(AY$190&gt;0,$A779&gt;0),'Client Data'!AZ19,0)</f>
        <v>0</v>
      </c>
      <c r="AZ779" s="35">
        <f>IF(AND(AZ$190&gt;0,$A779&gt;0),'Client Data'!BA19,0)</f>
        <v>0</v>
      </c>
      <c r="BA779" s="35">
        <f>IF(AND(BA$190&gt;0,$A779&gt;0),'Client Data'!BB19,0)</f>
        <v>0</v>
      </c>
      <c r="BB779" s="35">
        <f>IF(AND(BB$190&gt;0,$A779&gt;0),'Client Data'!BC19,0)</f>
        <v>0</v>
      </c>
      <c r="BC779" s="19">
        <f t="shared" si="1202"/>
        <v>0</v>
      </c>
      <c r="BD779" s="19">
        <f t="shared" si="1203"/>
        <v>0</v>
      </c>
      <c r="BE779" s="19"/>
    </row>
    <row r="780" spans="1:57" x14ac:dyDescent="0.25">
      <c r="A780">
        <f t="shared" si="1205"/>
        <v>-9</v>
      </c>
      <c r="B780" s="19">
        <f t="shared" si="1201"/>
        <v>0</v>
      </c>
      <c r="C780" s="35">
        <f>IF(AND(C$190&gt;0,$A780&gt;0),'Client Data'!D20,0)</f>
        <v>0</v>
      </c>
      <c r="D780" s="35">
        <f>IF(AND(D$190&gt;0,$A780&gt;0),'Client Data'!E20,0)</f>
        <v>0</v>
      </c>
      <c r="E780" s="35">
        <f>IF(AND(E$190&gt;0,$A780&gt;0),'Client Data'!F20,0)</f>
        <v>0</v>
      </c>
      <c r="F780" s="35">
        <f>IF(AND(F$190&gt;0,$A780&gt;0),'Client Data'!G20,0)</f>
        <v>0</v>
      </c>
      <c r="G780" s="35">
        <f>IF(AND(G$190&gt;0,$A780&gt;0),'Client Data'!H20,0)</f>
        <v>0</v>
      </c>
      <c r="H780" s="35">
        <f>IF(AND(H$190&gt;0,$A780&gt;0),'Client Data'!I20,0)</f>
        <v>0</v>
      </c>
      <c r="I780" s="35">
        <f>IF(AND(I$190&gt;0,$A780&gt;0),'Client Data'!J20,0)</f>
        <v>0</v>
      </c>
      <c r="J780" s="35">
        <f>IF(AND(J$190&gt;0,$A780&gt;0),'Client Data'!K20,0)</f>
        <v>0</v>
      </c>
      <c r="K780" s="35">
        <f>IF(AND(K$190&gt;0,$A780&gt;0),'Client Data'!L20,0)</f>
        <v>0</v>
      </c>
      <c r="L780" s="35">
        <f>IF(AND(L$190&gt;0,$A780&gt;0),'Client Data'!M20,0)</f>
        <v>0</v>
      </c>
      <c r="M780" s="35">
        <f>IF(AND(M$190&gt;0,$A780&gt;0),'Client Data'!N20,0)</f>
        <v>0</v>
      </c>
      <c r="N780" s="35">
        <f>IF(AND(N$190&gt;0,$A780&gt;0),'Client Data'!O20,0)</f>
        <v>0</v>
      </c>
      <c r="O780" s="35">
        <f>IF(AND(O$190&gt;0,$A780&gt;0),'Client Data'!P20,0)</f>
        <v>0</v>
      </c>
      <c r="P780" s="35">
        <f>IF(AND(P$190&gt;0,$A780&gt;0),'Client Data'!Q20,0)</f>
        <v>0</v>
      </c>
      <c r="Q780" s="35">
        <f>IF(AND(Q$190&gt;0,$A780&gt;0),'Client Data'!R20,0)</f>
        <v>0</v>
      </c>
      <c r="R780" s="35">
        <f>IF(AND(R$190&gt;0,$A780&gt;0),'Client Data'!S20,0)</f>
        <v>0</v>
      </c>
      <c r="S780" s="35">
        <f>IF(AND(S$190&gt;0,$A780&gt;0),'Client Data'!T20,0)</f>
        <v>0</v>
      </c>
      <c r="T780" s="35">
        <f>IF(AND(T$190&gt;0,$A780&gt;0),'Client Data'!U20,0)</f>
        <v>0</v>
      </c>
      <c r="U780" s="35">
        <f>IF(AND(U$190&gt;0,$A780&gt;0),'Client Data'!V20,0)</f>
        <v>0</v>
      </c>
      <c r="V780" s="35">
        <f>IF(AND(V$190&gt;0,$A780&gt;0),'Client Data'!W20,0)</f>
        <v>0</v>
      </c>
      <c r="W780" s="35">
        <f>IF(AND(W$190&gt;0,$A780&gt;0),'Client Data'!X20,0)</f>
        <v>0</v>
      </c>
      <c r="X780" s="35">
        <f>IF(AND(X$190&gt;0,$A780&gt;0),'Client Data'!Y20,0)</f>
        <v>0</v>
      </c>
      <c r="Y780" s="35">
        <f>IF(AND(Y$190&gt;0,$A780&gt;0),'Client Data'!Z20,0)</f>
        <v>0</v>
      </c>
      <c r="Z780" s="35">
        <f>IF(AND(Z$190&gt;0,$A780&gt;0),'Client Data'!AA20,0)</f>
        <v>0</v>
      </c>
      <c r="AA780" s="35">
        <f>IF(AND(AA$190&gt;0,$A780&gt;0),'Client Data'!AB20,0)</f>
        <v>0</v>
      </c>
      <c r="AB780" s="35">
        <f>IF(AND(AB$190&gt;0,$A780&gt;0),'Client Data'!AC20,0)</f>
        <v>0</v>
      </c>
      <c r="AC780" s="35">
        <f>IF(AND(AC$190&gt;0,$A780&gt;0),'Client Data'!AD20,0)</f>
        <v>0</v>
      </c>
      <c r="AD780" s="35">
        <f>IF(AND(AD$190&gt;0,$A780&gt;0),'Client Data'!AE20,0)</f>
        <v>0</v>
      </c>
      <c r="AE780" s="35">
        <f>IF(AND(AE$190&gt;0,$A780&gt;0),'Client Data'!AF20,0)</f>
        <v>0</v>
      </c>
      <c r="AF780" s="35">
        <f>IF(AND(AF$190&gt;0,$A780&gt;0),'Client Data'!AG20,0)</f>
        <v>0</v>
      </c>
      <c r="AG780" s="35">
        <f>IF(AND(AG$190&gt;0,$A780&gt;0),'Client Data'!AH20,0)</f>
        <v>0</v>
      </c>
      <c r="AH780" s="35">
        <f>IF(AND(AH$190&gt;0,$A780&gt;0),'Client Data'!AI20,0)</f>
        <v>0</v>
      </c>
      <c r="AI780" s="35">
        <f>IF(AND(AI$190&gt;0,$A780&gt;0),'Client Data'!AJ20,0)</f>
        <v>0</v>
      </c>
      <c r="AJ780" s="35">
        <f>IF(AND(AJ$190&gt;0,$A780&gt;0),'Client Data'!AK20,0)</f>
        <v>0</v>
      </c>
      <c r="AK780" s="35">
        <f>IF(AND(AK$190&gt;0,$A780&gt;0),'Client Data'!AL20,0)</f>
        <v>0</v>
      </c>
      <c r="AL780" s="35">
        <f>IF(AND(AL$190&gt;0,$A780&gt;0),'Client Data'!AM20,0)</f>
        <v>0</v>
      </c>
      <c r="AM780" s="35">
        <f>IF(AND(AM$190&gt;0,$A780&gt;0),'Client Data'!AN20,0)</f>
        <v>0</v>
      </c>
      <c r="AN780" s="35">
        <f>IF(AND(AN$190&gt;0,$A780&gt;0),'Client Data'!AO20,0)</f>
        <v>0</v>
      </c>
      <c r="AO780" s="35">
        <f>IF(AND(AO$190&gt;0,$A780&gt;0),'Client Data'!AP20,0)</f>
        <v>0</v>
      </c>
      <c r="AP780" s="35">
        <f>IF(AND(AP$190&gt;0,$A780&gt;0),'Client Data'!AQ20,0)</f>
        <v>0</v>
      </c>
      <c r="AQ780" s="35">
        <f>IF(AND(AQ$190&gt;0,$A780&gt;0),'Client Data'!AR20,0)</f>
        <v>0</v>
      </c>
      <c r="AR780" s="35">
        <f>IF(AND(AR$190&gt;0,$A780&gt;0),'Client Data'!AS20,0)</f>
        <v>0</v>
      </c>
      <c r="AS780" s="35">
        <f>IF(AND(AS$190&gt;0,$A780&gt;0),'Client Data'!AT20,0)</f>
        <v>0</v>
      </c>
      <c r="AT780" s="35">
        <f>IF(AND(AT$190&gt;0,$A780&gt;0),'Client Data'!AU20,0)</f>
        <v>0</v>
      </c>
      <c r="AU780" s="35">
        <f>IF(AND(AU$190&gt;0,$A780&gt;0),'Client Data'!AV20,0)</f>
        <v>0</v>
      </c>
      <c r="AV780" s="35">
        <f>IF(AND(AV$190&gt;0,$A780&gt;0),'Client Data'!AW20,0)</f>
        <v>0</v>
      </c>
      <c r="AW780" s="35">
        <f>IF(AND(AW$190&gt;0,$A780&gt;0),'Client Data'!AX20,0)</f>
        <v>0</v>
      </c>
      <c r="AX780" s="35">
        <f>IF(AND(AX$190&gt;0,$A780&gt;0),'Client Data'!AY20,0)</f>
        <v>0</v>
      </c>
      <c r="AY780" s="35">
        <f>IF(AND(AY$190&gt;0,$A780&gt;0),'Client Data'!AZ20,0)</f>
        <v>0</v>
      </c>
      <c r="AZ780" s="35">
        <f>IF(AND(AZ$190&gt;0,$A780&gt;0),'Client Data'!BA20,0)</f>
        <v>0</v>
      </c>
      <c r="BA780" s="35">
        <f>IF(AND(BA$190&gt;0,$A780&gt;0),'Client Data'!BB20,0)</f>
        <v>0</v>
      </c>
      <c r="BB780" s="35">
        <f>IF(AND(BB$190&gt;0,$A780&gt;0),'Client Data'!BC20,0)</f>
        <v>0</v>
      </c>
      <c r="BC780" s="19">
        <f t="shared" si="1202"/>
        <v>0</v>
      </c>
      <c r="BD780" s="19">
        <f t="shared" si="1203"/>
        <v>0</v>
      </c>
      <c r="BE780" s="19"/>
    </row>
    <row r="781" spans="1:57" x14ac:dyDescent="0.25">
      <c r="A781">
        <f t="shared" si="1205"/>
        <v>-10</v>
      </c>
      <c r="B781" s="19">
        <f t="shared" si="1201"/>
        <v>0</v>
      </c>
      <c r="C781" s="35">
        <f>IF(AND(C$190&gt;0,$A781&gt;0),'Client Data'!D21,0)</f>
        <v>0</v>
      </c>
      <c r="D781" s="35">
        <f>IF(AND(D$190&gt;0,$A781&gt;0),'Client Data'!E21,0)</f>
        <v>0</v>
      </c>
      <c r="E781" s="35">
        <f>IF(AND(E$190&gt;0,$A781&gt;0),'Client Data'!F21,0)</f>
        <v>0</v>
      </c>
      <c r="F781" s="35">
        <f>IF(AND(F$190&gt;0,$A781&gt;0),'Client Data'!G21,0)</f>
        <v>0</v>
      </c>
      <c r="G781" s="35">
        <f>IF(AND(G$190&gt;0,$A781&gt;0),'Client Data'!H21,0)</f>
        <v>0</v>
      </c>
      <c r="H781" s="35">
        <f>IF(AND(H$190&gt;0,$A781&gt;0),'Client Data'!I21,0)</f>
        <v>0</v>
      </c>
      <c r="I781" s="35">
        <f>IF(AND(I$190&gt;0,$A781&gt;0),'Client Data'!J21,0)</f>
        <v>0</v>
      </c>
      <c r="J781" s="35">
        <f>IF(AND(J$190&gt;0,$A781&gt;0),'Client Data'!K21,0)</f>
        <v>0</v>
      </c>
      <c r="K781" s="35">
        <f>IF(AND(K$190&gt;0,$A781&gt;0),'Client Data'!L21,0)</f>
        <v>0</v>
      </c>
      <c r="L781" s="35">
        <f>IF(AND(L$190&gt;0,$A781&gt;0),'Client Data'!M21,0)</f>
        <v>0</v>
      </c>
      <c r="M781" s="35">
        <f>IF(AND(M$190&gt;0,$A781&gt;0),'Client Data'!N21,0)</f>
        <v>0</v>
      </c>
      <c r="N781" s="35">
        <f>IF(AND(N$190&gt;0,$A781&gt;0),'Client Data'!O21,0)</f>
        <v>0</v>
      </c>
      <c r="O781" s="35">
        <f>IF(AND(O$190&gt;0,$A781&gt;0),'Client Data'!P21,0)</f>
        <v>0</v>
      </c>
      <c r="P781" s="35">
        <f>IF(AND(P$190&gt;0,$A781&gt;0),'Client Data'!Q21,0)</f>
        <v>0</v>
      </c>
      <c r="Q781" s="35">
        <f>IF(AND(Q$190&gt;0,$A781&gt;0),'Client Data'!R21,0)</f>
        <v>0</v>
      </c>
      <c r="R781" s="35">
        <f>IF(AND(R$190&gt;0,$A781&gt;0),'Client Data'!S21,0)</f>
        <v>0</v>
      </c>
      <c r="S781" s="35">
        <f>IF(AND(S$190&gt;0,$A781&gt;0),'Client Data'!T21,0)</f>
        <v>0</v>
      </c>
      <c r="T781" s="35">
        <f>IF(AND(T$190&gt;0,$A781&gt;0),'Client Data'!U21,0)</f>
        <v>0</v>
      </c>
      <c r="U781" s="35">
        <f>IF(AND(U$190&gt;0,$A781&gt;0),'Client Data'!V21,0)</f>
        <v>0</v>
      </c>
      <c r="V781" s="35">
        <f>IF(AND(V$190&gt;0,$A781&gt;0),'Client Data'!W21,0)</f>
        <v>0</v>
      </c>
      <c r="W781" s="35">
        <f>IF(AND(W$190&gt;0,$A781&gt;0),'Client Data'!X21,0)</f>
        <v>0</v>
      </c>
      <c r="X781" s="35">
        <f>IF(AND(X$190&gt;0,$A781&gt;0),'Client Data'!Y21,0)</f>
        <v>0</v>
      </c>
      <c r="Y781" s="35">
        <f>IF(AND(Y$190&gt;0,$A781&gt;0),'Client Data'!Z21,0)</f>
        <v>0</v>
      </c>
      <c r="Z781" s="35">
        <f>IF(AND(Z$190&gt;0,$A781&gt;0),'Client Data'!AA21,0)</f>
        <v>0</v>
      </c>
      <c r="AA781" s="35">
        <f>IF(AND(AA$190&gt;0,$A781&gt;0),'Client Data'!AB21,0)</f>
        <v>0</v>
      </c>
      <c r="AB781" s="35">
        <f>IF(AND(AB$190&gt;0,$A781&gt;0),'Client Data'!AC21,0)</f>
        <v>0</v>
      </c>
      <c r="AC781" s="35">
        <f>IF(AND(AC$190&gt;0,$A781&gt;0),'Client Data'!AD21,0)</f>
        <v>0</v>
      </c>
      <c r="AD781" s="35">
        <f>IF(AND(AD$190&gt;0,$A781&gt;0),'Client Data'!AE21,0)</f>
        <v>0</v>
      </c>
      <c r="AE781" s="35">
        <f>IF(AND(AE$190&gt;0,$A781&gt;0),'Client Data'!AF21,0)</f>
        <v>0</v>
      </c>
      <c r="AF781" s="35">
        <f>IF(AND(AF$190&gt;0,$A781&gt;0),'Client Data'!AG21,0)</f>
        <v>0</v>
      </c>
      <c r="AG781" s="35">
        <f>IF(AND(AG$190&gt;0,$A781&gt;0),'Client Data'!AH21,0)</f>
        <v>0</v>
      </c>
      <c r="AH781" s="35">
        <f>IF(AND(AH$190&gt;0,$A781&gt;0),'Client Data'!AI21,0)</f>
        <v>0</v>
      </c>
      <c r="AI781" s="35">
        <f>IF(AND(AI$190&gt;0,$A781&gt;0),'Client Data'!AJ21,0)</f>
        <v>0</v>
      </c>
      <c r="AJ781" s="35">
        <f>IF(AND(AJ$190&gt;0,$A781&gt;0),'Client Data'!AK21,0)</f>
        <v>0</v>
      </c>
      <c r="AK781" s="35">
        <f>IF(AND(AK$190&gt;0,$A781&gt;0),'Client Data'!AL21,0)</f>
        <v>0</v>
      </c>
      <c r="AL781" s="35">
        <f>IF(AND(AL$190&gt;0,$A781&gt;0),'Client Data'!AM21,0)</f>
        <v>0</v>
      </c>
      <c r="AM781" s="35">
        <f>IF(AND(AM$190&gt;0,$A781&gt;0),'Client Data'!AN21,0)</f>
        <v>0</v>
      </c>
      <c r="AN781" s="35">
        <f>IF(AND(AN$190&gt;0,$A781&gt;0),'Client Data'!AO21,0)</f>
        <v>0</v>
      </c>
      <c r="AO781" s="35">
        <f>IF(AND(AO$190&gt;0,$A781&gt;0),'Client Data'!AP21,0)</f>
        <v>0</v>
      </c>
      <c r="AP781" s="35">
        <f>IF(AND(AP$190&gt;0,$A781&gt;0),'Client Data'!AQ21,0)</f>
        <v>0</v>
      </c>
      <c r="AQ781" s="35">
        <f>IF(AND(AQ$190&gt;0,$A781&gt;0),'Client Data'!AR21,0)</f>
        <v>0</v>
      </c>
      <c r="AR781" s="35">
        <f>IF(AND(AR$190&gt;0,$A781&gt;0),'Client Data'!AS21,0)</f>
        <v>0</v>
      </c>
      <c r="AS781" s="35">
        <f>IF(AND(AS$190&gt;0,$A781&gt;0),'Client Data'!AT21,0)</f>
        <v>0</v>
      </c>
      <c r="AT781" s="35">
        <f>IF(AND(AT$190&gt;0,$A781&gt;0),'Client Data'!AU21,0)</f>
        <v>0</v>
      </c>
      <c r="AU781" s="35">
        <f>IF(AND(AU$190&gt;0,$A781&gt;0),'Client Data'!AV21,0)</f>
        <v>0</v>
      </c>
      <c r="AV781" s="35">
        <f>IF(AND(AV$190&gt;0,$A781&gt;0),'Client Data'!AW21,0)</f>
        <v>0</v>
      </c>
      <c r="AW781" s="35">
        <f>IF(AND(AW$190&gt;0,$A781&gt;0),'Client Data'!AX21,0)</f>
        <v>0</v>
      </c>
      <c r="AX781" s="35">
        <f>IF(AND(AX$190&gt;0,$A781&gt;0),'Client Data'!AY21,0)</f>
        <v>0</v>
      </c>
      <c r="AY781" s="35">
        <f>IF(AND(AY$190&gt;0,$A781&gt;0),'Client Data'!AZ21,0)</f>
        <v>0</v>
      </c>
      <c r="AZ781" s="35">
        <f>IF(AND(AZ$190&gt;0,$A781&gt;0),'Client Data'!BA21,0)</f>
        <v>0</v>
      </c>
      <c r="BA781" s="35">
        <f>IF(AND(BA$190&gt;0,$A781&gt;0),'Client Data'!BB21,0)</f>
        <v>0</v>
      </c>
      <c r="BB781" s="35">
        <f>IF(AND(BB$190&gt;0,$A781&gt;0),'Client Data'!BC21,0)</f>
        <v>0</v>
      </c>
      <c r="BC781" s="19">
        <f t="shared" si="1202"/>
        <v>0</v>
      </c>
      <c r="BD781" s="19">
        <f t="shared" si="1203"/>
        <v>0</v>
      </c>
      <c r="BE781" s="19"/>
    </row>
    <row r="782" spans="1:57" x14ac:dyDescent="0.25">
      <c r="A782">
        <f t="shared" si="1205"/>
        <v>-11</v>
      </c>
      <c r="B782" s="19">
        <f t="shared" si="1201"/>
        <v>0</v>
      </c>
      <c r="C782" s="35">
        <f>IF(AND(C$190&gt;0,$A782&gt;0),'Client Data'!D22,0)</f>
        <v>0</v>
      </c>
      <c r="D782" s="35">
        <f>IF(AND(D$190&gt;0,$A782&gt;0),'Client Data'!E22,0)</f>
        <v>0</v>
      </c>
      <c r="E782" s="35">
        <f>IF(AND(E$190&gt;0,$A782&gt;0),'Client Data'!F22,0)</f>
        <v>0</v>
      </c>
      <c r="F782" s="35">
        <f>IF(AND(F$190&gt;0,$A782&gt;0),'Client Data'!G22,0)</f>
        <v>0</v>
      </c>
      <c r="G782" s="35">
        <f>IF(AND(G$190&gt;0,$A782&gt;0),'Client Data'!H22,0)</f>
        <v>0</v>
      </c>
      <c r="H782" s="35">
        <f>IF(AND(H$190&gt;0,$A782&gt;0),'Client Data'!I22,0)</f>
        <v>0</v>
      </c>
      <c r="I782" s="35">
        <f>IF(AND(I$190&gt;0,$A782&gt;0),'Client Data'!J22,0)</f>
        <v>0</v>
      </c>
      <c r="J782" s="35">
        <f>IF(AND(J$190&gt;0,$A782&gt;0),'Client Data'!K22,0)</f>
        <v>0</v>
      </c>
      <c r="K782" s="35">
        <f>IF(AND(K$190&gt;0,$A782&gt;0),'Client Data'!L22,0)</f>
        <v>0</v>
      </c>
      <c r="L782" s="35">
        <f>IF(AND(L$190&gt;0,$A782&gt;0),'Client Data'!M22,0)</f>
        <v>0</v>
      </c>
      <c r="M782" s="35">
        <f>IF(AND(M$190&gt;0,$A782&gt;0),'Client Data'!N22,0)</f>
        <v>0</v>
      </c>
      <c r="N782" s="35">
        <f>IF(AND(N$190&gt;0,$A782&gt;0),'Client Data'!O22,0)</f>
        <v>0</v>
      </c>
      <c r="O782" s="35">
        <f>IF(AND(O$190&gt;0,$A782&gt;0),'Client Data'!P22,0)</f>
        <v>0</v>
      </c>
      <c r="P782" s="35">
        <f>IF(AND(P$190&gt;0,$A782&gt;0),'Client Data'!Q22,0)</f>
        <v>0</v>
      </c>
      <c r="Q782" s="35">
        <f>IF(AND(Q$190&gt;0,$A782&gt;0),'Client Data'!R22,0)</f>
        <v>0</v>
      </c>
      <c r="R782" s="35">
        <f>IF(AND(R$190&gt;0,$A782&gt;0),'Client Data'!S22,0)</f>
        <v>0</v>
      </c>
      <c r="S782" s="35">
        <f>IF(AND(S$190&gt;0,$A782&gt;0),'Client Data'!T22,0)</f>
        <v>0</v>
      </c>
      <c r="T782" s="35">
        <f>IF(AND(T$190&gt;0,$A782&gt;0),'Client Data'!U22,0)</f>
        <v>0</v>
      </c>
      <c r="U782" s="35">
        <f>IF(AND(U$190&gt;0,$A782&gt;0),'Client Data'!V22,0)</f>
        <v>0</v>
      </c>
      <c r="V782" s="35">
        <f>IF(AND(V$190&gt;0,$A782&gt;0),'Client Data'!W22,0)</f>
        <v>0</v>
      </c>
      <c r="W782" s="35">
        <f>IF(AND(W$190&gt;0,$A782&gt;0),'Client Data'!X22,0)</f>
        <v>0</v>
      </c>
      <c r="X782" s="35">
        <f>IF(AND(X$190&gt;0,$A782&gt;0),'Client Data'!Y22,0)</f>
        <v>0</v>
      </c>
      <c r="Y782" s="35">
        <f>IF(AND(Y$190&gt;0,$A782&gt;0),'Client Data'!Z22,0)</f>
        <v>0</v>
      </c>
      <c r="Z782" s="35">
        <f>IF(AND(Z$190&gt;0,$A782&gt;0),'Client Data'!AA22,0)</f>
        <v>0</v>
      </c>
      <c r="AA782" s="35">
        <f>IF(AND(AA$190&gt;0,$A782&gt;0),'Client Data'!AB22,0)</f>
        <v>0</v>
      </c>
      <c r="AB782" s="35">
        <f>IF(AND(AB$190&gt;0,$A782&gt;0),'Client Data'!AC22,0)</f>
        <v>0</v>
      </c>
      <c r="AC782" s="35">
        <f>IF(AND(AC$190&gt;0,$A782&gt;0),'Client Data'!AD22,0)</f>
        <v>0</v>
      </c>
      <c r="AD782" s="35">
        <f>IF(AND(AD$190&gt;0,$A782&gt;0),'Client Data'!AE22,0)</f>
        <v>0</v>
      </c>
      <c r="AE782" s="35">
        <f>IF(AND(AE$190&gt;0,$A782&gt;0),'Client Data'!AF22,0)</f>
        <v>0</v>
      </c>
      <c r="AF782" s="35">
        <f>IF(AND(AF$190&gt;0,$A782&gt;0),'Client Data'!AG22,0)</f>
        <v>0</v>
      </c>
      <c r="AG782" s="35">
        <f>IF(AND(AG$190&gt;0,$A782&gt;0),'Client Data'!AH22,0)</f>
        <v>0</v>
      </c>
      <c r="AH782" s="35">
        <f>IF(AND(AH$190&gt;0,$A782&gt;0),'Client Data'!AI22,0)</f>
        <v>0</v>
      </c>
      <c r="AI782" s="35">
        <f>IF(AND(AI$190&gt;0,$A782&gt;0),'Client Data'!AJ22,0)</f>
        <v>0</v>
      </c>
      <c r="AJ782" s="35">
        <f>IF(AND(AJ$190&gt;0,$A782&gt;0),'Client Data'!AK22,0)</f>
        <v>0</v>
      </c>
      <c r="AK782" s="35">
        <f>IF(AND(AK$190&gt;0,$A782&gt;0),'Client Data'!AL22,0)</f>
        <v>0</v>
      </c>
      <c r="AL782" s="35">
        <f>IF(AND(AL$190&gt;0,$A782&gt;0),'Client Data'!AM22,0)</f>
        <v>0</v>
      </c>
      <c r="AM782" s="35">
        <f>IF(AND(AM$190&gt;0,$A782&gt;0),'Client Data'!AN22,0)</f>
        <v>0</v>
      </c>
      <c r="AN782" s="35">
        <f>IF(AND(AN$190&gt;0,$A782&gt;0),'Client Data'!AO22,0)</f>
        <v>0</v>
      </c>
      <c r="AO782" s="35">
        <f>IF(AND(AO$190&gt;0,$A782&gt;0),'Client Data'!AP22,0)</f>
        <v>0</v>
      </c>
      <c r="AP782" s="35">
        <f>IF(AND(AP$190&gt;0,$A782&gt;0),'Client Data'!AQ22,0)</f>
        <v>0</v>
      </c>
      <c r="AQ782" s="35">
        <f>IF(AND(AQ$190&gt;0,$A782&gt;0),'Client Data'!AR22,0)</f>
        <v>0</v>
      </c>
      <c r="AR782" s="35">
        <f>IF(AND(AR$190&gt;0,$A782&gt;0),'Client Data'!AS22,0)</f>
        <v>0</v>
      </c>
      <c r="AS782" s="35">
        <f>IF(AND(AS$190&gt;0,$A782&gt;0),'Client Data'!AT22,0)</f>
        <v>0</v>
      </c>
      <c r="AT782" s="35">
        <f>IF(AND(AT$190&gt;0,$A782&gt;0),'Client Data'!AU22,0)</f>
        <v>0</v>
      </c>
      <c r="AU782" s="35">
        <f>IF(AND(AU$190&gt;0,$A782&gt;0),'Client Data'!AV22,0)</f>
        <v>0</v>
      </c>
      <c r="AV782" s="35">
        <f>IF(AND(AV$190&gt;0,$A782&gt;0),'Client Data'!AW22,0)</f>
        <v>0</v>
      </c>
      <c r="AW782" s="35">
        <f>IF(AND(AW$190&gt;0,$A782&gt;0),'Client Data'!AX22,0)</f>
        <v>0</v>
      </c>
      <c r="AX782" s="35">
        <f>IF(AND(AX$190&gt;0,$A782&gt;0),'Client Data'!AY22,0)</f>
        <v>0</v>
      </c>
      <c r="AY782" s="35">
        <f>IF(AND(AY$190&gt;0,$A782&gt;0),'Client Data'!AZ22,0)</f>
        <v>0</v>
      </c>
      <c r="AZ782" s="35">
        <f>IF(AND(AZ$190&gt;0,$A782&gt;0),'Client Data'!BA22,0)</f>
        <v>0</v>
      </c>
      <c r="BA782" s="35">
        <f>IF(AND(BA$190&gt;0,$A782&gt;0),'Client Data'!BB22,0)</f>
        <v>0</v>
      </c>
      <c r="BB782" s="35">
        <f>IF(AND(BB$190&gt;0,$A782&gt;0),'Client Data'!BC22,0)</f>
        <v>0</v>
      </c>
      <c r="BC782" s="19">
        <f t="shared" si="1202"/>
        <v>0</v>
      </c>
      <c r="BD782" s="19">
        <f t="shared" si="1203"/>
        <v>0</v>
      </c>
      <c r="BE782" s="19"/>
    </row>
    <row r="783" spans="1:57" x14ac:dyDescent="0.25"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>
        <f>SUM(BD763:BD770)</f>
        <v>23743100</v>
      </c>
      <c r="BE783" s="19"/>
    </row>
    <row r="784" spans="1:57" s="1" customFormat="1" x14ac:dyDescent="0.25">
      <c r="B784" s="61" t="s">
        <v>393</v>
      </c>
      <c r="C784" s="61">
        <f>C762</f>
        <v>1</v>
      </c>
      <c r="D784" s="61">
        <f t="shared" ref="D784:BB784" si="1206">D762</f>
        <v>2</v>
      </c>
      <c r="E784" s="61">
        <f t="shared" si="1206"/>
        <v>3</v>
      </c>
      <c r="F784" s="61">
        <f t="shared" si="1206"/>
        <v>4</v>
      </c>
      <c r="G784" s="61">
        <f t="shared" si="1206"/>
        <v>5</v>
      </c>
      <c r="H784" s="61">
        <f t="shared" si="1206"/>
        <v>6</v>
      </c>
      <c r="I784" s="61">
        <f t="shared" si="1206"/>
        <v>7</v>
      </c>
      <c r="J784" s="61">
        <f t="shared" si="1206"/>
        <v>8</v>
      </c>
      <c r="K784" s="61">
        <f t="shared" si="1206"/>
        <v>9</v>
      </c>
      <c r="L784" s="61">
        <f t="shared" si="1206"/>
        <v>10</v>
      </c>
      <c r="M784" s="61">
        <f t="shared" si="1206"/>
        <v>11</v>
      </c>
      <c r="N784" s="61">
        <f t="shared" si="1206"/>
        <v>12</v>
      </c>
      <c r="O784" s="61">
        <f t="shared" si="1206"/>
        <v>13</v>
      </c>
      <c r="P784" s="61">
        <f t="shared" si="1206"/>
        <v>14</v>
      </c>
      <c r="Q784" s="61">
        <f t="shared" si="1206"/>
        <v>15</v>
      </c>
      <c r="R784" s="61">
        <f t="shared" si="1206"/>
        <v>16</v>
      </c>
      <c r="S784" s="61">
        <f t="shared" si="1206"/>
        <v>17</v>
      </c>
      <c r="T784" s="61">
        <f t="shared" si="1206"/>
        <v>18</v>
      </c>
      <c r="U784" s="61">
        <f t="shared" si="1206"/>
        <v>19</v>
      </c>
      <c r="V784" s="61">
        <f t="shared" si="1206"/>
        <v>20</v>
      </c>
      <c r="W784" s="61">
        <f t="shared" si="1206"/>
        <v>21</v>
      </c>
      <c r="X784" s="61">
        <f t="shared" si="1206"/>
        <v>22</v>
      </c>
      <c r="Y784" s="61">
        <f t="shared" si="1206"/>
        <v>23</v>
      </c>
      <c r="Z784" s="61">
        <f t="shared" si="1206"/>
        <v>24</v>
      </c>
      <c r="AA784" s="61">
        <f t="shared" si="1206"/>
        <v>25</v>
      </c>
      <c r="AB784" s="61">
        <f t="shared" si="1206"/>
        <v>26</v>
      </c>
      <c r="AC784" s="61">
        <f t="shared" si="1206"/>
        <v>27</v>
      </c>
      <c r="AD784" s="61">
        <f t="shared" si="1206"/>
        <v>28</v>
      </c>
      <c r="AE784" s="61">
        <f t="shared" si="1206"/>
        <v>29</v>
      </c>
      <c r="AF784" s="61">
        <f t="shared" si="1206"/>
        <v>30</v>
      </c>
      <c r="AG784" s="61">
        <f t="shared" si="1206"/>
        <v>31</v>
      </c>
      <c r="AH784" s="61">
        <f t="shared" si="1206"/>
        <v>32</v>
      </c>
      <c r="AI784" s="61">
        <f t="shared" si="1206"/>
        <v>33</v>
      </c>
      <c r="AJ784" s="61">
        <f t="shared" si="1206"/>
        <v>34</v>
      </c>
      <c r="AK784" s="61">
        <f t="shared" si="1206"/>
        <v>35</v>
      </c>
      <c r="AL784" s="61">
        <f t="shared" si="1206"/>
        <v>36</v>
      </c>
      <c r="AM784" s="61">
        <f t="shared" si="1206"/>
        <v>37</v>
      </c>
      <c r="AN784" s="61">
        <f t="shared" si="1206"/>
        <v>38</v>
      </c>
      <c r="AO784" s="61">
        <f t="shared" si="1206"/>
        <v>39</v>
      </c>
      <c r="AP784" s="61">
        <f t="shared" si="1206"/>
        <v>40</v>
      </c>
      <c r="AQ784" s="61">
        <f t="shared" si="1206"/>
        <v>41</v>
      </c>
      <c r="AR784" s="61">
        <f t="shared" si="1206"/>
        <v>42</v>
      </c>
      <c r="AS784" s="61">
        <f t="shared" si="1206"/>
        <v>43</v>
      </c>
      <c r="AT784" s="61">
        <f t="shared" si="1206"/>
        <v>44</v>
      </c>
      <c r="AU784" s="61">
        <f t="shared" si="1206"/>
        <v>45</v>
      </c>
      <c r="AV784" s="61">
        <f t="shared" si="1206"/>
        <v>46</v>
      </c>
      <c r="AW784" s="61">
        <f t="shared" si="1206"/>
        <v>47</v>
      </c>
      <c r="AX784" s="61">
        <f t="shared" si="1206"/>
        <v>48</v>
      </c>
      <c r="AY784" s="61">
        <f t="shared" si="1206"/>
        <v>49</v>
      </c>
      <c r="AZ784" s="61">
        <f t="shared" si="1206"/>
        <v>50</v>
      </c>
      <c r="BA784" s="61">
        <f t="shared" si="1206"/>
        <v>51</v>
      </c>
      <c r="BB784" s="61">
        <f t="shared" si="1206"/>
        <v>52</v>
      </c>
      <c r="BC784" s="61" t="s">
        <v>395</v>
      </c>
      <c r="BD784" s="61" t="s">
        <v>11</v>
      </c>
    </row>
    <row r="785" spans="1:56" x14ac:dyDescent="0.25">
      <c r="B785" s="19" t="str">
        <f>B763</f>
        <v>Product A</v>
      </c>
      <c r="C785" s="19">
        <f t="shared" ref="C785:AH785" si="1207">C763*C271</f>
        <v>81000</v>
      </c>
      <c r="D785" s="19">
        <f t="shared" si="1207"/>
        <v>0</v>
      </c>
      <c r="E785" s="19">
        <f t="shared" si="1207"/>
        <v>45000</v>
      </c>
      <c r="F785" s="19">
        <f t="shared" si="1207"/>
        <v>0</v>
      </c>
      <c r="G785" s="19">
        <f t="shared" si="1207"/>
        <v>81000</v>
      </c>
      <c r="H785" s="19">
        <f t="shared" si="1207"/>
        <v>0</v>
      </c>
      <c r="I785" s="19">
        <f t="shared" si="1207"/>
        <v>0</v>
      </c>
      <c r="J785" s="19">
        <f t="shared" si="1207"/>
        <v>0</v>
      </c>
      <c r="K785" s="19">
        <f t="shared" si="1207"/>
        <v>81000</v>
      </c>
      <c r="L785" s="19">
        <f t="shared" si="1207"/>
        <v>0</v>
      </c>
      <c r="M785" s="19">
        <f t="shared" si="1207"/>
        <v>0</v>
      </c>
      <c r="N785" s="19">
        <f t="shared" si="1207"/>
        <v>0</v>
      </c>
      <c r="O785" s="19">
        <f t="shared" si="1207"/>
        <v>81000</v>
      </c>
      <c r="P785" s="19">
        <f t="shared" si="1207"/>
        <v>27000</v>
      </c>
      <c r="Q785" s="19">
        <f t="shared" si="1207"/>
        <v>0</v>
      </c>
      <c r="R785" s="19">
        <f t="shared" si="1207"/>
        <v>0</v>
      </c>
      <c r="S785" s="19">
        <f t="shared" si="1207"/>
        <v>81000</v>
      </c>
      <c r="T785" s="19">
        <f t="shared" si="1207"/>
        <v>0</v>
      </c>
      <c r="U785" s="19">
        <f t="shared" si="1207"/>
        <v>0</v>
      </c>
      <c r="V785" s="19">
        <f t="shared" si="1207"/>
        <v>27000</v>
      </c>
      <c r="W785" s="19">
        <f t="shared" si="1207"/>
        <v>81000</v>
      </c>
      <c r="X785" s="19">
        <f t="shared" si="1207"/>
        <v>0</v>
      </c>
      <c r="Y785" s="19">
        <f t="shared" si="1207"/>
        <v>0</v>
      </c>
      <c r="Z785" s="19">
        <f t="shared" si="1207"/>
        <v>0</v>
      </c>
      <c r="AA785" s="19">
        <f t="shared" si="1207"/>
        <v>81000</v>
      </c>
      <c r="AB785" s="19">
        <f t="shared" si="1207"/>
        <v>0</v>
      </c>
      <c r="AC785" s="19">
        <f t="shared" si="1207"/>
        <v>54000</v>
      </c>
      <c r="AD785" s="19">
        <f t="shared" si="1207"/>
        <v>0</v>
      </c>
      <c r="AE785" s="19">
        <f t="shared" si="1207"/>
        <v>81000</v>
      </c>
      <c r="AF785" s="19">
        <f t="shared" si="1207"/>
        <v>0</v>
      </c>
      <c r="AG785" s="19">
        <f t="shared" si="1207"/>
        <v>0</v>
      </c>
      <c r="AH785" s="19">
        <f t="shared" si="1207"/>
        <v>27000</v>
      </c>
      <c r="AI785" s="19">
        <f t="shared" ref="AI785:BB785" si="1208">AI763*AI271</f>
        <v>81000</v>
      </c>
      <c r="AJ785" s="19">
        <f t="shared" si="1208"/>
        <v>0</v>
      </c>
      <c r="AK785" s="19">
        <f t="shared" si="1208"/>
        <v>0</v>
      </c>
      <c r="AL785" s="19">
        <f t="shared" si="1208"/>
        <v>0</v>
      </c>
      <c r="AM785" s="19">
        <f t="shared" si="1208"/>
        <v>81000</v>
      </c>
      <c r="AN785" s="19">
        <f t="shared" si="1208"/>
        <v>27000</v>
      </c>
      <c r="AO785" s="19">
        <f t="shared" si="1208"/>
        <v>0</v>
      </c>
      <c r="AP785" s="19">
        <f t="shared" si="1208"/>
        <v>0</v>
      </c>
      <c r="AQ785" s="19">
        <f t="shared" si="1208"/>
        <v>81000</v>
      </c>
      <c r="AR785" s="19">
        <f t="shared" si="1208"/>
        <v>0</v>
      </c>
      <c r="AS785" s="19">
        <f t="shared" si="1208"/>
        <v>45000</v>
      </c>
      <c r="AT785" s="19">
        <f t="shared" si="1208"/>
        <v>0</v>
      </c>
      <c r="AU785" s="19">
        <f t="shared" si="1208"/>
        <v>81000</v>
      </c>
      <c r="AV785" s="19">
        <f t="shared" si="1208"/>
        <v>45000</v>
      </c>
      <c r="AW785" s="19">
        <f t="shared" si="1208"/>
        <v>0</v>
      </c>
      <c r="AX785" s="19">
        <f t="shared" si="1208"/>
        <v>0</v>
      </c>
      <c r="AY785" s="19">
        <f t="shared" si="1208"/>
        <v>81000</v>
      </c>
      <c r="AZ785" s="19">
        <f t="shared" si="1208"/>
        <v>0</v>
      </c>
      <c r="BA785" s="19">
        <f t="shared" si="1208"/>
        <v>0</v>
      </c>
      <c r="BB785" s="19">
        <f t="shared" si="1208"/>
        <v>0</v>
      </c>
      <c r="BC785" s="19">
        <f t="shared" ref="BC785:BC793" si="1209">SUM(C785:BB785)</f>
        <v>1350000</v>
      </c>
      <c r="BD785" s="19">
        <f>BD763-BC798</f>
        <v>-297819.83395461505</v>
      </c>
    </row>
    <row r="786" spans="1:56" x14ac:dyDescent="0.25">
      <c r="B786" s="19" t="str">
        <f t="shared" ref="B786:B792" si="1210">B764</f>
        <v>Product B</v>
      </c>
      <c r="C786" s="19">
        <f t="shared" ref="C786:AH786" si="1211">C764*C272</f>
        <v>78400</v>
      </c>
      <c r="D786" s="19">
        <f t="shared" si="1211"/>
        <v>88200</v>
      </c>
      <c r="E786" s="19">
        <f t="shared" si="1211"/>
        <v>0</v>
      </c>
      <c r="F786" s="19">
        <f t="shared" si="1211"/>
        <v>58800.000000000007</v>
      </c>
      <c r="G786" s="19">
        <f t="shared" si="1211"/>
        <v>78400</v>
      </c>
      <c r="H786" s="19">
        <f t="shared" si="1211"/>
        <v>88200</v>
      </c>
      <c r="I786" s="19">
        <f t="shared" si="1211"/>
        <v>0</v>
      </c>
      <c r="J786" s="19">
        <f t="shared" si="1211"/>
        <v>29400.000000000004</v>
      </c>
      <c r="K786" s="19">
        <f t="shared" si="1211"/>
        <v>78400</v>
      </c>
      <c r="L786" s="19">
        <f t="shared" si="1211"/>
        <v>88200</v>
      </c>
      <c r="M786" s="19">
        <f t="shared" si="1211"/>
        <v>0</v>
      </c>
      <c r="N786" s="19">
        <f t="shared" si="1211"/>
        <v>0</v>
      </c>
      <c r="O786" s="19">
        <f t="shared" si="1211"/>
        <v>78400</v>
      </c>
      <c r="P786" s="19">
        <f t="shared" si="1211"/>
        <v>88200</v>
      </c>
      <c r="Q786" s="19">
        <f t="shared" si="1211"/>
        <v>0</v>
      </c>
      <c r="R786" s="19">
        <f t="shared" si="1211"/>
        <v>0</v>
      </c>
      <c r="S786" s="19">
        <f t="shared" si="1211"/>
        <v>78400</v>
      </c>
      <c r="T786" s="19">
        <f t="shared" si="1211"/>
        <v>88200</v>
      </c>
      <c r="U786" s="19">
        <f t="shared" si="1211"/>
        <v>0</v>
      </c>
      <c r="V786" s="19">
        <f t="shared" si="1211"/>
        <v>0</v>
      </c>
      <c r="W786" s="19">
        <f t="shared" si="1211"/>
        <v>78400</v>
      </c>
      <c r="X786" s="19">
        <f t="shared" si="1211"/>
        <v>88200</v>
      </c>
      <c r="Y786" s="19">
        <f t="shared" si="1211"/>
        <v>0</v>
      </c>
      <c r="Z786" s="19">
        <f t="shared" si="1211"/>
        <v>0</v>
      </c>
      <c r="AA786" s="19">
        <f t="shared" si="1211"/>
        <v>78400</v>
      </c>
      <c r="AB786" s="19">
        <f t="shared" si="1211"/>
        <v>88200</v>
      </c>
      <c r="AC786" s="19">
        <f t="shared" si="1211"/>
        <v>0</v>
      </c>
      <c r="AD786" s="19">
        <f t="shared" si="1211"/>
        <v>0</v>
      </c>
      <c r="AE786" s="19">
        <f t="shared" si="1211"/>
        <v>78400</v>
      </c>
      <c r="AF786" s="19">
        <f t="shared" si="1211"/>
        <v>88200</v>
      </c>
      <c r="AG786" s="19">
        <f t="shared" si="1211"/>
        <v>0</v>
      </c>
      <c r="AH786" s="19">
        <f t="shared" si="1211"/>
        <v>0</v>
      </c>
      <c r="AI786" s="19">
        <f t="shared" ref="AI786:BB786" si="1212">AI764*AI272</f>
        <v>78400</v>
      </c>
      <c r="AJ786" s="19">
        <f t="shared" si="1212"/>
        <v>88200</v>
      </c>
      <c r="AK786" s="19">
        <f t="shared" si="1212"/>
        <v>0</v>
      </c>
      <c r="AL786" s="19">
        <f t="shared" si="1212"/>
        <v>0</v>
      </c>
      <c r="AM786" s="19">
        <f t="shared" si="1212"/>
        <v>78400</v>
      </c>
      <c r="AN786" s="19">
        <f t="shared" si="1212"/>
        <v>88200</v>
      </c>
      <c r="AO786" s="19">
        <f t="shared" si="1212"/>
        <v>0</v>
      </c>
      <c r="AP786" s="19">
        <f t="shared" si="1212"/>
        <v>0</v>
      </c>
      <c r="AQ786" s="19">
        <f t="shared" si="1212"/>
        <v>78400</v>
      </c>
      <c r="AR786" s="19">
        <f t="shared" si="1212"/>
        <v>88200</v>
      </c>
      <c r="AS786" s="19">
        <f t="shared" si="1212"/>
        <v>0</v>
      </c>
      <c r="AT786" s="19">
        <f t="shared" si="1212"/>
        <v>49000</v>
      </c>
      <c r="AU786" s="19">
        <f t="shared" si="1212"/>
        <v>78400</v>
      </c>
      <c r="AV786" s="19">
        <f t="shared" si="1212"/>
        <v>88200</v>
      </c>
      <c r="AW786" s="19">
        <f t="shared" si="1212"/>
        <v>0</v>
      </c>
      <c r="AX786" s="19">
        <f t="shared" si="1212"/>
        <v>29400.000000000004</v>
      </c>
      <c r="AY786" s="19">
        <f t="shared" si="1212"/>
        <v>78400</v>
      </c>
      <c r="AZ786" s="19">
        <f t="shared" si="1212"/>
        <v>29400.000000000004</v>
      </c>
      <c r="BA786" s="19">
        <f t="shared" si="1212"/>
        <v>0</v>
      </c>
      <c r="BB786" s="19">
        <f t="shared" si="1212"/>
        <v>0</v>
      </c>
      <c r="BC786" s="19">
        <f t="shared" si="1209"/>
        <v>2273600</v>
      </c>
      <c r="BD786" s="19">
        <f t="shared" ref="BD786:BD792" si="1213">BD764-BC799</f>
        <v>-565175.04612561641</v>
      </c>
    </row>
    <row r="787" spans="1:56" x14ac:dyDescent="0.25">
      <c r="B787" s="19" t="str">
        <f t="shared" si="1210"/>
        <v>Product C</v>
      </c>
      <c r="C787" s="19">
        <f t="shared" ref="C787:AH787" si="1214">C765*C273</f>
        <v>96000</v>
      </c>
      <c r="D787" s="19">
        <f t="shared" si="1214"/>
        <v>76800</v>
      </c>
      <c r="E787" s="19">
        <f t="shared" si="1214"/>
        <v>86400</v>
      </c>
      <c r="F787" s="19">
        <f t="shared" si="1214"/>
        <v>0</v>
      </c>
      <c r="G787" s="19">
        <f t="shared" si="1214"/>
        <v>96000</v>
      </c>
      <c r="H787" s="19">
        <f t="shared" si="1214"/>
        <v>76800</v>
      </c>
      <c r="I787" s="19">
        <f t="shared" si="1214"/>
        <v>86400</v>
      </c>
      <c r="J787" s="19">
        <f t="shared" si="1214"/>
        <v>0</v>
      </c>
      <c r="K787" s="19">
        <f t="shared" si="1214"/>
        <v>96000</v>
      </c>
      <c r="L787" s="19">
        <f t="shared" si="1214"/>
        <v>76800</v>
      </c>
      <c r="M787" s="19">
        <f t="shared" si="1214"/>
        <v>86400</v>
      </c>
      <c r="N787" s="19">
        <f t="shared" si="1214"/>
        <v>0</v>
      </c>
      <c r="O787" s="19">
        <f t="shared" si="1214"/>
        <v>96000</v>
      </c>
      <c r="P787" s="19">
        <f t="shared" si="1214"/>
        <v>76800</v>
      </c>
      <c r="Q787" s="19">
        <f t="shared" si="1214"/>
        <v>86400</v>
      </c>
      <c r="R787" s="19">
        <f t="shared" si="1214"/>
        <v>0</v>
      </c>
      <c r="S787" s="19">
        <f t="shared" si="1214"/>
        <v>96000</v>
      </c>
      <c r="T787" s="19">
        <f t="shared" si="1214"/>
        <v>76800</v>
      </c>
      <c r="U787" s="19">
        <f t="shared" si="1214"/>
        <v>86400</v>
      </c>
      <c r="V787" s="19">
        <f t="shared" si="1214"/>
        <v>0</v>
      </c>
      <c r="W787" s="19">
        <f t="shared" si="1214"/>
        <v>96000</v>
      </c>
      <c r="X787" s="19">
        <f t="shared" si="1214"/>
        <v>76800</v>
      </c>
      <c r="Y787" s="19">
        <f t="shared" si="1214"/>
        <v>86400</v>
      </c>
      <c r="Z787" s="19">
        <f t="shared" si="1214"/>
        <v>0</v>
      </c>
      <c r="AA787" s="19">
        <f t="shared" si="1214"/>
        <v>96000</v>
      </c>
      <c r="AB787" s="19">
        <f t="shared" si="1214"/>
        <v>76800</v>
      </c>
      <c r="AC787" s="19">
        <f t="shared" si="1214"/>
        <v>86400</v>
      </c>
      <c r="AD787" s="19">
        <f t="shared" si="1214"/>
        <v>0</v>
      </c>
      <c r="AE787" s="19">
        <f t="shared" si="1214"/>
        <v>96000</v>
      </c>
      <c r="AF787" s="19">
        <f t="shared" si="1214"/>
        <v>76800</v>
      </c>
      <c r="AG787" s="19">
        <f t="shared" si="1214"/>
        <v>86400</v>
      </c>
      <c r="AH787" s="19">
        <f t="shared" si="1214"/>
        <v>0</v>
      </c>
      <c r="AI787" s="19">
        <f t="shared" ref="AI787:BB787" si="1215">AI765*AI273</f>
        <v>96000</v>
      </c>
      <c r="AJ787" s="19">
        <f t="shared" si="1215"/>
        <v>76800</v>
      </c>
      <c r="AK787" s="19">
        <f t="shared" si="1215"/>
        <v>86400</v>
      </c>
      <c r="AL787" s="19">
        <f t="shared" si="1215"/>
        <v>0</v>
      </c>
      <c r="AM787" s="19">
        <f t="shared" si="1215"/>
        <v>96000</v>
      </c>
      <c r="AN787" s="19">
        <f t="shared" si="1215"/>
        <v>76800</v>
      </c>
      <c r="AO787" s="19">
        <f t="shared" si="1215"/>
        <v>86400</v>
      </c>
      <c r="AP787" s="19">
        <f t="shared" si="1215"/>
        <v>0</v>
      </c>
      <c r="AQ787" s="19">
        <f t="shared" si="1215"/>
        <v>96000</v>
      </c>
      <c r="AR787" s="19">
        <f t="shared" si="1215"/>
        <v>76800</v>
      </c>
      <c r="AS787" s="19">
        <f t="shared" si="1215"/>
        <v>86400</v>
      </c>
      <c r="AT787" s="19">
        <f t="shared" si="1215"/>
        <v>0</v>
      </c>
      <c r="AU787" s="19">
        <f t="shared" si="1215"/>
        <v>96000</v>
      </c>
      <c r="AV787" s="19">
        <f t="shared" si="1215"/>
        <v>76800</v>
      </c>
      <c r="AW787" s="19">
        <f t="shared" si="1215"/>
        <v>86400</v>
      </c>
      <c r="AX787" s="19">
        <f t="shared" si="1215"/>
        <v>0</v>
      </c>
      <c r="AY787" s="19">
        <f t="shared" si="1215"/>
        <v>96000</v>
      </c>
      <c r="AZ787" s="19">
        <f t="shared" si="1215"/>
        <v>76800</v>
      </c>
      <c r="BA787" s="19">
        <f t="shared" si="1215"/>
        <v>86400</v>
      </c>
      <c r="BB787" s="19">
        <f t="shared" si="1215"/>
        <v>0</v>
      </c>
      <c r="BC787" s="19">
        <f t="shared" si="1209"/>
        <v>3369600</v>
      </c>
      <c r="BD787" s="19">
        <f t="shared" si="1213"/>
        <v>-809502.8820710266</v>
      </c>
    </row>
    <row r="788" spans="1:56" x14ac:dyDescent="0.25">
      <c r="B788" s="19" t="str">
        <f t="shared" si="1210"/>
        <v>Product D</v>
      </c>
      <c r="C788" s="19">
        <f t="shared" ref="C788:AH788" si="1216">C766*C274</f>
        <v>143000</v>
      </c>
      <c r="D788" s="19">
        <f t="shared" si="1216"/>
        <v>110000</v>
      </c>
      <c r="E788" s="19">
        <f t="shared" si="1216"/>
        <v>88000</v>
      </c>
      <c r="F788" s="19">
        <f t="shared" si="1216"/>
        <v>99000</v>
      </c>
      <c r="G788" s="19">
        <f t="shared" si="1216"/>
        <v>99000</v>
      </c>
      <c r="H788" s="19">
        <f t="shared" si="1216"/>
        <v>110000</v>
      </c>
      <c r="I788" s="19">
        <f t="shared" si="1216"/>
        <v>88000</v>
      </c>
      <c r="J788" s="19">
        <f t="shared" si="1216"/>
        <v>99000</v>
      </c>
      <c r="K788" s="19">
        <f t="shared" si="1216"/>
        <v>143000</v>
      </c>
      <c r="L788" s="19">
        <f t="shared" si="1216"/>
        <v>110000</v>
      </c>
      <c r="M788" s="19">
        <f t="shared" si="1216"/>
        <v>88000</v>
      </c>
      <c r="N788" s="19">
        <f t="shared" si="1216"/>
        <v>99000</v>
      </c>
      <c r="O788" s="19">
        <f t="shared" si="1216"/>
        <v>143000</v>
      </c>
      <c r="P788" s="19">
        <f t="shared" si="1216"/>
        <v>110000</v>
      </c>
      <c r="Q788" s="19">
        <f t="shared" si="1216"/>
        <v>88000</v>
      </c>
      <c r="R788" s="19">
        <f t="shared" si="1216"/>
        <v>99000</v>
      </c>
      <c r="S788" s="19">
        <f t="shared" si="1216"/>
        <v>99000</v>
      </c>
      <c r="T788" s="19">
        <f t="shared" si="1216"/>
        <v>88000</v>
      </c>
      <c r="U788" s="19">
        <f t="shared" si="1216"/>
        <v>88000</v>
      </c>
      <c r="V788" s="19">
        <f t="shared" si="1216"/>
        <v>99000</v>
      </c>
      <c r="W788" s="19">
        <f t="shared" si="1216"/>
        <v>143000</v>
      </c>
      <c r="X788" s="19">
        <f t="shared" si="1216"/>
        <v>110000</v>
      </c>
      <c r="Y788" s="19">
        <f t="shared" si="1216"/>
        <v>88000</v>
      </c>
      <c r="Z788" s="19">
        <f t="shared" si="1216"/>
        <v>77000</v>
      </c>
      <c r="AA788" s="19">
        <f t="shared" si="1216"/>
        <v>143000</v>
      </c>
      <c r="AB788" s="19">
        <f t="shared" si="1216"/>
        <v>110000</v>
      </c>
      <c r="AC788" s="19">
        <f t="shared" si="1216"/>
        <v>88000</v>
      </c>
      <c r="AD788" s="19">
        <f t="shared" si="1216"/>
        <v>99000</v>
      </c>
      <c r="AE788" s="19">
        <f t="shared" si="1216"/>
        <v>99000</v>
      </c>
      <c r="AF788" s="19">
        <f t="shared" si="1216"/>
        <v>110000</v>
      </c>
      <c r="AG788" s="19">
        <f t="shared" si="1216"/>
        <v>88000</v>
      </c>
      <c r="AH788" s="19">
        <f t="shared" si="1216"/>
        <v>99000</v>
      </c>
      <c r="AI788" s="19">
        <f t="shared" ref="AI788:BB788" si="1217">AI766*AI274</f>
        <v>143000</v>
      </c>
      <c r="AJ788" s="19">
        <f t="shared" si="1217"/>
        <v>110000</v>
      </c>
      <c r="AK788" s="19">
        <f t="shared" si="1217"/>
        <v>88000</v>
      </c>
      <c r="AL788" s="19">
        <f t="shared" si="1217"/>
        <v>77000</v>
      </c>
      <c r="AM788" s="19">
        <f t="shared" si="1217"/>
        <v>143000</v>
      </c>
      <c r="AN788" s="19">
        <f t="shared" si="1217"/>
        <v>110000</v>
      </c>
      <c r="AO788" s="19">
        <f t="shared" si="1217"/>
        <v>88000</v>
      </c>
      <c r="AP788" s="19">
        <f t="shared" si="1217"/>
        <v>99000</v>
      </c>
      <c r="AQ788" s="19">
        <f t="shared" si="1217"/>
        <v>99000</v>
      </c>
      <c r="AR788" s="19">
        <f t="shared" si="1217"/>
        <v>110000</v>
      </c>
      <c r="AS788" s="19">
        <f t="shared" si="1217"/>
        <v>88000</v>
      </c>
      <c r="AT788" s="19">
        <f t="shared" si="1217"/>
        <v>99000</v>
      </c>
      <c r="AU788" s="19">
        <f t="shared" si="1217"/>
        <v>143000</v>
      </c>
      <c r="AV788" s="19">
        <f t="shared" si="1217"/>
        <v>110000</v>
      </c>
      <c r="AW788" s="19">
        <f t="shared" si="1217"/>
        <v>88000</v>
      </c>
      <c r="AX788" s="19">
        <f t="shared" si="1217"/>
        <v>99000</v>
      </c>
      <c r="AY788" s="19">
        <f t="shared" si="1217"/>
        <v>143000</v>
      </c>
      <c r="AZ788" s="19">
        <f t="shared" si="1217"/>
        <v>110000</v>
      </c>
      <c r="BA788" s="19">
        <f t="shared" si="1217"/>
        <v>88000</v>
      </c>
      <c r="BB788" s="19">
        <f t="shared" si="1217"/>
        <v>77000</v>
      </c>
      <c r="BC788" s="19">
        <f t="shared" si="1209"/>
        <v>5456000</v>
      </c>
      <c r="BD788" s="19">
        <f t="shared" si="1213"/>
        <v>-1359588.0424146838</v>
      </c>
    </row>
    <row r="789" spans="1:56" x14ac:dyDescent="0.25">
      <c r="B789" s="19" t="str">
        <f t="shared" si="1210"/>
        <v>Product E</v>
      </c>
      <c r="C789" s="19">
        <f t="shared" ref="C789:AH789" si="1218">C767*C275</f>
        <v>54000</v>
      </c>
      <c r="D789" s="19">
        <f t="shared" si="1218"/>
        <v>140400</v>
      </c>
      <c r="E789" s="19">
        <f t="shared" si="1218"/>
        <v>108000</v>
      </c>
      <c r="F789" s="19">
        <f t="shared" si="1218"/>
        <v>86400</v>
      </c>
      <c r="G789" s="19">
        <f t="shared" si="1218"/>
        <v>54000</v>
      </c>
      <c r="H789" s="19">
        <f t="shared" si="1218"/>
        <v>118800.00000000001</v>
      </c>
      <c r="I789" s="19">
        <f t="shared" si="1218"/>
        <v>108000</v>
      </c>
      <c r="J789" s="19">
        <f t="shared" si="1218"/>
        <v>86400</v>
      </c>
      <c r="K789" s="19">
        <f t="shared" si="1218"/>
        <v>54000</v>
      </c>
      <c r="L789" s="19">
        <f t="shared" si="1218"/>
        <v>75600</v>
      </c>
      <c r="M789" s="19">
        <f t="shared" si="1218"/>
        <v>64800.000000000007</v>
      </c>
      <c r="N789" s="19">
        <f t="shared" si="1218"/>
        <v>86400</v>
      </c>
      <c r="O789" s="19">
        <f t="shared" si="1218"/>
        <v>54000</v>
      </c>
      <c r="P789" s="19">
        <f t="shared" si="1218"/>
        <v>140400</v>
      </c>
      <c r="Q789" s="19">
        <f t="shared" si="1218"/>
        <v>108000</v>
      </c>
      <c r="R789" s="19">
        <f t="shared" si="1218"/>
        <v>86400</v>
      </c>
      <c r="S789" s="19">
        <f t="shared" si="1218"/>
        <v>54000</v>
      </c>
      <c r="T789" s="19">
        <f t="shared" si="1218"/>
        <v>140400</v>
      </c>
      <c r="U789" s="19">
        <f t="shared" si="1218"/>
        <v>108000</v>
      </c>
      <c r="V789" s="19">
        <f t="shared" si="1218"/>
        <v>86400</v>
      </c>
      <c r="W789" s="19">
        <f t="shared" si="1218"/>
        <v>54000</v>
      </c>
      <c r="X789" s="19">
        <f t="shared" si="1218"/>
        <v>75600</v>
      </c>
      <c r="Y789" s="19">
        <f t="shared" si="1218"/>
        <v>108000</v>
      </c>
      <c r="Z789" s="19">
        <f t="shared" si="1218"/>
        <v>86400</v>
      </c>
      <c r="AA789" s="19">
        <f t="shared" si="1218"/>
        <v>54000</v>
      </c>
      <c r="AB789" s="19">
        <f t="shared" si="1218"/>
        <v>140400</v>
      </c>
      <c r="AC789" s="19">
        <f t="shared" si="1218"/>
        <v>108000</v>
      </c>
      <c r="AD789" s="19">
        <f t="shared" si="1218"/>
        <v>86400</v>
      </c>
      <c r="AE789" s="19">
        <f t="shared" si="1218"/>
        <v>54000</v>
      </c>
      <c r="AF789" s="19">
        <f t="shared" si="1218"/>
        <v>118800.00000000001</v>
      </c>
      <c r="AG789" s="19">
        <f t="shared" si="1218"/>
        <v>108000</v>
      </c>
      <c r="AH789" s="19">
        <f t="shared" si="1218"/>
        <v>86400</v>
      </c>
      <c r="AI789" s="19">
        <f t="shared" ref="AI789:BB789" si="1219">AI767*AI275</f>
        <v>54000</v>
      </c>
      <c r="AJ789" s="19">
        <f t="shared" si="1219"/>
        <v>75600</v>
      </c>
      <c r="AK789" s="19">
        <f t="shared" si="1219"/>
        <v>108000</v>
      </c>
      <c r="AL789" s="19">
        <f t="shared" si="1219"/>
        <v>86400</v>
      </c>
      <c r="AM789" s="19">
        <f t="shared" si="1219"/>
        <v>54000</v>
      </c>
      <c r="AN789" s="19">
        <f t="shared" si="1219"/>
        <v>140400</v>
      </c>
      <c r="AO789" s="19">
        <f t="shared" si="1219"/>
        <v>108000</v>
      </c>
      <c r="AP789" s="19">
        <f t="shared" si="1219"/>
        <v>86400</v>
      </c>
      <c r="AQ789" s="19">
        <f t="shared" si="1219"/>
        <v>54000</v>
      </c>
      <c r="AR789" s="19">
        <f t="shared" si="1219"/>
        <v>118800.00000000001</v>
      </c>
      <c r="AS789" s="19">
        <f t="shared" si="1219"/>
        <v>108000</v>
      </c>
      <c r="AT789" s="19">
        <f t="shared" si="1219"/>
        <v>86400</v>
      </c>
      <c r="AU789" s="19">
        <f t="shared" si="1219"/>
        <v>54000</v>
      </c>
      <c r="AV789" s="19">
        <f t="shared" si="1219"/>
        <v>140400</v>
      </c>
      <c r="AW789" s="19">
        <f t="shared" si="1219"/>
        <v>108000</v>
      </c>
      <c r="AX789" s="19">
        <f t="shared" si="1219"/>
        <v>86400</v>
      </c>
      <c r="AY789" s="19">
        <f t="shared" si="1219"/>
        <v>54000</v>
      </c>
      <c r="AZ789" s="19">
        <f t="shared" si="1219"/>
        <v>140400</v>
      </c>
      <c r="BA789" s="19">
        <f t="shared" si="1219"/>
        <v>108000</v>
      </c>
      <c r="BB789" s="19">
        <f t="shared" si="1219"/>
        <v>86400</v>
      </c>
      <c r="BC789" s="19">
        <f t="shared" si="1209"/>
        <v>4752000</v>
      </c>
      <c r="BD789" s="19">
        <f t="shared" si="1213"/>
        <v>-1170970.0261665294</v>
      </c>
    </row>
    <row r="790" spans="1:56" x14ac:dyDescent="0.25">
      <c r="B790" s="19" t="str">
        <f t="shared" si="1210"/>
        <v>Product F</v>
      </c>
      <c r="C790" s="19">
        <f t="shared" ref="C790:AH790" si="1220">C768*C276</f>
        <v>0</v>
      </c>
      <c r="D790" s="19">
        <f t="shared" si="1220"/>
        <v>52500</v>
      </c>
      <c r="E790" s="19">
        <f t="shared" si="1220"/>
        <v>136500</v>
      </c>
      <c r="F790" s="19">
        <f t="shared" si="1220"/>
        <v>0</v>
      </c>
      <c r="G790" s="19">
        <f t="shared" si="1220"/>
        <v>0</v>
      </c>
      <c r="H790" s="19">
        <f t="shared" si="1220"/>
        <v>52500</v>
      </c>
      <c r="I790" s="19">
        <f t="shared" si="1220"/>
        <v>136500</v>
      </c>
      <c r="J790" s="19">
        <f t="shared" si="1220"/>
        <v>105000</v>
      </c>
      <c r="K790" s="19">
        <f t="shared" si="1220"/>
        <v>63000</v>
      </c>
      <c r="L790" s="19">
        <f t="shared" si="1220"/>
        <v>52500</v>
      </c>
      <c r="M790" s="19">
        <f t="shared" si="1220"/>
        <v>136500</v>
      </c>
      <c r="N790" s="19">
        <f t="shared" si="1220"/>
        <v>105000</v>
      </c>
      <c r="O790" s="19">
        <f t="shared" si="1220"/>
        <v>0</v>
      </c>
      <c r="P790" s="19">
        <f t="shared" si="1220"/>
        <v>52500</v>
      </c>
      <c r="Q790" s="19">
        <f t="shared" si="1220"/>
        <v>136500</v>
      </c>
      <c r="R790" s="19">
        <f t="shared" si="1220"/>
        <v>105000</v>
      </c>
      <c r="S790" s="19">
        <f t="shared" si="1220"/>
        <v>0</v>
      </c>
      <c r="T790" s="19">
        <f t="shared" si="1220"/>
        <v>52500</v>
      </c>
      <c r="U790" s="19">
        <f t="shared" si="1220"/>
        <v>136500</v>
      </c>
      <c r="V790" s="19">
        <f t="shared" si="1220"/>
        <v>105000</v>
      </c>
      <c r="W790" s="19">
        <f t="shared" si="1220"/>
        <v>0</v>
      </c>
      <c r="X790" s="19">
        <f t="shared" si="1220"/>
        <v>52500</v>
      </c>
      <c r="Y790" s="19">
        <f t="shared" si="1220"/>
        <v>94500</v>
      </c>
      <c r="Z790" s="19">
        <f t="shared" si="1220"/>
        <v>105000</v>
      </c>
      <c r="AA790" s="19">
        <f t="shared" si="1220"/>
        <v>0</v>
      </c>
      <c r="AB790" s="19">
        <f t="shared" si="1220"/>
        <v>52500</v>
      </c>
      <c r="AC790" s="19">
        <f t="shared" si="1220"/>
        <v>136500</v>
      </c>
      <c r="AD790" s="19">
        <f t="shared" si="1220"/>
        <v>42000</v>
      </c>
      <c r="AE790" s="19">
        <f t="shared" si="1220"/>
        <v>0</v>
      </c>
      <c r="AF790" s="19">
        <f t="shared" si="1220"/>
        <v>52500</v>
      </c>
      <c r="AG790" s="19">
        <f t="shared" si="1220"/>
        <v>136500</v>
      </c>
      <c r="AH790" s="19">
        <f t="shared" si="1220"/>
        <v>105000</v>
      </c>
      <c r="AI790" s="19">
        <f t="shared" ref="AI790:BB790" si="1221">AI768*AI276</f>
        <v>0</v>
      </c>
      <c r="AJ790" s="19">
        <f t="shared" si="1221"/>
        <v>52500</v>
      </c>
      <c r="AK790" s="19">
        <f t="shared" si="1221"/>
        <v>94500</v>
      </c>
      <c r="AL790" s="19">
        <f t="shared" si="1221"/>
        <v>105000</v>
      </c>
      <c r="AM790" s="19">
        <f t="shared" si="1221"/>
        <v>0</v>
      </c>
      <c r="AN790" s="19">
        <f t="shared" si="1221"/>
        <v>52500</v>
      </c>
      <c r="AO790" s="19">
        <f t="shared" si="1221"/>
        <v>136500</v>
      </c>
      <c r="AP790" s="19">
        <f t="shared" si="1221"/>
        <v>42000</v>
      </c>
      <c r="AQ790" s="19">
        <f t="shared" si="1221"/>
        <v>0</v>
      </c>
      <c r="AR790" s="19">
        <f t="shared" si="1221"/>
        <v>52500</v>
      </c>
      <c r="AS790" s="19">
        <f t="shared" si="1221"/>
        <v>136500</v>
      </c>
      <c r="AT790" s="19">
        <f t="shared" si="1221"/>
        <v>105000</v>
      </c>
      <c r="AU790" s="19">
        <f t="shared" si="1221"/>
        <v>52500</v>
      </c>
      <c r="AV790" s="19">
        <f t="shared" si="1221"/>
        <v>52500</v>
      </c>
      <c r="AW790" s="19">
        <f t="shared" si="1221"/>
        <v>136500</v>
      </c>
      <c r="AX790" s="19">
        <f t="shared" si="1221"/>
        <v>105000</v>
      </c>
      <c r="AY790" s="19">
        <f t="shared" si="1221"/>
        <v>63000</v>
      </c>
      <c r="AZ790" s="19">
        <f t="shared" si="1221"/>
        <v>52500</v>
      </c>
      <c r="BA790" s="19">
        <f t="shared" si="1221"/>
        <v>94500</v>
      </c>
      <c r="BB790" s="19">
        <f t="shared" si="1221"/>
        <v>105000</v>
      </c>
      <c r="BC790" s="19">
        <f t="shared" si="1209"/>
        <v>3643500</v>
      </c>
      <c r="BD790" s="19">
        <f t="shared" si="1213"/>
        <v>-842277.08023048937</v>
      </c>
    </row>
    <row r="791" spans="1:56" x14ac:dyDescent="0.25">
      <c r="B791" s="19" t="str">
        <f t="shared" si="1210"/>
        <v>Product G</v>
      </c>
      <c r="C791" s="19">
        <f t="shared" ref="C791:AH791" si="1222">C769*C277</f>
        <v>0</v>
      </c>
      <c r="D791" s="19">
        <f t="shared" si="1222"/>
        <v>27000</v>
      </c>
      <c r="E791" s="19">
        <f t="shared" si="1222"/>
        <v>54000</v>
      </c>
      <c r="F791" s="19">
        <f t="shared" si="1222"/>
        <v>99000</v>
      </c>
      <c r="G791" s="19">
        <f t="shared" si="1222"/>
        <v>0</v>
      </c>
      <c r="H791" s="19">
        <f t="shared" si="1222"/>
        <v>0</v>
      </c>
      <c r="I791" s="19">
        <f t="shared" si="1222"/>
        <v>45000</v>
      </c>
      <c r="J791" s="19">
        <f t="shared" si="1222"/>
        <v>117000</v>
      </c>
      <c r="K791" s="19">
        <f t="shared" si="1222"/>
        <v>0</v>
      </c>
      <c r="L791" s="19">
        <f t="shared" si="1222"/>
        <v>0</v>
      </c>
      <c r="M791" s="19">
        <f t="shared" si="1222"/>
        <v>45000</v>
      </c>
      <c r="N791" s="19">
        <f t="shared" si="1222"/>
        <v>99000</v>
      </c>
      <c r="O791" s="19">
        <f t="shared" si="1222"/>
        <v>0</v>
      </c>
      <c r="P791" s="19">
        <f t="shared" si="1222"/>
        <v>0</v>
      </c>
      <c r="Q791" s="19">
        <f t="shared" si="1222"/>
        <v>45000</v>
      </c>
      <c r="R791" s="19">
        <f t="shared" si="1222"/>
        <v>63000</v>
      </c>
      <c r="S791" s="19">
        <f t="shared" si="1222"/>
        <v>0</v>
      </c>
      <c r="T791" s="19">
        <f t="shared" si="1222"/>
        <v>0</v>
      </c>
      <c r="U791" s="19">
        <f t="shared" si="1222"/>
        <v>45000</v>
      </c>
      <c r="V791" s="19">
        <f t="shared" si="1222"/>
        <v>117000</v>
      </c>
      <c r="W791" s="19">
        <f t="shared" si="1222"/>
        <v>0</v>
      </c>
      <c r="X791" s="19">
        <f t="shared" si="1222"/>
        <v>0</v>
      </c>
      <c r="Y791" s="19">
        <f t="shared" si="1222"/>
        <v>45000</v>
      </c>
      <c r="Z791" s="19">
        <f t="shared" si="1222"/>
        <v>117000</v>
      </c>
      <c r="AA791" s="19">
        <f t="shared" si="1222"/>
        <v>0</v>
      </c>
      <c r="AB791" s="19">
        <f t="shared" si="1222"/>
        <v>0</v>
      </c>
      <c r="AC791" s="19">
        <f t="shared" si="1222"/>
        <v>45000</v>
      </c>
      <c r="AD791" s="19">
        <f t="shared" si="1222"/>
        <v>117000</v>
      </c>
      <c r="AE791" s="19">
        <f t="shared" si="1222"/>
        <v>0</v>
      </c>
      <c r="AF791" s="19">
        <f t="shared" si="1222"/>
        <v>0</v>
      </c>
      <c r="AG791" s="19">
        <f t="shared" si="1222"/>
        <v>45000</v>
      </c>
      <c r="AH791" s="19">
        <f t="shared" si="1222"/>
        <v>117000</v>
      </c>
      <c r="AI791" s="19">
        <f t="shared" ref="AI791:BB791" si="1223">AI769*AI277</f>
        <v>0</v>
      </c>
      <c r="AJ791" s="19">
        <f t="shared" si="1223"/>
        <v>0</v>
      </c>
      <c r="AK791" s="19">
        <f t="shared" si="1223"/>
        <v>45000</v>
      </c>
      <c r="AL791" s="19">
        <f t="shared" si="1223"/>
        <v>117000</v>
      </c>
      <c r="AM791" s="19">
        <f t="shared" si="1223"/>
        <v>0</v>
      </c>
      <c r="AN791" s="19">
        <f t="shared" si="1223"/>
        <v>0</v>
      </c>
      <c r="AO791" s="19">
        <f t="shared" si="1223"/>
        <v>45000</v>
      </c>
      <c r="AP791" s="19">
        <f t="shared" si="1223"/>
        <v>117000</v>
      </c>
      <c r="AQ791" s="19">
        <f t="shared" si="1223"/>
        <v>0</v>
      </c>
      <c r="AR791" s="19">
        <f t="shared" si="1223"/>
        <v>0</v>
      </c>
      <c r="AS791" s="19">
        <f t="shared" si="1223"/>
        <v>45000</v>
      </c>
      <c r="AT791" s="19">
        <f t="shared" si="1223"/>
        <v>117000</v>
      </c>
      <c r="AU791" s="19">
        <f t="shared" si="1223"/>
        <v>0</v>
      </c>
      <c r="AV791" s="19">
        <f t="shared" si="1223"/>
        <v>0</v>
      </c>
      <c r="AW791" s="19">
        <f t="shared" si="1223"/>
        <v>45000</v>
      </c>
      <c r="AX791" s="19">
        <f t="shared" si="1223"/>
        <v>117000</v>
      </c>
      <c r="AY791" s="19">
        <f t="shared" si="1223"/>
        <v>0</v>
      </c>
      <c r="AZ791" s="19">
        <f t="shared" si="1223"/>
        <v>0</v>
      </c>
      <c r="BA791" s="19">
        <f t="shared" si="1223"/>
        <v>45000</v>
      </c>
      <c r="BB791" s="19">
        <f t="shared" si="1223"/>
        <v>117000</v>
      </c>
      <c r="BC791" s="19">
        <f t="shared" si="1209"/>
        <v>2052000</v>
      </c>
      <c r="BD791" s="19">
        <f t="shared" si="1213"/>
        <v>-546384.68190374086</v>
      </c>
    </row>
    <row r="792" spans="1:56" x14ac:dyDescent="0.25">
      <c r="B792" s="19" t="str">
        <f t="shared" si="1210"/>
        <v>Product H</v>
      </c>
      <c r="C792" s="19">
        <f t="shared" ref="C792:AH792" si="1224">C770*C278</f>
        <v>0</v>
      </c>
      <c r="D792" s="19">
        <f t="shared" si="1224"/>
        <v>0</v>
      </c>
      <c r="E792" s="19">
        <f t="shared" si="1224"/>
        <v>0</v>
      </c>
      <c r="F792" s="19">
        <f t="shared" si="1224"/>
        <v>46000</v>
      </c>
      <c r="G792" s="19">
        <f t="shared" si="1224"/>
        <v>0</v>
      </c>
      <c r="H792" s="19">
        <f t="shared" si="1224"/>
        <v>0</v>
      </c>
      <c r="I792" s="19">
        <f t="shared" si="1224"/>
        <v>0</v>
      </c>
      <c r="J792" s="19">
        <f t="shared" si="1224"/>
        <v>46000</v>
      </c>
      <c r="K792" s="19">
        <f t="shared" si="1224"/>
        <v>0</v>
      </c>
      <c r="L792" s="19">
        <f t="shared" si="1224"/>
        <v>0</v>
      </c>
      <c r="M792" s="19">
        <f t="shared" si="1224"/>
        <v>0</v>
      </c>
      <c r="N792" s="19">
        <f t="shared" si="1224"/>
        <v>46000</v>
      </c>
      <c r="O792" s="19">
        <f t="shared" si="1224"/>
        <v>0</v>
      </c>
      <c r="P792" s="19">
        <f t="shared" si="1224"/>
        <v>0</v>
      </c>
      <c r="Q792" s="19">
        <f t="shared" si="1224"/>
        <v>55199.999999999993</v>
      </c>
      <c r="R792" s="19">
        <f t="shared" si="1224"/>
        <v>46000</v>
      </c>
      <c r="S792" s="19">
        <f t="shared" si="1224"/>
        <v>0</v>
      </c>
      <c r="T792" s="19">
        <f t="shared" si="1224"/>
        <v>0</v>
      </c>
      <c r="U792" s="19">
        <f t="shared" si="1224"/>
        <v>0</v>
      </c>
      <c r="V792" s="19">
        <f t="shared" si="1224"/>
        <v>46000</v>
      </c>
      <c r="W792" s="19">
        <f t="shared" si="1224"/>
        <v>55199.999999999993</v>
      </c>
      <c r="X792" s="19">
        <f t="shared" si="1224"/>
        <v>0</v>
      </c>
      <c r="Y792" s="19">
        <f t="shared" si="1224"/>
        <v>0</v>
      </c>
      <c r="Z792" s="19">
        <f t="shared" si="1224"/>
        <v>46000</v>
      </c>
      <c r="AA792" s="19">
        <f t="shared" si="1224"/>
        <v>0</v>
      </c>
      <c r="AB792" s="19">
        <f t="shared" si="1224"/>
        <v>27599.999999999996</v>
      </c>
      <c r="AC792" s="19">
        <f t="shared" si="1224"/>
        <v>0</v>
      </c>
      <c r="AD792" s="19">
        <f t="shared" si="1224"/>
        <v>46000</v>
      </c>
      <c r="AE792" s="19">
        <f t="shared" si="1224"/>
        <v>0</v>
      </c>
      <c r="AF792" s="19">
        <f t="shared" si="1224"/>
        <v>0</v>
      </c>
      <c r="AG792" s="19">
        <f t="shared" si="1224"/>
        <v>0</v>
      </c>
      <c r="AH792" s="19">
        <f t="shared" si="1224"/>
        <v>46000</v>
      </c>
      <c r="AI792" s="19">
        <f t="shared" ref="AI792:BB792" si="1225">AI770*AI278</f>
        <v>55199.999999999993</v>
      </c>
      <c r="AJ792" s="19">
        <f t="shared" si="1225"/>
        <v>0</v>
      </c>
      <c r="AK792" s="19">
        <f t="shared" si="1225"/>
        <v>0</v>
      </c>
      <c r="AL792" s="19">
        <f t="shared" si="1225"/>
        <v>46000</v>
      </c>
      <c r="AM792" s="19">
        <f t="shared" si="1225"/>
        <v>0</v>
      </c>
      <c r="AN792" s="19">
        <f t="shared" si="1225"/>
        <v>0</v>
      </c>
      <c r="AO792" s="19">
        <f t="shared" si="1225"/>
        <v>55199.999999999993</v>
      </c>
      <c r="AP792" s="19">
        <f t="shared" si="1225"/>
        <v>46000</v>
      </c>
      <c r="AQ792" s="19">
        <f t="shared" si="1225"/>
        <v>0</v>
      </c>
      <c r="AR792" s="19">
        <f t="shared" si="1225"/>
        <v>0</v>
      </c>
      <c r="AS792" s="19">
        <f t="shared" si="1225"/>
        <v>0</v>
      </c>
      <c r="AT792" s="19">
        <f t="shared" si="1225"/>
        <v>46000</v>
      </c>
      <c r="AU792" s="19">
        <f t="shared" si="1225"/>
        <v>0</v>
      </c>
      <c r="AV792" s="19">
        <f t="shared" si="1225"/>
        <v>0</v>
      </c>
      <c r="AW792" s="19">
        <f t="shared" si="1225"/>
        <v>0</v>
      </c>
      <c r="AX792" s="19">
        <f t="shared" si="1225"/>
        <v>46000</v>
      </c>
      <c r="AY792" s="19">
        <f t="shared" si="1225"/>
        <v>0</v>
      </c>
      <c r="AZ792" s="19">
        <f t="shared" si="1225"/>
        <v>0</v>
      </c>
      <c r="BA792" s="19">
        <f t="shared" si="1225"/>
        <v>0</v>
      </c>
      <c r="BB792" s="19">
        <f t="shared" si="1225"/>
        <v>46000</v>
      </c>
      <c r="BC792" s="19">
        <f t="shared" si="1209"/>
        <v>846400</v>
      </c>
      <c r="BD792" s="19">
        <f t="shared" si="1213"/>
        <v>-203902.40713329858</v>
      </c>
    </row>
    <row r="793" spans="1:56" s="1" customFormat="1" x14ac:dyDescent="0.25">
      <c r="B793" s="61" t="s">
        <v>394</v>
      </c>
      <c r="C793" s="61">
        <f>SUM(C785:C792)</f>
        <v>452400</v>
      </c>
      <c r="D793" s="61">
        <f t="shared" ref="D793:BB793" si="1226">SUM(D785:D792)</f>
        <v>494900</v>
      </c>
      <c r="E793" s="61">
        <f t="shared" si="1226"/>
        <v>517900</v>
      </c>
      <c r="F793" s="61">
        <f t="shared" si="1226"/>
        <v>389200</v>
      </c>
      <c r="G793" s="61">
        <f t="shared" si="1226"/>
        <v>408400</v>
      </c>
      <c r="H793" s="61">
        <f t="shared" si="1226"/>
        <v>446300</v>
      </c>
      <c r="I793" s="61">
        <f t="shared" si="1226"/>
        <v>463900</v>
      </c>
      <c r="J793" s="61">
        <f t="shared" si="1226"/>
        <v>482800</v>
      </c>
      <c r="K793" s="61">
        <f t="shared" si="1226"/>
        <v>515400</v>
      </c>
      <c r="L793" s="61">
        <f t="shared" si="1226"/>
        <v>403100</v>
      </c>
      <c r="M793" s="61">
        <f t="shared" si="1226"/>
        <v>420700</v>
      </c>
      <c r="N793" s="61">
        <f t="shared" si="1226"/>
        <v>435400</v>
      </c>
      <c r="O793" s="61">
        <f t="shared" si="1226"/>
        <v>452400</v>
      </c>
      <c r="P793" s="61">
        <f t="shared" si="1226"/>
        <v>494900</v>
      </c>
      <c r="Q793" s="61">
        <f t="shared" si="1226"/>
        <v>519100</v>
      </c>
      <c r="R793" s="61">
        <f t="shared" si="1226"/>
        <v>399400</v>
      </c>
      <c r="S793" s="61">
        <f t="shared" si="1226"/>
        <v>408400</v>
      </c>
      <c r="T793" s="61">
        <f t="shared" si="1226"/>
        <v>445900</v>
      </c>
      <c r="U793" s="61">
        <f t="shared" si="1226"/>
        <v>463900</v>
      </c>
      <c r="V793" s="61">
        <f t="shared" si="1226"/>
        <v>480400</v>
      </c>
      <c r="W793" s="61">
        <f t="shared" si="1226"/>
        <v>507600</v>
      </c>
      <c r="X793" s="61">
        <f t="shared" si="1226"/>
        <v>403100</v>
      </c>
      <c r="Y793" s="61">
        <f t="shared" si="1226"/>
        <v>421900</v>
      </c>
      <c r="Z793" s="61">
        <f t="shared" si="1226"/>
        <v>431400</v>
      </c>
      <c r="AA793" s="61">
        <f t="shared" si="1226"/>
        <v>452400</v>
      </c>
      <c r="AB793" s="61">
        <f t="shared" si="1226"/>
        <v>495500</v>
      </c>
      <c r="AC793" s="61">
        <f t="shared" si="1226"/>
        <v>517900</v>
      </c>
      <c r="AD793" s="61">
        <f t="shared" si="1226"/>
        <v>390400</v>
      </c>
      <c r="AE793" s="61">
        <f t="shared" si="1226"/>
        <v>408400</v>
      </c>
      <c r="AF793" s="61">
        <f t="shared" si="1226"/>
        <v>446300</v>
      </c>
      <c r="AG793" s="61">
        <f t="shared" si="1226"/>
        <v>463900</v>
      </c>
      <c r="AH793" s="61">
        <f t="shared" si="1226"/>
        <v>480400</v>
      </c>
      <c r="AI793" s="61">
        <f t="shared" si="1226"/>
        <v>507600</v>
      </c>
      <c r="AJ793" s="61">
        <f t="shared" si="1226"/>
        <v>403100</v>
      </c>
      <c r="AK793" s="61">
        <f t="shared" si="1226"/>
        <v>421900</v>
      </c>
      <c r="AL793" s="61">
        <f t="shared" si="1226"/>
        <v>431400</v>
      </c>
      <c r="AM793" s="61">
        <f t="shared" si="1226"/>
        <v>452400</v>
      </c>
      <c r="AN793" s="61">
        <f t="shared" si="1226"/>
        <v>494900</v>
      </c>
      <c r="AO793" s="61">
        <f t="shared" si="1226"/>
        <v>519100</v>
      </c>
      <c r="AP793" s="61">
        <f t="shared" si="1226"/>
        <v>390400</v>
      </c>
      <c r="AQ793" s="61">
        <f t="shared" si="1226"/>
        <v>408400</v>
      </c>
      <c r="AR793" s="61">
        <f t="shared" si="1226"/>
        <v>446300</v>
      </c>
      <c r="AS793" s="61">
        <f t="shared" si="1226"/>
        <v>508900</v>
      </c>
      <c r="AT793" s="61">
        <f t="shared" si="1226"/>
        <v>502400</v>
      </c>
      <c r="AU793" s="61">
        <f t="shared" si="1226"/>
        <v>504900</v>
      </c>
      <c r="AV793" s="61">
        <f t="shared" si="1226"/>
        <v>512900</v>
      </c>
      <c r="AW793" s="61">
        <f t="shared" si="1226"/>
        <v>463900</v>
      </c>
      <c r="AX793" s="61">
        <f t="shared" si="1226"/>
        <v>482800</v>
      </c>
      <c r="AY793" s="61">
        <f t="shared" si="1226"/>
        <v>515400</v>
      </c>
      <c r="AZ793" s="61">
        <f t="shared" si="1226"/>
        <v>409100</v>
      </c>
      <c r="BA793" s="61">
        <f t="shared" si="1226"/>
        <v>421900</v>
      </c>
      <c r="BB793" s="61">
        <f t="shared" si="1226"/>
        <v>431400</v>
      </c>
      <c r="BC793" s="61">
        <f t="shared" si="1209"/>
        <v>23743100</v>
      </c>
      <c r="BD793" s="61">
        <f>SUM(BD785:BD792)</f>
        <v>-5795620.0000000009</v>
      </c>
    </row>
    <row r="794" spans="1:56" x14ac:dyDescent="0.25">
      <c r="C794" s="129"/>
    </row>
    <row r="797" spans="1:56" s="1" customFormat="1" x14ac:dyDescent="0.25">
      <c r="B797" s="61" t="s">
        <v>197</v>
      </c>
      <c r="C797" s="61">
        <f t="shared" ref="C797:AH797" si="1227">C762</f>
        <v>1</v>
      </c>
      <c r="D797" s="61">
        <f t="shared" si="1227"/>
        <v>2</v>
      </c>
      <c r="E797" s="61">
        <f t="shared" si="1227"/>
        <v>3</v>
      </c>
      <c r="F797" s="61">
        <f t="shared" si="1227"/>
        <v>4</v>
      </c>
      <c r="G797" s="61">
        <f t="shared" si="1227"/>
        <v>5</v>
      </c>
      <c r="H797" s="61">
        <f t="shared" si="1227"/>
        <v>6</v>
      </c>
      <c r="I797" s="61">
        <f t="shared" si="1227"/>
        <v>7</v>
      </c>
      <c r="J797" s="61">
        <f t="shared" si="1227"/>
        <v>8</v>
      </c>
      <c r="K797" s="61">
        <f t="shared" si="1227"/>
        <v>9</v>
      </c>
      <c r="L797" s="61">
        <f t="shared" si="1227"/>
        <v>10</v>
      </c>
      <c r="M797" s="61">
        <f t="shared" si="1227"/>
        <v>11</v>
      </c>
      <c r="N797" s="61">
        <f t="shared" si="1227"/>
        <v>12</v>
      </c>
      <c r="O797" s="61">
        <f t="shared" si="1227"/>
        <v>13</v>
      </c>
      <c r="P797" s="61">
        <f t="shared" si="1227"/>
        <v>14</v>
      </c>
      <c r="Q797" s="61">
        <f t="shared" si="1227"/>
        <v>15</v>
      </c>
      <c r="R797" s="61">
        <f t="shared" si="1227"/>
        <v>16</v>
      </c>
      <c r="S797" s="61">
        <f t="shared" si="1227"/>
        <v>17</v>
      </c>
      <c r="T797" s="61">
        <f t="shared" si="1227"/>
        <v>18</v>
      </c>
      <c r="U797" s="61">
        <f t="shared" si="1227"/>
        <v>19</v>
      </c>
      <c r="V797" s="61">
        <f t="shared" si="1227"/>
        <v>20</v>
      </c>
      <c r="W797" s="61">
        <f t="shared" si="1227"/>
        <v>21</v>
      </c>
      <c r="X797" s="61">
        <f t="shared" si="1227"/>
        <v>22</v>
      </c>
      <c r="Y797" s="61">
        <f t="shared" si="1227"/>
        <v>23</v>
      </c>
      <c r="Z797" s="61">
        <f t="shared" si="1227"/>
        <v>24</v>
      </c>
      <c r="AA797" s="61">
        <f t="shared" si="1227"/>
        <v>25</v>
      </c>
      <c r="AB797" s="61">
        <f t="shared" si="1227"/>
        <v>26</v>
      </c>
      <c r="AC797" s="61">
        <f t="shared" si="1227"/>
        <v>27</v>
      </c>
      <c r="AD797" s="61">
        <f t="shared" si="1227"/>
        <v>28</v>
      </c>
      <c r="AE797" s="61">
        <f t="shared" si="1227"/>
        <v>29</v>
      </c>
      <c r="AF797" s="61">
        <f t="shared" si="1227"/>
        <v>30</v>
      </c>
      <c r="AG797" s="61">
        <f t="shared" si="1227"/>
        <v>31</v>
      </c>
      <c r="AH797" s="61">
        <f t="shared" si="1227"/>
        <v>32</v>
      </c>
      <c r="AI797" s="61">
        <f t="shared" ref="AI797:BB797" si="1228">AI762</f>
        <v>33</v>
      </c>
      <c r="AJ797" s="61">
        <f t="shared" si="1228"/>
        <v>34</v>
      </c>
      <c r="AK797" s="61">
        <f t="shared" si="1228"/>
        <v>35</v>
      </c>
      <c r="AL797" s="61">
        <f t="shared" si="1228"/>
        <v>36</v>
      </c>
      <c r="AM797" s="61">
        <f t="shared" si="1228"/>
        <v>37</v>
      </c>
      <c r="AN797" s="61">
        <f t="shared" si="1228"/>
        <v>38</v>
      </c>
      <c r="AO797" s="61">
        <f t="shared" si="1228"/>
        <v>39</v>
      </c>
      <c r="AP797" s="61">
        <f t="shared" si="1228"/>
        <v>40</v>
      </c>
      <c r="AQ797" s="61">
        <f t="shared" si="1228"/>
        <v>41</v>
      </c>
      <c r="AR797" s="61">
        <f t="shared" si="1228"/>
        <v>42</v>
      </c>
      <c r="AS797" s="61">
        <f t="shared" si="1228"/>
        <v>43</v>
      </c>
      <c r="AT797" s="61">
        <f t="shared" si="1228"/>
        <v>44</v>
      </c>
      <c r="AU797" s="61">
        <f t="shared" si="1228"/>
        <v>45</v>
      </c>
      <c r="AV797" s="61">
        <f t="shared" si="1228"/>
        <v>46</v>
      </c>
      <c r="AW797" s="61">
        <f t="shared" si="1228"/>
        <v>47</v>
      </c>
      <c r="AX797" s="61">
        <f t="shared" si="1228"/>
        <v>48</v>
      </c>
      <c r="AY797" s="61">
        <f t="shared" si="1228"/>
        <v>49</v>
      </c>
      <c r="AZ797" s="61">
        <f t="shared" si="1228"/>
        <v>50</v>
      </c>
      <c r="BA797" s="61">
        <f t="shared" si="1228"/>
        <v>51</v>
      </c>
      <c r="BB797" s="61">
        <f t="shared" si="1228"/>
        <v>52</v>
      </c>
      <c r="BC797" s="61"/>
    </row>
    <row r="798" spans="1:56" x14ac:dyDescent="0.25">
      <c r="A798">
        <f t="shared" ref="A798:B817" si="1229">A763</f>
        <v>8</v>
      </c>
      <c r="B798" s="19" t="str">
        <f t="shared" si="1229"/>
        <v>Product A</v>
      </c>
      <c r="C798" s="50">
        <f t="shared" ref="C798:AH798" si="1230">IF(AND(C$190&gt;0,$A798&gt;0),$C825*C763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101196.28647214854</v>
      </c>
      <c r="D798" s="50">
        <f t="shared" si="1230"/>
        <v>0</v>
      </c>
      <c r="E798" s="50">
        <f t="shared" si="1230"/>
        <v>49672.909828152151</v>
      </c>
      <c r="F798" s="50">
        <f t="shared" si="1230"/>
        <v>0</v>
      </c>
      <c r="G798" s="50">
        <f t="shared" si="1230"/>
        <v>114240.94025465229</v>
      </c>
      <c r="H798" s="50">
        <f t="shared" si="1230"/>
        <v>0</v>
      </c>
      <c r="I798" s="50">
        <f t="shared" si="1230"/>
        <v>0</v>
      </c>
      <c r="J798" s="50">
        <f t="shared" si="1230"/>
        <v>0</v>
      </c>
      <c r="K798" s="50">
        <f t="shared" si="1230"/>
        <v>90410.710128055871</v>
      </c>
      <c r="L798" s="50">
        <f t="shared" si="1230"/>
        <v>0</v>
      </c>
      <c r="M798" s="50">
        <f t="shared" si="1230"/>
        <v>0</v>
      </c>
      <c r="N798" s="50">
        <f t="shared" si="1230"/>
        <v>0</v>
      </c>
      <c r="O798" s="50">
        <f t="shared" si="1230"/>
        <v>100745.09283819629</v>
      </c>
      <c r="P798" s="50">
        <f t="shared" si="1230"/>
        <v>31051.363911901393</v>
      </c>
      <c r="Q798" s="50">
        <f t="shared" si="1230"/>
        <v>0</v>
      </c>
      <c r="R798" s="50">
        <f t="shared" si="1230"/>
        <v>0</v>
      </c>
      <c r="S798" s="50">
        <f t="shared" si="1230"/>
        <v>113455.53379040156</v>
      </c>
      <c r="T798" s="50">
        <f t="shared" si="1230"/>
        <v>0</v>
      </c>
      <c r="U798" s="50">
        <f t="shared" si="1230"/>
        <v>0</v>
      </c>
      <c r="V798" s="50">
        <f t="shared" si="1230"/>
        <v>32089.758534554538</v>
      </c>
      <c r="W798" s="50">
        <f t="shared" si="1230"/>
        <v>89387.234042553202</v>
      </c>
      <c r="X798" s="50">
        <f t="shared" si="1230"/>
        <v>0</v>
      </c>
      <c r="Y798" s="50">
        <f t="shared" si="1230"/>
        <v>0</v>
      </c>
      <c r="Z798" s="50">
        <f t="shared" si="1230"/>
        <v>0</v>
      </c>
      <c r="AA798" s="50">
        <f t="shared" si="1230"/>
        <v>102356.49867374005</v>
      </c>
      <c r="AB798" s="50">
        <f t="shared" si="1230"/>
        <v>0</v>
      </c>
      <c r="AC798" s="50">
        <f t="shared" si="1230"/>
        <v>59907.781424985522</v>
      </c>
      <c r="AD798" s="50">
        <f t="shared" si="1230"/>
        <v>0</v>
      </c>
      <c r="AE798" s="50">
        <f t="shared" si="1230"/>
        <v>112670.12732615083</v>
      </c>
      <c r="AF798" s="50">
        <f t="shared" si="1230"/>
        <v>0</v>
      </c>
      <c r="AG798" s="50">
        <f t="shared" si="1230"/>
        <v>0</v>
      </c>
      <c r="AH798" s="50">
        <f t="shared" si="1230"/>
        <v>31239.966694421317</v>
      </c>
      <c r="AI798" s="50">
        <f t="shared" ref="AI798:BB798" si="1231">IF(AND(AI$190&gt;0,$A798&gt;0),$C825*AI763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92087.234042553202</v>
      </c>
      <c r="AJ798" s="50">
        <f t="shared" si="1231"/>
        <v>0</v>
      </c>
      <c r="AK798" s="50">
        <f t="shared" si="1231"/>
        <v>0</v>
      </c>
      <c r="AL798" s="50">
        <f t="shared" si="1231"/>
        <v>0</v>
      </c>
      <c r="AM798" s="50">
        <f t="shared" si="1231"/>
        <v>101260.74270557029</v>
      </c>
      <c r="AN798" s="50">
        <f t="shared" si="1231"/>
        <v>31267.407557082239</v>
      </c>
      <c r="AO798" s="50">
        <f t="shared" si="1231"/>
        <v>0</v>
      </c>
      <c r="AP798" s="50">
        <f t="shared" si="1231"/>
        <v>0</v>
      </c>
      <c r="AQ798" s="50">
        <f t="shared" si="1231"/>
        <v>113526.93437806072</v>
      </c>
      <c r="AR798" s="50">
        <f t="shared" si="1231"/>
        <v>0</v>
      </c>
      <c r="AS798" s="50">
        <f t="shared" si="1231"/>
        <v>50678.71880526626</v>
      </c>
      <c r="AT798" s="50">
        <f t="shared" si="1231"/>
        <v>0</v>
      </c>
      <c r="AU798" s="50">
        <f t="shared" si="1231"/>
        <v>91135.828877005348</v>
      </c>
      <c r="AV798" s="50">
        <f t="shared" si="1231"/>
        <v>49367.518034704619</v>
      </c>
      <c r="AW798" s="50">
        <f t="shared" si="1231"/>
        <v>0</v>
      </c>
      <c r="AX798" s="50">
        <f t="shared" si="1231"/>
        <v>0</v>
      </c>
      <c r="AY798" s="50">
        <f t="shared" si="1231"/>
        <v>90071.245634458668</v>
      </c>
      <c r="AZ798" s="50">
        <f t="shared" si="1231"/>
        <v>0</v>
      </c>
      <c r="BA798" s="50">
        <f t="shared" si="1231"/>
        <v>0</v>
      </c>
      <c r="BB798" s="50">
        <f t="shared" si="1231"/>
        <v>0</v>
      </c>
      <c r="BC798" s="50">
        <f t="shared" ref="BC798:BC818" si="1232">SUM(C798:BB798)</f>
        <v>1647819.8339546151</v>
      </c>
      <c r="BD798" s="124"/>
    </row>
    <row r="799" spans="1:56" x14ac:dyDescent="0.25">
      <c r="A799">
        <f t="shared" si="1229"/>
        <v>7</v>
      </c>
      <c r="B799" s="19" t="str">
        <f t="shared" si="1229"/>
        <v>Product B</v>
      </c>
      <c r="C799" s="50">
        <f t="shared" ref="C799:AH799" si="1233">IF(AND(C$190&gt;0,$A799&gt;0),$C826*C764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97948.010610079582</v>
      </c>
      <c r="D799" s="50">
        <f t="shared" si="1233"/>
        <v>100343.76237623762</v>
      </c>
      <c r="E799" s="50">
        <f t="shared" si="1233"/>
        <v>0</v>
      </c>
      <c r="F799" s="50">
        <f t="shared" si="1233"/>
        <v>84030.21582733815</v>
      </c>
      <c r="G799" s="50">
        <f t="shared" si="1233"/>
        <v>110573.94711067581</v>
      </c>
      <c r="H799" s="50">
        <f t="shared" si="1233"/>
        <v>112978.21196504594</v>
      </c>
      <c r="I799" s="50">
        <f t="shared" si="1233"/>
        <v>0</v>
      </c>
      <c r="J799" s="50">
        <f t="shared" si="1233"/>
        <v>34571.184755592381</v>
      </c>
      <c r="K799" s="50">
        <f t="shared" si="1233"/>
        <v>87508.637951105935</v>
      </c>
      <c r="L799" s="50">
        <f t="shared" si="1233"/>
        <v>121620.16373108409</v>
      </c>
      <c r="M799" s="50">
        <f t="shared" si="1233"/>
        <v>0</v>
      </c>
      <c r="N799" s="50">
        <f t="shared" si="1233"/>
        <v>0</v>
      </c>
      <c r="O799" s="50">
        <f t="shared" si="1233"/>
        <v>97511.299734748012</v>
      </c>
      <c r="P799" s="50">
        <f t="shared" si="1233"/>
        <v>101434.45544554455</v>
      </c>
      <c r="Q799" s="50">
        <f t="shared" si="1233"/>
        <v>0</v>
      </c>
      <c r="R799" s="50">
        <f t="shared" si="1233"/>
        <v>0</v>
      </c>
      <c r="S799" s="50">
        <f t="shared" si="1233"/>
        <v>109813.75122428991</v>
      </c>
      <c r="T799" s="50">
        <f t="shared" si="1233"/>
        <v>112652.30769230769</v>
      </c>
      <c r="U799" s="50">
        <f t="shared" si="1233"/>
        <v>0</v>
      </c>
      <c r="V799" s="50">
        <f t="shared" si="1233"/>
        <v>0</v>
      </c>
      <c r="W799" s="50">
        <f t="shared" si="1233"/>
        <v>86518.014184397165</v>
      </c>
      <c r="X799" s="50">
        <f t="shared" si="1233"/>
        <v>125243.56239146613</v>
      </c>
      <c r="Y799" s="50">
        <f t="shared" si="1233"/>
        <v>0</v>
      </c>
      <c r="Z799" s="50">
        <f t="shared" si="1233"/>
        <v>0</v>
      </c>
      <c r="AA799" s="50">
        <f t="shared" si="1233"/>
        <v>99070.981432360742</v>
      </c>
      <c r="AB799" s="50">
        <f t="shared" si="1233"/>
        <v>99132.88395560041</v>
      </c>
      <c r="AC799" s="50">
        <f t="shared" si="1233"/>
        <v>0</v>
      </c>
      <c r="AD799" s="50">
        <f t="shared" si="1233"/>
        <v>0</v>
      </c>
      <c r="AE799" s="50">
        <f t="shared" si="1233"/>
        <v>109053.55533790402</v>
      </c>
      <c r="AF799" s="50">
        <f t="shared" si="1233"/>
        <v>112195.61729778176</v>
      </c>
      <c r="AG799" s="50">
        <f t="shared" si="1233"/>
        <v>0</v>
      </c>
      <c r="AH799" s="50">
        <f t="shared" si="1233"/>
        <v>0</v>
      </c>
      <c r="AI799" s="50">
        <f t="shared" ref="AI799:BB799" si="1234">IF(AND(AI$190&gt;0,$A799&gt;0),$C826*AI764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89131.347517730494</v>
      </c>
      <c r="AJ799" s="50">
        <f t="shared" si="1234"/>
        <v>124455.86703051352</v>
      </c>
      <c r="AK799" s="50">
        <f t="shared" si="1234"/>
        <v>0</v>
      </c>
      <c r="AL799" s="50">
        <f t="shared" si="1234"/>
        <v>0</v>
      </c>
      <c r="AM799" s="50">
        <f t="shared" si="1234"/>
        <v>98010.397877984084</v>
      </c>
      <c r="AN799" s="50">
        <f t="shared" si="1234"/>
        <v>102140.19801980197</v>
      </c>
      <c r="AO799" s="50">
        <f t="shared" si="1234"/>
        <v>0</v>
      </c>
      <c r="AP799" s="50">
        <f t="shared" si="1234"/>
        <v>0</v>
      </c>
      <c r="AQ799" s="50">
        <f t="shared" si="1234"/>
        <v>109882.85994123408</v>
      </c>
      <c r="AR799" s="50">
        <f t="shared" si="1234"/>
        <v>110488.13802375084</v>
      </c>
      <c r="AS799" s="50">
        <f t="shared" si="1234"/>
        <v>0</v>
      </c>
      <c r="AT799" s="50">
        <f t="shared" si="1234"/>
        <v>55546.337579617837</v>
      </c>
      <c r="AU799" s="50">
        <f t="shared" si="1234"/>
        <v>88210.481283422458</v>
      </c>
      <c r="AV799" s="50">
        <f t="shared" si="1234"/>
        <v>96760.335348021064</v>
      </c>
      <c r="AW799" s="50">
        <f t="shared" si="1234"/>
        <v>0</v>
      </c>
      <c r="AX799" s="50">
        <f t="shared" si="1234"/>
        <v>33891.599005799508</v>
      </c>
      <c r="AY799" s="50">
        <f t="shared" si="1234"/>
        <v>87180.069848661238</v>
      </c>
      <c r="AZ799" s="50">
        <f t="shared" si="1234"/>
        <v>40876.851625519441</v>
      </c>
      <c r="BA799" s="50">
        <f t="shared" si="1234"/>
        <v>0</v>
      </c>
      <c r="BB799" s="50">
        <f t="shared" si="1234"/>
        <v>0</v>
      </c>
      <c r="BC799" s="50">
        <f t="shared" si="1232"/>
        <v>2838775.0461256164</v>
      </c>
    </row>
    <row r="800" spans="1:56" x14ac:dyDescent="0.25">
      <c r="A800">
        <f t="shared" si="1229"/>
        <v>6</v>
      </c>
      <c r="B800" s="19" t="str">
        <f t="shared" si="1229"/>
        <v>Product C</v>
      </c>
      <c r="C800" s="50">
        <f t="shared" ref="C800:AH800" si="1235">IF(AND(C$190&gt;0,$A800&gt;0),$C827*C765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119936.33952254642</v>
      </c>
      <c r="D800" s="50">
        <f t="shared" si="1235"/>
        <v>87374.160436451799</v>
      </c>
      <c r="E800" s="50">
        <f t="shared" si="1235"/>
        <v>95371.986870052133</v>
      </c>
      <c r="F800" s="50">
        <f t="shared" si="1235"/>
        <v>0</v>
      </c>
      <c r="G800" s="50">
        <f t="shared" si="1235"/>
        <v>135396.66993143977</v>
      </c>
      <c r="H800" s="50">
        <f t="shared" si="1235"/>
        <v>98375.585928747474</v>
      </c>
      <c r="I800" s="50">
        <f t="shared" si="1235"/>
        <v>105803.21621039018</v>
      </c>
      <c r="J800" s="50">
        <f t="shared" si="1235"/>
        <v>0</v>
      </c>
      <c r="K800" s="50">
        <f t="shared" si="1235"/>
        <v>107153.43422584402</v>
      </c>
      <c r="L800" s="50">
        <f t="shared" si="1235"/>
        <v>105900.55073182833</v>
      </c>
      <c r="M800" s="50">
        <f t="shared" si="1235"/>
        <v>117407.06441644877</v>
      </c>
      <c r="N800" s="50">
        <f t="shared" si="1235"/>
        <v>0</v>
      </c>
      <c r="O800" s="50">
        <f t="shared" si="1235"/>
        <v>119401.59151193635</v>
      </c>
      <c r="P800" s="50">
        <f t="shared" si="1235"/>
        <v>88323.879571630634</v>
      </c>
      <c r="Q800" s="50">
        <f t="shared" si="1235"/>
        <v>93593.61972644963</v>
      </c>
      <c r="R800" s="50">
        <f t="shared" si="1235"/>
        <v>0</v>
      </c>
      <c r="S800" s="50">
        <f t="shared" si="1235"/>
        <v>134465.81782566113</v>
      </c>
      <c r="T800" s="50">
        <f t="shared" si="1235"/>
        <v>98091.805337519632</v>
      </c>
      <c r="U800" s="50">
        <f t="shared" si="1235"/>
        <v>105602.06941151111</v>
      </c>
      <c r="V800" s="50">
        <f t="shared" si="1235"/>
        <v>0</v>
      </c>
      <c r="W800" s="50">
        <f t="shared" si="1235"/>
        <v>105940.42553191489</v>
      </c>
      <c r="X800" s="50">
        <f t="shared" si="1235"/>
        <v>109055.61895311337</v>
      </c>
      <c r="Y800" s="50">
        <f t="shared" si="1235"/>
        <v>115893.54823417871</v>
      </c>
      <c r="Z800" s="50">
        <f t="shared" si="1235"/>
        <v>0</v>
      </c>
      <c r="AA800" s="50">
        <f t="shared" si="1235"/>
        <v>121311.40583554377</v>
      </c>
      <c r="AB800" s="50">
        <f t="shared" si="1235"/>
        <v>86319.790110998991</v>
      </c>
      <c r="AC800" s="50">
        <f t="shared" si="1235"/>
        <v>95852.450279976838</v>
      </c>
      <c r="AD800" s="50">
        <f t="shared" si="1235"/>
        <v>0</v>
      </c>
      <c r="AE800" s="50">
        <f t="shared" si="1235"/>
        <v>133534.96571988246</v>
      </c>
      <c r="AF800" s="50">
        <f t="shared" si="1235"/>
        <v>97694.142953170507</v>
      </c>
      <c r="AG800" s="50">
        <f t="shared" si="1235"/>
        <v>107144.19486958397</v>
      </c>
      <c r="AH800" s="50">
        <f t="shared" si="1235"/>
        <v>0</v>
      </c>
      <c r="AI800" s="50">
        <f t="shared" ref="AI800:BB800" si="1236">IF(AND(AI$190&gt;0,$A800&gt;0),$C827*AI765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109140.42553191489</v>
      </c>
      <c r="AJ800" s="50">
        <f t="shared" si="1236"/>
        <v>108369.73455718184</v>
      </c>
      <c r="AK800" s="50">
        <f t="shared" si="1236"/>
        <v>116335.89002133207</v>
      </c>
      <c r="AL800" s="50">
        <f t="shared" si="1236"/>
        <v>0</v>
      </c>
      <c r="AM800" s="50">
        <f t="shared" si="1236"/>
        <v>120012.73209549072</v>
      </c>
      <c r="AN800" s="50">
        <f t="shared" si="1236"/>
        <v>88938.403717922803</v>
      </c>
      <c r="AO800" s="50">
        <f t="shared" si="1236"/>
        <v>94612.244268926996</v>
      </c>
      <c r="AP800" s="50">
        <f t="shared" si="1236"/>
        <v>0</v>
      </c>
      <c r="AQ800" s="50">
        <f t="shared" si="1236"/>
        <v>134550.44074436827</v>
      </c>
      <c r="AR800" s="50">
        <f t="shared" si="1236"/>
        <v>96207.358279184409</v>
      </c>
      <c r="AS800" s="50">
        <f t="shared" si="1236"/>
        <v>97303.140106111226</v>
      </c>
      <c r="AT800" s="50">
        <f t="shared" si="1236"/>
        <v>0</v>
      </c>
      <c r="AU800" s="50">
        <f t="shared" si="1236"/>
        <v>108012.83422459893</v>
      </c>
      <c r="AV800" s="50">
        <f t="shared" si="1236"/>
        <v>84253.897445895898</v>
      </c>
      <c r="AW800" s="50">
        <f t="shared" si="1236"/>
        <v>106406.65660702738</v>
      </c>
      <c r="AX800" s="50">
        <f t="shared" si="1236"/>
        <v>0</v>
      </c>
      <c r="AY800" s="50">
        <f t="shared" si="1236"/>
        <v>106751.10593713621</v>
      </c>
      <c r="AZ800" s="50">
        <f t="shared" si="1236"/>
        <v>106780.3471033977</v>
      </c>
      <c r="BA800" s="50">
        <f t="shared" si="1236"/>
        <v>116483.33728371652</v>
      </c>
      <c r="BB800" s="50">
        <f t="shared" si="1236"/>
        <v>0</v>
      </c>
      <c r="BC800" s="50">
        <f t="shared" si="1232"/>
        <v>4179102.8820710266</v>
      </c>
    </row>
    <row r="801" spans="1:56" x14ac:dyDescent="0.25">
      <c r="A801">
        <f t="shared" si="1229"/>
        <v>5</v>
      </c>
      <c r="B801" s="19" t="str">
        <f t="shared" si="1229"/>
        <v>Product D</v>
      </c>
      <c r="C801" s="50">
        <f t="shared" ref="C801:AH801" si="1237">IF(AND(C$190&gt;0,$A801&gt;0),$C828*C766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178655.1724137931</v>
      </c>
      <c r="D801" s="50">
        <f t="shared" si="1237"/>
        <v>125145.28187512628</v>
      </c>
      <c r="E801" s="50">
        <f t="shared" si="1237"/>
        <v>97138.134775053099</v>
      </c>
      <c r="F801" s="50">
        <f t="shared" si="1237"/>
        <v>141479.44501541625</v>
      </c>
      <c r="G801" s="50">
        <f t="shared" si="1237"/>
        <v>139627.81586679726</v>
      </c>
      <c r="H801" s="50">
        <f t="shared" si="1237"/>
        <v>140902.5319291956</v>
      </c>
      <c r="I801" s="50">
        <f t="shared" si="1237"/>
        <v>107762.5350291011</v>
      </c>
      <c r="J801" s="50">
        <f t="shared" si="1237"/>
        <v>116413.17315658658</v>
      </c>
      <c r="K801" s="50">
        <f t="shared" si="1237"/>
        <v>159613.9697322468</v>
      </c>
      <c r="L801" s="50">
        <f t="shared" si="1237"/>
        <v>151680.47630860831</v>
      </c>
      <c r="M801" s="50">
        <f t="shared" si="1237"/>
        <v>119581.26931304968</v>
      </c>
      <c r="N801" s="50">
        <f t="shared" si="1237"/>
        <v>128922.82958199356</v>
      </c>
      <c r="O801" s="50">
        <f t="shared" si="1237"/>
        <v>177858.62068965516</v>
      </c>
      <c r="P801" s="50">
        <f t="shared" si="1237"/>
        <v>126505.55667811679</v>
      </c>
      <c r="Q801" s="50">
        <f t="shared" si="1237"/>
        <v>95326.834906569071</v>
      </c>
      <c r="R801" s="50">
        <f t="shared" si="1237"/>
        <v>142327.99198798198</v>
      </c>
      <c r="S801" s="50">
        <f t="shared" si="1237"/>
        <v>138667.87463271304</v>
      </c>
      <c r="T801" s="50">
        <f t="shared" si="1237"/>
        <v>112396.86028257458</v>
      </c>
      <c r="U801" s="50">
        <f t="shared" si="1237"/>
        <v>107557.66328950204</v>
      </c>
      <c r="V801" s="50">
        <f t="shared" si="1237"/>
        <v>117662.4479600333</v>
      </c>
      <c r="W801" s="50">
        <f t="shared" si="1237"/>
        <v>157807.09219858158</v>
      </c>
      <c r="X801" s="50">
        <f t="shared" si="1237"/>
        <v>156199.45422971967</v>
      </c>
      <c r="Y801" s="50">
        <f t="shared" si="1237"/>
        <v>118039.72505333018</v>
      </c>
      <c r="Z801" s="50">
        <f t="shared" si="1237"/>
        <v>100239.22114047287</v>
      </c>
      <c r="AA801" s="50">
        <f t="shared" si="1237"/>
        <v>180703.44827586206</v>
      </c>
      <c r="AB801" s="50">
        <f t="shared" si="1237"/>
        <v>123635.11604439959</v>
      </c>
      <c r="AC801" s="50">
        <f t="shared" si="1237"/>
        <v>97627.495655531951</v>
      </c>
      <c r="AD801" s="50">
        <f t="shared" si="1237"/>
        <v>145152.66393442624</v>
      </c>
      <c r="AE801" s="50">
        <f t="shared" si="1237"/>
        <v>137707.93339862878</v>
      </c>
      <c r="AF801" s="50">
        <f t="shared" si="1237"/>
        <v>139926.50683396819</v>
      </c>
      <c r="AG801" s="50">
        <f t="shared" si="1237"/>
        <v>109128.3466264281</v>
      </c>
      <c r="AH801" s="50">
        <f t="shared" si="1237"/>
        <v>114546.54454621149</v>
      </c>
      <c r="AI801" s="50">
        <f t="shared" ref="AI801:BB801" si="1238">IF(AND(AI$190&gt;0,$A801&gt;0),$C828*AI766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162573.75886524824</v>
      </c>
      <c r="AJ801" s="50">
        <f t="shared" si="1238"/>
        <v>155217.06772513027</v>
      </c>
      <c r="AK801" s="50">
        <f t="shared" si="1238"/>
        <v>118490.25835506045</v>
      </c>
      <c r="AL801" s="50">
        <f t="shared" si="1238"/>
        <v>101074.54798331016</v>
      </c>
      <c r="AM801" s="50">
        <f t="shared" si="1238"/>
        <v>178768.96551724139</v>
      </c>
      <c r="AN801" s="50">
        <f t="shared" si="1238"/>
        <v>127385.73449181652</v>
      </c>
      <c r="AO801" s="50">
        <f t="shared" si="1238"/>
        <v>96364.322866499715</v>
      </c>
      <c r="AP801" s="50">
        <f t="shared" si="1238"/>
        <v>142870.38934426231</v>
      </c>
      <c r="AQ801" s="50">
        <f t="shared" si="1238"/>
        <v>138755.14201762978</v>
      </c>
      <c r="AR801" s="50">
        <f t="shared" si="1238"/>
        <v>137796.99753529017</v>
      </c>
      <c r="AS801" s="50">
        <f t="shared" si="1238"/>
        <v>99105.050108076233</v>
      </c>
      <c r="AT801" s="50">
        <f t="shared" si="1238"/>
        <v>112226.27388535031</v>
      </c>
      <c r="AU801" s="50">
        <f t="shared" si="1238"/>
        <v>160894.1176470588</v>
      </c>
      <c r="AV801" s="50">
        <f t="shared" si="1238"/>
        <v>120676.15519594462</v>
      </c>
      <c r="AW801" s="50">
        <f t="shared" si="1238"/>
        <v>108377.15024789826</v>
      </c>
      <c r="AX801" s="50">
        <f t="shared" si="1238"/>
        <v>114124.77216238609</v>
      </c>
      <c r="AY801" s="50">
        <f t="shared" si="1238"/>
        <v>159014.66821885915</v>
      </c>
      <c r="AZ801" s="50">
        <f t="shared" si="1238"/>
        <v>152940.60131997065</v>
      </c>
      <c r="BA801" s="50">
        <f t="shared" si="1238"/>
        <v>118640.43612230387</v>
      </c>
      <c r="BB801" s="50">
        <f t="shared" si="1238"/>
        <v>104351.59944367176</v>
      </c>
      <c r="BC801" s="50">
        <f t="shared" si="1232"/>
        <v>6815588.0424146838</v>
      </c>
    </row>
    <row r="802" spans="1:56" x14ac:dyDescent="0.25">
      <c r="A802">
        <f t="shared" si="1229"/>
        <v>4</v>
      </c>
      <c r="B802" s="19" t="str">
        <f t="shared" si="1229"/>
        <v>Product E</v>
      </c>
      <c r="C802" s="50">
        <f t="shared" ref="C802:AH802" si="1239">IF(AND(C$190&gt;0,$A802&gt;0),$C829*C767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67464.190981432359</v>
      </c>
      <c r="D802" s="50">
        <f t="shared" si="1239"/>
        <v>159730.88704788845</v>
      </c>
      <c r="E802" s="50">
        <f t="shared" si="1239"/>
        <v>119214.98358756518</v>
      </c>
      <c r="F802" s="50">
        <f t="shared" si="1239"/>
        <v>123472.97019527236</v>
      </c>
      <c r="G802" s="50">
        <f t="shared" si="1239"/>
        <v>76160.626836434865</v>
      </c>
      <c r="H802" s="50">
        <f t="shared" si="1239"/>
        <v>152174.7344835313</v>
      </c>
      <c r="I802" s="50">
        <f t="shared" si="1239"/>
        <v>132254.0202629877</v>
      </c>
      <c r="J802" s="50">
        <f t="shared" si="1239"/>
        <v>101596.95111847555</v>
      </c>
      <c r="K802" s="50">
        <f t="shared" si="1239"/>
        <v>60273.806752037257</v>
      </c>
      <c r="L802" s="50">
        <f t="shared" si="1239"/>
        <v>104245.85462664352</v>
      </c>
      <c r="M802" s="50">
        <f t="shared" si="1239"/>
        <v>88055.298312336599</v>
      </c>
      <c r="N802" s="50">
        <f t="shared" si="1239"/>
        <v>112514.46945337621</v>
      </c>
      <c r="O802" s="50">
        <f t="shared" si="1239"/>
        <v>67163.395225464192</v>
      </c>
      <c r="P802" s="50">
        <f t="shared" si="1239"/>
        <v>161467.09234188724</v>
      </c>
      <c r="Q802" s="50">
        <f t="shared" si="1239"/>
        <v>116992.02465806203</v>
      </c>
      <c r="R802" s="50">
        <f t="shared" si="1239"/>
        <v>124213.52028042062</v>
      </c>
      <c r="S802" s="50">
        <f t="shared" si="1239"/>
        <v>75637.022526934379</v>
      </c>
      <c r="T802" s="50">
        <f t="shared" si="1239"/>
        <v>179324.08163265308</v>
      </c>
      <c r="U802" s="50">
        <f t="shared" si="1239"/>
        <v>132002.58676438886</v>
      </c>
      <c r="V802" s="50">
        <f t="shared" si="1239"/>
        <v>102687.22731057451</v>
      </c>
      <c r="W802" s="50">
        <f t="shared" si="1239"/>
        <v>59591.48936170213</v>
      </c>
      <c r="X802" s="50">
        <f t="shared" si="1239"/>
        <v>107351.62490697097</v>
      </c>
      <c r="Y802" s="50">
        <f t="shared" si="1239"/>
        <v>144866.93529272338</v>
      </c>
      <c r="Z802" s="50">
        <f t="shared" si="1239"/>
        <v>112476.21696801113</v>
      </c>
      <c r="AA802" s="50">
        <f t="shared" si="1239"/>
        <v>68237.665782493365</v>
      </c>
      <c r="AB802" s="50">
        <f t="shared" si="1239"/>
        <v>157803.36629667002</v>
      </c>
      <c r="AC802" s="50">
        <f t="shared" si="1239"/>
        <v>119815.56284997104</v>
      </c>
      <c r="AD802" s="50">
        <f t="shared" si="1239"/>
        <v>126678.68852459016</v>
      </c>
      <c r="AE802" s="50">
        <f t="shared" si="1239"/>
        <v>75113.418217433878</v>
      </c>
      <c r="AF802" s="50">
        <f t="shared" si="1239"/>
        <v>151120.62738068568</v>
      </c>
      <c r="AG802" s="50">
        <f t="shared" si="1239"/>
        <v>133930.24358697995</v>
      </c>
      <c r="AH802" s="50">
        <f t="shared" si="1239"/>
        <v>99967.893422148205</v>
      </c>
      <c r="AI802" s="50">
        <f t="shared" ref="AI802:BB802" si="1240">IF(AND(AI$190&gt;0,$A802&gt;0),$C829*AI767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61391.48936170213</v>
      </c>
      <c r="AJ802" s="50">
        <f t="shared" si="1240"/>
        <v>106676.45745472587</v>
      </c>
      <c r="AK802" s="50">
        <f t="shared" si="1240"/>
        <v>145419.86252666506</v>
      </c>
      <c r="AL802" s="50">
        <f t="shared" si="1240"/>
        <v>113413.51877607788</v>
      </c>
      <c r="AM802" s="50">
        <f t="shared" si="1240"/>
        <v>67507.161803713519</v>
      </c>
      <c r="AN802" s="50">
        <f t="shared" si="1240"/>
        <v>162590.51929682764</v>
      </c>
      <c r="AO802" s="50">
        <f t="shared" si="1240"/>
        <v>118265.30533615874</v>
      </c>
      <c r="AP802" s="50">
        <f t="shared" si="1240"/>
        <v>124686.88524590163</v>
      </c>
      <c r="AQ802" s="50">
        <f t="shared" si="1240"/>
        <v>75684.622918707144</v>
      </c>
      <c r="AR802" s="50">
        <f t="shared" si="1240"/>
        <v>148820.75733811341</v>
      </c>
      <c r="AS802" s="50">
        <f t="shared" si="1240"/>
        <v>121628.92513263902</v>
      </c>
      <c r="AT802" s="50">
        <f t="shared" si="1240"/>
        <v>97942.929936305722</v>
      </c>
      <c r="AU802" s="50">
        <f t="shared" si="1240"/>
        <v>60757.219251336894</v>
      </c>
      <c r="AV802" s="50">
        <f t="shared" si="1240"/>
        <v>154026.65626827843</v>
      </c>
      <c r="AW802" s="50">
        <f t="shared" si="1240"/>
        <v>133008.32075878422</v>
      </c>
      <c r="AX802" s="50">
        <f t="shared" si="1240"/>
        <v>99599.801159900569</v>
      </c>
      <c r="AY802" s="50">
        <f t="shared" si="1240"/>
        <v>60047.497089639117</v>
      </c>
      <c r="AZ802" s="50">
        <f t="shared" si="1240"/>
        <v>195207.82204839893</v>
      </c>
      <c r="BA802" s="50">
        <f t="shared" si="1240"/>
        <v>145604.17160464564</v>
      </c>
      <c r="BB802" s="50">
        <f t="shared" si="1240"/>
        <v>117090.62586926286</v>
      </c>
      <c r="BC802" s="50">
        <f t="shared" si="1232"/>
        <v>5922970.0261665294</v>
      </c>
    </row>
    <row r="803" spans="1:56" x14ac:dyDescent="0.25">
      <c r="A803">
        <f t="shared" si="1229"/>
        <v>3</v>
      </c>
      <c r="B803" s="19" t="str">
        <f t="shared" si="1229"/>
        <v>Product F</v>
      </c>
      <c r="C803" s="50">
        <f t="shared" ref="C803:AH803" si="1241">IF(AND(C$190&gt;0,$A803&gt;0),$C830*C768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0</v>
      </c>
      <c r="D803" s="50">
        <f t="shared" si="1241"/>
        <v>59728.429985855728</v>
      </c>
      <c r="E803" s="50">
        <f t="shared" si="1241"/>
        <v>150674.49314539487</v>
      </c>
      <c r="F803" s="50">
        <f t="shared" si="1241"/>
        <v>0</v>
      </c>
      <c r="G803" s="50">
        <f t="shared" si="1241"/>
        <v>0</v>
      </c>
      <c r="H803" s="50">
        <f t="shared" si="1241"/>
        <v>67248.935693479725</v>
      </c>
      <c r="I803" s="50">
        <f t="shared" si="1241"/>
        <v>167154.38672127613</v>
      </c>
      <c r="J803" s="50">
        <f t="shared" si="1241"/>
        <v>123468.51698425849</v>
      </c>
      <c r="K803" s="50">
        <f t="shared" si="1241"/>
        <v>70319.441210710138</v>
      </c>
      <c r="L803" s="50">
        <f t="shared" si="1241"/>
        <v>72392.954601835765</v>
      </c>
      <c r="M803" s="50">
        <f t="shared" si="1241"/>
        <v>185486.85524126457</v>
      </c>
      <c r="N803" s="50">
        <f t="shared" si="1241"/>
        <v>136736.33440514471</v>
      </c>
      <c r="O803" s="50">
        <f t="shared" si="1241"/>
        <v>0</v>
      </c>
      <c r="P803" s="50">
        <f t="shared" si="1241"/>
        <v>60377.65205091938</v>
      </c>
      <c r="Q803" s="50">
        <f t="shared" si="1241"/>
        <v>147864.92005393951</v>
      </c>
      <c r="R803" s="50">
        <f t="shared" si="1241"/>
        <v>150953.93089634454</v>
      </c>
      <c r="S803" s="50">
        <f t="shared" si="1241"/>
        <v>0</v>
      </c>
      <c r="T803" s="50">
        <f t="shared" si="1241"/>
        <v>67054.945054945056</v>
      </c>
      <c r="U803" s="50">
        <f t="shared" si="1241"/>
        <v>166836.60271610258</v>
      </c>
      <c r="V803" s="50">
        <f t="shared" si="1241"/>
        <v>124793.50541215655</v>
      </c>
      <c r="W803" s="50">
        <f t="shared" si="1241"/>
        <v>0</v>
      </c>
      <c r="X803" s="50">
        <f t="shared" si="1241"/>
        <v>74549.739518729839</v>
      </c>
      <c r="Y803" s="50">
        <f t="shared" si="1241"/>
        <v>126758.56838113298</v>
      </c>
      <c r="Z803" s="50">
        <f t="shared" si="1241"/>
        <v>136689.84700973573</v>
      </c>
      <c r="AA803" s="50">
        <f t="shared" si="1241"/>
        <v>0</v>
      </c>
      <c r="AB803" s="50">
        <f t="shared" si="1241"/>
        <v>59007.669021190712</v>
      </c>
      <c r="AC803" s="50">
        <f t="shared" si="1241"/>
        <v>151433.55860204672</v>
      </c>
      <c r="AD803" s="50">
        <f t="shared" si="1241"/>
        <v>61579.918032786882</v>
      </c>
      <c r="AE803" s="50">
        <f t="shared" si="1241"/>
        <v>0</v>
      </c>
      <c r="AF803" s="50">
        <f t="shared" si="1241"/>
        <v>66783.105534393908</v>
      </c>
      <c r="AG803" s="50">
        <f t="shared" si="1241"/>
        <v>169272.94675576632</v>
      </c>
      <c r="AH803" s="50">
        <f t="shared" si="1241"/>
        <v>121488.75936719401</v>
      </c>
      <c r="AI803" s="50">
        <f t="shared" ref="AI803:BB803" si="1242">IF(AND(AI$190&gt;0,$A803&gt;0),$C830*AI768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0</v>
      </c>
      <c r="AJ803" s="50">
        <f t="shared" si="1242"/>
        <v>74080.873232448517</v>
      </c>
      <c r="AK803" s="50">
        <f t="shared" si="1242"/>
        <v>127242.37971083196</v>
      </c>
      <c r="AL803" s="50">
        <f t="shared" si="1242"/>
        <v>137828.9290681502</v>
      </c>
      <c r="AM803" s="50">
        <f t="shared" si="1242"/>
        <v>0</v>
      </c>
      <c r="AN803" s="50">
        <f t="shared" si="1242"/>
        <v>60797.736916548798</v>
      </c>
      <c r="AO803" s="50">
        <f t="shared" si="1242"/>
        <v>149474.20535542283</v>
      </c>
      <c r="AP803" s="50">
        <f t="shared" si="1242"/>
        <v>60611.680327868846</v>
      </c>
      <c r="AQ803" s="50">
        <f t="shared" si="1242"/>
        <v>0</v>
      </c>
      <c r="AR803" s="50">
        <f t="shared" si="1242"/>
        <v>65766.748823661212</v>
      </c>
      <c r="AS803" s="50">
        <f t="shared" si="1242"/>
        <v>153725.447042641</v>
      </c>
      <c r="AT803" s="50">
        <f t="shared" si="1242"/>
        <v>119027.86624203822</v>
      </c>
      <c r="AU803" s="50">
        <f t="shared" si="1242"/>
        <v>59069.518716577542</v>
      </c>
      <c r="AV803" s="50">
        <f t="shared" si="1242"/>
        <v>57595.43770715539</v>
      </c>
      <c r="AW803" s="50">
        <f t="shared" si="1242"/>
        <v>168107.73873679672</v>
      </c>
      <c r="AX803" s="50">
        <f t="shared" si="1242"/>
        <v>121041.4250207125</v>
      </c>
      <c r="AY803" s="50">
        <f t="shared" si="1242"/>
        <v>70055.413271245634</v>
      </c>
      <c r="AZ803" s="50">
        <f t="shared" si="1242"/>
        <v>72994.37790271327</v>
      </c>
      <c r="BA803" s="50">
        <f t="shared" si="1242"/>
        <v>127403.65015406495</v>
      </c>
      <c r="BB803" s="50">
        <f t="shared" si="1242"/>
        <v>142297.63560500694</v>
      </c>
      <c r="BC803" s="50">
        <f t="shared" si="1232"/>
        <v>4485777.0802304894</v>
      </c>
    </row>
    <row r="804" spans="1:56" x14ac:dyDescent="0.25">
      <c r="A804">
        <f t="shared" si="1229"/>
        <v>2</v>
      </c>
      <c r="B804" s="19" t="str">
        <f t="shared" si="1229"/>
        <v>Product G</v>
      </c>
      <c r="C804" s="50">
        <f t="shared" ref="C804:AH804" si="1243">IF(AND(C$190&gt;0,$A804&gt;0),$C831*C769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0</v>
      </c>
      <c r="D804" s="50">
        <f t="shared" si="1243"/>
        <v>30717.478278440089</v>
      </c>
      <c r="E804" s="50">
        <f t="shared" si="1243"/>
        <v>59607.491793782589</v>
      </c>
      <c r="F804" s="50">
        <f t="shared" si="1243"/>
        <v>141479.44501541625</v>
      </c>
      <c r="G804" s="50">
        <f t="shared" si="1243"/>
        <v>0</v>
      </c>
      <c r="H804" s="50">
        <f t="shared" si="1243"/>
        <v>0</v>
      </c>
      <c r="I804" s="50">
        <f t="shared" si="1243"/>
        <v>55105.841776244881</v>
      </c>
      <c r="J804" s="50">
        <f t="shared" si="1243"/>
        <v>137579.20463960231</v>
      </c>
      <c r="K804" s="50">
        <f t="shared" si="1243"/>
        <v>0</v>
      </c>
      <c r="L804" s="50">
        <f t="shared" si="1243"/>
        <v>0</v>
      </c>
      <c r="M804" s="50">
        <f t="shared" si="1243"/>
        <v>61149.512716900404</v>
      </c>
      <c r="N804" s="50">
        <f t="shared" si="1243"/>
        <v>128922.82958199356</v>
      </c>
      <c r="O804" s="50">
        <f t="shared" si="1243"/>
        <v>0</v>
      </c>
      <c r="P804" s="50">
        <f t="shared" si="1243"/>
        <v>0</v>
      </c>
      <c r="Q804" s="50">
        <f t="shared" si="1243"/>
        <v>48746.676940859179</v>
      </c>
      <c r="R804" s="50">
        <f t="shared" si="1243"/>
        <v>90572.358537806722</v>
      </c>
      <c r="S804" s="50">
        <f t="shared" si="1243"/>
        <v>0</v>
      </c>
      <c r="T804" s="50">
        <f t="shared" si="1243"/>
        <v>0</v>
      </c>
      <c r="U804" s="50">
        <f t="shared" si="1243"/>
        <v>55001.077818495367</v>
      </c>
      <c r="V804" s="50">
        <f t="shared" si="1243"/>
        <v>139055.62031640299</v>
      </c>
      <c r="W804" s="50">
        <f t="shared" si="1243"/>
        <v>0</v>
      </c>
      <c r="X804" s="50">
        <f t="shared" si="1243"/>
        <v>0</v>
      </c>
      <c r="Y804" s="50">
        <f t="shared" si="1243"/>
        <v>60361.223038634744</v>
      </c>
      <c r="Z804" s="50">
        <f t="shared" si="1243"/>
        <v>152311.54381084838</v>
      </c>
      <c r="AA804" s="50">
        <f t="shared" si="1243"/>
        <v>0</v>
      </c>
      <c r="AB804" s="50">
        <f t="shared" si="1243"/>
        <v>0</v>
      </c>
      <c r="AC804" s="50">
        <f t="shared" si="1243"/>
        <v>49923.151187487929</v>
      </c>
      <c r="AD804" s="50">
        <f t="shared" si="1243"/>
        <v>171544.05737704918</v>
      </c>
      <c r="AE804" s="50">
        <f t="shared" si="1243"/>
        <v>0</v>
      </c>
      <c r="AF804" s="50">
        <f t="shared" si="1243"/>
        <v>0</v>
      </c>
      <c r="AG804" s="50">
        <f t="shared" si="1243"/>
        <v>55804.268161241649</v>
      </c>
      <c r="AH804" s="50">
        <f t="shared" si="1243"/>
        <v>135373.18900915905</v>
      </c>
      <c r="AI804" s="50">
        <f t="shared" ref="AI804:BB804" si="1244">IF(AND(AI$190&gt;0,$A804&gt;0),$C831*AI769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0</v>
      </c>
      <c r="AJ804" s="50">
        <f t="shared" si="1244"/>
        <v>0</v>
      </c>
      <c r="AK804" s="50">
        <f t="shared" si="1244"/>
        <v>60591.609386110453</v>
      </c>
      <c r="AL804" s="50">
        <f t="shared" si="1244"/>
        <v>153580.8066759388</v>
      </c>
      <c r="AM804" s="50">
        <f t="shared" si="1244"/>
        <v>0</v>
      </c>
      <c r="AN804" s="50">
        <f t="shared" si="1244"/>
        <v>0</v>
      </c>
      <c r="AO804" s="50">
        <f t="shared" si="1244"/>
        <v>49277.210556732811</v>
      </c>
      <c r="AP804" s="50">
        <f t="shared" si="1244"/>
        <v>168846.82377049178</v>
      </c>
      <c r="AQ804" s="50">
        <f t="shared" si="1244"/>
        <v>0</v>
      </c>
      <c r="AR804" s="50">
        <f t="shared" si="1244"/>
        <v>0</v>
      </c>
      <c r="AS804" s="50">
        <f t="shared" si="1244"/>
        <v>50678.71880526626</v>
      </c>
      <c r="AT804" s="50">
        <f t="shared" si="1244"/>
        <v>132631.05095541402</v>
      </c>
      <c r="AU804" s="50">
        <f t="shared" si="1244"/>
        <v>0</v>
      </c>
      <c r="AV804" s="50">
        <f t="shared" si="1244"/>
        <v>0</v>
      </c>
      <c r="AW804" s="50">
        <f t="shared" si="1244"/>
        <v>55420.133649493429</v>
      </c>
      <c r="AX804" s="50">
        <f t="shared" si="1244"/>
        <v>134874.73073736537</v>
      </c>
      <c r="AY804" s="50">
        <f t="shared" si="1244"/>
        <v>0</v>
      </c>
      <c r="AZ804" s="50">
        <f t="shared" si="1244"/>
        <v>0</v>
      </c>
      <c r="BA804" s="50">
        <f t="shared" si="1244"/>
        <v>60668.404835269022</v>
      </c>
      <c r="BB804" s="50">
        <f t="shared" si="1244"/>
        <v>158560.22253129346</v>
      </c>
      <c r="BC804" s="50">
        <f t="shared" si="1232"/>
        <v>2598384.6819037409</v>
      </c>
    </row>
    <row r="805" spans="1:56" x14ac:dyDescent="0.25">
      <c r="A805">
        <f t="shared" si="1229"/>
        <v>1</v>
      </c>
      <c r="B805" s="19" t="str">
        <f t="shared" si="1229"/>
        <v>Product H</v>
      </c>
      <c r="C805" s="50">
        <f t="shared" ref="C805:AH805" si="1245">IF(AND(C$190&gt;0,$A805&gt;0),$C832*C770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0</v>
      </c>
      <c r="D805" s="50">
        <f t="shared" si="1245"/>
        <v>0</v>
      </c>
      <c r="E805" s="50">
        <f t="shared" si="1245"/>
        <v>0</v>
      </c>
      <c r="F805" s="50">
        <f t="shared" si="1245"/>
        <v>65737.923946557043</v>
      </c>
      <c r="G805" s="50">
        <f t="shared" si="1245"/>
        <v>0</v>
      </c>
      <c r="H805" s="50">
        <f t="shared" si="1245"/>
        <v>0</v>
      </c>
      <c r="I805" s="50">
        <f t="shared" si="1245"/>
        <v>0</v>
      </c>
      <c r="J805" s="50">
        <f t="shared" si="1245"/>
        <v>54090.969345484671</v>
      </c>
      <c r="K805" s="50">
        <f t="shared" si="1245"/>
        <v>0</v>
      </c>
      <c r="L805" s="50">
        <f t="shared" si="1245"/>
        <v>0</v>
      </c>
      <c r="M805" s="50">
        <f t="shared" si="1245"/>
        <v>0</v>
      </c>
      <c r="N805" s="50">
        <f t="shared" si="1245"/>
        <v>59903.53697749196</v>
      </c>
      <c r="O805" s="50">
        <f t="shared" si="1245"/>
        <v>0</v>
      </c>
      <c r="P805" s="50">
        <f t="shared" si="1245"/>
        <v>0</v>
      </c>
      <c r="Q805" s="50">
        <f t="shared" si="1245"/>
        <v>59795.923714120589</v>
      </c>
      <c r="R805" s="50">
        <f t="shared" si="1245"/>
        <v>66132.198297446172</v>
      </c>
      <c r="S805" s="50">
        <f t="shared" si="1245"/>
        <v>0</v>
      </c>
      <c r="T805" s="50">
        <f t="shared" si="1245"/>
        <v>0</v>
      </c>
      <c r="U805" s="50">
        <f t="shared" si="1245"/>
        <v>0</v>
      </c>
      <c r="V805" s="50">
        <f t="shared" si="1245"/>
        <v>54671.440466278102</v>
      </c>
      <c r="W805" s="50">
        <f t="shared" si="1245"/>
        <v>60915.744680851058</v>
      </c>
      <c r="X805" s="50">
        <f t="shared" si="1245"/>
        <v>0</v>
      </c>
      <c r="Y805" s="50">
        <f t="shared" si="1245"/>
        <v>0</v>
      </c>
      <c r="Z805" s="50">
        <f t="shared" si="1245"/>
        <v>59883.17107093185</v>
      </c>
      <c r="AA805" s="50">
        <f t="shared" si="1245"/>
        <v>0</v>
      </c>
      <c r="AB805" s="50">
        <f t="shared" si="1245"/>
        <v>31021.174571140258</v>
      </c>
      <c r="AC805" s="50">
        <f t="shared" si="1245"/>
        <v>0</v>
      </c>
      <c r="AD805" s="50">
        <f t="shared" si="1245"/>
        <v>67444.672131147541</v>
      </c>
      <c r="AE805" s="50">
        <f t="shared" si="1245"/>
        <v>0</v>
      </c>
      <c r="AF805" s="50">
        <f t="shared" si="1245"/>
        <v>0</v>
      </c>
      <c r="AG805" s="50">
        <f t="shared" si="1245"/>
        <v>0</v>
      </c>
      <c r="AH805" s="50">
        <f t="shared" si="1245"/>
        <v>53223.646960865946</v>
      </c>
      <c r="AI805" s="50">
        <f t="shared" ref="AI805:BB805" si="1246">IF(AND(AI$190&gt;0,$A805&gt;0),$C832*AI770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62755.744680851058</v>
      </c>
      <c r="AJ805" s="50">
        <f t="shared" si="1246"/>
        <v>0</v>
      </c>
      <c r="AK805" s="50">
        <f t="shared" si="1246"/>
        <v>0</v>
      </c>
      <c r="AL805" s="50">
        <f t="shared" si="1246"/>
        <v>60382.197496522946</v>
      </c>
      <c r="AM805" s="50">
        <f t="shared" si="1246"/>
        <v>0</v>
      </c>
      <c r="AN805" s="50">
        <f t="shared" si="1246"/>
        <v>0</v>
      </c>
      <c r="AO805" s="50">
        <f t="shared" si="1246"/>
        <v>60446.711616258908</v>
      </c>
      <c r="AP805" s="50">
        <f t="shared" si="1246"/>
        <v>66384.221311475412</v>
      </c>
      <c r="AQ805" s="50">
        <f t="shared" si="1246"/>
        <v>0</v>
      </c>
      <c r="AR805" s="50">
        <f t="shared" si="1246"/>
        <v>0</v>
      </c>
      <c r="AS805" s="50">
        <f t="shared" si="1246"/>
        <v>0</v>
      </c>
      <c r="AT805" s="50">
        <f t="shared" si="1246"/>
        <v>52145.541401273884</v>
      </c>
      <c r="AU805" s="50">
        <f t="shared" si="1246"/>
        <v>0</v>
      </c>
      <c r="AV805" s="50">
        <f t="shared" si="1246"/>
        <v>0</v>
      </c>
      <c r="AW805" s="50">
        <f t="shared" si="1246"/>
        <v>0</v>
      </c>
      <c r="AX805" s="50">
        <f t="shared" si="1246"/>
        <v>53027.671913835955</v>
      </c>
      <c r="AY805" s="50">
        <f t="shared" si="1246"/>
        <v>0</v>
      </c>
      <c r="AZ805" s="50">
        <f t="shared" si="1246"/>
        <v>0</v>
      </c>
      <c r="BA805" s="50">
        <f t="shared" si="1246"/>
        <v>0</v>
      </c>
      <c r="BB805" s="50">
        <f t="shared" si="1246"/>
        <v>62339.916550764952</v>
      </c>
      <c r="BC805" s="50">
        <f t="shared" si="1232"/>
        <v>1050302.4071332985</v>
      </c>
    </row>
    <row r="806" spans="1:56" x14ac:dyDescent="0.25">
      <c r="A806">
        <f t="shared" si="1229"/>
        <v>0</v>
      </c>
      <c r="B806" s="19">
        <f t="shared" si="1229"/>
        <v>0</v>
      </c>
      <c r="C806" s="50">
        <f t="shared" ref="C806:AH806" si="1247">IF(AND(C$190&gt;0,$A806&gt;0),$C833*C771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0</v>
      </c>
      <c r="D806" s="50">
        <f t="shared" si="1247"/>
        <v>0</v>
      </c>
      <c r="E806" s="50">
        <f t="shared" si="1247"/>
        <v>0</v>
      </c>
      <c r="F806" s="50">
        <f t="shared" si="1247"/>
        <v>0</v>
      </c>
      <c r="G806" s="50">
        <f t="shared" si="1247"/>
        <v>0</v>
      </c>
      <c r="H806" s="50">
        <f t="shared" si="1247"/>
        <v>0</v>
      </c>
      <c r="I806" s="50">
        <f t="shared" si="1247"/>
        <v>0</v>
      </c>
      <c r="J806" s="50">
        <f t="shared" si="1247"/>
        <v>0</v>
      </c>
      <c r="K806" s="50">
        <f t="shared" si="1247"/>
        <v>0</v>
      </c>
      <c r="L806" s="50">
        <f t="shared" si="1247"/>
        <v>0</v>
      </c>
      <c r="M806" s="50">
        <f t="shared" si="1247"/>
        <v>0</v>
      </c>
      <c r="N806" s="50">
        <f t="shared" si="1247"/>
        <v>0</v>
      </c>
      <c r="O806" s="50">
        <f t="shared" si="1247"/>
        <v>0</v>
      </c>
      <c r="P806" s="50">
        <f t="shared" si="1247"/>
        <v>0</v>
      </c>
      <c r="Q806" s="50">
        <f t="shared" si="1247"/>
        <v>0</v>
      </c>
      <c r="R806" s="50">
        <f t="shared" si="1247"/>
        <v>0</v>
      </c>
      <c r="S806" s="50">
        <f t="shared" si="1247"/>
        <v>0</v>
      </c>
      <c r="T806" s="50">
        <f t="shared" si="1247"/>
        <v>0</v>
      </c>
      <c r="U806" s="50">
        <f t="shared" si="1247"/>
        <v>0</v>
      </c>
      <c r="V806" s="50">
        <f t="shared" si="1247"/>
        <v>0</v>
      </c>
      <c r="W806" s="50">
        <f t="shared" si="1247"/>
        <v>0</v>
      </c>
      <c r="X806" s="50">
        <f t="shared" si="1247"/>
        <v>0</v>
      </c>
      <c r="Y806" s="50">
        <f t="shared" si="1247"/>
        <v>0</v>
      </c>
      <c r="Z806" s="50">
        <f t="shared" si="1247"/>
        <v>0</v>
      </c>
      <c r="AA806" s="50">
        <f t="shared" si="1247"/>
        <v>0</v>
      </c>
      <c r="AB806" s="50">
        <f t="shared" si="1247"/>
        <v>0</v>
      </c>
      <c r="AC806" s="50">
        <f t="shared" si="1247"/>
        <v>0</v>
      </c>
      <c r="AD806" s="50">
        <f t="shared" si="1247"/>
        <v>0</v>
      </c>
      <c r="AE806" s="50">
        <f t="shared" si="1247"/>
        <v>0</v>
      </c>
      <c r="AF806" s="50">
        <f t="shared" si="1247"/>
        <v>0</v>
      </c>
      <c r="AG806" s="50">
        <f t="shared" si="1247"/>
        <v>0</v>
      </c>
      <c r="AH806" s="50">
        <f t="shared" si="1247"/>
        <v>0</v>
      </c>
      <c r="AI806" s="50">
        <f t="shared" ref="AI806:BB806" si="1248">IF(AND(AI$190&gt;0,$A806&gt;0),$C833*AI771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0</v>
      </c>
      <c r="AJ806" s="50">
        <f t="shared" si="1248"/>
        <v>0</v>
      </c>
      <c r="AK806" s="50">
        <f t="shared" si="1248"/>
        <v>0</v>
      </c>
      <c r="AL806" s="50">
        <f t="shared" si="1248"/>
        <v>0</v>
      </c>
      <c r="AM806" s="50">
        <f t="shared" si="1248"/>
        <v>0</v>
      </c>
      <c r="AN806" s="50">
        <f t="shared" si="1248"/>
        <v>0</v>
      </c>
      <c r="AO806" s="50">
        <f t="shared" si="1248"/>
        <v>0</v>
      </c>
      <c r="AP806" s="50">
        <f t="shared" si="1248"/>
        <v>0</v>
      </c>
      <c r="AQ806" s="50">
        <f t="shared" si="1248"/>
        <v>0</v>
      </c>
      <c r="AR806" s="50">
        <f t="shared" si="1248"/>
        <v>0</v>
      </c>
      <c r="AS806" s="50">
        <f t="shared" si="1248"/>
        <v>0</v>
      </c>
      <c r="AT806" s="50">
        <f t="shared" si="1248"/>
        <v>0</v>
      </c>
      <c r="AU806" s="50">
        <f t="shared" si="1248"/>
        <v>0</v>
      </c>
      <c r="AV806" s="50">
        <f t="shared" si="1248"/>
        <v>0</v>
      </c>
      <c r="AW806" s="50">
        <f t="shared" si="1248"/>
        <v>0</v>
      </c>
      <c r="AX806" s="50">
        <f t="shared" si="1248"/>
        <v>0</v>
      </c>
      <c r="AY806" s="50">
        <f t="shared" si="1248"/>
        <v>0</v>
      </c>
      <c r="AZ806" s="50">
        <f t="shared" si="1248"/>
        <v>0</v>
      </c>
      <c r="BA806" s="50">
        <f t="shared" si="1248"/>
        <v>0</v>
      </c>
      <c r="BB806" s="50">
        <f t="shared" si="1248"/>
        <v>0</v>
      </c>
      <c r="BC806" s="50">
        <f t="shared" si="1232"/>
        <v>0</v>
      </c>
    </row>
    <row r="807" spans="1:56" x14ac:dyDescent="0.25">
      <c r="A807">
        <f t="shared" si="1229"/>
        <v>-1</v>
      </c>
      <c r="B807" s="19">
        <f t="shared" si="1229"/>
        <v>0</v>
      </c>
      <c r="C807" s="50">
        <f t="shared" ref="C807:AH807" si="1249">IF(AND(C$190&gt;0,$A807&gt;0),$C834*C772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0</v>
      </c>
      <c r="D807" s="50">
        <f t="shared" si="1249"/>
        <v>0</v>
      </c>
      <c r="E807" s="50">
        <f t="shared" si="1249"/>
        <v>0</v>
      </c>
      <c r="F807" s="50">
        <f t="shared" si="1249"/>
        <v>0</v>
      </c>
      <c r="G807" s="50">
        <f t="shared" si="1249"/>
        <v>0</v>
      </c>
      <c r="H807" s="50">
        <f t="shared" si="1249"/>
        <v>0</v>
      </c>
      <c r="I807" s="50">
        <f t="shared" si="1249"/>
        <v>0</v>
      </c>
      <c r="J807" s="50">
        <f t="shared" si="1249"/>
        <v>0</v>
      </c>
      <c r="K807" s="50">
        <f t="shared" si="1249"/>
        <v>0</v>
      </c>
      <c r="L807" s="50">
        <f t="shared" si="1249"/>
        <v>0</v>
      </c>
      <c r="M807" s="50">
        <f t="shared" si="1249"/>
        <v>0</v>
      </c>
      <c r="N807" s="50">
        <f t="shared" si="1249"/>
        <v>0</v>
      </c>
      <c r="O807" s="50">
        <f t="shared" si="1249"/>
        <v>0</v>
      </c>
      <c r="P807" s="50">
        <f t="shared" si="1249"/>
        <v>0</v>
      </c>
      <c r="Q807" s="50">
        <f t="shared" si="1249"/>
        <v>0</v>
      </c>
      <c r="R807" s="50">
        <f t="shared" si="1249"/>
        <v>0</v>
      </c>
      <c r="S807" s="50">
        <f t="shared" si="1249"/>
        <v>0</v>
      </c>
      <c r="T807" s="50">
        <f t="shared" si="1249"/>
        <v>0</v>
      </c>
      <c r="U807" s="50">
        <f t="shared" si="1249"/>
        <v>0</v>
      </c>
      <c r="V807" s="50">
        <f t="shared" si="1249"/>
        <v>0</v>
      </c>
      <c r="W807" s="50">
        <f t="shared" si="1249"/>
        <v>0</v>
      </c>
      <c r="X807" s="50">
        <f t="shared" si="1249"/>
        <v>0</v>
      </c>
      <c r="Y807" s="50">
        <f t="shared" si="1249"/>
        <v>0</v>
      </c>
      <c r="Z807" s="50">
        <f t="shared" si="1249"/>
        <v>0</v>
      </c>
      <c r="AA807" s="50">
        <f t="shared" si="1249"/>
        <v>0</v>
      </c>
      <c r="AB807" s="50">
        <f t="shared" si="1249"/>
        <v>0</v>
      </c>
      <c r="AC807" s="50">
        <f t="shared" si="1249"/>
        <v>0</v>
      </c>
      <c r="AD807" s="50">
        <f t="shared" si="1249"/>
        <v>0</v>
      </c>
      <c r="AE807" s="50">
        <f t="shared" si="1249"/>
        <v>0</v>
      </c>
      <c r="AF807" s="50">
        <f t="shared" si="1249"/>
        <v>0</v>
      </c>
      <c r="AG807" s="50">
        <f t="shared" si="1249"/>
        <v>0</v>
      </c>
      <c r="AH807" s="50">
        <f t="shared" si="1249"/>
        <v>0</v>
      </c>
      <c r="AI807" s="50">
        <f t="shared" ref="AI807:BB807" si="1250">IF(AND(AI$190&gt;0,$A807&gt;0),$C834*AI772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0</v>
      </c>
      <c r="AJ807" s="50">
        <f t="shared" si="1250"/>
        <v>0</v>
      </c>
      <c r="AK807" s="50">
        <f t="shared" si="1250"/>
        <v>0</v>
      </c>
      <c r="AL807" s="50">
        <f t="shared" si="1250"/>
        <v>0</v>
      </c>
      <c r="AM807" s="50">
        <f t="shared" si="1250"/>
        <v>0</v>
      </c>
      <c r="AN807" s="50">
        <f t="shared" si="1250"/>
        <v>0</v>
      </c>
      <c r="AO807" s="50">
        <f t="shared" si="1250"/>
        <v>0</v>
      </c>
      <c r="AP807" s="50">
        <f t="shared" si="1250"/>
        <v>0</v>
      </c>
      <c r="AQ807" s="50">
        <f t="shared" si="1250"/>
        <v>0</v>
      </c>
      <c r="AR807" s="50">
        <f t="shared" si="1250"/>
        <v>0</v>
      </c>
      <c r="AS807" s="50">
        <f t="shared" si="1250"/>
        <v>0</v>
      </c>
      <c r="AT807" s="50">
        <f t="shared" si="1250"/>
        <v>0</v>
      </c>
      <c r="AU807" s="50">
        <f t="shared" si="1250"/>
        <v>0</v>
      </c>
      <c r="AV807" s="50">
        <f t="shared" si="1250"/>
        <v>0</v>
      </c>
      <c r="AW807" s="50">
        <f t="shared" si="1250"/>
        <v>0</v>
      </c>
      <c r="AX807" s="50">
        <f t="shared" si="1250"/>
        <v>0</v>
      </c>
      <c r="AY807" s="50">
        <f t="shared" si="1250"/>
        <v>0</v>
      </c>
      <c r="AZ807" s="50">
        <f t="shared" si="1250"/>
        <v>0</v>
      </c>
      <c r="BA807" s="50">
        <f t="shared" si="1250"/>
        <v>0</v>
      </c>
      <c r="BB807" s="50">
        <f t="shared" si="1250"/>
        <v>0</v>
      </c>
      <c r="BC807" s="50">
        <f t="shared" si="1232"/>
        <v>0</v>
      </c>
    </row>
    <row r="808" spans="1:56" x14ac:dyDescent="0.25">
      <c r="A808">
        <f t="shared" si="1229"/>
        <v>-2</v>
      </c>
      <c r="B808" s="19">
        <f t="shared" si="1229"/>
        <v>0</v>
      </c>
      <c r="C808" s="50">
        <f t="shared" ref="C808:AH808" si="1251">IF(AND(C$190&gt;0,$A808&gt;0),$C835*C773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0</v>
      </c>
      <c r="D808" s="50">
        <f t="shared" si="1251"/>
        <v>0</v>
      </c>
      <c r="E808" s="50">
        <f t="shared" si="1251"/>
        <v>0</v>
      </c>
      <c r="F808" s="50">
        <f t="shared" si="1251"/>
        <v>0</v>
      </c>
      <c r="G808" s="50">
        <f t="shared" si="1251"/>
        <v>0</v>
      </c>
      <c r="H808" s="50">
        <f t="shared" si="1251"/>
        <v>0</v>
      </c>
      <c r="I808" s="50">
        <f t="shared" si="1251"/>
        <v>0</v>
      </c>
      <c r="J808" s="50">
        <f t="shared" si="1251"/>
        <v>0</v>
      </c>
      <c r="K808" s="50">
        <f t="shared" si="1251"/>
        <v>0</v>
      </c>
      <c r="L808" s="50">
        <f t="shared" si="1251"/>
        <v>0</v>
      </c>
      <c r="M808" s="50">
        <f t="shared" si="1251"/>
        <v>0</v>
      </c>
      <c r="N808" s="50">
        <f t="shared" si="1251"/>
        <v>0</v>
      </c>
      <c r="O808" s="50">
        <f t="shared" si="1251"/>
        <v>0</v>
      </c>
      <c r="P808" s="50">
        <f t="shared" si="1251"/>
        <v>0</v>
      </c>
      <c r="Q808" s="50">
        <f t="shared" si="1251"/>
        <v>0</v>
      </c>
      <c r="R808" s="50">
        <f t="shared" si="1251"/>
        <v>0</v>
      </c>
      <c r="S808" s="50">
        <f t="shared" si="1251"/>
        <v>0</v>
      </c>
      <c r="T808" s="50">
        <f t="shared" si="1251"/>
        <v>0</v>
      </c>
      <c r="U808" s="50">
        <f t="shared" si="1251"/>
        <v>0</v>
      </c>
      <c r="V808" s="50">
        <f t="shared" si="1251"/>
        <v>0</v>
      </c>
      <c r="W808" s="50">
        <f t="shared" si="1251"/>
        <v>0</v>
      </c>
      <c r="X808" s="50">
        <f t="shared" si="1251"/>
        <v>0</v>
      </c>
      <c r="Y808" s="50">
        <f t="shared" si="1251"/>
        <v>0</v>
      </c>
      <c r="Z808" s="50">
        <f t="shared" si="1251"/>
        <v>0</v>
      </c>
      <c r="AA808" s="50">
        <f t="shared" si="1251"/>
        <v>0</v>
      </c>
      <c r="AB808" s="50">
        <f t="shared" si="1251"/>
        <v>0</v>
      </c>
      <c r="AC808" s="50">
        <f t="shared" si="1251"/>
        <v>0</v>
      </c>
      <c r="AD808" s="50">
        <f t="shared" si="1251"/>
        <v>0</v>
      </c>
      <c r="AE808" s="50">
        <f t="shared" si="1251"/>
        <v>0</v>
      </c>
      <c r="AF808" s="50">
        <f t="shared" si="1251"/>
        <v>0</v>
      </c>
      <c r="AG808" s="50">
        <f t="shared" si="1251"/>
        <v>0</v>
      </c>
      <c r="AH808" s="50">
        <f t="shared" si="1251"/>
        <v>0</v>
      </c>
      <c r="AI808" s="50">
        <f t="shared" ref="AI808:BB808" si="1252">IF(AND(AI$190&gt;0,$A808&gt;0),$C835*AI773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0</v>
      </c>
      <c r="AJ808" s="50">
        <f t="shared" si="1252"/>
        <v>0</v>
      </c>
      <c r="AK808" s="50">
        <f t="shared" si="1252"/>
        <v>0</v>
      </c>
      <c r="AL808" s="50">
        <f t="shared" si="1252"/>
        <v>0</v>
      </c>
      <c r="AM808" s="50">
        <f t="shared" si="1252"/>
        <v>0</v>
      </c>
      <c r="AN808" s="50">
        <f t="shared" si="1252"/>
        <v>0</v>
      </c>
      <c r="AO808" s="50">
        <f t="shared" si="1252"/>
        <v>0</v>
      </c>
      <c r="AP808" s="50">
        <f t="shared" si="1252"/>
        <v>0</v>
      </c>
      <c r="AQ808" s="50">
        <f t="shared" si="1252"/>
        <v>0</v>
      </c>
      <c r="AR808" s="50">
        <f t="shared" si="1252"/>
        <v>0</v>
      </c>
      <c r="AS808" s="50">
        <f t="shared" si="1252"/>
        <v>0</v>
      </c>
      <c r="AT808" s="50">
        <f t="shared" si="1252"/>
        <v>0</v>
      </c>
      <c r="AU808" s="50">
        <f t="shared" si="1252"/>
        <v>0</v>
      </c>
      <c r="AV808" s="50">
        <f t="shared" si="1252"/>
        <v>0</v>
      </c>
      <c r="AW808" s="50">
        <f t="shared" si="1252"/>
        <v>0</v>
      </c>
      <c r="AX808" s="50">
        <f t="shared" si="1252"/>
        <v>0</v>
      </c>
      <c r="AY808" s="50">
        <f t="shared" si="1252"/>
        <v>0</v>
      </c>
      <c r="AZ808" s="50">
        <f t="shared" si="1252"/>
        <v>0</v>
      </c>
      <c r="BA808" s="50">
        <f t="shared" si="1252"/>
        <v>0</v>
      </c>
      <c r="BB808" s="50">
        <f t="shared" si="1252"/>
        <v>0</v>
      </c>
      <c r="BC808" s="50">
        <f t="shared" si="1232"/>
        <v>0</v>
      </c>
    </row>
    <row r="809" spans="1:56" x14ac:dyDescent="0.25">
      <c r="A809">
        <f t="shared" si="1229"/>
        <v>-3</v>
      </c>
      <c r="B809" s="19">
        <f t="shared" si="1229"/>
        <v>0</v>
      </c>
      <c r="C809" s="50">
        <f t="shared" ref="C809:AH809" si="1253">IF(AND(C$190&gt;0,$A809&gt;0),$C836*C774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0</v>
      </c>
      <c r="D809" s="50">
        <f t="shared" si="1253"/>
        <v>0</v>
      </c>
      <c r="E809" s="50">
        <f t="shared" si="1253"/>
        <v>0</v>
      </c>
      <c r="F809" s="50">
        <f t="shared" si="1253"/>
        <v>0</v>
      </c>
      <c r="G809" s="50">
        <f t="shared" si="1253"/>
        <v>0</v>
      </c>
      <c r="H809" s="50">
        <f t="shared" si="1253"/>
        <v>0</v>
      </c>
      <c r="I809" s="50">
        <f t="shared" si="1253"/>
        <v>0</v>
      </c>
      <c r="J809" s="50">
        <f t="shared" si="1253"/>
        <v>0</v>
      </c>
      <c r="K809" s="50">
        <f t="shared" si="1253"/>
        <v>0</v>
      </c>
      <c r="L809" s="50">
        <f t="shared" si="1253"/>
        <v>0</v>
      </c>
      <c r="M809" s="50">
        <f t="shared" si="1253"/>
        <v>0</v>
      </c>
      <c r="N809" s="50">
        <f t="shared" si="1253"/>
        <v>0</v>
      </c>
      <c r="O809" s="50">
        <f t="shared" si="1253"/>
        <v>0</v>
      </c>
      <c r="P809" s="50">
        <f t="shared" si="1253"/>
        <v>0</v>
      </c>
      <c r="Q809" s="50">
        <f t="shared" si="1253"/>
        <v>0</v>
      </c>
      <c r="R809" s="50">
        <f t="shared" si="1253"/>
        <v>0</v>
      </c>
      <c r="S809" s="50">
        <f t="shared" si="1253"/>
        <v>0</v>
      </c>
      <c r="T809" s="50">
        <f t="shared" si="1253"/>
        <v>0</v>
      </c>
      <c r="U809" s="50">
        <f t="shared" si="1253"/>
        <v>0</v>
      </c>
      <c r="V809" s="50">
        <f t="shared" si="1253"/>
        <v>0</v>
      </c>
      <c r="W809" s="50">
        <f t="shared" si="1253"/>
        <v>0</v>
      </c>
      <c r="X809" s="50">
        <f t="shared" si="1253"/>
        <v>0</v>
      </c>
      <c r="Y809" s="50">
        <f t="shared" si="1253"/>
        <v>0</v>
      </c>
      <c r="Z809" s="50">
        <f t="shared" si="1253"/>
        <v>0</v>
      </c>
      <c r="AA809" s="50">
        <f t="shared" si="1253"/>
        <v>0</v>
      </c>
      <c r="AB809" s="50">
        <f t="shared" si="1253"/>
        <v>0</v>
      </c>
      <c r="AC809" s="50">
        <f t="shared" si="1253"/>
        <v>0</v>
      </c>
      <c r="AD809" s="50">
        <f t="shared" si="1253"/>
        <v>0</v>
      </c>
      <c r="AE809" s="50">
        <f t="shared" si="1253"/>
        <v>0</v>
      </c>
      <c r="AF809" s="50">
        <f t="shared" si="1253"/>
        <v>0</v>
      </c>
      <c r="AG809" s="50">
        <f t="shared" si="1253"/>
        <v>0</v>
      </c>
      <c r="AH809" s="50">
        <f t="shared" si="1253"/>
        <v>0</v>
      </c>
      <c r="AI809" s="50">
        <f t="shared" ref="AI809:BB809" si="1254">IF(AND(AI$190&gt;0,$A809&gt;0),$C836*AI774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0</v>
      </c>
      <c r="AJ809" s="50">
        <f t="shared" si="1254"/>
        <v>0</v>
      </c>
      <c r="AK809" s="50">
        <f t="shared" si="1254"/>
        <v>0</v>
      </c>
      <c r="AL809" s="50">
        <f t="shared" si="1254"/>
        <v>0</v>
      </c>
      <c r="AM809" s="50">
        <f t="shared" si="1254"/>
        <v>0</v>
      </c>
      <c r="AN809" s="50">
        <f t="shared" si="1254"/>
        <v>0</v>
      </c>
      <c r="AO809" s="50">
        <f t="shared" si="1254"/>
        <v>0</v>
      </c>
      <c r="AP809" s="50">
        <f t="shared" si="1254"/>
        <v>0</v>
      </c>
      <c r="AQ809" s="50">
        <f t="shared" si="1254"/>
        <v>0</v>
      </c>
      <c r="AR809" s="50">
        <f t="shared" si="1254"/>
        <v>0</v>
      </c>
      <c r="AS809" s="50">
        <f t="shared" si="1254"/>
        <v>0</v>
      </c>
      <c r="AT809" s="50">
        <f t="shared" si="1254"/>
        <v>0</v>
      </c>
      <c r="AU809" s="50">
        <f t="shared" si="1254"/>
        <v>0</v>
      </c>
      <c r="AV809" s="50">
        <f t="shared" si="1254"/>
        <v>0</v>
      </c>
      <c r="AW809" s="50">
        <f t="shared" si="1254"/>
        <v>0</v>
      </c>
      <c r="AX809" s="50">
        <f t="shared" si="1254"/>
        <v>0</v>
      </c>
      <c r="AY809" s="50">
        <f t="shared" si="1254"/>
        <v>0</v>
      </c>
      <c r="AZ809" s="50">
        <f t="shared" si="1254"/>
        <v>0</v>
      </c>
      <c r="BA809" s="50">
        <f t="shared" si="1254"/>
        <v>0</v>
      </c>
      <c r="BB809" s="50">
        <f t="shared" si="1254"/>
        <v>0</v>
      </c>
      <c r="BC809" s="50">
        <f t="shared" si="1232"/>
        <v>0</v>
      </c>
      <c r="BD809" s="124"/>
    </row>
    <row r="810" spans="1:56" x14ac:dyDescent="0.25">
      <c r="A810">
        <f t="shared" si="1229"/>
        <v>-4</v>
      </c>
      <c r="B810" s="19">
        <f t="shared" si="1229"/>
        <v>0</v>
      </c>
      <c r="C810" s="50">
        <f t="shared" ref="C810:AH810" si="1255">IF(AND(C$190&gt;0,$A810&gt;0),$C837*C775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0</v>
      </c>
      <c r="D810" s="50">
        <f t="shared" si="1255"/>
        <v>0</v>
      </c>
      <c r="E810" s="50">
        <f t="shared" si="1255"/>
        <v>0</v>
      </c>
      <c r="F810" s="50">
        <f t="shared" si="1255"/>
        <v>0</v>
      </c>
      <c r="G810" s="50">
        <f t="shared" si="1255"/>
        <v>0</v>
      </c>
      <c r="H810" s="50">
        <f t="shared" si="1255"/>
        <v>0</v>
      </c>
      <c r="I810" s="50">
        <f t="shared" si="1255"/>
        <v>0</v>
      </c>
      <c r="J810" s="50">
        <f t="shared" si="1255"/>
        <v>0</v>
      </c>
      <c r="K810" s="50">
        <f t="shared" si="1255"/>
        <v>0</v>
      </c>
      <c r="L810" s="50">
        <f t="shared" si="1255"/>
        <v>0</v>
      </c>
      <c r="M810" s="50">
        <f t="shared" si="1255"/>
        <v>0</v>
      </c>
      <c r="N810" s="50">
        <f t="shared" si="1255"/>
        <v>0</v>
      </c>
      <c r="O810" s="50">
        <f t="shared" si="1255"/>
        <v>0</v>
      </c>
      <c r="P810" s="50">
        <f t="shared" si="1255"/>
        <v>0</v>
      </c>
      <c r="Q810" s="50">
        <f t="shared" si="1255"/>
        <v>0</v>
      </c>
      <c r="R810" s="50">
        <f t="shared" si="1255"/>
        <v>0</v>
      </c>
      <c r="S810" s="50">
        <f t="shared" si="1255"/>
        <v>0</v>
      </c>
      <c r="T810" s="50">
        <f t="shared" si="1255"/>
        <v>0</v>
      </c>
      <c r="U810" s="50">
        <f t="shared" si="1255"/>
        <v>0</v>
      </c>
      <c r="V810" s="50">
        <f t="shared" si="1255"/>
        <v>0</v>
      </c>
      <c r="W810" s="50">
        <f t="shared" si="1255"/>
        <v>0</v>
      </c>
      <c r="X810" s="50">
        <f t="shared" si="1255"/>
        <v>0</v>
      </c>
      <c r="Y810" s="50">
        <f t="shared" si="1255"/>
        <v>0</v>
      </c>
      <c r="Z810" s="50">
        <f t="shared" si="1255"/>
        <v>0</v>
      </c>
      <c r="AA810" s="50">
        <f t="shared" si="1255"/>
        <v>0</v>
      </c>
      <c r="AB810" s="50">
        <f t="shared" si="1255"/>
        <v>0</v>
      </c>
      <c r="AC810" s="50">
        <f t="shared" si="1255"/>
        <v>0</v>
      </c>
      <c r="AD810" s="50">
        <f t="shared" si="1255"/>
        <v>0</v>
      </c>
      <c r="AE810" s="50">
        <f t="shared" si="1255"/>
        <v>0</v>
      </c>
      <c r="AF810" s="50">
        <f t="shared" si="1255"/>
        <v>0</v>
      </c>
      <c r="AG810" s="50">
        <f t="shared" si="1255"/>
        <v>0</v>
      </c>
      <c r="AH810" s="50">
        <f t="shared" si="1255"/>
        <v>0</v>
      </c>
      <c r="AI810" s="50">
        <f t="shared" ref="AI810:BB810" si="1256">IF(AND(AI$190&gt;0,$A810&gt;0),$C837*AI775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0</v>
      </c>
      <c r="AJ810" s="50">
        <f t="shared" si="1256"/>
        <v>0</v>
      </c>
      <c r="AK810" s="50">
        <f t="shared" si="1256"/>
        <v>0</v>
      </c>
      <c r="AL810" s="50">
        <f t="shared" si="1256"/>
        <v>0</v>
      </c>
      <c r="AM810" s="50">
        <f t="shared" si="1256"/>
        <v>0</v>
      </c>
      <c r="AN810" s="50">
        <f t="shared" si="1256"/>
        <v>0</v>
      </c>
      <c r="AO810" s="50">
        <f t="shared" si="1256"/>
        <v>0</v>
      </c>
      <c r="AP810" s="50">
        <f t="shared" si="1256"/>
        <v>0</v>
      </c>
      <c r="AQ810" s="50">
        <f t="shared" si="1256"/>
        <v>0</v>
      </c>
      <c r="AR810" s="50">
        <f t="shared" si="1256"/>
        <v>0</v>
      </c>
      <c r="AS810" s="50">
        <f t="shared" si="1256"/>
        <v>0</v>
      </c>
      <c r="AT810" s="50">
        <f t="shared" si="1256"/>
        <v>0</v>
      </c>
      <c r="AU810" s="50">
        <f t="shared" si="1256"/>
        <v>0</v>
      </c>
      <c r="AV810" s="50">
        <f t="shared" si="1256"/>
        <v>0</v>
      </c>
      <c r="AW810" s="50">
        <f t="shared" si="1256"/>
        <v>0</v>
      </c>
      <c r="AX810" s="50">
        <f t="shared" si="1256"/>
        <v>0</v>
      </c>
      <c r="AY810" s="50">
        <f t="shared" si="1256"/>
        <v>0</v>
      </c>
      <c r="AZ810" s="50">
        <f t="shared" si="1256"/>
        <v>0</v>
      </c>
      <c r="BA810" s="50">
        <f t="shared" si="1256"/>
        <v>0</v>
      </c>
      <c r="BB810" s="50">
        <f t="shared" si="1256"/>
        <v>0</v>
      </c>
      <c r="BC810" s="50">
        <f t="shared" si="1232"/>
        <v>0</v>
      </c>
      <c r="BD810" s="124"/>
    </row>
    <row r="811" spans="1:56" x14ac:dyDescent="0.25">
      <c r="A811">
        <f t="shared" si="1229"/>
        <v>-5</v>
      </c>
      <c r="B811" s="19">
        <f t="shared" si="1229"/>
        <v>0</v>
      </c>
      <c r="C811" s="50">
        <f t="shared" ref="C811:AH811" si="1257">IF(AND(C$190&gt;0,$A811&gt;0),$C838*C776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0</v>
      </c>
      <c r="D811" s="50">
        <f t="shared" si="1257"/>
        <v>0</v>
      </c>
      <c r="E811" s="50">
        <f t="shared" si="1257"/>
        <v>0</v>
      </c>
      <c r="F811" s="50">
        <f t="shared" si="1257"/>
        <v>0</v>
      </c>
      <c r="G811" s="50">
        <f t="shared" si="1257"/>
        <v>0</v>
      </c>
      <c r="H811" s="50">
        <f t="shared" si="1257"/>
        <v>0</v>
      </c>
      <c r="I811" s="50">
        <f t="shared" si="1257"/>
        <v>0</v>
      </c>
      <c r="J811" s="50">
        <f t="shared" si="1257"/>
        <v>0</v>
      </c>
      <c r="K811" s="50">
        <f t="shared" si="1257"/>
        <v>0</v>
      </c>
      <c r="L811" s="50">
        <f t="shared" si="1257"/>
        <v>0</v>
      </c>
      <c r="M811" s="50">
        <f t="shared" si="1257"/>
        <v>0</v>
      </c>
      <c r="N811" s="50">
        <f t="shared" si="1257"/>
        <v>0</v>
      </c>
      <c r="O811" s="50">
        <f t="shared" si="1257"/>
        <v>0</v>
      </c>
      <c r="P811" s="50">
        <f t="shared" si="1257"/>
        <v>0</v>
      </c>
      <c r="Q811" s="50">
        <f t="shared" si="1257"/>
        <v>0</v>
      </c>
      <c r="R811" s="50">
        <f t="shared" si="1257"/>
        <v>0</v>
      </c>
      <c r="S811" s="50">
        <f t="shared" si="1257"/>
        <v>0</v>
      </c>
      <c r="T811" s="50">
        <f t="shared" si="1257"/>
        <v>0</v>
      </c>
      <c r="U811" s="50">
        <f t="shared" si="1257"/>
        <v>0</v>
      </c>
      <c r="V811" s="50">
        <f t="shared" si="1257"/>
        <v>0</v>
      </c>
      <c r="W811" s="50">
        <f t="shared" si="1257"/>
        <v>0</v>
      </c>
      <c r="X811" s="50">
        <f t="shared" si="1257"/>
        <v>0</v>
      </c>
      <c r="Y811" s="50">
        <f t="shared" si="1257"/>
        <v>0</v>
      </c>
      <c r="Z811" s="50">
        <f t="shared" si="1257"/>
        <v>0</v>
      </c>
      <c r="AA811" s="50">
        <f t="shared" si="1257"/>
        <v>0</v>
      </c>
      <c r="AB811" s="50">
        <f t="shared" si="1257"/>
        <v>0</v>
      </c>
      <c r="AC811" s="50">
        <f t="shared" si="1257"/>
        <v>0</v>
      </c>
      <c r="AD811" s="50">
        <f t="shared" si="1257"/>
        <v>0</v>
      </c>
      <c r="AE811" s="50">
        <f t="shared" si="1257"/>
        <v>0</v>
      </c>
      <c r="AF811" s="50">
        <f t="shared" si="1257"/>
        <v>0</v>
      </c>
      <c r="AG811" s="50">
        <f t="shared" si="1257"/>
        <v>0</v>
      </c>
      <c r="AH811" s="50">
        <f t="shared" si="1257"/>
        <v>0</v>
      </c>
      <c r="AI811" s="50">
        <f t="shared" ref="AI811:BB811" si="1258">IF(AND(AI$190&gt;0,$A811&gt;0),$C838*AI776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0</v>
      </c>
      <c r="AJ811" s="50">
        <f t="shared" si="1258"/>
        <v>0</v>
      </c>
      <c r="AK811" s="50">
        <f t="shared" si="1258"/>
        <v>0</v>
      </c>
      <c r="AL811" s="50">
        <f t="shared" si="1258"/>
        <v>0</v>
      </c>
      <c r="AM811" s="50">
        <f t="shared" si="1258"/>
        <v>0</v>
      </c>
      <c r="AN811" s="50">
        <f t="shared" si="1258"/>
        <v>0</v>
      </c>
      <c r="AO811" s="50">
        <f t="shared" si="1258"/>
        <v>0</v>
      </c>
      <c r="AP811" s="50">
        <f t="shared" si="1258"/>
        <v>0</v>
      </c>
      <c r="AQ811" s="50">
        <f t="shared" si="1258"/>
        <v>0</v>
      </c>
      <c r="AR811" s="50">
        <f t="shared" si="1258"/>
        <v>0</v>
      </c>
      <c r="AS811" s="50">
        <f t="shared" si="1258"/>
        <v>0</v>
      </c>
      <c r="AT811" s="50">
        <f t="shared" si="1258"/>
        <v>0</v>
      </c>
      <c r="AU811" s="50">
        <f t="shared" si="1258"/>
        <v>0</v>
      </c>
      <c r="AV811" s="50">
        <f t="shared" si="1258"/>
        <v>0</v>
      </c>
      <c r="AW811" s="50">
        <f t="shared" si="1258"/>
        <v>0</v>
      </c>
      <c r="AX811" s="50">
        <f t="shared" si="1258"/>
        <v>0</v>
      </c>
      <c r="AY811" s="50">
        <f t="shared" si="1258"/>
        <v>0</v>
      </c>
      <c r="AZ811" s="50">
        <f t="shared" si="1258"/>
        <v>0</v>
      </c>
      <c r="BA811" s="50">
        <f t="shared" si="1258"/>
        <v>0</v>
      </c>
      <c r="BB811" s="50">
        <f t="shared" si="1258"/>
        <v>0</v>
      </c>
      <c r="BC811" s="50">
        <f t="shared" si="1232"/>
        <v>0</v>
      </c>
    </row>
    <row r="812" spans="1:56" x14ac:dyDescent="0.25">
      <c r="A812">
        <f t="shared" si="1229"/>
        <v>-6</v>
      </c>
      <c r="B812" s="19">
        <f t="shared" si="1229"/>
        <v>0</v>
      </c>
      <c r="C812" s="50">
        <f t="shared" ref="C812:AH812" si="1259">IF(AND(C$190&gt;0,$A812&gt;0),$C839*C777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0</v>
      </c>
      <c r="D812" s="50">
        <f t="shared" si="1259"/>
        <v>0</v>
      </c>
      <c r="E812" s="50">
        <f t="shared" si="1259"/>
        <v>0</v>
      </c>
      <c r="F812" s="50">
        <f t="shared" si="1259"/>
        <v>0</v>
      </c>
      <c r="G812" s="50">
        <f t="shared" si="1259"/>
        <v>0</v>
      </c>
      <c r="H812" s="50">
        <f t="shared" si="1259"/>
        <v>0</v>
      </c>
      <c r="I812" s="50">
        <f t="shared" si="1259"/>
        <v>0</v>
      </c>
      <c r="J812" s="50">
        <f t="shared" si="1259"/>
        <v>0</v>
      </c>
      <c r="K812" s="50">
        <f t="shared" si="1259"/>
        <v>0</v>
      </c>
      <c r="L812" s="50">
        <f t="shared" si="1259"/>
        <v>0</v>
      </c>
      <c r="M812" s="50">
        <f t="shared" si="1259"/>
        <v>0</v>
      </c>
      <c r="N812" s="50">
        <f t="shared" si="1259"/>
        <v>0</v>
      </c>
      <c r="O812" s="50">
        <f t="shared" si="1259"/>
        <v>0</v>
      </c>
      <c r="P812" s="50">
        <f t="shared" si="1259"/>
        <v>0</v>
      </c>
      <c r="Q812" s="50">
        <f t="shared" si="1259"/>
        <v>0</v>
      </c>
      <c r="R812" s="50">
        <f t="shared" si="1259"/>
        <v>0</v>
      </c>
      <c r="S812" s="50">
        <f t="shared" si="1259"/>
        <v>0</v>
      </c>
      <c r="T812" s="50">
        <f t="shared" si="1259"/>
        <v>0</v>
      </c>
      <c r="U812" s="50">
        <f t="shared" si="1259"/>
        <v>0</v>
      </c>
      <c r="V812" s="50">
        <f t="shared" si="1259"/>
        <v>0</v>
      </c>
      <c r="W812" s="50">
        <f t="shared" si="1259"/>
        <v>0</v>
      </c>
      <c r="X812" s="50">
        <f t="shared" si="1259"/>
        <v>0</v>
      </c>
      <c r="Y812" s="50">
        <f t="shared" si="1259"/>
        <v>0</v>
      </c>
      <c r="Z812" s="50">
        <f t="shared" si="1259"/>
        <v>0</v>
      </c>
      <c r="AA812" s="50">
        <f t="shared" si="1259"/>
        <v>0</v>
      </c>
      <c r="AB812" s="50">
        <f t="shared" si="1259"/>
        <v>0</v>
      </c>
      <c r="AC812" s="50">
        <f t="shared" si="1259"/>
        <v>0</v>
      </c>
      <c r="AD812" s="50">
        <f t="shared" si="1259"/>
        <v>0</v>
      </c>
      <c r="AE812" s="50">
        <f t="shared" si="1259"/>
        <v>0</v>
      </c>
      <c r="AF812" s="50">
        <f t="shared" si="1259"/>
        <v>0</v>
      </c>
      <c r="AG812" s="50">
        <f t="shared" si="1259"/>
        <v>0</v>
      </c>
      <c r="AH812" s="50">
        <f t="shared" si="1259"/>
        <v>0</v>
      </c>
      <c r="AI812" s="50">
        <f t="shared" ref="AI812:BB812" si="1260">IF(AND(AI$190&gt;0,$A812&gt;0),$C839*AI777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0</v>
      </c>
      <c r="AJ812" s="50">
        <f t="shared" si="1260"/>
        <v>0</v>
      </c>
      <c r="AK812" s="50">
        <f t="shared" si="1260"/>
        <v>0</v>
      </c>
      <c r="AL812" s="50">
        <f t="shared" si="1260"/>
        <v>0</v>
      </c>
      <c r="AM812" s="50">
        <f t="shared" si="1260"/>
        <v>0</v>
      </c>
      <c r="AN812" s="50">
        <f t="shared" si="1260"/>
        <v>0</v>
      </c>
      <c r="AO812" s="50">
        <f t="shared" si="1260"/>
        <v>0</v>
      </c>
      <c r="AP812" s="50">
        <f t="shared" si="1260"/>
        <v>0</v>
      </c>
      <c r="AQ812" s="50">
        <f t="shared" si="1260"/>
        <v>0</v>
      </c>
      <c r="AR812" s="50">
        <f t="shared" si="1260"/>
        <v>0</v>
      </c>
      <c r="AS812" s="50">
        <f t="shared" si="1260"/>
        <v>0</v>
      </c>
      <c r="AT812" s="50">
        <f t="shared" si="1260"/>
        <v>0</v>
      </c>
      <c r="AU812" s="50">
        <f t="shared" si="1260"/>
        <v>0</v>
      </c>
      <c r="AV812" s="50">
        <f t="shared" si="1260"/>
        <v>0</v>
      </c>
      <c r="AW812" s="50">
        <f t="shared" si="1260"/>
        <v>0</v>
      </c>
      <c r="AX812" s="50">
        <f t="shared" si="1260"/>
        <v>0</v>
      </c>
      <c r="AY812" s="50">
        <f t="shared" si="1260"/>
        <v>0</v>
      </c>
      <c r="AZ812" s="50">
        <f t="shared" si="1260"/>
        <v>0</v>
      </c>
      <c r="BA812" s="50">
        <f t="shared" si="1260"/>
        <v>0</v>
      </c>
      <c r="BB812" s="50">
        <f t="shared" si="1260"/>
        <v>0</v>
      </c>
      <c r="BC812" s="50">
        <f t="shared" si="1232"/>
        <v>0</v>
      </c>
    </row>
    <row r="813" spans="1:56" x14ac:dyDescent="0.25">
      <c r="A813">
        <f t="shared" si="1229"/>
        <v>-7</v>
      </c>
      <c r="B813" s="19">
        <f t="shared" si="1229"/>
        <v>0</v>
      </c>
      <c r="C813" s="50">
        <f t="shared" ref="C813:AH813" si="1261">IF(AND(C$190&gt;0,$A813&gt;0),$C840*C778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0</v>
      </c>
      <c r="D813" s="50">
        <f t="shared" si="1261"/>
        <v>0</v>
      </c>
      <c r="E813" s="50">
        <f t="shared" si="1261"/>
        <v>0</v>
      </c>
      <c r="F813" s="50">
        <f t="shared" si="1261"/>
        <v>0</v>
      </c>
      <c r="G813" s="50">
        <f t="shared" si="1261"/>
        <v>0</v>
      </c>
      <c r="H813" s="50">
        <f t="shared" si="1261"/>
        <v>0</v>
      </c>
      <c r="I813" s="50">
        <f t="shared" si="1261"/>
        <v>0</v>
      </c>
      <c r="J813" s="50">
        <f t="shared" si="1261"/>
        <v>0</v>
      </c>
      <c r="K813" s="50">
        <f t="shared" si="1261"/>
        <v>0</v>
      </c>
      <c r="L813" s="50">
        <f t="shared" si="1261"/>
        <v>0</v>
      </c>
      <c r="M813" s="50">
        <f t="shared" si="1261"/>
        <v>0</v>
      </c>
      <c r="N813" s="50">
        <f t="shared" si="1261"/>
        <v>0</v>
      </c>
      <c r="O813" s="50">
        <f t="shared" si="1261"/>
        <v>0</v>
      </c>
      <c r="P813" s="50">
        <f t="shared" si="1261"/>
        <v>0</v>
      </c>
      <c r="Q813" s="50">
        <f t="shared" si="1261"/>
        <v>0</v>
      </c>
      <c r="R813" s="50">
        <f t="shared" si="1261"/>
        <v>0</v>
      </c>
      <c r="S813" s="50">
        <f t="shared" si="1261"/>
        <v>0</v>
      </c>
      <c r="T813" s="50">
        <f t="shared" si="1261"/>
        <v>0</v>
      </c>
      <c r="U813" s="50">
        <f t="shared" si="1261"/>
        <v>0</v>
      </c>
      <c r="V813" s="50">
        <f t="shared" si="1261"/>
        <v>0</v>
      </c>
      <c r="W813" s="50">
        <f t="shared" si="1261"/>
        <v>0</v>
      </c>
      <c r="X813" s="50">
        <f t="shared" si="1261"/>
        <v>0</v>
      </c>
      <c r="Y813" s="50">
        <f t="shared" si="1261"/>
        <v>0</v>
      </c>
      <c r="Z813" s="50">
        <f t="shared" si="1261"/>
        <v>0</v>
      </c>
      <c r="AA813" s="50">
        <f t="shared" si="1261"/>
        <v>0</v>
      </c>
      <c r="AB813" s="50">
        <f t="shared" si="1261"/>
        <v>0</v>
      </c>
      <c r="AC813" s="50">
        <f t="shared" si="1261"/>
        <v>0</v>
      </c>
      <c r="AD813" s="50">
        <f t="shared" si="1261"/>
        <v>0</v>
      </c>
      <c r="AE813" s="50">
        <f t="shared" si="1261"/>
        <v>0</v>
      </c>
      <c r="AF813" s="50">
        <f t="shared" si="1261"/>
        <v>0</v>
      </c>
      <c r="AG813" s="50">
        <f t="shared" si="1261"/>
        <v>0</v>
      </c>
      <c r="AH813" s="50">
        <f t="shared" si="1261"/>
        <v>0</v>
      </c>
      <c r="AI813" s="50">
        <f t="shared" ref="AI813:BB813" si="1262">IF(AND(AI$190&gt;0,$A813&gt;0),$C840*AI778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0</v>
      </c>
      <c r="AJ813" s="50">
        <f t="shared" si="1262"/>
        <v>0</v>
      </c>
      <c r="AK813" s="50">
        <f t="shared" si="1262"/>
        <v>0</v>
      </c>
      <c r="AL813" s="50">
        <f t="shared" si="1262"/>
        <v>0</v>
      </c>
      <c r="AM813" s="50">
        <f t="shared" si="1262"/>
        <v>0</v>
      </c>
      <c r="AN813" s="50">
        <f t="shared" si="1262"/>
        <v>0</v>
      </c>
      <c r="AO813" s="50">
        <f t="shared" si="1262"/>
        <v>0</v>
      </c>
      <c r="AP813" s="50">
        <f t="shared" si="1262"/>
        <v>0</v>
      </c>
      <c r="AQ813" s="50">
        <f t="shared" si="1262"/>
        <v>0</v>
      </c>
      <c r="AR813" s="50">
        <f t="shared" si="1262"/>
        <v>0</v>
      </c>
      <c r="AS813" s="50">
        <f t="shared" si="1262"/>
        <v>0</v>
      </c>
      <c r="AT813" s="50">
        <f t="shared" si="1262"/>
        <v>0</v>
      </c>
      <c r="AU813" s="50">
        <f t="shared" si="1262"/>
        <v>0</v>
      </c>
      <c r="AV813" s="50">
        <f t="shared" si="1262"/>
        <v>0</v>
      </c>
      <c r="AW813" s="50">
        <f t="shared" si="1262"/>
        <v>0</v>
      </c>
      <c r="AX813" s="50">
        <f t="shared" si="1262"/>
        <v>0</v>
      </c>
      <c r="AY813" s="50">
        <f t="shared" si="1262"/>
        <v>0</v>
      </c>
      <c r="AZ813" s="50">
        <f t="shared" si="1262"/>
        <v>0</v>
      </c>
      <c r="BA813" s="50">
        <f t="shared" si="1262"/>
        <v>0</v>
      </c>
      <c r="BB813" s="50">
        <f t="shared" si="1262"/>
        <v>0</v>
      </c>
      <c r="BC813" s="50">
        <f t="shared" si="1232"/>
        <v>0</v>
      </c>
      <c r="BD813" s="124"/>
    </row>
    <row r="814" spans="1:56" x14ac:dyDescent="0.25">
      <c r="A814">
        <f t="shared" si="1229"/>
        <v>-8</v>
      </c>
      <c r="B814" s="19">
        <f t="shared" si="1229"/>
        <v>0</v>
      </c>
      <c r="C814" s="50">
        <f t="shared" ref="C814:AH814" si="1263">IF(AND(C$190&gt;0,$A814&gt;0),$C841*C779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0</v>
      </c>
      <c r="D814" s="50">
        <f t="shared" si="1263"/>
        <v>0</v>
      </c>
      <c r="E814" s="50">
        <f t="shared" si="1263"/>
        <v>0</v>
      </c>
      <c r="F814" s="50">
        <f t="shared" si="1263"/>
        <v>0</v>
      </c>
      <c r="G814" s="50">
        <f t="shared" si="1263"/>
        <v>0</v>
      </c>
      <c r="H814" s="50">
        <f t="shared" si="1263"/>
        <v>0</v>
      </c>
      <c r="I814" s="50">
        <f t="shared" si="1263"/>
        <v>0</v>
      </c>
      <c r="J814" s="50">
        <f t="shared" si="1263"/>
        <v>0</v>
      </c>
      <c r="K814" s="50">
        <f t="shared" si="1263"/>
        <v>0</v>
      </c>
      <c r="L814" s="50">
        <f t="shared" si="1263"/>
        <v>0</v>
      </c>
      <c r="M814" s="50">
        <f t="shared" si="1263"/>
        <v>0</v>
      </c>
      <c r="N814" s="50">
        <f t="shared" si="1263"/>
        <v>0</v>
      </c>
      <c r="O814" s="50">
        <f t="shared" si="1263"/>
        <v>0</v>
      </c>
      <c r="P814" s="50">
        <f t="shared" si="1263"/>
        <v>0</v>
      </c>
      <c r="Q814" s="50">
        <f t="shared" si="1263"/>
        <v>0</v>
      </c>
      <c r="R814" s="50">
        <f t="shared" si="1263"/>
        <v>0</v>
      </c>
      <c r="S814" s="50">
        <f t="shared" si="1263"/>
        <v>0</v>
      </c>
      <c r="T814" s="50">
        <f t="shared" si="1263"/>
        <v>0</v>
      </c>
      <c r="U814" s="50">
        <f t="shared" si="1263"/>
        <v>0</v>
      </c>
      <c r="V814" s="50">
        <f t="shared" si="1263"/>
        <v>0</v>
      </c>
      <c r="W814" s="50">
        <f t="shared" si="1263"/>
        <v>0</v>
      </c>
      <c r="X814" s="50">
        <f t="shared" si="1263"/>
        <v>0</v>
      </c>
      <c r="Y814" s="50">
        <f t="shared" si="1263"/>
        <v>0</v>
      </c>
      <c r="Z814" s="50">
        <f t="shared" si="1263"/>
        <v>0</v>
      </c>
      <c r="AA814" s="50">
        <f t="shared" si="1263"/>
        <v>0</v>
      </c>
      <c r="AB814" s="50">
        <f t="shared" si="1263"/>
        <v>0</v>
      </c>
      <c r="AC814" s="50">
        <f t="shared" si="1263"/>
        <v>0</v>
      </c>
      <c r="AD814" s="50">
        <f t="shared" si="1263"/>
        <v>0</v>
      </c>
      <c r="AE814" s="50">
        <f t="shared" si="1263"/>
        <v>0</v>
      </c>
      <c r="AF814" s="50">
        <f t="shared" si="1263"/>
        <v>0</v>
      </c>
      <c r="AG814" s="50">
        <f t="shared" si="1263"/>
        <v>0</v>
      </c>
      <c r="AH814" s="50">
        <f t="shared" si="1263"/>
        <v>0</v>
      </c>
      <c r="AI814" s="50">
        <f t="shared" ref="AI814:BB814" si="1264">IF(AND(AI$190&gt;0,$A814&gt;0),$C841*AI779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0</v>
      </c>
      <c r="AJ814" s="50">
        <f t="shared" si="1264"/>
        <v>0</v>
      </c>
      <c r="AK814" s="50">
        <f t="shared" si="1264"/>
        <v>0</v>
      </c>
      <c r="AL814" s="50">
        <f t="shared" si="1264"/>
        <v>0</v>
      </c>
      <c r="AM814" s="50">
        <f t="shared" si="1264"/>
        <v>0</v>
      </c>
      <c r="AN814" s="50">
        <f t="shared" si="1264"/>
        <v>0</v>
      </c>
      <c r="AO814" s="50">
        <f t="shared" si="1264"/>
        <v>0</v>
      </c>
      <c r="AP814" s="50">
        <f t="shared" si="1264"/>
        <v>0</v>
      </c>
      <c r="AQ814" s="50">
        <f t="shared" si="1264"/>
        <v>0</v>
      </c>
      <c r="AR814" s="50">
        <f t="shared" si="1264"/>
        <v>0</v>
      </c>
      <c r="AS814" s="50">
        <f t="shared" si="1264"/>
        <v>0</v>
      </c>
      <c r="AT814" s="50">
        <f t="shared" si="1264"/>
        <v>0</v>
      </c>
      <c r="AU814" s="50">
        <f t="shared" si="1264"/>
        <v>0</v>
      </c>
      <c r="AV814" s="50">
        <f t="shared" si="1264"/>
        <v>0</v>
      </c>
      <c r="AW814" s="50">
        <f t="shared" si="1264"/>
        <v>0</v>
      </c>
      <c r="AX814" s="50">
        <f t="shared" si="1264"/>
        <v>0</v>
      </c>
      <c r="AY814" s="50">
        <f t="shared" si="1264"/>
        <v>0</v>
      </c>
      <c r="AZ814" s="50">
        <f t="shared" si="1264"/>
        <v>0</v>
      </c>
      <c r="BA814" s="50">
        <f t="shared" si="1264"/>
        <v>0</v>
      </c>
      <c r="BB814" s="50">
        <f t="shared" si="1264"/>
        <v>0</v>
      </c>
      <c r="BC814" s="50">
        <f t="shared" si="1232"/>
        <v>0</v>
      </c>
    </row>
    <row r="815" spans="1:56" x14ac:dyDescent="0.25">
      <c r="A815">
        <f t="shared" si="1229"/>
        <v>-9</v>
      </c>
      <c r="B815" s="19">
        <f t="shared" si="1229"/>
        <v>0</v>
      </c>
      <c r="C815" s="50">
        <f t="shared" ref="C815:AH815" si="1265">IF(AND(C$190&gt;0,$A815&gt;0),$C842*C780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0</v>
      </c>
      <c r="D815" s="50">
        <f t="shared" si="1265"/>
        <v>0</v>
      </c>
      <c r="E815" s="50">
        <f t="shared" si="1265"/>
        <v>0</v>
      </c>
      <c r="F815" s="50">
        <f t="shared" si="1265"/>
        <v>0</v>
      </c>
      <c r="G815" s="50">
        <f t="shared" si="1265"/>
        <v>0</v>
      </c>
      <c r="H815" s="50">
        <f t="shared" si="1265"/>
        <v>0</v>
      </c>
      <c r="I815" s="50">
        <f t="shared" si="1265"/>
        <v>0</v>
      </c>
      <c r="J815" s="50">
        <f t="shared" si="1265"/>
        <v>0</v>
      </c>
      <c r="K815" s="50">
        <f t="shared" si="1265"/>
        <v>0</v>
      </c>
      <c r="L815" s="50">
        <f t="shared" si="1265"/>
        <v>0</v>
      </c>
      <c r="M815" s="50">
        <f t="shared" si="1265"/>
        <v>0</v>
      </c>
      <c r="N815" s="50">
        <f t="shared" si="1265"/>
        <v>0</v>
      </c>
      <c r="O815" s="50">
        <f t="shared" si="1265"/>
        <v>0</v>
      </c>
      <c r="P815" s="50">
        <f t="shared" si="1265"/>
        <v>0</v>
      </c>
      <c r="Q815" s="50">
        <f t="shared" si="1265"/>
        <v>0</v>
      </c>
      <c r="R815" s="50">
        <f t="shared" si="1265"/>
        <v>0</v>
      </c>
      <c r="S815" s="50">
        <f t="shared" si="1265"/>
        <v>0</v>
      </c>
      <c r="T815" s="50">
        <f t="shared" si="1265"/>
        <v>0</v>
      </c>
      <c r="U815" s="50">
        <f t="shared" si="1265"/>
        <v>0</v>
      </c>
      <c r="V815" s="50">
        <f t="shared" si="1265"/>
        <v>0</v>
      </c>
      <c r="W815" s="50">
        <f t="shared" si="1265"/>
        <v>0</v>
      </c>
      <c r="X815" s="50">
        <f t="shared" si="1265"/>
        <v>0</v>
      </c>
      <c r="Y815" s="50">
        <f t="shared" si="1265"/>
        <v>0</v>
      </c>
      <c r="Z815" s="50">
        <f t="shared" si="1265"/>
        <v>0</v>
      </c>
      <c r="AA815" s="50">
        <f t="shared" si="1265"/>
        <v>0</v>
      </c>
      <c r="AB815" s="50">
        <f t="shared" si="1265"/>
        <v>0</v>
      </c>
      <c r="AC815" s="50">
        <f t="shared" si="1265"/>
        <v>0</v>
      </c>
      <c r="AD815" s="50">
        <f t="shared" si="1265"/>
        <v>0</v>
      </c>
      <c r="AE815" s="50">
        <f t="shared" si="1265"/>
        <v>0</v>
      </c>
      <c r="AF815" s="50">
        <f t="shared" si="1265"/>
        <v>0</v>
      </c>
      <c r="AG815" s="50">
        <f t="shared" si="1265"/>
        <v>0</v>
      </c>
      <c r="AH815" s="50">
        <f t="shared" si="1265"/>
        <v>0</v>
      </c>
      <c r="AI815" s="50">
        <f t="shared" ref="AI815:BB815" si="1266">IF(AND(AI$190&gt;0,$A815&gt;0),$C842*AI780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0</v>
      </c>
      <c r="AJ815" s="50">
        <f t="shared" si="1266"/>
        <v>0</v>
      </c>
      <c r="AK815" s="50">
        <f t="shared" si="1266"/>
        <v>0</v>
      </c>
      <c r="AL815" s="50">
        <f t="shared" si="1266"/>
        <v>0</v>
      </c>
      <c r="AM815" s="50">
        <f t="shared" si="1266"/>
        <v>0</v>
      </c>
      <c r="AN815" s="50">
        <f t="shared" si="1266"/>
        <v>0</v>
      </c>
      <c r="AO815" s="50">
        <f t="shared" si="1266"/>
        <v>0</v>
      </c>
      <c r="AP815" s="50">
        <f t="shared" si="1266"/>
        <v>0</v>
      </c>
      <c r="AQ815" s="50">
        <f t="shared" si="1266"/>
        <v>0</v>
      </c>
      <c r="AR815" s="50">
        <f t="shared" si="1266"/>
        <v>0</v>
      </c>
      <c r="AS815" s="50">
        <f t="shared" si="1266"/>
        <v>0</v>
      </c>
      <c r="AT815" s="50">
        <f t="shared" si="1266"/>
        <v>0</v>
      </c>
      <c r="AU815" s="50">
        <f t="shared" si="1266"/>
        <v>0</v>
      </c>
      <c r="AV815" s="50">
        <f t="shared" si="1266"/>
        <v>0</v>
      </c>
      <c r="AW815" s="50">
        <f t="shared" si="1266"/>
        <v>0</v>
      </c>
      <c r="AX815" s="50">
        <f t="shared" si="1266"/>
        <v>0</v>
      </c>
      <c r="AY815" s="50">
        <f t="shared" si="1266"/>
        <v>0</v>
      </c>
      <c r="AZ815" s="50">
        <f t="shared" si="1266"/>
        <v>0</v>
      </c>
      <c r="BA815" s="50">
        <f t="shared" si="1266"/>
        <v>0</v>
      </c>
      <c r="BB815" s="50">
        <f t="shared" si="1266"/>
        <v>0</v>
      </c>
      <c r="BC815" s="50">
        <f t="shared" si="1232"/>
        <v>0</v>
      </c>
    </row>
    <row r="816" spans="1:56" x14ac:dyDescent="0.25">
      <c r="A816">
        <f t="shared" si="1229"/>
        <v>-10</v>
      </c>
      <c r="B816" s="19">
        <f t="shared" si="1229"/>
        <v>0</v>
      </c>
      <c r="C816" s="50">
        <f t="shared" ref="C816:AH816" si="1267">IF(AND(C$190&gt;0,$A816&gt;0),$C843*C781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0</v>
      </c>
      <c r="D816" s="50">
        <f t="shared" si="1267"/>
        <v>0</v>
      </c>
      <c r="E816" s="50">
        <f t="shared" si="1267"/>
        <v>0</v>
      </c>
      <c r="F816" s="50">
        <f t="shared" si="1267"/>
        <v>0</v>
      </c>
      <c r="G816" s="50">
        <f t="shared" si="1267"/>
        <v>0</v>
      </c>
      <c r="H816" s="50">
        <f t="shared" si="1267"/>
        <v>0</v>
      </c>
      <c r="I816" s="50">
        <f t="shared" si="1267"/>
        <v>0</v>
      </c>
      <c r="J816" s="50">
        <f t="shared" si="1267"/>
        <v>0</v>
      </c>
      <c r="K816" s="50">
        <f t="shared" si="1267"/>
        <v>0</v>
      </c>
      <c r="L816" s="50">
        <f t="shared" si="1267"/>
        <v>0</v>
      </c>
      <c r="M816" s="50">
        <f t="shared" si="1267"/>
        <v>0</v>
      </c>
      <c r="N816" s="50">
        <f t="shared" si="1267"/>
        <v>0</v>
      </c>
      <c r="O816" s="50">
        <f t="shared" si="1267"/>
        <v>0</v>
      </c>
      <c r="P816" s="50">
        <f t="shared" si="1267"/>
        <v>0</v>
      </c>
      <c r="Q816" s="50">
        <f t="shared" si="1267"/>
        <v>0</v>
      </c>
      <c r="R816" s="50">
        <f t="shared" si="1267"/>
        <v>0</v>
      </c>
      <c r="S816" s="50">
        <f t="shared" si="1267"/>
        <v>0</v>
      </c>
      <c r="T816" s="50">
        <f t="shared" si="1267"/>
        <v>0</v>
      </c>
      <c r="U816" s="50">
        <f t="shared" si="1267"/>
        <v>0</v>
      </c>
      <c r="V816" s="50">
        <f t="shared" si="1267"/>
        <v>0</v>
      </c>
      <c r="W816" s="50">
        <f t="shared" si="1267"/>
        <v>0</v>
      </c>
      <c r="X816" s="50">
        <f t="shared" si="1267"/>
        <v>0</v>
      </c>
      <c r="Y816" s="50">
        <f t="shared" si="1267"/>
        <v>0</v>
      </c>
      <c r="Z816" s="50">
        <f t="shared" si="1267"/>
        <v>0</v>
      </c>
      <c r="AA816" s="50">
        <f t="shared" si="1267"/>
        <v>0</v>
      </c>
      <c r="AB816" s="50">
        <f t="shared" si="1267"/>
        <v>0</v>
      </c>
      <c r="AC816" s="50">
        <f t="shared" si="1267"/>
        <v>0</v>
      </c>
      <c r="AD816" s="50">
        <f t="shared" si="1267"/>
        <v>0</v>
      </c>
      <c r="AE816" s="50">
        <f t="shared" si="1267"/>
        <v>0</v>
      </c>
      <c r="AF816" s="50">
        <f t="shared" si="1267"/>
        <v>0</v>
      </c>
      <c r="AG816" s="50">
        <f t="shared" si="1267"/>
        <v>0</v>
      </c>
      <c r="AH816" s="50">
        <f t="shared" si="1267"/>
        <v>0</v>
      </c>
      <c r="AI816" s="50">
        <f t="shared" ref="AI816:BB816" si="1268">IF(AND(AI$190&gt;0,$A816&gt;0),$C843*AI781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0</v>
      </c>
      <c r="AJ816" s="50">
        <f t="shared" si="1268"/>
        <v>0</v>
      </c>
      <c r="AK816" s="50">
        <f t="shared" si="1268"/>
        <v>0</v>
      </c>
      <c r="AL816" s="50">
        <f t="shared" si="1268"/>
        <v>0</v>
      </c>
      <c r="AM816" s="50">
        <f t="shared" si="1268"/>
        <v>0</v>
      </c>
      <c r="AN816" s="50">
        <f t="shared" si="1268"/>
        <v>0</v>
      </c>
      <c r="AO816" s="50">
        <f t="shared" si="1268"/>
        <v>0</v>
      </c>
      <c r="AP816" s="50">
        <f t="shared" si="1268"/>
        <v>0</v>
      </c>
      <c r="AQ816" s="50">
        <f t="shared" si="1268"/>
        <v>0</v>
      </c>
      <c r="AR816" s="50">
        <f t="shared" si="1268"/>
        <v>0</v>
      </c>
      <c r="AS816" s="50">
        <f t="shared" si="1268"/>
        <v>0</v>
      </c>
      <c r="AT816" s="50">
        <f t="shared" si="1268"/>
        <v>0</v>
      </c>
      <c r="AU816" s="50">
        <f t="shared" si="1268"/>
        <v>0</v>
      </c>
      <c r="AV816" s="50">
        <f t="shared" si="1268"/>
        <v>0</v>
      </c>
      <c r="AW816" s="50">
        <f t="shared" si="1268"/>
        <v>0</v>
      </c>
      <c r="AX816" s="50">
        <f t="shared" si="1268"/>
        <v>0</v>
      </c>
      <c r="AY816" s="50">
        <f t="shared" si="1268"/>
        <v>0</v>
      </c>
      <c r="AZ816" s="50">
        <f t="shared" si="1268"/>
        <v>0</v>
      </c>
      <c r="BA816" s="50">
        <f t="shared" si="1268"/>
        <v>0</v>
      </c>
      <c r="BB816" s="50">
        <f t="shared" si="1268"/>
        <v>0</v>
      </c>
      <c r="BC816" s="50">
        <f t="shared" si="1232"/>
        <v>0</v>
      </c>
    </row>
    <row r="817" spans="1:57" x14ac:dyDescent="0.25">
      <c r="A817">
        <f t="shared" si="1229"/>
        <v>-11</v>
      </c>
      <c r="B817" s="19">
        <f t="shared" si="1229"/>
        <v>0</v>
      </c>
      <c r="C817" s="50">
        <f t="shared" ref="C817:AH817" si="1269">IF(AND(C$190&gt;0,$A817&gt;0),$C844*C782/SUM(C$763*$C$825,$C$826*C$764,C$765*$C$827,$C$828*C$766,C$767*$C$829,$C$830*C$768,C$769*$C$831,$C$832*C$770,C$771*$C$833,$C$834*C$772,C$773*$C$835,$C$836*C$774,C$775*$C$837,C$776*$C$838,$C$839*C$777,C$778*$C$840,$C$841*C$779,C$780*$C$842,$C$843*C$781,C$782*$C$844)*C$96,0)</f>
        <v>0</v>
      </c>
      <c r="D817" s="50">
        <f t="shared" si="1269"/>
        <v>0</v>
      </c>
      <c r="E817" s="50">
        <f t="shared" si="1269"/>
        <v>0</v>
      </c>
      <c r="F817" s="50">
        <f t="shared" si="1269"/>
        <v>0</v>
      </c>
      <c r="G817" s="50">
        <f t="shared" si="1269"/>
        <v>0</v>
      </c>
      <c r="H817" s="50">
        <f t="shared" si="1269"/>
        <v>0</v>
      </c>
      <c r="I817" s="50">
        <f t="shared" si="1269"/>
        <v>0</v>
      </c>
      <c r="J817" s="50">
        <f t="shared" si="1269"/>
        <v>0</v>
      </c>
      <c r="K817" s="50">
        <f t="shared" si="1269"/>
        <v>0</v>
      </c>
      <c r="L817" s="50">
        <f t="shared" si="1269"/>
        <v>0</v>
      </c>
      <c r="M817" s="50">
        <f t="shared" si="1269"/>
        <v>0</v>
      </c>
      <c r="N817" s="50">
        <f t="shared" si="1269"/>
        <v>0</v>
      </c>
      <c r="O817" s="50">
        <f t="shared" si="1269"/>
        <v>0</v>
      </c>
      <c r="P817" s="50">
        <f t="shared" si="1269"/>
        <v>0</v>
      </c>
      <c r="Q817" s="50">
        <f t="shared" si="1269"/>
        <v>0</v>
      </c>
      <c r="R817" s="50">
        <f t="shared" si="1269"/>
        <v>0</v>
      </c>
      <c r="S817" s="50">
        <f t="shared" si="1269"/>
        <v>0</v>
      </c>
      <c r="T817" s="50">
        <f t="shared" si="1269"/>
        <v>0</v>
      </c>
      <c r="U817" s="50">
        <f t="shared" si="1269"/>
        <v>0</v>
      </c>
      <c r="V817" s="50">
        <f t="shared" si="1269"/>
        <v>0</v>
      </c>
      <c r="W817" s="50">
        <f t="shared" si="1269"/>
        <v>0</v>
      </c>
      <c r="X817" s="50">
        <f t="shared" si="1269"/>
        <v>0</v>
      </c>
      <c r="Y817" s="50">
        <f t="shared" si="1269"/>
        <v>0</v>
      </c>
      <c r="Z817" s="50">
        <f t="shared" si="1269"/>
        <v>0</v>
      </c>
      <c r="AA817" s="50">
        <f t="shared" si="1269"/>
        <v>0</v>
      </c>
      <c r="AB817" s="50">
        <f t="shared" si="1269"/>
        <v>0</v>
      </c>
      <c r="AC817" s="50">
        <f t="shared" si="1269"/>
        <v>0</v>
      </c>
      <c r="AD817" s="50">
        <f t="shared" si="1269"/>
        <v>0</v>
      </c>
      <c r="AE817" s="50">
        <f t="shared" si="1269"/>
        <v>0</v>
      </c>
      <c r="AF817" s="50">
        <f t="shared" si="1269"/>
        <v>0</v>
      </c>
      <c r="AG817" s="50">
        <f t="shared" si="1269"/>
        <v>0</v>
      </c>
      <c r="AH817" s="50">
        <f t="shared" si="1269"/>
        <v>0</v>
      </c>
      <c r="AI817" s="50">
        <f t="shared" ref="AI817:BB817" si="1270">IF(AND(AI$190&gt;0,$A817&gt;0),$C844*AI782/SUM(AI$763*$C$825,$C$826*AI$764,AI$765*$C$827,$C$828*AI$766,AI$767*$C$829,$C$830*AI$768,AI$769*$C$831,$C$832*AI$770,AI$771*$C$833,$C$834*AI$772,AI$773*$C$835,$C$836*AI$774,AI$775*$C$837,AI$776*$C$838,$C$839*AI$777,AI$778*$C$840,$C$841*AI$779,AI$780*$C$842,$C$843*AI$781,AI$782*$C$844)*AI$96,0)</f>
        <v>0</v>
      </c>
      <c r="AJ817" s="50">
        <f t="shared" si="1270"/>
        <v>0</v>
      </c>
      <c r="AK817" s="50">
        <f t="shared" si="1270"/>
        <v>0</v>
      </c>
      <c r="AL817" s="50">
        <f t="shared" si="1270"/>
        <v>0</v>
      </c>
      <c r="AM817" s="50">
        <f t="shared" si="1270"/>
        <v>0</v>
      </c>
      <c r="AN817" s="50">
        <f t="shared" si="1270"/>
        <v>0</v>
      </c>
      <c r="AO817" s="50">
        <f t="shared" si="1270"/>
        <v>0</v>
      </c>
      <c r="AP817" s="50">
        <f t="shared" si="1270"/>
        <v>0</v>
      </c>
      <c r="AQ817" s="50">
        <f t="shared" si="1270"/>
        <v>0</v>
      </c>
      <c r="AR817" s="50">
        <f t="shared" si="1270"/>
        <v>0</v>
      </c>
      <c r="AS817" s="50">
        <f t="shared" si="1270"/>
        <v>0</v>
      </c>
      <c r="AT817" s="50">
        <f t="shared" si="1270"/>
        <v>0</v>
      </c>
      <c r="AU817" s="50">
        <f t="shared" si="1270"/>
        <v>0</v>
      </c>
      <c r="AV817" s="50">
        <f t="shared" si="1270"/>
        <v>0</v>
      </c>
      <c r="AW817" s="50">
        <f t="shared" si="1270"/>
        <v>0</v>
      </c>
      <c r="AX817" s="50">
        <f t="shared" si="1270"/>
        <v>0</v>
      </c>
      <c r="AY817" s="50">
        <f t="shared" si="1270"/>
        <v>0</v>
      </c>
      <c r="AZ817" s="50">
        <f t="shared" si="1270"/>
        <v>0</v>
      </c>
      <c r="BA817" s="50">
        <f t="shared" si="1270"/>
        <v>0</v>
      </c>
      <c r="BB817" s="50">
        <f t="shared" si="1270"/>
        <v>0</v>
      </c>
      <c r="BC817" s="50">
        <f t="shared" si="1232"/>
        <v>0</v>
      </c>
    </row>
    <row r="818" spans="1:57" x14ac:dyDescent="0.25">
      <c r="B818" s="61" t="s">
        <v>199</v>
      </c>
      <c r="C818" s="50">
        <f>SUM(C798:C817)</f>
        <v>565200</v>
      </c>
      <c r="D818" s="50">
        <f t="shared" ref="D818:BB818" si="1271">SUM(D798:D817)</f>
        <v>563039.99999999988</v>
      </c>
      <c r="E818" s="50">
        <f t="shared" si="1271"/>
        <v>571680</v>
      </c>
      <c r="F818" s="50">
        <f t="shared" si="1271"/>
        <v>556200</v>
      </c>
      <c r="G818" s="50">
        <f t="shared" si="1271"/>
        <v>575999.99999999988</v>
      </c>
      <c r="H818" s="50">
        <f t="shared" si="1271"/>
        <v>571680</v>
      </c>
      <c r="I818" s="50">
        <f t="shared" si="1271"/>
        <v>568080</v>
      </c>
      <c r="J818" s="50">
        <f t="shared" si="1271"/>
        <v>567720</v>
      </c>
      <c r="K818" s="50">
        <f t="shared" si="1271"/>
        <v>575280</v>
      </c>
      <c r="L818" s="50">
        <f t="shared" si="1271"/>
        <v>555840</v>
      </c>
      <c r="M818" s="50">
        <f t="shared" si="1271"/>
        <v>571680</v>
      </c>
      <c r="N818" s="50">
        <f t="shared" si="1271"/>
        <v>567000</v>
      </c>
      <c r="O818" s="50">
        <f t="shared" si="1271"/>
        <v>562680</v>
      </c>
      <c r="P818" s="50">
        <f t="shared" si="1271"/>
        <v>569160</v>
      </c>
      <c r="Q818" s="50">
        <f t="shared" si="1271"/>
        <v>562320</v>
      </c>
      <c r="R818" s="50">
        <f t="shared" si="1271"/>
        <v>574200</v>
      </c>
      <c r="S818" s="50">
        <f t="shared" si="1271"/>
        <v>572040</v>
      </c>
      <c r="T818" s="50">
        <f t="shared" si="1271"/>
        <v>569520</v>
      </c>
      <c r="U818" s="50">
        <f t="shared" si="1271"/>
        <v>567000</v>
      </c>
      <c r="V818" s="50">
        <f t="shared" si="1271"/>
        <v>570960</v>
      </c>
      <c r="W818" s="50">
        <f t="shared" si="1271"/>
        <v>560160</v>
      </c>
      <c r="X818" s="50">
        <f t="shared" si="1271"/>
        <v>572400</v>
      </c>
      <c r="Y818" s="50">
        <f t="shared" si="1271"/>
        <v>565920</v>
      </c>
      <c r="Z818" s="50">
        <f t="shared" si="1271"/>
        <v>561600</v>
      </c>
      <c r="AA818" s="50">
        <f t="shared" si="1271"/>
        <v>571680</v>
      </c>
      <c r="AB818" s="50">
        <f t="shared" si="1271"/>
        <v>556920</v>
      </c>
      <c r="AC818" s="50">
        <f t="shared" si="1271"/>
        <v>574560</v>
      </c>
      <c r="AD818" s="50">
        <f t="shared" si="1271"/>
        <v>572400</v>
      </c>
      <c r="AE818" s="50">
        <f t="shared" si="1271"/>
        <v>568080</v>
      </c>
      <c r="AF818" s="50">
        <f t="shared" si="1271"/>
        <v>567720</v>
      </c>
      <c r="AG818" s="50">
        <f t="shared" si="1271"/>
        <v>575280</v>
      </c>
      <c r="AH818" s="50">
        <f t="shared" si="1271"/>
        <v>555840</v>
      </c>
      <c r="AI818" s="50">
        <f t="shared" si="1271"/>
        <v>577080</v>
      </c>
      <c r="AJ818" s="50">
        <f t="shared" si="1271"/>
        <v>568800</v>
      </c>
      <c r="AK818" s="50">
        <f t="shared" si="1271"/>
        <v>568080</v>
      </c>
      <c r="AL818" s="50">
        <f t="shared" si="1271"/>
        <v>566279.99999999988</v>
      </c>
      <c r="AM818" s="50">
        <f t="shared" si="1271"/>
        <v>565560</v>
      </c>
      <c r="AN818" s="50">
        <f t="shared" si="1271"/>
        <v>573120</v>
      </c>
      <c r="AO818" s="50">
        <f t="shared" si="1271"/>
        <v>568440.00000000012</v>
      </c>
      <c r="AP818" s="50">
        <f t="shared" si="1271"/>
        <v>563400</v>
      </c>
      <c r="AQ818" s="50">
        <f t="shared" si="1271"/>
        <v>572400</v>
      </c>
      <c r="AR818" s="50">
        <f t="shared" si="1271"/>
        <v>559080</v>
      </c>
      <c r="AS818" s="50">
        <f t="shared" si="1271"/>
        <v>573120</v>
      </c>
      <c r="AT818" s="50">
        <f t="shared" si="1271"/>
        <v>569520</v>
      </c>
      <c r="AU818" s="50">
        <f t="shared" si="1271"/>
        <v>568080</v>
      </c>
      <c r="AV818" s="50">
        <f t="shared" si="1271"/>
        <v>562680</v>
      </c>
      <c r="AW818" s="50">
        <f t="shared" si="1271"/>
        <v>571320</v>
      </c>
      <c r="AX818" s="50">
        <f t="shared" si="1271"/>
        <v>556560</v>
      </c>
      <c r="AY818" s="50">
        <f t="shared" si="1271"/>
        <v>573120</v>
      </c>
      <c r="AZ818" s="50">
        <f t="shared" si="1271"/>
        <v>568800</v>
      </c>
      <c r="BA818" s="50">
        <f t="shared" si="1271"/>
        <v>568800</v>
      </c>
      <c r="BB818" s="50">
        <f t="shared" si="1271"/>
        <v>584640</v>
      </c>
      <c r="BC818" s="50">
        <f t="shared" si="1232"/>
        <v>29538720</v>
      </c>
    </row>
    <row r="819" spans="1:57" x14ac:dyDescent="0.25">
      <c r="B819" s="61" t="s">
        <v>198</v>
      </c>
      <c r="C819" s="19" t="b">
        <f t="shared" ref="C819:AH819" si="1272">IF(C818=C96,TRUE,FALSE)</f>
        <v>1</v>
      </c>
      <c r="D819" s="19" t="b">
        <f t="shared" si="1272"/>
        <v>1</v>
      </c>
      <c r="E819" s="19" t="b">
        <f t="shared" si="1272"/>
        <v>1</v>
      </c>
      <c r="F819" s="19" t="b">
        <f t="shared" si="1272"/>
        <v>1</v>
      </c>
      <c r="G819" s="19" t="b">
        <f t="shared" si="1272"/>
        <v>1</v>
      </c>
      <c r="H819" s="19" t="b">
        <f t="shared" si="1272"/>
        <v>1</v>
      </c>
      <c r="I819" s="19" t="b">
        <f t="shared" si="1272"/>
        <v>1</v>
      </c>
      <c r="J819" s="19" t="b">
        <f t="shared" si="1272"/>
        <v>1</v>
      </c>
      <c r="K819" s="19" t="b">
        <f t="shared" si="1272"/>
        <v>1</v>
      </c>
      <c r="L819" s="19" t="b">
        <f t="shared" si="1272"/>
        <v>1</v>
      </c>
      <c r="M819" s="19" t="b">
        <f t="shared" si="1272"/>
        <v>1</v>
      </c>
      <c r="N819" s="19" t="b">
        <f t="shared" si="1272"/>
        <v>1</v>
      </c>
      <c r="O819" s="19" t="b">
        <f t="shared" si="1272"/>
        <v>1</v>
      </c>
      <c r="P819" s="19" t="b">
        <f t="shared" si="1272"/>
        <v>1</v>
      </c>
      <c r="Q819" s="19" t="b">
        <f t="shared" si="1272"/>
        <v>1</v>
      </c>
      <c r="R819" s="19" t="b">
        <f t="shared" si="1272"/>
        <v>1</v>
      </c>
      <c r="S819" s="19" t="b">
        <f t="shared" si="1272"/>
        <v>1</v>
      </c>
      <c r="T819" s="19" t="b">
        <f t="shared" si="1272"/>
        <v>1</v>
      </c>
      <c r="U819" s="19" t="b">
        <f t="shared" si="1272"/>
        <v>1</v>
      </c>
      <c r="V819" s="19" t="b">
        <f t="shared" si="1272"/>
        <v>1</v>
      </c>
      <c r="W819" s="19" t="b">
        <f t="shared" si="1272"/>
        <v>1</v>
      </c>
      <c r="X819" s="19" t="b">
        <f t="shared" si="1272"/>
        <v>1</v>
      </c>
      <c r="Y819" s="19" t="b">
        <f t="shared" si="1272"/>
        <v>1</v>
      </c>
      <c r="Z819" s="19" t="b">
        <f t="shared" si="1272"/>
        <v>1</v>
      </c>
      <c r="AA819" s="19" t="b">
        <f t="shared" si="1272"/>
        <v>1</v>
      </c>
      <c r="AB819" s="19" t="b">
        <f t="shared" si="1272"/>
        <v>1</v>
      </c>
      <c r="AC819" s="19" t="b">
        <f t="shared" si="1272"/>
        <v>1</v>
      </c>
      <c r="AD819" s="19" t="b">
        <f t="shared" si="1272"/>
        <v>1</v>
      </c>
      <c r="AE819" s="19" t="b">
        <f t="shared" si="1272"/>
        <v>1</v>
      </c>
      <c r="AF819" s="19" t="b">
        <f t="shared" si="1272"/>
        <v>1</v>
      </c>
      <c r="AG819" s="19" t="b">
        <f t="shared" si="1272"/>
        <v>1</v>
      </c>
      <c r="AH819" s="19" t="b">
        <f t="shared" si="1272"/>
        <v>1</v>
      </c>
      <c r="AI819" s="19" t="b">
        <f t="shared" ref="AI819:BC819" si="1273">IF(AI818=AI96,TRUE,FALSE)</f>
        <v>1</v>
      </c>
      <c r="AJ819" s="19" t="b">
        <f t="shared" si="1273"/>
        <v>1</v>
      </c>
      <c r="AK819" s="19" t="b">
        <f t="shared" si="1273"/>
        <v>1</v>
      </c>
      <c r="AL819" s="19" t="b">
        <f t="shared" si="1273"/>
        <v>1</v>
      </c>
      <c r="AM819" s="19" t="b">
        <f t="shared" si="1273"/>
        <v>1</v>
      </c>
      <c r="AN819" s="19" t="b">
        <f t="shared" si="1273"/>
        <v>1</v>
      </c>
      <c r="AO819" s="19" t="b">
        <f t="shared" si="1273"/>
        <v>1</v>
      </c>
      <c r="AP819" s="19" t="b">
        <f t="shared" si="1273"/>
        <v>1</v>
      </c>
      <c r="AQ819" s="19" t="b">
        <f t="shared" si="1273"/>
        <v>1</v>
      </c>
      <c r="AR819" s="19" t="b">
        <f t="shared" si="1273"/>
        <v>1</v>
      </c>
      <c r="AS819" s="19" t="b">
        <f t="shared" si="1273"/>
        <v>1</v>
      </c>
      <c r="AT819" s="19" t="b">
        <f t="shared" si="1273"/>
        <v>1</v>
      </c>
      <c r="AU819" s="19" t="b">
        <f t="shared" si="1273"/>
        <v>1</v>
      </c>
      <c r="AV819" s="19" t="b">
        <f t="shared" si="1273"/>
        <v>1</v>
      </c>
      <c r="AW819" s="19" t="b">
        <f t="shared" si="1273"/>
        <v>1</v>
      </c>
      <c r="AX819" s="19" t="b">
        <f t="shared" si="1273"/>
        <v>1</v>
      </c>
      <c r="AY819" s="19" t="b">
        <f t="shared" si="1273"/>
        <v>1</v>
      </c>
      <c r="AZ819" s="19" t="b">
        <f t="shared" si="1273"/>
        <v>1</v>
      </c>
      <c r="BA819" s="19" t="b">
        <f t="shared" si="1273"/>
        <v>1</v>
      </c>
      <c r="BB819" s="19" t="b">
        <f t="shared" si="1273"/>
        <v>1</v>
      </c>
      <c r="BC819" s="19" t="b">
        <f t="shared" si="1273"/>
        <v>1</v>
      </c>
    </row>
    <row r="820" spans="1:57" x14ac:dyDescent="0.25">
      <c r="B820" s="19" t="s">
        <v>200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</row>
    <row r="823" spans="1:57" x14ac:dyDescent="0.25">
      <c r="B823" s="175" t="s">
        <v>193</v>
      </c>
      <c r="C823" s="175" t="s">
        <v>194</v>
      </c>
      <c r="D823" s="175" t="s">
        <v>225</v>
      </c>
      <c r="E823" s="190"/>
      <c r="F823" s="190"/>
      <c r="G823" s="190"/>
      <c r="H823" s="190"/>
      <c r="I823" s="190"/>
      <c r="J823" s="190"/>
      <c r="K823" s="190"/>
      <c r="L823" s="190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  <c r="AA823" s="190"/>
      <c r="AB823" s="190"/>
      <c r="AC823" s="190"/>
      <c r="AD823" s="190"/>
      <c r="AE823" s="190"/>
      <c r="AF823" s="190"/>
      <c r="AG823" s="190"/>
      <c r="AH823" s="190"/>
      <c r="AI823" s="190"/>
      <c r="AJ823" s="190"/>
      <c r="AK823" s="190"/>
      <c r="AL823" s="190"/>
      <c r="AM823" s="190"/>
      <c r="AN823" s="190"/>
      <c r="AO823" s="190"/>
      <c r="AP823" s="190"/>
      <c r="AQ823" s="190"/>
      <c r="AR823" s="190"/>
      <c r="AS823" s="190"/>
      <c r="AT823" s="190"/>
      <c r="AU823" s="190"/>
      <c r="AV823" s="190"/>
      <c r="AW823" s="190"/>
      <c r="AX823" s="190"/>
      <c r="AY823" s="190"/>
      <c r="AZ823" s="190"/>
      <c r="BA823" s="190"/>
      <c r="BB823" s="190"/>
      <c r="BC823" s="190"/>
      <c r="BD823" s="176" t="s">
        <v>233</v>
      </c>
    </row>
    <row r="824" spans="1:57" s="1" customFormat="1" x14ac:dyDescent="0.25">
      <c r="B824" s="175"/>
      <c r="C824" s="175"/>
      <c r="D824" s="61">
        <f>C797</f>
        <v>1</v>
      </c>
      <c r="E824" s="61">
        <f t="shared" ref="E824:BC824" si="1274">D797</f>
        <v>2</v>
      </c>
      <c r="F824" s="61">
        <f t="shared" si="1274"/>
        <v>3</v>
      </c>
      <c r="G824" s="61">
        <f t="shared" si="1274"/>
        <v>4</v>
      </c>
      <c r="H824" s="61">
        <f t="shared" si="1274"/>
        <v>5</v>
      </c>
      <c r="I824" s="61">
        <f t="shared" si="1274"/>
        <v>6</v>
      </c>
      <c r="J824" s="61">
        <f t="shared" si="1274"/>
        <v>7</v>
      </c>
      <c r="K824" s="61">
        <f t="shared" si="1274"/>
        <v>8</v>
      </c>
      <c r="L824" s="61">
        <f t="shared" si="1274"/>
        <v>9</v>
      </c>
      <c r="M824" s="61">
        <f t="shared" si="1274"/>
        <v>10</v>
      </c>
      <c r="N824" s="61">
        <f t="shared" si="1274"/>
        <v>11</v>
      </c>
      <c r="O824" s="61">
        <f t="shared" si="1274"/>
        <v>12</v>
      </c>
      <c r="P824" s="61">
        <f t="shared" si="1274"/>
        <v>13</v>
      </c>
      <c r="Q824" s="61">
        <f t="shared" si="1274"/>
        <v>14</v>
      </c>
      <c r="R824" s="61">
        <f t="shared" si="1274"/>
        <v>15</v>
      </c>
      <c r="S824" s="61">
        <f t="shared" si="1274"/>
        <v>16</v>
      </c>
      <c r="T824" s="61">
        <f t="shared" si="1274"/>
        <v>17</v>
      </c>
      <c r="U824" s="61">
        <f t="shared" si="1274"/>
        <v>18</v>
      </c>
      <c r="V824" s="61">
        <f t="shared" si="1274"/>
        <v>19</v>
      </c>
      <c r="W824" s="61">
        <f t="shared" si="1274"/>
        <v>20</v>
      </c>
      <c r="X824" s="61">
        <f t="shared" si="1274"/>
        <v>21</v>
      </c>
      <c r="Y824" s="61">
        <f t="shared" si="1274"/>
        <v>22</v>
      </c>
      <c r="Z824" s="61">
        <f t="shared" si="1274"/>
        <v>23</v>
      </c>
      <c r="AA824" s="61">
        <f t="shared" si="1274"/>
        <v>24</v>
      </c>
      <c r="AB824" s="61">
        <f t="shared" si="1274"/>
        <v>25</v>
      </c>
      <c r="AC824" s="61">
        <f t="shared" si="1274"/>
        <v>26</v>
      </c>
      <c r="AD824" s="61">
        <f t="shared" si="1274"/>
        <v>27</v>
      </c>
      <c r="AE824" s="61">
        <f t="shared" si="1274"/>
        <v>28</v>
      </c>
      <c r="AF824" s="61">
        <f t="shared" si="1274"/>
        <v>29</v>
      </c>
      <c r="AG824" s="61">
        <f t="shared" si="1274"/>
        <v>30</v>
      </c>
      <c r="AH824" s="61">
        <f t="shared" si="1274"/>
        <v>31</v>
      </c>
      <c r="AI824" s="61">
        <f t="shared" si="1274"/>
        <v>32</v>
      </c>
      <c r="AJ824" s="61">
        <f t="shared" si="1274"/>
        <v>33</v>
      </c>
      <c r="AK824" s="61">
        <f t="shared" si="1274"/>
        <v>34</v>
      </c>
      <c r="AL824" s="61">
        <f t="shared" si="1274"/>
        <v>35</v>
      </c>
      <c r="AM824" s="61">
        <f t="shared" si="1274"/>
        <v>36</v>
      </c>
      <c r="AN824" s="61">
        <f t="shared" si="1274"/>
        <v>37</v>
      </c>
      <c r="AO824" s="61">
        <f t="shared" si="1274"/>
        <v>38</v>
      </c>
      <c r="AP824" s="61">
        <f t="shared" si="1274"/>
        <v>39</v>
      </c>
      <c r="AQ824" s="61">
        <f t="shared" si="1274"/>
        <v>40</v>
      </c>
      <c r="AR824" s="61">
        <f t="shared" si="1274"/>
        <v>41</v>
      </c>
      <c r="AS824" s="61">
        <f t="shared" si="1274"/>
        <v>42</v>
      </c>
      <c r="AT824" s="61">
        <f t="shared" si="1274"/>
        <v>43</v>
      </c>
      <c r="AU824" s="61">
        <f t="shared" si="1274"/>
        <v>44</v>
      </c>
      <c r="AV824" s="61">
        <f t="shared" si="1274"/>
        <v>45</v>
      </c>
      <c r="AW824" s="61">
        <f t="shared" si="1274"/>
        <v>46</v>
      </c>
      <c r="AX824" s="61">
        <f t="shared" si="1274"/>
        <v>47</v>
      </c>
      <c r="AY824" s="61">
        <f t="shared" si="1274"/>
        <v>48</v>
      </c>
      <c r="AZ824" s="61">
        <f t="shared" si="1274"/>
        <v>49</v>
      </c>
      <c r="BA824" s="61">
        <f t="shared" si="1274"/>
        <v>50</v>
      </c>
      <c r="BB824" s="61">
        <f t="shared" si="1274"/>
        <v>51</v>
      </c>
      <c r="BC824" s="61">
        <f t="shared" si="1274"/>
        <v>52</v>
      </c>
      <c r="BD824" s="176"/>
    </row>
    <row r="825" spans="1:57" x14ac:dyDescent="0.25">
      <c r="A825">
        <f>A798</f>
        <v>8</v>
      </c>
      <c r="B825" s="19" t="str">
        <f t="shared" ref="B825:B844" si="1275">B763</f>
        <v>Product A</v>
      </c>
      <c r="C825" s="50">
        <f>C10</f>
        <v>9</v>
      </c>
      <c r="D825" s="50">
        <f t="shared" ref="D825:AI825" si="1276">IF(AND(C$190&gt;0,$A825&gt;0),IF(C798=0,0,C798/C763),0)</f>
        <v>11.244031830238727</v>
      </c>
      <c r="E825" s="50">
        <f t="shared" si="1276"/>
        <v>0</v>
      </c>
      <c r="F825" s="50">
        <f t="shared" si="1276"/>
        <v>9.9345819656304304</v>
      </c>
      <c r="G825" s="50">
        <f t="shared" si="1276"/>
        <v>0</v>
      </c>
      <c r="H825" s="50">
        <f t="shared" si="1276"/>
        <v>12.693437806072478</v>
      </c>
      <c r="I825" s="50">
        <f t="shared" si="1276"/>
        <v>0</v>
      </c>
      <c r="J825" s="50">
        <f t="shared" si="1276"/>
        <v>0</v>
      </c>
      <c r="K825" s="50">
        <f t="shared" si="1276"/>
        <v>0</v>
      </c>
      <c r="L825" s="50">
        <f t="shared" si="1276"/>
        <v>10.045634458672875</v>
      </c>
      <c r="M825" s="50">
        <f t="shared" si="1276"/>
        <v>0</v>
      </c>
      <c r="N825" s="50">
        <f t="shared" si="1276"/>
        <v>0</v>
      </c>
      <c r="O825" s="50">
        <f t="shared" si="1276"/>
        <v>0</v>
      </c>
      <c r="P825" s="50">
        <f t="shared" si="1276"/>
        <v>11.193899204244032</v>
      </c>
      <c r="Q825" s="50">
        <f t="shared" si="1276"/>
        <v>10.350454637300464</v>
      </c>
      <c r="R825" s="50">
        <f t="shared" si="1276"/>
        <v>0</v>
      </c>
      <c r="S825" s="50">
        <f t="shared" si="1276"/>
        <v>0</v>
      </c>
      <c r="T825" s="50">
        <f t="shared" si="1276"/>
        <v>12.606170421155729</v>
      </c>
      <c r="U825" s="50">
        <f t="shared" si="1276"/>
        <v>0</v>
      </c>
      <c r="V825" s="50">
        <f t="shared" si="1276"/>
        <v>0</v>
      </c>
      <c r="W825" s="50">
        <f t="shared" si="1276"/>
        <v>10.696586178184846</v>
      </c>
      <c r="X825" s="50">
        <f t="shared" si="1276"/>
        <v>9.931914893617023</v>
      </c>
      <c r="Y825" s="50">
        <f t="shared" si="1276"/>
        <v>0</v>
      </c>
      <c r="Z825" s="50">
        <f t="shared" si="1276"/>
        <v>0</v>
      </c>
      <c r="AA825" s="50">
        <f t="shared" si="1276"/>
        <v>0</v>
      </c>
      <c r="AB825" s="50">
        <f t="shared" si="1276"/>
        <v>11.372944297082228</v>
      </c>
      <c r="AC825" s="50">
        <f t="shared" si="1276"/>
        <v>0</v>
      </c>
      <c r="AD825" s="50">
        <f t="shared" si="1276"/>
        <v>9.984630237497587</v>
      </c>
      <c r="AE825" s="50">
        <f t="shared" si="1276"/>
        <v>0</v>
      </c>
      <c r="AF825" s="50">
        <f t="shared" si="1276"/>
        <v>12.518903036238981</v>
      </c>
      <c r="AG825" s="50">
        <f t="shared" si="1276"/>
        <v>0</v>
      </c>
      <c r="AH825" s="50">
        <f t="shared" si="1276"/>
        <v>0</v>
      </c>
      <c r="AI825" s="50">
        <f t="shared" si="1276"/>
        <v>10.413322231473773</v>
      </c>
      <c r="AJ825" s="50">
        <f t="shared" ref="AJ825:BC825" si="1277">IF(AND(AI$190&gt;0,$A825&gt;0),IF(AI798=0,0,AI798/AI763),0)</f>
        <v>10.231914893617022</v>
      </c>
      <c r="AK825" s="50">
        <f t="shared" si="1277"/>
        <v>0</v>
      </c>
      <c r="AL825" s="50">
        <f t="shared" si="1277"/>
        <v>0</v>
      </c>
      <c r="AM825" s="50">
        <f t="shared" si="1277"/>
        <v>0</v>
      </c>
      <c r="AN825" s="50">
        <f t="shared" si="1277"/>
        <v>11.251193633952255</v>
      </c>
      <c r="AO825" s="50">
        <f t="shared" si="1277"/>
        <v>10.42246918569408</v>
      </c>
      <c r="AP825" s="50">
        <f t="shared" si="1277"/>
        <v>0</v>
      </c>
      <c r="AQ825" s="50">
        <f t="shared" si="1277"/>
        <v>0</v>
      </c>
      <c r="AR825" s="50">
        <f t="shared" si="1277"/>
        <v>12.614103819784525</v>
      </c>
      <c r="AS825" s="50">
        <f t="shared" si="1277"/>
        <v>0</v>
      </c>
      <c r="AT825" s="50">
        <f t="shared" si="1277"/>
        <v>10.135743761053252</v>
      </c>
      <c r="AU825" s="50">
        <f t="shared" si="1277"/>
        <v>0</v>
      </c>
      <c r="AV825" s="50">
        <f t="shared" si="1277"/>
        <v>10.12620320855615</v>
      </c>
      <c r="AW825" s="50">
        <f t="shared" si="1277"/>
        <v>9.8735036069409237</v>
      </c>
      <c r="AX825" s="50">
        <f t="shared" si="1277"/>
        <v>0</v>
      </c>
      <c r="AY825" s="50">
        <f t="shared" si="1277"/>
        <v>0</v>
      </c>
      <c r="AZ825" s="50">
        <f t="shared" si="1277"/>
        <v>10.007916181606518</v>
      </c>
      <c r="BA825" s="50">
        <f t="shared" si="1277"/>
        <v>0</v>
      </c>
      <c r="BB825" s="50">
        <f t="shared" si="1277"/>
        <v>0</v>
      </c>
      <c r="BC825" s="50">
        <f t="shared" si="1277"/>
        <v>0</v>
      </c>
      <c r="BD825" s="19">
        <f t="shared" ref="BD825:BD844" si="1278">IF($A825&gt;0,BC798/BC763,0)</f>
        <v>10.985465559697433</v>
      </c>
      <c r="BE825" s="124"/>
    </row>
    <row r="826" spans="1:57" x14ac:dyDescent="0.25">
      <c r="A826">
        <f t="shared" ref="A826:A844" si="1279">A799</f>
        <v>7</v>
      </c>
      <c r="B826" s="19" t="str">
        <f t="shared" si="1275"/>
        <v>Product B</v>
      </c>
      <c r="C826" s="50">
        <f t="shared" ref="C826:C844" si="1280">C11</f>
        <v>9.8000000000000007</v>
      </c>
      <c r="D826" s="50">
        <f t="shared" ref="D826:AI826" si="1281">IF(AND(C$190&gt;0,$A826&gt;0),IF(C799=0,0,C799/C764),0)</f>
        <v>12.243501326259947</v>
      </c>
      <c r="E826" s="50">
        <f t="shared" si="1281"/>
        <v>11.149306930693069</v>
      </c>
      <c r="F826" s="50">
        <f t="shared" si="1281"/>
        <v>0</v>
      </c>
      <c r="G826" s="50">
        <f t="shared" si="1281"/>
        <v>14.005035971223025</v>
      </c>
      <c r="H826" s="50">
        <f t="shared" si="1281"/>
        <v>13.821743388834477</v>
      </c>
      <c r="I826" s="50">
        <f t="shared" si="1281"/>
        <v>12.553134662782881</v>
      </c>
      <c r="J826" s="50">
        <f t="shared" si="1281"/>
        <v>0</v>
      </c>
      <c r="K826" s="50">
        <f t="shared" si="1281"/>
        <v>11.523728251864128</v>
      </c>
      <c r="L826" s="50">
        <f t="shared" si="1281"/>
        <v>10.938579743888242</v>
      </c>
      <c r="M826" s="50">
        <f t="shared" si="1281"/>
        <v>13.51335152567601</v>
      </c>
      <c r="N826" s="50">
        <f t="shared" si="1281"/>
        <v>0</v>
      </c>
      <c r="O826" s="50">
        <f t="shared" si="1281"/>
        <v>0</v>
      </c>
      <c r="P826" s="50">
        <f t="shared" si="1281"/>
        <v>12.188912466843501</v>
      </c>
      <c r="Q826" s="50">
        <f t="shared" si="1281"/>
        <v>11.27049504950495</v>
      </c>
      <c r="R826" s="50">
        <f t="shared" si="1281"/>
        <v>0</v>
      </c>
      <c r="S826" s="50">
        <f t="shared" si="1281"/>
        <v>0</v>
      </c>
      <c r="T826" s="50">
        <f t="shared" si="1281"/>
        <v>13.72671890303624</v>
      </c>
      <c r="U826" s="50">
        <f t="shared" si="1281"/>
        <v>12.516923076923076</v>
      </c>
      <c r="V826" s="50">
        <f t="shared" si="1281"/>
        <v>0</v>
      </c>
      <c r="W826" s="50">
        <f t="shared" si="1281"/>
        <v>0</v>
      </c>
      <c r="X826" s="50">
        <f t="shared" si="1281"/>
        <v>10.814751773049645</v>
      </c>
      <c r="Y826" s="50">
        <f t="shared" si="1281"/>
        <v>13.91595137682957</v>
      </c>
      <c r="Z826" s="50">
        <f t="shared" si="1281"/>
        <v>0</v>
      </c>
      <c r="AA826" s="50">
        <f t="shared" si="1281"/>
        <v>0</v>
      </c>
      <c r="AB826" s="50">
        <f t="shared" si="1281"/>
        <v>12.383872679045092</v>
      </c>
      <c r="AC826" s="50">
        <f t="shared" si="1281"/>
        <v>11.014764883955602</v>
      </c>
      <c r="AD826" s="50">
        <f t="shared" si="1281"/>
        <v>0</v>
      </c>
      <c r="AE826" s="50">
        <f t="shared" si="1281"/>
        <v>0</v>
      </c>
      <c r="AF826" s="50">
        <f t="shared" si="1281"/>
        <v>13.631694417238002</v>
      </c>
      <c r="AG826" s="50">
        <f t="shared" si="1281"/>
        <v>12.466179699753528</v>
      </c>
      <c r="AH826" s="50">
        <f t="shared" si="1281"/>
        <v>0</v>
      </c>
      <c r="AI826" s="50">
        <f t="shared" si="1281"/>
        <v>0</v>
      </c>
      <c r="AJ826" s="50">
        <f t="shared" ref="AJ826:BC826" si="1282">IF(AND(AI$190&gt;0,$A826&gt;0),IF(AI799=0,0,AI799/AI764),0)</f>
        <v>11.141418439716311</v>
      </c>
      <c r="AK826" s="50">
        <f t="shared" si="1282"/>
        <v>13.828429670057057</v>
      </c>
      <c r="AL826" s="50">
        <f t="shared" si="1282"/>
        <v>0</v>
      </c>
      <c r="AM826" s="50">
        <f t="shared" si="1282"/>
        <v>0</v>
      </c>
      <c r="AN826" s="50">
        <f t="shared" si="1282"/>
        <v>12.251299734748011</v>
      </c>
      <c r="AO826" s="50">
        <f t="shared" si="1282"/>
        <v>11.348910891089108</v>
      </c>
      <c r="AP826" s="50">
        <f t="shared" si="1282"/>
        <v>0</v>
      </c>
      <c r="AQ826" s="50">
        <f t="shared" si="1282"/>
        <v>0</v>
      </c>
      <c r="AR826" s="50">
        <f t="shared" si="1282"/>
        <v>13.735357492654261</v>
      </c>
      <c r="AS826" s="50">
        <f t="shared" si="1282"/>
        <v>12.27645978041676</v>
      </c>
      <c r="AT826" s="50">
        <f t="shared" si="1282"/>
        <v>0</v>
      </c>
      <c r="AU826" s="50">
        <f t="shared" si="1282"/>
        <v>11.109267515923568</v>
      </c>
      <c r="AV826" s="50">
        <f t="shared" si="1282"/>
        <v>11.026310160427807</v>
      </c>
      <c r="AW826" s="50">
        <f t="shared" si="1282"/>
        <v>10.751148372002341</v>
      </c>
      <c r="AX826" s="50">
        <f t="shared" si="1282"/>
        <v>0</v>
      </c>
      <c r="AY826" s="50">
        <f t="shared" si="1282"/>
        <v>11.297199668599836</v>
      </c>
      <c r="AZ826" s="50">
        <f t="shared" si="1282"/>
        <v>10.897508731082654</v>
      </c>
      <c r="BA826" s="50">
        <f t="shared" si="1282"/>
        <v>13.62561720850648</v>
      </c>
      <c r="BB826" s="50">
        <f t="shared" si="1282"/>
        <v>0</v>
      </c>
      <c r="BC826" s="50">
        <f t="shared" si="1282"/>
        <v>0</v>
      </c>
      <c r="BD826" s="19">
        <f t="shared" si="1278"/>
        <v>12.236099336748346</v>
      </c>
      <c r="BE826" s="124"/>
    </row>
    <row r="827" spans="1:57" x14ac:dyDescent="0.25">
      <c r="A827">
        <f t="shared" si="1279"/>
        <v>6</v>
      </c>
      <c r="B827" s="19" t="str">
        <f t="shared" si="1275"/>
        <v>Product C</v>
      </c>
      <c r="C827" s="50">
        <f t="shared" si="1280"/>
        <v>9.6</v>
      </c>
      <c r="D827" s="50">
        <f t="shared" ref="D827:AI827" si="1283">IF(AND(C$190&gt;0,$A827&gt;0),IF(C800=0,0,C800/C765),0)</f>
        <v>11.993633952254642</v>
      </c>
      <c r="E827" s="50">
        <f t="shared" si="1283"/>
        <v>10.921770054556475</v>
      </c>
      <c r="F827" s="50">
        <f t="shared" si="1283"/>
        <v>10.596887430005793</v>
      </c>
      <c r="G827" s="50">
        <f t="shared" si="1283"/>
        <v>0</v>
      </c>
      <c r="H827" s="50">
        <f t="shared" si="1283"/>
        <v>13.539666993143976</v>
      </c>
      <c r="I827" s="50">
        <f t="shared" si="1283"/>
        <v>12.296948241093434</v>
      </c>
      <c r="J827" s="50">
        <f t="shared" si="1283"/>
        <v>11.755912912265575</v>
      </c>
      <c r="K827" s="50">
        <f t="shared" si="1283"/>
        <v>0</v>
      </c>
      <c r="L827" s="50">
        <f t="shared" si="1283"/>
        <v>10.715343422584402</v>
      </c>
      <c r="M827" s="50">
        <f t="shared" si="1283"/>
        <v>13.237568841478542</v>
      </c>
      <c r="N827" s="50">
        <f t="shared" si="1283"/>
        <v>13.04522937960542</v>
      </c>
      <c r="O827" s="50">
        <f t="shared" si="1283"/>
        <v>0</v>
      </c>
      <c r="P827" s="50">
        <f t="shared" si="1283"/>
        <v>11.940159151193635</v>
      </c>
      <c r="Q827" s="50">
        <f t="shared" si="1283"/>
        <v>11.040484946453828</v>
      </c>
      <c r="R827" s="50">
        <f t="shared" si="1283"/>
        <v>10.399291080716626</v>
      </c>
      <c r="S827" s="50">
        <f t="shared" si="1283"/>
        <v>0</v>
      </c>
      <c r="T827" s="50">
        <f t="shared" si="1283"/>
        <v>13.446581782566113</v>
      </c>
      <c r="U827" s="50">
        <f t="shared" si="1283"/>
        <v>12.261475667189954</v>
      </c>
      <c r="V827" s="50">
        <f t="shared" si="1283"/>
        <v>11.733563267945678</v>
      </c>
      <c r="W827" s="50">
        <f t="shared" si="1283"/>
        <v>0</v>
      </c>
      <c r="X827" s="50">
        <f t="shared" si="1283"/>
        <v>10.594042553191489</v>
      </c>
      <c r="Y827" s="50">
        <f t="shared" si="1283"/>
        <v>13.631952369139171</v>
      </c>
      <c r="Z827" s="50">
        <f t="shared" si="1283"/>
        <v>12.877060914908746</v>
      </c>
      <c r="AA827" s="50">
        <f t="shared" si="1283"/>
        <v>0</v>
      </c>
      <c r="AB827" s="50">
        <f t="shared" si="1283"/>
        <v>12.131140583554377</v>
      </c>
      <c r="AC827" s="50">
        <f t="shared" si="1283"/>
        <v>10.789973763874874</v>
      </c>
      <c r="AD827" s="50">
        <f t="shared" si="1283"/>
        <v>10.65027225333076</v>
      </c>
      <c r="AE827" s="50">
        <f t="shared" si="1283"/>
        <v>0</v>
      </c>
      <c r="AF827" s="50">
        <f t="shared" si="1283"/>
        <v>13.353496571988245</v>
      </c>
      <c r="AG827" s="50">
        <f t="shared" si="1283"/>
        <v>12.211767869146314</v>
      </c>
      <c r="AH827" s="50">
        <f t="shared" si="1283"/>
        <v>11.904910541064885</v>
      </c>
      <c r="AI827" s="50">
        <f t="shared" si="1283"/>
        <v>0</v>
      </c>
      <c r="AJ827" s="50">
        <f t="shared" ref="AJ827:BC827" si="1284">IF(AND(AI$190&gt;0,$A827&gt;0),IF(AI800=0,0,AI800/AI765),0)</f>
        <v>10.914042553191489</v>
      </c>
      <c r="AK827" s="50">
        <f t="shared" si="1284"/>
        <v>13.54621681964773</v>
      </c>
      <c r="AL827" s="50">
        <f t="shared" si="1284"/>
        <v>12.926210002370231</v>
      </c>
      <c r="AM827" s="50">
        <f t="shared" si="1284"/>
        <v>0</v>
      </c>
      <c r="AN827" s="50">
        <f t="shared" si="1284"/>
        <v>12.001273209549073</v>
      </c>
      <c r="AO827" s="50">
        <f t="shared" si="1284"/>
        <v>11.117300464740351</v>
      </c>
      <c r="AP827" s="50">
        <f t="shared" si="1284"/>
        <v>10.512471585436332</v>
      </c>
      <c r="AQ827" s="50">
        <f t="shared" si="1284"/>
        <v>0</v>
      </c>
      <c r="AR827" s="50">
        <f t="shared" si="1284"/>
        <v>13.455044074436827</v>
      </c>
      <c r="AS827" s="50">
        <f t="shared" si="1284"/>
        <v>12.025919784898051</v>
      </c>
      <c r="AT827" s="50">
        <f t="shared" si="1284"/>
        <v>10.811460011790137</v>
      </c>
      <c r="AU827" s="50">
        <f t="shared" si="1284"/>
        <v>0</v>
      </c>
      <c r="AV827" s="50">
        <f t="shared" si="1284"/>
        <v>10.801283422459893</v>
      </c>
      <c r="AW827" s="50">
        <f t="shared" si="1284"/>
        <v>10.531737180736988</v>
      </c>
      <c r="AX827" s="50">
        <f t="shared" si="1284"/>
        <v>11.822961845225265</v>
      </c>
      <c r="AY827" s="50">
        <f t="shared" si="1284"/>
        <v>0</v>
      </c>
      <c r="AZ827" s="50">
        <f t="shared" si="1284"/>
        <v>10.675110593713621</v>
      </c>
      <c r="BA827" s="50">
        <f t="shared" si="1284"/>
        <v>13.347543387924713</v>
      </c>
      <c r="BB827" s="50">
        <f t="shared" si="1284"/>
        <v>12.942593031524058</v>
      </c>
      <c r="BC827" s="50">
        <f t="shared" si="1284"/>
        <v>0</v>
      </c>
      <c r="BD827" s="19">
        <f t="shared" si="1278"/>
        <v>11.906276017296372</v>
      </c>
      <c r="BE827" s="124"/>
    </row>
    <row r="828" spans="1:57" x14ac:dyDescent="0.25">
      <c r="A828">
        <f t="shared" si="1279"/>
        <v>5</v>
      </c>
      <c r="B828" s="19" t="str">
        <f t="shared" si="1275"/>
        <v>Product D</v>
      </c>
      <c r="C828" s="50">
        <f t="shared" si="1280"/>
        <v>11</v>
      </c>
      <c r="D828" s="50">
        <f t="shared" ref="D828:AI828" si="1285">IF(AND(C$190&gt;0,$A828&gt;0),IF(C801=0,0,C801/C766),0)</f>
        <v>13.742705570291777</v>
      </c>
      <c r="E828" s="50">
        <f t="shared" si="1285"/>
        <v>12.514528187512628</v>
      </c>
      <c r="F828" s="50">
        <f t="shared" si="1285"/>
        <v>12.142266846881638</v>
      </c>
      <c r="G828" s="50">
        <f t="shared" si="1285"/>
        <v>15.719938335046249</v>
      </c>
      <c r="H828" s="50">
        <f t="shared" si="1285"/>
        <v>15.514201762977473</v>
      </c>
      <c r="I828" s="50">
        <f t="shared" si="1285"/>
        <v>14.09025319291956</v>
      </c>
      <c r="J828" s="50">
        <f t="shared" si="1285"/>
        <v>13.470316878637638</v>
      </c>
      <c r="K828" s="50">
        <f t="shared" si="1285"/>
        <v>12.934797017398509</v>
      </c>
      <c r="L828" s="50">
        <f t="shared" si="1285"/>
        <v>12.277997671711292</v>
      </c>
      <c r="M828" s="50">
        <f t="shared" si="1285"/>
        <v>15.168047630860832</v>
      </c>
      <c r="N828" s="50">
        <f t="shared" si="1285"/>
        <v>14.947658664131209</v>
      </c>
      <c r="O828" s="50">
        <f t="shared" si="1285"/>
        <v>14.324758842443728</v>
      </c>
      <c r="P828" s="50">
        <f t="shared" si="1285"/>
        <v>13.681432360742704</v>
      </c>
      <c r="Q828" s="50">
        <f t="shared" si="1285"/>
        <v>12.650555667811679</v>
      </c>
      <c r="R828" s="50">
        <f t="shared" si="1285"/>
        <v>11.915854363321134</v>
      </c>
      <c r="S828" s="50">
        <f t="shared" si="1285"/>
        <v>15.814221331997997</v>
      </c>
      <c r="T828" s="50">
        <f t="shared" si="1285"/>
        <v>15.407541625857004</v>
      </c>
      <c r="U828" s="50">
        <f t="shared" si="1285"/>
        <v>14.049607535321822</v>
      </c>
      <c r="V828" s="50">
        <f t="shared" si="1285"/>
        <v>13.444707911187756</v>
      </c>
      <c r="W828" s="50">
        <f t="shared" si="1285"/>
        <v>13.073605328892588</v>
      </c>
      <c r="X828" s="50">
        <f t="shared" si="1285"/>
        <v>12.139007092198582</v>
      </c>
      <c r="Y828" s="50">
        <f t="shared" si="1285"/>
        <v>15.619945422971968</v>
      </c>
      <c r="Z828" s="50">
        <f t="shared" si="1285"/>
        <v>14.754965631666273</v>
      </c>
      <c r="AA828" s="50">
        <f t="shared" si="1285"/>
        <v>14.319888734353267</v>
      </c>
      <c r="AB828" s="50">
        <f t="shared" si="1285"/>
        <v>13.900265251989389</v>
      </c>
      <c r="AC828" s="50">
        <f t="shared" si="1285"/>
        <v>12.363511604439958</v>
      </c>
      <c r="AD828" s="50">
        <f t="shared" si="1285"/>
        <v>12.203436956941493</v>
      </c>
      <c r="AE828" s="50">
        <f t="shared" si="1285"/>
        <v>16.128073770491802</v>
      </c>
      <c r="AF828" s="50">
        <f t="shared" si="1285"/>
        <v>15.300881488736531</v>
      </c>
      <c r="AG828" s="50">
        <f t="shared" si="1285"/>
        <v>13.992650683396819</v>
      </c>
      <c r="AH828" s="50">
        <f t="shared" si="1285"/>
        <v>13.641043328303512</v>
      </c>
      <c r="AI828" s="50">
        <f t="shared" si="1285"/>
        <v>12.727393838467943</v>
      </c>
      <c r="AJ828" s="50">
        <f t="shared" ref="AJ828:BC828" si="1286">IF(AND(AI$190&gt;0,$A828&gt;0),IF(AI801=0,0,AI801/AI766),0)</f>
        <v>12.50567375886525</v>
      </c>
      <c r="AK828" s="50">
        <f t="shared" si="1286"/>
        <v>15.521706772513028</v>
      </c>
      <c r="AL828" s="50">
        <f t="shared" si="1286"/>
        <v>14.811282294382556</v>
      </c>
      <c r="AM828" s="50">
        <f t="shared" si="1286"/>
        <v>14.439221140472879</v>
      </c>
      <c r="AN828" s="50">
        <f t="shared" si="1286"/>
        <v>13.751458885941645</v>
      </c>
      <c r="AO828" s="50">
        <f t="shared" si="1286"/>
        <v>12.738573449181652</v>
      </c>
      <c r="AP828" s="50">
        <f t="shared" si="1286"/>
        <v>12.045540358312465</v>
      </c>
      <c r="AQ828" s="50">
        <f t="shared" si="1286"/>
        <v>15.874487704918034</v>
      </c>
      <c r="AR828" s="50">
        <f t="shared" si="1286"/>
        <v>15.417238001958864</v>
      </c>
      <c r="AS828" s="50">
        <f t="shared" si="1286"/>
        <v>13.779699753529016</v>
      </c>
      <c r="AT828" s="50">
        <f t="shared" si="1286"/>
        <v>12.388131263509528</v>
      </c>
      <c r="AU828" s="50">
        <f t="shared" si="1286"/>
        <v>12.469585987261146</v>
      </c>
      <c r="AV828" s="50">
        <f t="shared" si="1286"/>
        <v>12.376470588235293</v>
      </c>
      <c r="AW828" s="50">
        <f t="shared" si="1286"/>
        <v>12.067615519594462</v>
      </c>
      <c r="AX828" s="50">
        <f t="shared" si="1286"/>
        <v>13.547143780987282</v>
      </c>
      <c r="AY828" s="50">
        <f t="shared" si="1286"/>
        <v>12.680530240265121</v>
      </c>
      <c r="AZ828" s="50">
        <f t="shared" si="1286"/>
        <v>12.231897555296857</v>
      </c>
      <c r="BA828" s="50">
        <f t="shared" si="1286"/>
        <v>15.294060131997066</v>
      </c>
      <c r="BB828" s="50">
        <f t="shared" si="1286"/>
        <v>14.830054515287983</v>
      </c>
      <c r="BC828" s="50">
        <f t="shared" si="1286"/>
        <v>14.907371349095966</v>
      </c>
      <c r="BD828" s="19">
        <f t="shared" si="1278"/>
        <v>13.741104924223153</v>
      </c>
      <c r="BE828" s="124"/>
    </row>
    <row r="829" spans="1:57" x14ac:dyDescent="0.25">
      <c r="A829">
        <f t="shared" si="1279"/>
        <v>4</v>
      </c>
      <c r="B829" s="19" t="str">
        <f t="shared" si="1275"/>
        <v>Product E</v>
      </c>
      <c r="C829" s="50">
        <f t="shared" si="1280"/>
        <v>10.8</v>
      </c>
      <c r="D829" s="50">
        <f t="shared" ref="D829:AI829" si="1287">IF(AND(C$190&gt;0,$A829&gt;0),IF(C802=0,0,C802/C767),0)</f>
        <v>13.492838196286472</v>
      </c>
      <c r="E829" s="50">
        <f t="shared" si="1287"/>
        <v>12.286991311376035</v>
      </c>
      <c r="F829" s="50">
        <f t="shared" si="1287"/>
        <v>11.921498358756518</v>
      </c>
      <c r="G829" s="50">
        <f t="shared" si="1287"/>
        <v>15.434121274409044</v>
      </c>
      <c r="H829" s="50">
        <f t="shared" si="1287"/>
        <v>15.232125367286972</v>
      </c>
      <c r="I829" s="50">
        <f t="shared" si="1287"/>
        <v>13.834066771230118</v>
      </c>
      <c r="J829" s="50">
        <f t="shared" si="1287"/>
        <v>13.22540202629877</v>
      </c>
      <c r="K829" s="50">
        <f t="shared" si="1287"/>
        <v>12.699618889809445</v>
      </c>
      <c r="L829" s="50">
        <f t="shared" si="1287"/>
        <v>12.054761350407452</v>
      </c>
      <c r="M829" s="50">
        <f t="shared" si="1287"/>
        <v>14.89226494666336</v>
      </c>
      <c r="N829" s="50">
        <f t="shared" si="1287"/>
        <v>14.675883052056101</v>
      </c>
      <c r="O829" s="50">
        <f t="shared" si="1287"/>
        <v>14.064308681672026</v>
      </c>
      <c r="P829" s="50">
        <f t="shared" si="1287"/>
        <v>13.432679045092838</v>
      </c>
      <c r="Q829" s="50">
        <f t="shared" si="1287"/>
        <v>12.420545564760557</v>
      </c>
      <c r="R829" s="50">
        <f t="shared" si="1287"/>
        <v>11.699202465806202</v>
      </c>
      <c r="S829" s="50">
        <f t="shared" si="1287"/>
        <v>15.526690035052578</v>
      </c>
      <c r="T829" s="50">
        <f t="shared" si="1287"/>
        <v>15.127404505386876</v>
      </c>
      <c r="U829" s="50">
        <f t="shared" si="1287"/>
        <v>13.794160125588698</v>
      </c>
      <c r="V829" s="50">
        <f t="shared" si="1287"/>
        <v>13.200258676438887</v>
      </c>
      <c r="W829" s="50">
        <f t="shared" si="1287"/>
        <v>12.835903413821814</v>
      </c>
      <c r="X829" s="50">
        <f t="shared" si="1287"/>
        <v>11.918297872340426</v>
      </c>
      <c r="Y829" s="50">
        <f t="shared" si="1287"/>
        <v>15.335946415281567</v>
      </c>
      <c r="Z829" s="50">
        <f t="shared" si="1287"/>
        <v>14.486693529272339</v>
      </c>
      <c r="AA829" s="50">
        <f t="shared" si="1287"/>
        <v>14.059527121001391</v>
      </c>
      <c r="AB829" s="50">
        <f t="shared" si="1287"/>
        <v>13.647533156498673</v>
      </c>
      <c r="AC829" s="50">
        <f t="shared" si="1287"/>
        <v>12.138720484359233</v>
      </c>
      <c r="AD829" s="50">
        <f t="shared" si="1287"/>
        <v>11.981556284997104</v>
      </c>
      <c r="AE829" s="50">
        <f t="shared" si="1287"/>
        <v>15.834836065573771</v>
      </c>
      <c r="AF829" s="50">
        <f t="shared" si="1287"/>
        <v>15.022683643486776</v>
      </c>
      <c r="AG829" s="50">
        <f t="shared" si="1287"/>
        <v>13.738238852789607</v>
      </c>
      <c r="AH829" s="50">
        <f t="shared" si="1287"/>
        <v>13.393024358697994</v>
      </c>
      <c r="AI829" s="50">
        <f t="shared" si="1287"/>
        <v>12.495986677768526</v>
      </c>
      <c r="AJ829" s="50">
        <f t="shared" ref="AJ829:BC829" si="1288">IF(AND(AI$190&gt;0,$A829&gt;0),IF(AI802=0,0,AI802/AI767),0)</f>
        <v>12.278297872340426</v>
      </c>
      <c r="AK829" s="50">
        <f t="shared" si="1288"/>
        <v>15.239493922103696</v>
      </c>
      <c r="AL829" s="50">
        <f t="shared" si="1288"/>
        <v>14.541986252666506</v>
      </c>
      <c r="AM829" s="50">
        <f t="shared" si="1288"/>
        <v>14.176689847009735</v>
      </c>
      <c r="AN829" s="50">
        <f t="shared" si="1288"/>
        <v>13.501432360742704</v>
      </c>
      <c r="AO829" s="50">
        <f t="shared" si="1288"/>
        <v>12.506963022832895</v>
      </c>
      <c r="AP829" s="50">
        <f t="shared" si="1288"/>
        <v>11.826530533615873</v>
      </c>
      <c r="AQ829" s="50">
        <f t="shared" si="1288"/>
        <v>15.585860655737704</v>
      </c>
      <c r="AR829" s="50">
        <f t="shared" si="1288"/>
        <v>15.136924583741429</v>
      </c>
      <c r="AS829" s="50">
        <f t="shared" si="1288"/>
        <v>13.52915975801031</v>
      </c>
      <c r="AT829" s="50">
        <f t="shared" si="1288"/>
        <v>12.162892513263902</v>
      </c>
      <c r="AU829" s="50">
        <f t="shared" si="1288"/>
        <v>12.242866242038215</v>
      </c>
      <c r="AV829" s="50">
        <f t="shared" si="1288"/>
        <v>12.151443850267379</v>
      </c>
      <c r="AW829" s="50">
        <f t="shared" si="1288"/>
        <v>11.848204328329111</v>
      </c>
      <c r="AX829" s="50">
        <f t="shared" si="1288"/>
        <v>13.300832075878422</v>
      </c>
      <c r="AY829" s="50">
        <f t="shared" si="1288"/>
        <v>12.449975144987571</v>
      </c>
      <c r="AZ829" s="50">
        <f t="shared" si="1288"/>
        <v>12.009499417927824</v>
      </c>
      <c r="BA829" s="50">
        <f t="shared" si="1288"/>
        <v>15.015986311415302</v>
      </c>
      <c r="BB829" s="50">
        <f t="shared" si="1288"/>
        <v>14.560417160464564</v>
      </c>
      <c r="BC829" s="50">
        <f t="shared" si="1288"/>
        <v>14.636328233657858</v>
      </c>
      <c r="BD829" s="19">
        <f t="shared" si="1278"/>
        <v>13.461295514014839</v>
      </c>
      <c r="BE829" s="124"/>
    </row>
    <row r="830" spans="1:57" x14ac:dyDescent="0.25">
      <c r="A830">
        <f t="shared" si="1279"/>
        <v>3</v>
      </c>
      <c r="B830" s="19" t="str">
        <f t="shared" si="1275"/>
        <v>Product F</v>
      </c>
      <c r="C830" s="50">
        <f t="shared" si="1280"/>
        <v>10.5</v>
      </c>
      <c r="D830" s="50">
        <f t="shared" ref="D830:AI830" si="1289">IF(AND(C$190&gt;0,$A830&gt;0),IF(C803=0,0,C803/C768),0)</f>
        <v>0</v>
      </c>
      <c r="E830" s="50">
        <f t="shared" si="1289"/>
        <v>11.945685997171145</v>
      </c>
      <c r="F830" s="50">
        <f t="shared" si="1289"/>
        <v>11.590345626568835</v>
      </c>
      <c r="G830" s="50">
        <f t="shared" si="1289"/>
        <v>0</v>
      </c>
      <c r="H830" s="50">
        <f t="shared" si="1289"/>
        <v>0</v>
      </c>
      <c r="I830" s="50">
        <f t="shared" si="1289"/>
        <v>13.449787138695944</v>
      </c>
      <c r="J830" s="50">
        <f t="shared" si="1289"/>
        <v>12.858029747790471</v>
      </c>
      <c r="K830" s="50">
        <f t="shared" si="1289"/>
        <v>12.34685169842585</v>
      </c>
      <c r="L830" s="50">
        <f t="shared" si="1289"/>
        <v>11.719906868451689</v>
      </c>
      <c r="M830" s="50">
        <f t="shared" si="1289"/>
        <v>14.478590920367154</v>
      </c>
      <c r="N830" s="50">
        <f t="shared" si="1289"/>
        <v>14.268219633943428</v>
      </c>
      <c r="O830" s="50">
        <f t="shared" si="1289"/>
        <v>13.67363344051447</v>
      </c>
      <c r="P830" s="50">
        <f t="shared" si="1289"/>
        <v>0</v>
      </c>
      <c r="Q830" s="50">
        <f t="shared" si="1289"/>
        <v>12.075530410183877</v>
      </c>
      <c r="R830" s="50">
        <f t="shared" si="1289"/>
        <v>11.374224619533809</v>
      </c>
      <c r="S830" s="50">
        <f t="shared" si="1289"/>
        <v>15.095393089634454</v>
      </c>
      <c r="T830" s="50">
        <f t="shared" si="1289"/>
        <v>0</v>
      </c>
      <c r="U830" s="50">
        <f t="shared" si="1289"/>
        <v>13.410989010989011</v>
      </c>
      <c r="V830" s="50">
        <f t="shared" si="1289"/>
        <v>12.833584824315583</v>
      </c>
      <c r="W830" s="50">
        <f t="shared" si="1289"/>
        <v>12.479350541215656</v>
      </c>
      <c r="X830" s="50">
        <f t="shared" si="1289"/>
        <v>0</v>
      </c>
      <c r="Y830" s="50">
        <f t="shared" si="1289"/>
        <v>14.909947903745968</v>
      </c>
      <c r="Z830" s="50">
        <f t="shared" si="1289"/>
        <v>14.084285375681443</v>
      </c>
      <c r="AA830" s="50">
        <f t="shared" si="1289"/>
        <v>13.668984700973574</v>
      </c>
      <c r="AB830" s="50">
        <f t="shared" si="1289"/>
        <v>0</v>
      </c>
      <c r="AC830" s="50">
        <f t="shared" si="1289"/>
        <v>11.801533804238142</v>
      </c>
      <c r="AD830" s="50">
        <f t="shared" si="1289"/>
        <v>11.648735277080517</v>
      </c>
      <c r="AE830" s="50">
        <f t="shared" si="1289"/>
        <v>15.39497950819672</v>
      </c>
      <c r="AF830" s="50">
        <f t="shared" si="1289"/>
        <v>0</v>
      </c>
      <c r="AG830" s="50">
        <f t="shared" si="1289"/>
        <v>13.356621106878782</v>
      </c>
      <c r="AH830" s="50">
        <f t="shared" si="1289"/>
        <v>13.020995904289716</v>
      </c>
      <c r="AI830" s="50">
        <f t="shared" si="1289"/>
        <v>12.148875936719401</v>
      </c>
      <c r="AJ830" s="50">
        <f t="shared" ref="AJ830:BC830" si="1290">IF(AND(AI$190&gt;0,$A830&gt;0),IF(AI803=0,0,AI803/AI768),0)</f>
        <v>0</v>
      </c>
      <c r="AK830" s="50">
        <f t="shared" si="1290"/>
        <v>14.816174646489703</v>
      </c>
      <c r="AL830" s="50">
        <f t="shared" si="1290"/>
        <v>14.13804219009244</v>
      </c>
      <c r="AM830" s="50">
        <f t="shared" si="1290"/>
        <v>13.78289290681502</v>
      </c>
      <c r="AN830" s="50">
        <f t="shared" si="1290"/>
        <v>0</v>
      </c>
      <c r="AO830" s="50">
        <f t="shared" si="1290"/>
        <v>12.159547383309759</v>
      </c>
      <c r="AP830" s="50">
        <f t="shared" si="1290"/>
        <v>11.498015796570987</v>
      </c>
      <c r="AQ830" s="50">
        <f t="shared" si="1290"/>
        <v>15.152920081967212</v>
      </c>
      <c r="AR830" s="50">
        <f t="shared" si="1290"/>
        <v>0</v>
      </c>
      <c r="AS830" s="50">
        <f t="shared" si="1290"/>
        <v>13.153349764732242</v>
      </c>
      <c r="AT830" s="50">
        <f t="shared" si="1290"/>
        <v>11.825034387895462</v>
      </c>
      <c r="AU830" s="50">
        <f t="shared" si="1290"/>
        <v>11.902786624203822</v>
      </c>
      <c r="AV830" s="50">
        <f t="shared" si="1290"/>
        <v>11.813903743315509</v>
      </c>
      <c r="AW830" s="50">
        <f t="shared" si="1290"/>
        <v>11.519087541431078</v>
      </c>
      <c r="AX830" s="50">
        <f t="shared" si="1290"/>
        <v>12.931364518215132</v>
      </c>
      <c r="AY830" s="50">
        <f t="shared" si="1290"/>
        <v>12.10414250207125</v>
      </c>
      <c r="AZ830" s="50">
        <f t="shared" si="1290"/>
        <v>11.675902211874272</v>
      </c>
      <c r="BA830" s="50">
        <f t="shared" si="1290"/>
        <v>14.598875580542654</v>
      </c>
      <c r="BB830" s="50">
        <f t="shared" si="1290"/>
        <v>14.155961128229439</v>
      </c>
      <c r="BC830" s="50">
        <f t="shared" si="1290"/>
        <v>14.229763560500695</v>
      </c>
      <c r="BD830" s="19">
        <f t="shared" si="1278"/>
        <v>12.927311470404868</v>
      </c>
      <c r="BE830" s="124"/>
    </row>
    <row r="831" spans="1:57" x14ac:dyDescent="0.25">
      <c r="A831">
        <f t="shared" si="1279"/>
        <v>2</v>
      </c>
      <c r="B831" s="19" t="str">
        <f t="shared" si="1275"/>
        <v>Product G</v>
      </c>
      <c r="C831" s="50">
        <f t="shared" si="1280"/>
        <v>9</v>
      </c>
      <c r="D831" s="50">
        <f t="shared" ref="D831:AI831" si="1291">IF(AND(C$190&gt;0,$A831&gt;0),IF(C804=0,0,C804/C769),0)</f>
        <v>0</v>
      </c>
      <c r="E831" s="50">
        <f t="shared" si="1291"/>
        <v>10.239159426146696</v>
      </c>
      <c r="F831" s="50">
        <f t="shared" si="1291"/>
        <v>9.9345819656304322</v>
      </c>
      <c r="G831" s="50">
        <f t="shared" si="1291"/>
        <v>12.861767728674204</v>
      </c>
      <c r="H831" s="50">
        <f t="shared" si="1291"/>
        <v>0</v>
      </c>
      <c r="I831" s="50">
        <f t="shared" si="1291"/>
        <v>0</v>
      </c>
      <c r="J831" s="50">
        <f t="shared" si="1291"/>
        <v>11.021168355248976</v>
      </c>
      <c r="K831" s="50">
        <f t="shared" si="1291"/>
        <v>10.58301574150787</v>
      </c>
      <c r="L831" s="50">
        <f t="shared" si="1291"/>
        <v>0</v>
      </c>
      <c r="M831" s="50">
        <f t="shared" si="1291"/>
        <v>0</v>
      </c>
      <c r="N831" s="50">
        <f t="shared" si="1291"/>
        <v>12.229902543380081</v>
      </c>
      <c r="O831" s="50">
        <f t="shared" si="1291"/>
        <v>11.720257234726688</v>
      </c>
      <c r="P831" s="50">
        <f t="shared" si="1291"/>
        <v>0</v>
      </c>
      <c r="Q831" s="50">
        <f t="shared" si="1291"/>
        <v>0</v>
      </c>
      <c r="R831" s="50">
        <f t="shared" si="1291"/>
        <v>9.7493353881718363</v>
      </c>
      <c r="S831" s="50">
        <f t="shared" si="1291"/>
        <v>12.938908362543817</v>
      </c>
      <c r="T831" s="50">
        <f t="shared" si="1291"/>
        <v>0</v>
      </c>
      <c r="U831" s="50">
        <f t="shared" si="1291"/>
        <v>0</v>
      </c>
      <c r="V831" s="50">
        <f t="shared" si="1291"/>
        <v>11.000215563699074</v>
      </c>
      <c r="W831" s="50">
        <f t="shared" si="1291"/>
        <v>10.696586178184845</v>
      </c>
      <c r="X831" s="50">
        <f t="shared" si="1291"/>
        <v>0</v>
      </c>
      <c r="Y831" s="50">
        <f t="shared" si="1291"/>
        <v>0</v>
      </c>
      <c r="Z831" s="50">
        <f t="shared" si="1291"/>
        <v>12.072244607726949</v>
      </c>
      <c r="AA831" s="50">
        <f t="shared" si="1291"/>
        <v>11.716272600834492</v>
      </c>
      <c r="AB831" s="50">
        <f t="shared" si="1291"/>
        <v>0</v>
      </c>
      <c r="AC831" s="50">
        <f t="shared" si="1291"/>
        <v>0</v>
      </c>
      <c r="AD831" s="50">
        <f t="shared" si="1291"/>
        <v>9.9846302374975853</v>
      </c>
      <c r="AE831" s="50">
        <f t="shared" si="1291"/>
        <v>13.195696721311474</v>
      </c>
      <c r="AF831" s="50">
        <f t="shared" si="1291"/>
        <v>0</v>
      </c>
      <c r="AG831" s="50">
        <f t="shared" si="1291"/>
        <v>0</v>
      </c>
      <c r="AH831" s="50">
        <f t="shared" si="1291"/>
        <v>11.16085363224833</v>
      </c>
      <c r="AI831" s="50">
        <f t="shared" si="1291"/>
        <v>10.413322231473773</v>
      </c>
      <c r="AJ831" s="50">
        <f t="shared" ref="AJ831:BC831" si="1292">IF(AND(AI$190&gt;0,$A831&gt;0),IF(AI804=0,0,AI804/AI769),0)</f>
        <v>0</v>
      </c>
      <c r="AK831" s="50">
        <f t="shared" si="1292"/>
        <v>0</v>
      </c>
      <c r="AL831" s="50">
        <f t="shared" si="1292"/>
        <v>12.11832187722209</v>
      </c>
      <c r="AM831" s="50">
        <f t="shared" si="1292"/>
        <v>11.813908205841447</v>
      </c>
      <c r="AN831" s="50">
        <f t="shared" si="1292"/>
        <v>0</v>
      </c>
      <c r="AO831" s="50">
        <f t="shared" si="1292"/>
        <v>0</v>
      </c>
      <c r="AP831" s="50">
        <f t="shared" si="1292"/>
        <v>9.8554421113465622</v>
      </c>
      <c r="AQ831" s="50">
        <f t="shared" si="1292"/>
        <v>12.988217213114753</v>
      </c>
      <c r="AR831" s="50">
        <f t="shared" si="1292"/>
        <v>0</v>
      </c>
      <c r="AS831" s="50">
        <f t="shared" si="1292"/>
        <v>0</v>
      </c>
      <c r="AT831" s="50">
        <f t="shared" si="1292"/>
        <v>10.135743761053252</v>
      </c>
      <c r="AU831" s="50">
        <f t="shared" si="1292"/>
        <v>10.202388535031847</v>
      </c>
      <c r="AV831" s="50">
        <f t="shared" si="1292"/>
        <v>0</v>
      </c>
      <c r="AW831" s="50">
        <f t="shared" si="1292"/>
        <v>0</v>
      </c>
      <c r="AX831" s="50">
        <f t="shared" si="1292"/>
        <v>11.084026729898685</v>
      </c>
      <c r="AY831" s="50">
        <f t="shared" si="1292"/>
        <v>10.374979287489644</v>
      </c>
      <c r="AZ831" s="50">
        <f t="shared" si="1292"/>
        <v>0</v>
      </c>
      <c r="BA831" s="50">
        <f t="shared" si="1292"/>
        <v>0</v>
      </c>
      <c r="BB831" s="50">
        <f t="shared" si="1292"/>
        <v>12.133680967053804</v>
      </c>
      <c r="BC831" s="50">
        <f t="shared" si="1292"/>
        <v>12.196940194714882</v>
      </c>
      <c r="BD831" s="19">
        <f t="shared" si="1278"/>
        <v>11.39642404343746</v>
      </c>
      <c r="BE831" s="124"/>
    </row>
    <row r="832" spans="1:57" x14ac:dyDescent="0.25">
      <c r="A832">
        <f t="shared" si="1279"/>
        <v>1</v>
      </c>
      <c r="B832" s="19" t="str">
        <f t="shared" si="1275"/>
        <v>Product H</v>
      </c>
      <c r="C832" s="50">
        <f t="shared" si="1280"/>
        <v>9.1999999999999993</v>
      </c>
      <c r="D832" s="50">
        <f t="shared" ref="D832:AI832" si="1293">IF(AND(C$190&gt;0,$A832&gt;0),IF(C805=0,0,C805/C770),0)</f>
        <v>0</v>
      </c>
      <c r="E832" s="50">
        <f t="shared" si="1293"/>
        <v>0</v>
      </c>
      <c r="F832" s="50">
        <f t="shared" si="1293"/>
        <v>0</v>
      </c>
      <c r="G832" s="50">
        <f t="shared" si="1293"/>
        <v>13.147584789311409</v>
      </c>
      <c r="H832" s="50">
        <f t="shared" si="1293"/>
        <v>0</v>
      </c>
      <c r="I832" s="50">
        <f t="shared" si="1293"/>
        <v>0</v>
      </c>
      <c r="J832" s="50">
        <f t="shared" si="1293"/>
        <v>0</v>
      </c>
      <c r="K832" s="50">
        <f t="shared" si="1293"/>
        <v>10.818193869096934</v>
      </c>
      <c r="L832" s="50">
        <f t="shared" si="1293"/>
        <v>0</v>
      </c>
      <c r="M832" s="50">
        <f t="shared" si="1293"/>
        <v>0</v>
      </c>
      <c r="N832" s="50">
        <f t="shared" si="1293"/>
        <v>0</v>
      </c>
      <c r="O832" s="50">
        <f t="shared" si="1293"/>
        <v>11.980707395498392</v>
      </c>
      <c r="P832" s="50">
        <f t="shared" si="1293"/>
        <v>0</v>
      </c>
      <c r="Q832" s="50">
        <f t="shared" si="1293"/>
        <v>0</v>
      </c>
      <c r="R832" s="50">
        <f t="shared" si="1293"/>
        <v>9.9659872856867651</v>
      </c>
      <c r="S832" s="50">
        <f t="shared" si="1293"/>
        <v>13.226439659489234</v>
      </c>
      <c r="T832" s="50">
        <f t="shared" si="1293"/>
        <v>0</v>
      </c>
      <c r="U832" s="50">
        <f t="shared" si="1293"/>
        <v>0</v>
      </c>
      <c r="V832" s="50">
        <f t="shared" si="1293"/>
        <v>0</v>
      </c>
      <c r="W832" s="50">
        <f t="shared" si="1293"/>
        <v>10.934288093255621</v>
      </c>
      <c r="X832" s="50">
        <f t="shared" si="1293"/>
        <v>10.152624113475177</v>
      </c>
      <c r="Y832" s="50">
        <f t="shared" si="1293"/>
        <v>0</v>
      </c>
      <c r="Z832" s="50">
        <f t="shared" si="1293"/>
        <v>0</v>
      </c>
      <c r="AA832" s="50">
        <f t="shared" si="1293"/>
        <v>11.976634214186371</v>
      </c>
      <c r="AB832" s="50">
        <f t="shared" si="1293"/>
        <v>0</v>
      </c>
      <c r="AC832" s="50">
        <f t="shared" si="1293"/>
        <v>10.34039152371342</v>
      </c>
      <c r="AD832" s="50">
        <f t="shared" si="1293"/>
        <v>0</v>
      </c>
      <c r="AE832" s="50">
        <f t="shared" si="1293"/>
        <v>13.488934426229509</v>
      </c>
      <c r="AF832" s="50">
        <f t="shared" si="1293"/>
        <v>0</v>
      </c>
      <c r="AG832" s="50">
        <f t="shared" si="1293"/>
        <v>0</v>
      </c>
      <c r="AH832" s="50">
        <f t="shared" si="1293"/>
        <v>0</v>
      </c>
      <c r="AI832" s="50">
        <f t="shared" si="1293"/>
        <v>10.64472939217319</v>
      </c>
      <c r="AJ832" s="50">
        <f t="shared" ref="AJ832:BC832" si="1294">IF(AND(AI$190&gt;0,$A832&gt;0),IF(AI805=0,0,AI805/AI770),0)</f>
        <v>10.459290780141844</v>
      </c>
      <c r="AK832" s="50">
        <f t="shared" si="1294"/>
        <v>0</v>
      </c>
      <c r="AL832" s="50">
        <f t="shared" si="1294"/>
        <v>0</v>
      </c>
      <c r="AM832" s="50">
        <f t="shared" si="1294"/>
        <v>12.076439499304589</v>
      </c>
      <c r="AN832" s="50">
        <f t="shared" si="1294"/>
        <v>0</v>
      </c>
      <c r="AO832" s="50">
        <f t="shared" si="1294"/>
        <v>0</v>
      </c>
      <c r="AP832" s="50">
        <f t="shared" si="1294"/>
        <v>10.074451936043152</v>
      </c>
      <c r="AQ832" s="50">
        <f t="shared" si="1294"/>
        <v>13.276844262295082</v>
      </c>
      <c r="AR832" s="50">
        <f t="shared" si="1294"/>
        <v>0</v>
      </c>
      <c r="AS832" s="50">
        <f t="shared" si="1294"/>
        <v>0</v>
      </c>
      <c r="AT832" s="50">
        <f t="shared" si="1294"/>
        <v>0</v>
      </c>
      <c r="AU832" s="50">
        <f t="shared" si="1294"/>
        <v>10.429108280254777</v>
      </c>
      <c r="AV832" s="50">
        <f t="shared" si="1294"/>
        <v>0</v>
      </c>
      <c r="AW832" s="50">
        <f t="shared" si="1294"/>
        <v>0</v>
      </c>
      <c r="AX832" s="50">
        <f t="shared" si="1294"/>
        <v>0</v>
      </c>
      <c r="AY832" s="50">
        <f t="shared" si="1294"/>
        <v>10.605534382767191</v>
      </c>
      <c r="AZ832" s="50">
        <f t="shared" si="1294"/>
        <v>0</v>
      </c>
      <c r="BA832" s="50">
        <f t="shared" si="1294"/>
        <v>0</v>
      </c>
      <c r="BB832" s="50">
        <f t="shared" si="1294"/>
        <v>0</v>
      </c>
      <c r="BC832" s="50">
        <f t="shared" si="1294"/>
        <v>12.46798331015299</v>
      </c>
      <c r="BD832" s="19">
        <f t="shared" si="1278"/>
        <v>11.416330512318462</v>
      </c>
      <c r="BE832" s="124"/>
    </row>
    <row r="833" spans="1:57" x14ac:dyDescent="0.25">
      <c r="A833">
        <f t="shared" si="1279"/>
        <v>0</v>
      </c>
      <c r="B833" s="19">
        <f t="shared" si="1275"/>
        <v>0</v>
      </c>
      <c r="C833" s="50">
        <f t="shared" si="1280"/>
        <v>0</v>
      </c>
      <c r="D833" s="50">
        <f t="shared" ref="D833:AI833" si="1295">IF(AND(C$190&gt;0,$A833&gt;0),IF(C806=0,0,C806/C771),0)</f>
        <v>0</v>
      </c>
      <c r="E833" s="50">
        <f t="shared" si="1295"/>
        <v>0</v>
      </c>
      <c r="F833" s="50">
        <f t="shared" si="1295"/>
        <v>0</v>
      </c>
      <c r="G833" s="50">
        <f t="shared" si="1295"/>
        <v>0</v>
      </c>
      <c r="H833" s="50">
        <f t="shared" si="1295"/>
        <v>0</v>
      </c>
      <c r="I833" s="50">
        <f t="shared" si="1295"/>
        <v>0</v>
      </c>
      <c r="J833" s="50">
        <f t="shared" si="1295"/>
        <v>0</v>
      </c>
      <c r="K833" s="50">
        <f t="shared" si="1295"/>
        <v>0</v>
      </c>
      <c r="L833" s="50">
        <f t="shared" si="1295"/>
        <v>0</v>
      </c>
      <c r="M833" s="50">
        <f t="shared" si="1295"/>
        <v>0</v>
      </c>
      <c r="N833" s="50">
        <f t="shared" si="1295"/>
        <v>0</v>
      </c>
      <c r="O833" s="50">
        <f t="shared" si="1295"/>
        <v>0</v>
      </c>
      <c r="P833" s="50">
        <f t="shared" si="1295"/>
        <v>0</v>
      </c>
      <c r="Q833" s="50">
        <f t="shared" si="1295"/>
        <v>0</v>
      </c>
      <c r="R833" s="50">
        <f t="shared" si="1295"/>
        <v>0</v>
      </c>
      <c r="S833" s="50">
        <f t="shared" si="1295"/>
        <v>0</v>
      </c>
      <c r="T833" s="50">
        <f t="shared" si="1295"/>
        <v>0</v>
      </c>
      <c r="U833" s="50">
        <f t="shared" si="1295"/>
        <v>0</v>
      </c>
      <c r="V833" s="50">
        <f t="shared" si="1295"/>
        <v>0</v>
      </c>
      <c r="W833" s="50">
        <f t="shared" si="1295"/>
        <v>0</v>
      </c>
      <c r="X833" s="50">
        <f t="shared" si="1295"/>
        <v>0</v>
      </c>
      <c r="Y833" s="50">
        <f t="shared" si="1295"/>
        <v>0</v>
      </c>
      <c r="Z833" s="50">
        <f t="shared" si="1295"/>
        <v>0</v>
      </c>
      <c r="AA833" s="50">
        <f t="shared" si="1295"/>
        <v>0</v>
      </c>
      <c r="AB833" s="50">
        <f t="shared" si="1295"/>
        <v>0</v>
      </c>
      <c r="AC833" s="50">
        <f t="shared" si="1295"/>
        <v>0</v>
      </c>
      <c r="AD833" s="50">
        <f t="shared" si="1295"/>
        <v>0</v>
      </c>
      <c r="AE833" s="50">
        <f t="shared" si="1295"/>
        <v>0</v>
      </c>
      <c r="AF833" s="50">
        <f t="shared" si="1295"/>
        <v>0</v>
      </c>
      <c r="AG833" s="50">
        <f t="shared" si="1295"/>
        <v>0</v>
      </c>
      <c r="AH833" s="50">
        <f t="shared" si="1295"/>
        <v>0</v>
      </c>
      <c r="AI833" s="50">
        <f t="shared" si="1295"/>
        <v>0</v>
      </c>
      <c r="AJ833" s="50">
        <f t="shared" ref="AJ833:BC833" si="1296">IF(AND(AI$190&gt;0,$A833&gt;0),IF(AI806=0,0,AI806/AI771),0)</f>
        <v>0</v>
      </c>
      <c r="AK833" s="50">
        <f t="shared" si="1296"/>
        <v>0</v>
      </c>
      <c r="AL833" s="50">
        <f t="shared" si="1296"/>
        <v>0</v>
      </c>
      <c r="AM833" s="50">
        <f t="shared" si="1296"/>
        <v>0</v>
      </c>
      <c r="AN833" s="50">
        <f t="shared" si="1296"/>
        <v>0</v>
      </c>
      <c r="AO833" s="50">
        <f t="shared" si="1296"/>
        <v>0</v>
      </c>
      <c r="AP833" s="50">
        <f t="shared" si="1296"/>
        <v>0</v>
      </c>
      <c r="AQ833" s="50">
        <f t="shared" si="1296"/>
        <v>0</v>
      </c>
      <c r="AR833" s="50">
        <f t="shared" si="1296"/>
        <v>0</v>
      </c>
      <c r="AS833" s="50">
        <f t="shared" si="1296"/>
        <v>0</v>
      </c>
      <c r="AT833" s="50">
        <f t="shared" si="1296"/>
        <v>0</v>
      </c>
      <c r="AU833" s="50">
        <f t="shared" si="1296"/>
        <v>0</v>
      </c>
      <c r="AV833" s="50">
        <f t="shared" si="1296"/>
        <v>0</v>
      </c>
      <c r="AW833" s="50">
        <f t="shared" si="1296"/>
        <v>0</v>
      </c>
      <c r="AX833" s="50">
        <f t="shared" si="1296"/>
        <v>0</v>
      </c>
      <c r="AY833" s="50">
        <f t="shared" si="1296"/>
        <v>0</v>
      </c>
      <c r="AZ833" s="50">
        <f t="shared" si="1296"/>
        <v>0</v>
      </c>
      <c r="BA833" s="50">
        <f t="shared" si="1296"/>
        <v>0</v>
      </c>
      <c r="BB833" s="50">
        <f t="shared" si="1296"/>
        <v>0</v>
      </c>
      <c r="BC833" s="50">
        <f t="shared" si="1296"/>
        <v>0</v>
      </c>
      <c r="BD833" s="19">
        <f t="shared" si="1278"/>
        <v>0</v>
      </c>
    </row>
    <row r="834" spans="1:57" x14ac:dyDescent="0.25">
      <c r="A834">
        <f t="shared" si="1279"/>
        <v>-1</v>
      </c>
      <c r="B834" s="19">
        <f t="shared" si="1275"/>
        <v>0</v>
      </c>
      <c r="C834" s="50">
        <f t="shared" si="1280"/>
        <v>0</v>
      </c>
      <c r="D834" s="50">
        <f t="shared" ref="D834:AI834" si="1297">IF(AND(C$190&gt;0,$A834&gt;0),IF(C807=0,0,C807/C772),0)</f>
        <v>0</v>
      </c>
      <c r="E834" s="50">
        <f t="shared" si="1297"/>
        <v>0</v>
      </c>
      <c r="F834" s="50">
        <f t="shared" si="1297"/>
        <v>0</v>
      </c>
      <c r="G834" s="50">
        <f t="shared" si="1297"/>
        <v>0</v>
      </c>
      <c r="H834" s="50">
        <f t="shared" si="1297"/>
        <v>0</v>
      </c>
      <c r="I834" s="50">
        <f t="shared" si="1297"/>
        <v>0</v>
      </c>
      <c r="J834" s="50">
        <f t="shared" si="1297"/>
        <v>0</v>
      </c>
      <c r="K834" s="50">
        <f t="shared" si="1297"/>
        <v>0</v>
      </c>
      <c r="L834" s="50">
        <f t="shared" si="1297"/>
        <v>0</v>
      </c>
      <c r="M834" s="50">
        <f t="shared" si="1297"/>
        <v>0</v>
      </c>
      <c r="N834" s="50">
        <f t="shared" si="1297"/>
        <v>0</v>
      </c>
      <c r="O834" s="50">
        <f t="shared" si="1297"/>
        <v>0</v>
      </c>
      <c r="P834" s="50">
        <f t="shared" si="1297"/>
        <v>0</v>
      </c>
      <c r="Q834" s="50">
        <f t="shared" si="1297"/>
        <v>0</v>
      </c>
      <c r="R834" s="50">
        <f t="shared" si="1297"/>
        <v>0</v>
      </c>
      <c r="S834" s="50">
        <f t="shared" si="1297"/>
        <v>0</v>
      </c>
      <c r="T834" s="50">
        <f t="shared" si="1297"/>
        <v>0</v>
      </c>
      <c r="U834" s="50">
        <f t="shared" si="1297"/>
        <v>0</v>
      </c>
      <c r="V834" s="50">
        <f t="shared" si="1297"/>
        <v>0</v>
      </c>
      <c r="W834" s="50">
        <f t="shared" si="1297"/>
        <v>0</v>
      </c>
      <c r="X834" s="50">
        <f t="shared" si="1297"/>
        <v>0</v>
      </c>
      <c r="Y834" s="50">
        <f t="shared" si="1297"/>
        <v>0</v>
      </c>
      <c r="Z834" s="50">
        <f t="shared" si="1297"/>
        <v>0</v>
      </c>
      <c r="AA834" s="50">
        <f t="shared" si="1297"/>
        <v>0</v>
      </c>
      <c r="AB834" s="50">
        <f t="shared" si="1297"/>
        <v>0</v>
      </c>
      <c r="AC834" s="50">
        <f t="shared" si="1297"/>
        <v>0</v>
      </c>
      <c r="AD834" s="50">
        <f t="shared" si="1297"/>
        <v>0</v>
      </c>
      <c r="AE834" s="50">
        <f t="shared" si="1297"/>
        <v>0</v>
      </c>
      <c r="AF834" s="50">
        <f t="shared" si="1297"/>
        <v>0</v>
      </c>
      <c r="AG834" s="50">
        <f t="shared" si="1297"/>
        <v>0</v>
      </c>
      <c r="AH834" s="50">
        <f t="shared" si="1297"/>
        <v>0</v>
      </c>
      <c r="AI834" s="50">
        <f t="shared" si="1297"/>
        <v>0</v>
      </c>
      <c r="AJ834" s="50">
        <f t="shared" ref="AJ834:BC834" si="1298">IF(AND(AI$190&gt;0,$A834&gt;0),IF(AI807=0,0,AI807/AI772),0)</f>
        <v>0</v>
      </c>
      <c r="AK834" s="50">
        <f t="shared" si="1298"/>
        <v>0</v>
      </c>
      <c r="AL834" s="50">
        <f t="shared" si="1298"/>
        <v>0</v>
      </c>
      <c r="AM834" s="50">
        <f t="shared" si="1298"/>
        <v>0</v>
      </c>
      <c r="AN834" s="50">
        <f t="shared" si="1298"/>
        <v>0</v>
      </c>
      <c r="AO834" s="50">
        <f t="shared" si="1298"/>
        <v>0</v>
      </c>
      <c r="AP834" s="50">
        <f t="shared" si="1298"/>
        <v>0</v>
      </c>
      <c r="AQ834" s="50">
        <f t="shared" si="1298"/>
        <v>0</v>
      </c>
      <c r="AR834" s="50">
        <f t="shared" si="1298"/>
        <v>0</v>
      </c>
      <c r="AS834" s="50">
        <f t="shared" si="1298"/>
        <v>0</v>
      </c>
      <c r="AT834" s="50">
        <f t="shared" si="1298"/>
        <v>0</v>
      </c>
      <c r="AU834" s="50">
        <f t="shared" si="1298"/>
        <v>0</v>
      </c>
      <c r="AV834" s="50">
        <f t="shared" si="1298"/>
        <v>0</v>
      </c>
      <c r="AW834" s="50">
        <f t="shared" si="1298"/>
        <v>0</v>
      </c>
      <c r="AX834" s="50">
        <f t="shared" si="1298"/>
        <v>0</v>
      </c>
      <c r="AY834" s="50">
        <f t="shared" si="1298"/>
        <v>0</v>
      </c>
      <c r="AZ834" s="50">
        <f t="shared" si="1298"/>
        <v>0</v>
      </c>
      <c r="BA834" s="50">
        <f t="shared" si="1298"/>
        <v>0</v>
      </c>
      <c r="BB834" s="50">
        <f t="shared" si="1298"/>
        <v>0</v>
      </c>
      <c r="BC834" s="50">
        <f t="shared" si="1298"/>
        <v>0</v>
      </c>
      <c r="BD834" s="19">
        <f t="shared" si="1278"/>
        <v>0</v>
      </c>
    </row>
    <row r="835" spans="1:57" x14ac:dyDescent="0.25">
      <c r="A835">
        <f t="shared" si="1279"/>
        <v>-2</v>
      </c>
      <c r="B835" s="19">
        <f t="shared" si="1275"/>
        <v>0</v>
      </c>
      <c r="C835" s="50">
        <f t="shared" si="1280"/>
        <v>0</v>
      </c>
      <c r="D835" s="50">
        <f t="shared" ref="D835:AI835" si="1299">IF(AND(C$190&gt;0,$A835&gt;0),IF(C808=0,0,C808/C773),0)</f>
        <v>0</v>
      </c>
      <c r="E835" s="50">
        <f t="shared" si="1299"/>
        <v>0</v>
      </c>
      <c r="F835" s="50">
        <f t="shared" si="1299"/>
        <v>0</v>
      </c>
      <c r="G835" s="50">
        <f t="shared" si="1299"/>
        <v>0</v>
      </c>
      <c r="H835" s="50">
        <f t="shared" si="1299"/>
        <v>0</v>
      </c>
      <c r="I835" s="50">
        <f t="shared" si="1299"/>
        <v>0</v>
      </c>
      <c r="J835" s="50">
        <f t="shared" si="1299"/>
        <v>0</v>
      </c>
      <c r="K835" s="50">
        <f t="shared" si="1299"/>
        <v>0</v>
      </c>
      <c r="L835" s="50">
        <f t="shared" si="1299"/>
        <v>0</v>
      </c>
      <c r="M835" s="50">
        <f t="shared" si="1299"/>
        <v>0</v>
      </c>
      <c r="N835" s="50">
        <f t="shared" si="1299"/>
        <v>0</v>
      </c>
      <c r="O835" s="50">
        <f t="shared" si="1299"/>
        <v>0</v>
      </c>
      <c r="P835" s="50">
        <f t="shared" si="1299"/>
        <v>0</v>
      </c>
      <c r="Q835" s="50">
        <f t="shared" si="1299"/>
        <v>0</v>
      </c>
      <c r="R835" s="50">
        <f t="shared" si="1299"/>
        <v>0</v>
      </c>
      <c r="S835" s="50">
        <f t="shared" si="1299"/>
        <v>0</v>
      </c>
      <c r="T835" s="50">
        <f t="shared" si="1299"/>
        <v>0</v>
      </c>
      <c r="U835" s="50">
        <f t="shared" si="1299"/>
        <v>0</v>
      </c>
      <c r="V835" s="50">
        <f t="shared" si="1299"/>
        <v>0</v>
      </c>
      <c r="W835" s="50">
        <f t="shared" si="1299"/>
        <v>0</v>
      </c>
      <c r="X835" s="50">
        <f t="shared" si="1299"/>
        <v>0</v>
      </c>
      <c r="Y835" s="50">
        <f t="shared" si="1299"/>
        <v>0</v>
      </c>
      <c r="Z835" s="50">
        <f t="shared" si="1299"/>
        <v>0</v>
      </c>
      <c r="AA835" s="50">
        <f t="shared" si="1299"/>
        <v>0</v>
      </c>
      <c r="AB835" s="50">
        <f t="shared" si="1299"/>
        <v>0</v>
      </c>
      <c r="AC835" s="50">
        <f t="shared" si="1299"/>
        <v>0</v>
      </c>
      <c r="AD835" s="50">
        <f t="shared" si="1299"/>
        <v>0</v>
      </c>
      <c r="AE835" s="50">
        <f t="shared" si="1299"/>
        <v>0</v>
      </c>
      <c r="AF835" s="50">
        <f t="shared" si="1299"/>
        <v>0</v>
      </c>
      <c r="AG835" s="50">
        <f t="shared" si="1299"/>
        <v>0</v>
      </c>
      <c r="AH835" s="50">
        <f t="shared" si="1299"/>
        <v>0</v>
      </c>
      <c r="AI835" s="50">
        <f t="shared" si="1299"/>
        <v>0</v>
      </c>
      <c r="AJ835" s="50">
        <f t="shared" ref="AJ835:BC835" si="1300">IF(AND(AI$190&gt;0,$A835&gt;0),IF(AI808=0,0,AI808/AI773),0)</f>
        <v>0</v>
      </c>
      <c r="AK835" s="50">
        <f t="shared" si="1300"/>
        <v>0</v>
      </c>
      <c r="AL835" s="50">
        <f t="shared" si="1300"/>
        <v>0</v>
      </c>
      <c r="AM835" s="50">
        <f t="shared" si="1300"/>
        <v>0</v>
      </c>
      <c r="AN835" s="50">
        <f t="shared" si="1300"/>
        <v>0</v>
      </c>
      <c r="AO835" s="50">
        <f t="shared" si="1300"/>
        <v>0</v>
      </c>
      <c r="AP835" s="50">
        <f t="shared" si="1300"/>
        <v>0</v>
      </c>
      <c r="AQ835" s="50">
        <f t="shared" si="1300"/>
        <v>0</v>
      </c>
      <c r="AR835" s="50">
        <f t="shared" si="1300"/>
        <v>0</v>
      </c>
      <c r="AS835" s="50">
        <f t="shared" si="1300"/>
        <v>0</v>
      </c>
      <c r="AT835" s="50">
        <f t="shared" si="1300"/>
        <v>0</v>
      </c>
      <c r="AU835" s="50">
        <f t="shared" si="1300"/>
        <v>0</v>
      </c>
      <c r="AV835" s="50">
        <f t="shared" si="1300"/>
        <v>0</v>
      </c>
      <c r="AW835" s="50">
        <f t="shared" si="1300"/>
        <v>0</v>
      </c>
      <c r="AX835" s="50">
        <f t="shared" si="1300"/>
        <v>0</v>
      </c>
      <c r="AY835" s="50">
        <f t="shared" si="1300"/>
        <v>0</v>
      </c>
      <c r="AZ835" s="50">
        <f t="shared" si="1300"/>
        <v>0</v>
      </c>
      <c r="BA835" s="50">
        <f t="shared" si="1300"/>
        <v>0</v>
      </c>
      <c r="BB835" s="50">
        <f t="shared" si="1300"/>
        <v>0</v>
      </c>
      <c r="BC835" s="50">
        <f t="shared" si="1300"/>
        <v>0</v>
      </c>
      <c r="BD835" s="19">
        <f t="shared" si="1278"/>
        <v>0</v>
      </c>
    </row>
    <row r="836" spans="1:57" x14ac:dyDescent="0.25">
      <c r="A836">
        <f t="shared" si="1279"/>
        <v>-3</v>
      </c>
      <c r="B836" s="19">
        <f t="shared" si="1275"/>
        <v>0</v>
      </c>
      <c r="C836" s="50">
        <f t="shared" si="1280"/>
        <v>0</v>
      </c>
      <c r="D836" s="50">
        <f t="shared" ref="D836:AI836" si="1301">IF(AND(C$190&gt;0,$A836&gt;0),IF(C809=0,0,C809/C774),0)</f>
        <v>0</v>
      </c>
      <c r="E836" s="50">
        <f t="shared" si="1301"/>
        <v>0</v>
      </c>
      <c r="F836" s="50">
        <f t="shared" si="1301"/>
        <v>0</v>
      </c>
      <c r="G836" s="50">
        <f t="shared" si="1301"/>
        <v>0</v>
      </c>
      <c r="H836" s="50">
        <f t="shared" si="1301"/>
        <v>0</v>
      </c>
      <c r="I836" s="50">
        <f t="shared" si="1301"/>
        <v>0</v>
      </c>
      <c r="J836" s="50">
        <f t="shared" si="1301"/>
        <v>0</v>
      </c>
      <c r="K836" s="50">
        <f t="shared" si="1301"/>
        <v>0</v>
      </c>
      <c r="L836" s="50">
        <f t="shared" si="1301"/>
        <v>0</v>
      </c>
      <c r="M836" s="50">
        <f t="shared" si="1301"/>
        <v>0</v>
      </c>
      <c r="N836" s="50">
        <f t="shared" si="1301"/>
        <v>0</v>
      </c>
      <c r="O836" s="50">
        <f t="shared" si="1301"/>
        <v>0</v>
      </c>
      <c r="P836" s="50">
        <f t="shared" si="1301"/>
        <v>0</v>
      </c>
      <c r="Q836" s="50">
        <f t="shared" si="1301"/>
        <v>0</v>
      </c>
      <c r="R836" s="50">
        <f t="shared" si="1301"/>
        <v>0</v>
      </c>
      <c r="S836" s="50">
        <f t="shared" si="1301"/>
        <v>0</v>
      </c>
      <c r="T836" s="50">
        <f t="shared" si="1301"/>
        <v>0</v>
      </c>
      <c r="U836" s="50">
        <f t="shared" si="1301"/>
        <v>0</v>
      </c>
      <c r="V836" s="50">
        <f t="shared" si="1301"/>
        <v>0</v>
      </c>
      <c r="W836" s="50">
        <f t="shared" si="1301"/>
        <v>0</v>
      </c>
      <c r="X836" s="50">
        <f t="shared" si="1301"/>
        <v>0</v>
      </c>
      <c r="Y836" s="50">
        <f t="shared" si="1301"/>
        <v>0</v>
      </c>
      <c r="Z836" s="50">
        <f t="shared" si="1301"/>
        <v>0</v>
      </c>
      <c r="AA836" s="50">
        <f t="shared" si="1301"/>
        <v>0</v>
      </c>
      <c r="AB836" s="50">
        <f t="shared" si="1301"/>
        <v>0</v>
      </c>
      <c r="AC836" s="50">
        <f t="shared" si="1301"/>
        <v>0</v>
      </c>
      <c r="AD836" s="50">
        <f t="shared" si="1301"/>
        <v>0</v>
      </c>
      <c r="AE836" s="50">
        <f t="shared" si="1301"/>
        <v>0</v>
      </c>
      <c r="AF836" s="50">
        <f t="shared" si="1301"/>
        <v>0</v>
      </c>
      <c r="AG836" s="50">
        <f t="shared" si="1301"/>
        <v>0</v>
      </c>
      <c r="AH836" s="50">
        <f t="shared" si="1301"/>
        <v>0</v>
      </c>
      <c r="AI836" s="50">
        <f t="shared" si="1301"/>
        <v>0</v>
      </c>
      <c r="AJ836" s="50">
        <f t="shared" ref="AJ836:BC836" si="1302">IF(AND(AI$190&gt;0,$A836&gt;0),IF(AI809=0,0,AI809/AI774),0)</f>
        <v>0</v>
      </c>
      <c r="AK836" s="50">
        <f t="shared" si="1302"/>
        <v>0</v>
      </c>
      <c r="AL836" s="50">
        <f t="shared" si="1302"/>
        <v>0</v>
      </c>
      <c r="AM836" s="50">
        <f t="shared" si="1302"/>
        <v>0</v>
      </c>
      <c r="AN836" s="50">
        <f t="shared" si="1302"/>
        <v>0</v>
      </c>
      <c r="AO836" s="50">
        <f t="shared" si="1302"/>
        <v>0</v>
      </c>
      <c r="AP836" s="50">
        <f t="shared" si="1302"/>
        <v>0</v>
      </c>
      <c r="AQ836" s="50">
        <f t="shared" si="1302"/>
        <v>0</v>
      </c>
      <c r="AR836" s="50">
        <f t="shared" si="1302"/>
        <v>0</v>
      </c>
      <c r="AS836" s="50">
        <f t="shared" si="1302"/>
        <v>0</v>
      </c>
      <c r="AT836" s="50">
        <f t="shared" si="1302"/>
        <v>0</v>
      </c>
      <c r="AU836" s="50">
        <f t="shared" si="1302"/>
        <v>0</v>
      </c>
      <c r="AV836" s="50">
        <f t="shared" si="1302"/>
        <v>0</v>
      </c>
      <c r="AW836" s="50">
        <f t="shared" si="1302"/>
        <v>0</v>
      </c>
      <c r="AX836" s="50">
        <f t="shared" si="1302"/>
        <v>0</v>
      </c>
      <c r="AY836" s="50">
        <f t="shared" si="1302"/>
        <v>0</v>
      </c>
      <c r="AZ836" s="50">
        <f t="shared" si="1302"/>
        <v>0</v>
      </c>
      <c r="BA836" s="50">
        <f t="shared" si="1302"/>
        <v>0</v>
      </c>
      <c r="BB836" s="50">
        <f t="shared" si="1302"/>
        <v>0</v>
      </c>
      <c r="BC836" s="50">
        <f t="shared" si="1302"/>
        <v>0</v>
      </c>
      <c r="BD836" s="19">
        <f t="shared" si="1278"/>
        <v>0</v>
      </c>
    </row>
    <row r="837" spans="1:57" x14ac:dyDescent="0.25">
      <c r="A837">
        <f t="shared" si="1279"/>
        <v>-4</v>
      </c>
      <c r="B837" s="19">
        <f t="shared" si="1275"/>
        <v>0</v>
      </c>
      <c r="C837" s="50">
        <f t="shared" si="1280"/>
        <v>0</v>
      </c>
      <c r="D837" s="50">
        <f t="shared" ref="D837:AI837" si="1303">IF(AND(C$190&gt;0,$A837&gt;0),IF(C810=0,0,C810/C775),0)</f>
        <v>0</v>
      </c>
      <c r="E837" s="50">
        <f t="shared" si="1303"/>
        <v>0</v>
      </c>
      <c r="F837" s="50">
        <f t="shared" si="1303"/>
        <v>0</v>
      </c>
      <c r="G837" s="50">
        <f t="shared" si="1303"/>
        <v>0</v>
      </c>
      <c r="H837" s="50">
        <f t="shared" si="1303"/>
        <v>0</v>
      </c>
      <c r="I837" s="50">
        <f t="shared" si="1303"/>
        <v>0</v>
      </c>
      <c r="J837" s="50">
        <f t="shared" si="1303"/>
        <v>0</v>
      </c>
      <c r="K837" s="50">
        <f t="shared" si="1303"/>
        <v>0</v>
      </c>
      <c r="L837" s="50">
        <f t="shared" si="1303"/>
        <v>0</v>
      </c>
      <c r="M837" s="50">
        <f t="shared" si="1303"/>
        <v>0</v>
      </c>
      <c r="N837" s="50">
        <f t="shared" si="1303"/>
        <v>0</v>
      </c>
      <c r="O837" s="50">
        <f t="shared" si="1303"/>
        <v>0</v>
      </c>
      <c r="P837" s="50">
        <f t="shared" si="1303"/>
        <v>0</v>
      </c>
      <c r="Q837" s="50">
        <f t="shared" si="1303"/>
        <v>0</v>
      </c>
      <c r="R837" s="50">
        <f t="shared" si="1303"/>
        <v>0</v>
      </c>
      <c r="S837" s="50">
        <f t="shared" si="1303"/>
        <v>0</v>
      </c>
      <c r="T837" s="50">
        <f t="shared" si="1303"/>
        <v>0</v>
      </c>
      <c r="U837" s="50">
        <f t="shared" si="1303"/>
        <v>0</v>
      </c>
      <c r="V837" s="50">
        <f t="shared" si="1303"/>
        <v>0</v>
      </c>
      <c r="W837" s="50">
        <f t="shared" si="1303"/>
        <v>0</v>
      </c>
      <c r="X837" s="50">
        <f t="shared" si="1303"/>
        <v>0</v>
      </c>
      <c r="Y837" s="50">
        <f t="shared" si="1303"/>
        <v>0</v>
      </c>
      <c r="Z837" s="50">
        <f t="shared" si="1303"/>
        <v>0</v>
      </c>
      <c r="AA837" s="50">
        <f t="shared" si="1303"/>
        <v>0</v>
      </c>
      <c r="AB837" s="50">
        <f t="shared" si="1303"/>
        <v>0</v>
      </c>
      <c r="AC837" s="50">
        <f t="shared" si="1303"/>
        <v>0</v>
      </c>
      <c r="AD837" s="50">
        <f t="shared" si="1303"/>
        <v>0</v>
      </c>
      <c r="AE837" s="50">
        <f t="shared" si="1303"/>
        <v>0</v>
      </c>
      <c r="AF837" s="50">
        <f t="shared" si="1303"/>
        <v>0</v>
      </c>
      <c r="AG837" s="50">
        <f t="shared" si="1303"/>
        <v>0</v>
      </c>
      <c r="AH837" s="50">
        <f t="shared" si="1303"/>
        <v>0</v>
      </c>
      <c r="AI837" s="50">
        <f t="shared" si="1303"/>
        <v>0</v>
      </c>
      <c r="AJ837" s="50">
        <f t="shared" ref="AJ837:BC837" si="1304">IF(AND(AI$190&gt;0,$A837&gt;0),IF(AI810=0,0,AI810/AI775),0)</f>
        <v>0</v>
      </c>
      <c r="AK837" s="50">
        <f t="shared" si="1304"/>
        <v>0</v>
      </c>
      <c r="AL837" s="50">
        <f t="shared" si="1304"/>
        <v>0</v>
      </c>
      <c r="AM837" s="50">
        <f t="shared" si="1304"/>
        <v>0</v>
      </c>
      <c r="AN837" s="50">
        <f t="shared" si="1304"/>
        <v>0</v>
      </c>
      <c r="AO837" s="50">
        <f t="shared" si="1304"/>
        <v>0</v>
      </c>
      <c r="AP837" s="50">
        <f t="shared" si="1304"/>
        <v>0</v>
      </c>
      <c r="AQ837" s="50">
        <f t="shared" si="1304"/>
        <v>0</v>
      </c>
      <c r="AR837" s="50">
        <f t="shared" si="1304"/>
        <v>0</v>
      </c>
      <c r="AS837" s="50">
        <f t="shared" si="1304"/>
        <v>0</v>
      </c>
      <c r="AT837" s="50">
        <f t="shared" si="1304"/>
        <v>0</v>
      </c>
      <c r="AU837" s="50">
        <f t="shared" si="1304"/>
        <v>0</v>
      </c>
      <c r="AV837" s="50">
        <f t="shared" si="1304"/>
        <v>0</v>
      </c>
      <c r="AW837" s="50">
        <f t="shared" si="1304"/>
        <v>0</v>
      </c>
      <c r="AX837" s="50">
        <f t="shared" si="1304"/>
        <v>0</v>
      </c>
      <c r="AY837" s="50">
        <f t="shared" si="1304"/>
        <v>0</v>
      </c>
      <c r="AZ837" s="50">
        <f t="shared" si="1304"/>
        <v>0</v>
      </c>
      <c r="BA837" s="50">
        <f t="shared" si="1304"/>
        <v>0</v>
      </c>
      <c r="BB837" s="50">
        <f t="shared" si="1304"/>
        <v>0</v>
      </c>
      <c r="BC837" s="50">
        <f t="shared" si="1304"/>
        <v>0</v>
      </c>
      <c r="BD837" s="19">
        <f t="shared" si="1278"/>
        <v>0</v>
      </c>
    </row>
    <row r="838" spans="1:57" x14ac:dyDescent="0.25">
      <c r="A838">
        <f t="shared" si="1279"/>
        <v>-5</v>
      </c>
      <c r="B838" s="19">
        <f t="shared" si="1275"/>
        <v>0</v>
      </c>
      <c r="C838" s="50">
        <f t="shared" si="1280"/>
        <v>0</v>
      </c>
      <c r="D838" s="50">
        <f t="shared" ref="D838:AI838" si="1305">IF(AND(C$190&gt;0,$A838&gt;0),IF(C811=0,0,C811/C776),0)</f>
        <v>0</v>
      </c>
      <c r="E838" s="50">
        <f t="shared" si="1305"/>
        <v>0</v>
      </c>
      <c r="F838" s="50">
        <f t="shared" si="1305"/>
        <v>0</v>
      </c>
      <c r="G838" s="50">
        <f t="shared" si="1305"/>
        <v>0</v>
      </c>
      <c r="H838" s="50">
        <f t="shared" si="1305"/>
        <v>0</v>
      </c>
      <c r="I838" s="50">
        <f t="shared" si="1305"/>
        <v>0</v>
      </c>
      <c r="J838" s="50">
        <f t="shared" si="1305"/>
        <v>0</v>
      </c>
      <c r="K838" s="50">
        <f t="shared" si="1305"/>
        <v>0</v>
      </c>
      <c r="L838" s="50">
        <f t="shared" si="1305"/>
        <v>0</v>
      </c>
      <c r="M838" s="50">
        <f t="shared" si="1305"/>
        <v>0</v>
      </c>
      <c r="N838" s="50">
        <f t="shared" si="1305"/>
        <v>0</v>
      </c>
      <c r="O838" s="50">
        <f t="shared" si="1305"/>
        <v>0</v>
      </c>
      <c r="P838" s="50">
        <f t="shared" si="1305"/>
        <v>0</v>
      </c>
      <c r="Q838" s="50">
        <f t="shared" si="1305"/>
        <v>0</v>
      </c>
      <c r="R838" s="50">
        <f t="shared" si="1305"/>
        <v>0</v>
      </c>
      <c r="S838" s="50">
        <f t="shared" si="1305"/>
        <v>0</v>
      </c>
      <c r="T838" s="50">
        <f t="shared" si="1305"/>
        <v>0</v>
      </c>
      <c r="U838" s="50">
        <f t="shared" si="1305"/>
        <v>0</v>
      </c>
      <c r="V838" s="50">
        <f t="shared" si="1305"/>
        <v>0</v>
      </c>
      <c r="W838" s="50">
        <f t="shared" si="1305"/>
        <v>0</v>
      </c>
      <c r="X838" s="50">
        <f t="shared" si="1305"/>
        <v>0</v>
      </c>
      <c r="Y838" s="50">
        <f t="shared" si="1305"/>
        <v>0</v>
      </c>
      <c r="Z838" s="50">
        <f t="shared" si="1305"/>
        <v>0</v>
      </c>
      <c r="AA838" s="50">
        <f t="shared" si="1305"/>
        <v>0</v>
      </c>
      <c r="AB838" s="50">
        <f t="shared" si="1305"/>
        <v>0</v>
      </c>
      <c r="AC838" s="50">
        <f t="shared" si="1305"/>
        <v>0</v>
      </c>
      <c r="AD838" s="50">
        <f t="shared" si="1305"/>
        <v>0</v>
      </c>
      <c r="AE838" s="50">
        <f t="shared" si="1305"/>
        <v>0</v>
      </c>
      <c r="AF838" s="50">
        <f t="shared" si="1305"/>
        <v>0</v>
      </c>
      <c r="AG838" s="50">
        <f t="shared" si="1305"/>
        <v>0</v>
      </c>
      <c r="AH838" s="50">
        <f t="shared" si="1305"/>
        <v>0</v>
      </c>
      <c r="AI838" s="50">
        <f t="shared" si="1305"/>
        <v>0</v>
      </c>
      <c r="AJ838" s="50">
        <f t="shared" ref="AJ838:BC838" si="1306">IF(AND(AI$190&gt;0,$A838&gt;0),IF(AI811=0,0,AI811/AI776),0)</f>
        <v>0</v>
      </c>
      <c r="AK838" s="50">
        <f t="shared" si="1306"/>
        <v>0</v>
      </c>
      <c r="AL838" s="50">
        <f t="shared" si="1306"/>
        <v>0</v>
      </c>
      <c r="AM838" s="50">
        <f t="shared" si="1306"/>
        <v>0</v>
      </c>
      <c r="AN838" s="50">
        <f t="shared" si="1306"/>
        <v>0</v>
      </c>
      <c r="AO838" s="50">
        <f t="shared" si="1306"/>
        <v>0</v>
      </c>
      <c r="AP838" s="50">
        <f t="shared" si="1306"/>
        <v>0</v>
      </c>
      <c r="AQ838" s="50">
        <f t="shared" si="1306"/>
        <v>0</v>
      </c>
      <c r="AR838" s="50">
        <f t="shared" si="1306"/>
        <v>0</v>
      </c>
      <c r="AS838" s="50">
        <f t="shared" si="1306"/>
        <v>0</v>
      </c>
      <c r="AT838" s="50">
        <f t="shared" si="1306"/>
        <v>0</v>
      </c>
      <c r="AU838" s="50">
        <f t="shared" si="1306"/>
        <v>0</v>
      </c>
      <c r="AV838" s="50">
        <f t="shared" si="1306"/>
        <v>0</v>
      </c>
      <c r="AW838" s="50">
        <f t="shared" si="1306"/>
        <v>0</v>
      </c>
      <c r="AX838" s="50">
        <f t="shared" si="1306"/>
        <v>0</v>
      </c>
      <c r="AY838" s="50">
        <f t="shared" si="1306"/>
        <v>0</v>
      </c>
      <c r="AZ838" s="50">
        <f t="shared" si="1306"/>
        <v>0</v>
      </c>
      <c r="BA838" s="50">
        <f t="shared" si="1306"/>
        <v>0</v>
      </c>
      <c r="BB838" s="50">
        <f t="shared" si="1306"/>
        <v>0</v>
      </c>
      <c r="BC838" s="50">
        <f t="shared" si="1306"/>
        <v>0</v>
      </c>
      <c r="BD838" s="19">
        <f t="shared" si="1278"/>
        <v>0</v>
      </c>
    </row>
    <row r="839" spans="1:57" x14ac:dyDescent="0.25">
      <c r="A839">
        <f t="shared" si="1279"/>
        <v>-6</v>
      </c>
      <c r="B839" s="19">
        <f t="shared" si="1275"/>
        <v>0</v>
      </c>
      <c r="C839" s="50">
        <f t="shared" si="1280"/>
        <v>0</v>
      </c>
      <c r="D839" s="50">
        <f t="shared" ref="D839:AI839" si="1307">IF(AND(C$190&gt;0,$A839&gt;0),IF(C812=0,0,C812/C777),0)</f>
        <v>0</v>
      </c>
      <c r="E839" s="50">
        <f t="shared" si="1307"/>
        <v>0</v>
      </c>
      <c r="F839" s="50">
        <f t="shared" si="1307"/>
        <v>0</v>
      </c>
      <c r="G839" s="50">
        <f t="shared" si="1307"/>
        <v>0</v>
      </c>
      <c r="H839" s="50">
        <f t="shared" si="1307"/>
        <v>0</v>
      </c>
      <c r="I839" s="50">
        <f t="shared" si="1307"/>
        <v>0</v>
      </c>
      <c r="J839" s="50">
        <f t="shared" si="1307"/>
        <v>0</v>
      </c>
      <c r="K839" s="50">
        <f t="shared" si="1307"/>
        <v>0</v>
      </c>
      <c r="L839" s="50">
        <f t="shared" si="1307"/>
        <v>0</v>
      </c>
      <c r="M839" s="50">
        <f t="shared" si="1307"/>
        <v>0</v>
      </c>
      <c r="N839" s="50">
        <f t="shared" si="1307"/>
        <v>0</v>
      </c>
      <c r="O839" s="50">
        <f t="shared" si="1307"/>
        <v>0</v>
      </c>
      <c r="P839" s="50">
        <f t="shared" si="1307"/>
        <v>0</v>
      </c>
      <c r="Q839" s="50">
        <f t="shared" si="1307"/>
        <v>0</v>
      </c>
      <c r="R839" s="50">
        <f t="shared" si="1307"/>
        <v>0</v>
      </c>
      <c r="S839" s="50">
        <f t="shared" si="1307"/>
        <v>0</v>
      </c>
      <c r="T839" s="50">
        <f t="shared" si="1307"/>
        <v>0</v>
      </c>
      <c r="U839" s="50">
        <f t="shared" si="1307"/>
        <v>0</v>
      </c>
      <c r="V839" s="50">
        <f t="shared" si="1307"/>
        <v>0</v>
      </c>
      <c r="W839" s="50">
        <f t="shared" si="1307"/>
        <v>0</v>
      </c>
      <c r="X839" s="50">
        <f t="shared" si="1307"/>
        <v>0</v>
      </c>
      <c r="Y839" s="50">
        <f t="shared" si="1307"/>
        <v>0</v>
      </c>
      <c r="Z839" s="50">
        <f t="shared" si="1307"/>
        <v>0</v>
      </c>
      <c r="AA839" s="50">
        <f t="shared" si="1307"/>
        <v>0</v>
      </c>
      <c r="AB839" s="50">
        <f t="shared" si="1307"/>
        <v>0</v>
      </c>
      <c r="AC839" s="50">
        <f t="shared" si="1307"/>
        <v>0</v>
      </c>
      <c r="AD839" s="50">
        <f t="shared" si="1307"/>
        <v>0</v>
      </c>
      <c r="AE839" s="50">
        <f t="shared" si="1307"/>
        <v>0</v>
      </c>
      <c r="AF839" s="50">
        <f t="shared" si="1307"/>
        <v>0</v>
      </c>
      <c r="AG839" s="50">
        <f t="shared" si="1307"/>
        <v>0</v>
      </c>
      <c r="AH839" s="50">
        <f t="shared" si="1307"/>
        <v>0</v>
      </c>
      <c r="AI839" s="50">
        <f t="shared" si="1307"/>
        <v>0</v>
      </c>
      <c r="AJ839" s="50">
        <f t="shared" ref="AJ839:BC839" si="1308">IF(AND(AI$190&gt;0,$A839&gt;0),IF(AI812=0,0,AI812/AI777),0)</f>
        <v>0</v>
      </c>
      <c r="AK839" s="50">
        <f t="shared" si="1308"/>
        <v>0</v>
      </c>
      <c r="AL839" s="50">
        <f t="shared" si="1308"/>
        <v>0</v>
      </c>
      <c r="AM839" s="50">
        <f t="shared" si="1308"/>
        <v>0</v>
      </c>
      <c r="AN839" s="50">
        <f t="shared" si="1308"/>
        <v>0</v>
      </c>
      <c r="AO839" s="50">
        <f t="shared" si="1308"/>
        <v>0</v>
      </c>
      <c r="AP839" s="50">
        <f t="shared" si="1308"/>
        <v>0</v>
      </c>
      <c r="AQ839" s="50">
        <f t="shared" si="1308"/>
        <v>0</v>
      </c>
      <c r="AR839" s="50">
        <f t="shared" si="1308"/>
        <v>0</v>
      </c>
      <c r="AS839" s="50">
        <f t="shared" si="1308"/>
        <v>0</v>
      </c>
      <c r="AT839" s="50">
        <f t="shared" si="1308"/>
        <v>0</v>
      </c>
      <c r="AU839" s="50">
        <f t="shared" si="1308"/>
        <v>0</v>
      </c>
      <c r="AV839" s="50">
        <f t="shared" si="1308"/>
        <v>0</v>
      </c>
      <c r="AW839" s="50">
        <f t="shared" si="1308"/>
        <v>0</v>
      </c>
      <c r="AX839" s="50">
        <f t="shared" si="1308"/>
        <v>0</v>
      </c>
      <c r="AY839" s="50">
        <f t="shared" si="1308"/>
        <v>0</v>
      </c>
      <c r="AZ839" s="50">
        <f t="shared" si="1308"/>
        <v>0</v>
      </c>
      <c r="BA839" s="50">
        <f t="shared" si="1308"/>
        <v>0</v>
      </c>
      <c r="BB839" s="50">
        <f t="shared" si="1308"/>
        <v>0</v>
      </c>
      <c r="BC839" s="50">
        <f t="shared" si="1308"/>
        <v>0</v>
      </c>
      <c r="BD839" s="19">
        <f t="shared" si="1278"/>
        <v>0</v>
      </c>
    </row>
    <row r="840" spans="1:57" x14ac:dyDescent="0.25">
      <c r="A840">
        <f t="shared" si="1279"/>
        <v>-7</v>
      </c>
      <c r="B840" s="19">
        <f t="shared" si="1275"/>
        <v>0</v>
      </c>
      <c r="C840" s="50">
        <f t="shared" si="1280"/>
        <v>0</v>
      </c>
      <c r="D840" s="50">
        <f t="shared" ref="D840:AI840" si="1309">IF(AND(C$190&gt;0,$A840&gt;0),IF(C813=0,0,C813/C778),0)</f>
        <v>0</v>
      </c>
      <c r="E840" s="50">
        <f t="shared" si="1309"/>
        <v>0</v>
      </c>
      <c r="F840" s="50">
        <f t="shared" si="1309"/>
        <v>0</v>
      </c>
      <c r="G840" s="50">
        <f t="shared" si="1309"/>
        <v>0</v>
      </c>
      <c r="H840" s="50">
        <f t="shared" si="1309"/>
        <v>0</v>
      </c>
      <c r="I840" s="50">
        <f t="shared" si="1309"/>
        <v>0</v>
      </c>
      <c r="J840" s="50">
        <f t="shared" si="1309"/>
        <v>0</v>
      </c>
      <c r="K840" s="50">
        <f t="shared" si="1309"/>
        <v>0</v>
      </c>
      <c r="L840" s="50">
        <f t="shared" si="1309"/>
        <v>0</v>
      </c>
      <c r="M840" s="50">
        <f t="shared" si="1309"/>
        <v>0</v>
      </c>
      <c r="N840" s="50">
        <f t="shared" si="1309"/>
        <v>0</v>
      </c>
      <c r="O840" s="50">
        <f t="shared" si="1309"/>
        <v>0</v>
      </c>
      <c r="P840" s="50">
        <f t="shared" si="1309"/>
        <v>0</v>
      </c>
      <c r="Q840" s="50">
        <f t="shared" si="1309"/>
        <v>0</v>
      </c>
      <c r="R840" s="50">
        <f t="shared" si="1309"/>
        <v>0</v>
      </c>
      <c r="S840" s="50">
        <f t="shared" si="1309"/>
        <v>0</v>
      </c>
      <c r="T840" s="50">
        <f t="shared" si="1309"/>
        <v>0</v>
      </c>
      <c r="U840" s="50">
        <f t="shared" si="1309"/>
        <v>0</v>
      </c>
      <c r="V840" s="50">
        <f t="shared" si="1309"/>
        <v>0</v>
      </c>
      <c r="W840" s="50">
        <f t="shared" si="1309"/>
        <v>0</v>
      </c>
      <c r="X840" s="50">
        <f t="shared" si="1309"/>
        <v>0</v>
      </c>
      <c r="Y840" s="50">
        <f t="shared" si="1309"/>
        <v>0</v>
      </c>
      <c r="Z840" s="50">
        <f t="shared" si="1309"/>
        <v>0</v>
      </c>
      <c r="AA840" s="50">
        <f t="shared" si="1309"/>
        <v>0</v>
      </c>
      <c r="AB840" s="50">
        <f t="shared" si="1309"/>
        <v>0</v>
      </c>
      <c r="AC840" s="50">
        <f t="shared" si="1309"/>
        <v>0</v>
      </c>
      <c r="AD840" s="50">
        <f t="shared" si="1309"/>
        <v>0</v>
      </c>
      <c r="AE840" s="50">
        <f t="shared" si="1309"/>
        <v>0</v>
      </c>
      <c r="AF840" s="50">
        <f t="shared" si="1309"/>
        <v>0</v>
      </c>
      <c r="AG840" s="50">
        <f t="shared" si="1309"/>
        <v>0</v>
      </c>
      <c r="AH840" s="50">
        <f t="shared" si="1309"/>
        <v>0</v>
      </c>
      <c r="AI840" s="50">
        <f t="shared" si="1309"/>
        <v>0</v>
      </c>
      <c r="AJ840" s="50">
        <f t="shared" ref="AJ840:BC840" si="1310">IF(AND(AI$190&gt;0,$A840&gt;0),IF(AI813=0,0,AI813/AI778),0)</f>
        <v>0</v>
      </c>
      <c r="AK840" s="50">
        <f t="shared" si="1310"/>
        <v>0</v>
      </c>
      <c r="AL840" s="50">
        <f t="shared" si="1310"/>
        <v>0</v>
      </c>
      <c r="AM840" s="50">
        <f t="shared" si="1310"/>
        <v>0</v>
      </c>
      <c r="AN840" s="50">
        <f t="shared" si="1310"/>
        <v>0</v>
      </c>
      <c r="AO840" s="50">
        <f t="shared" si="1310"/>
        <v>0</v>
      </c>
      <c r="AP840" s="50">
        <f t="shared" si="1310"/>
        <v>0</v>
      </c>
      <c r="AQ840" s="50">
        <f t="shared" si="1310"/>
        <v>0</v>
      </c>
      <c r="AR840" s="50">
        <f t="shared" si="1310"/>
        <v>0</v>
      </c>
      <c r="AS840" s="50">
        <f t="shared" si="1310"/>
        <v>0</v>
      </c>
      <c r="AT840" s="50">
        <f t="shared" si="1310"/>
        <v>0</v>
      </c>
      <c r="AU840" s="50">
        <f t="shared" si="1310"/>
        <v>0</v>
      </c>
      <c r="AV840" s="50">
        <f t="shared" si="1310"/>
        <v>0</v>
      </c>
      <c r="AW840" s="50">
        <f t="shared" si="1310"/>
        <v>0</v>
      </c>
      <c r="AX840" s="50">
        <f t="shared" si="1310"/>
        <v>0</v>
      </c>
      <c r="AY840" s="50">
        <f t="shared" si="1310"/>
        <v>0</v>
      </c>
      <c r="AZ840" s="50">
        <f t="shared" si="1310"/>
        <v>0</v>
      </c>
      <c r="BA840" s="50">
        <f t="shared" si="1310"/>
        <v>0</v>
      </c>
      <c r="BB840" s="50">
        <f t="shared" si="1310"/>
        <v>0</v>
      </c>
      <c r="BC840" s="50">
        <f t="shared" si="1310"/>
        <v>0</v>
      </c>
      <c r="BD840" s="19">
        <f t="shared" si="1278"/>
        <v>0</v>
      </c>
    </row>
    <row r="841" spans="1:57" x14ac:dyDescent="0.25">
      <c r="A841">
        <f t="shared" si="1279"/>
        <v>-8</v>
      </c>
      <c r="B841" s="19">
        <f t="shared" si="1275"/>
        <v>0</v>
      </c>
      <c r="C841" s="50">
        <f t="shared" si="1280"/>
        <v>0</v>
      </c>
      <c r="D841" s="50">
        <f t="shared" ref="D841:AI841" si="1311">IF(AND(C$190&gt;0,$A841&gt;0),IF(C814=0,0,C814/C779),0)</f>
        <v>0</v>
      </c>
      <c r="E841" s="50">
        <f t="shared" si="1311"/>
        <v>0</v>
      </c>
      <c r="F841" s="50">
        <f t="shared" si="1311"/>
        <v>0</v>
      </c>
      <c r="G841" s="50">
        <f t="shared" si="1311"/>
        <v>0</v>
      </c>
      <c r="H841" s="50">
        <f t="shared" si="1311"/>
        <v>0</v>
      </c>
      <c r="I841" s="50">
        <f t="shared" si="1311"/>
        <v>0</v>
      </c>
      <c r="J841" s="50">
        <f t="shared" si="1311"/>
        <v>0</v>
      </c>
      <c r="K841" s="50">
        <f t="shared" si="1311"/>
        <v>0</v>
      </c>
      <c r="L841" s="50">
        <f t="shared" si="1311"/>
        <v>0</v>
      </c>
      <c r="M841" s="50">
        <f t="shared" si="1311"/>
        <v>0</v>
      </c>
      <c r="N841" s="50">
        <f t="shared" si="1311"/>
        <v>0</v>
      </c>
      <c r="O841" s="50">
        <f t="shared" si="1311"/>
        <v>0</v>
      </c>
      <c r="P841" s="50">
        <f t="shared" si="1311"/>
        <v>0</v>
      </c>
      <c r="Q841" s="50">
        <f t="shared" si="1311"/>
        <v>0</v>
      </c>
      <c r="R841" s="50">
        <f t="shared" si="1311"/>
        <v>0</v>
      </c>
      <c r="S841" s="50">
        <f t="shared" si="1311"/>
        <v>0</v>
      </c>
      <c r="T841" s="50">
        <f t="shared" si="1311"/>
        <v>0</v>
      </c>
      <c r="U841" s="50">
        <f t="shared" si="1311"/>
        <v>0</v>
      </c>
      <c r="V841" s="50">
        <f t="shared" si="1311"/>
        <v>0</v>
      </c>
      <c r="W841" s="50">
        <f t="shared" si="1311"/>
        <v>0</v>
      </c>
      <c r="X841" s="50">
        <f t="shared" si="1311"/>
        <v>0</v>
      </c>
      <c r="Y841" s="50">
        <f t="shared" si="1311"/>
        <v>0</v>
      </c>
      <c r="Z841" s="50">
        <f t="shared" si="1311"/>
        <v>0</v>
      </c>
      <c r="AA841" s="50">
        <f t="shared" si="1311"/>
        <v>0</v>
      </c>
      <c r="AB841" s="50">
        <f t="shared" si="1311"/>
        <v>0</v>
      </c>
      <c r="AC841" s="50">
        <f t="shared" si="1311"/>
        <v>0</v>
      </c>
      <c r="AD841" s="50">
        <f t="shared" si="1311"/>
        <v>0</v>
      </c>
      <c r="AE841" s="50">
        <f t="shared" si="1311"/>
        <v>0</v>
      </c>
      <c r="AF841" s="50">
        <f t="shared" si="1311"/>
        <v>0</v>
      </c>
      <c r="AG841" s="50">
        <f t="shared" si="1311"/>
        <v>0</v>
      </c>
      <c r="AH841" s="50">
        <f t="shared" si="1311"/>
        <v>0</v>
      </c>
      <c r="AI841" s="50">
        <f t="shared" si="1311"/>
        <v>0</v>
      </c>
      <c r="AJ841" s="50">
        <f t="shared" ref="AJ841:BC841" si="1312">IF(AND(AI$190&gt;0,$A841&gt;0),IF(AI814=0,0,AI814/AI779),0)</f>
        <v>0</v>
      </c>
      <c r="AK841" s="50">
        <f t="shared" si="1312"/>
        <v>0</v>
      </c>
      <c r="AL841" s="50">
        <f t="shared" si="1312"/>
        <v>0</v>
      </c>
      <c r="AM841" s="50">
        <f t="shared" si="1312"/>
        <v>0</v>
      </c>
      <c r="AN841" s="50">
        <f t="shared" si="1312"/>
        <v>0</v>
      </c>
      <c r="AO841" s="50">
        <f t="shared" si="1312"/>
        <v>0</v>
      </c>
      <c r="AP841" s="50">
        <f t="shared" si="1312"/>
        <v>0</v>
      </c>
      <c r="AQ841" s="50">
        <f t="shared" si="1312"/>
        <v>0</v>
      </c>
      <c r="AR841" s="50">
        <f t="shared" si="1312"/>
        <v>0</v>
      </c>
      <c r="AS841" s="50">
        <f t="shared" si="1312"/>
        <v>0</v>
      </c>
      <c r="AT841" s="50">
        <f t="shared" si="1312"/>
        <v>0</v>
      </c>
      <c r="AU841" s="50">
        <f t="shared" si="1312"/>
        <v>0</v>
      </c>
      <c r="AV841" s="50">
        <f t="shared" si="1312"/>
        <v>0</v>
      </c>
      <c r="AW841" s="50">
        <f t="shared" si="1312"/>
        <v>0</v>
      </c>
      <c r="AX841" s="50">
        <f t="shared" si="1312"/>
        <v>0</v>
      </c>
      <c r="AY841" s="50">
        <f t="shared" si="1312"/>
        <v>0</v>
      </c>
      <c r="AZ841" s="50">
        <f t="shared" si="1312"/>
        <v>0</v>
      </c>
      <c r="BA841" s="50">
        <f t="shared" si="1312"/>
        <v>0</v>
      </c>
      <c r="BB841" s="50">
        <f t="shared" si="1312"/>
        <v>0</v>
      </c>
      <c r="BC841" s="50">
        <f t="shared" si="1312"/>
        <v>0</v>
      </c>
      <c r="BD841" s="19">
        <f t="shared" si="1278"/>
        <v>0</v>
      </c>
    </row>
    <row r="842" spans="1:57" x14ac:dyDescent="0.25">
      <c r="A842">
        <f t="shared" si="1279"/>
        <v>-9</v>
      </c>
      <c r="B842" s="19">
        <f t="shared" si="1275"/>
        <v>0</v>
      </c>
      <c r="C842" s="50">
        <f t="shared" si="1280"/>
        <v>0</v>
      </c>
      <c r="D842" s="50">
        <f t="shared" ref="D842:AI842" si="1313">IF(AND(C$190&gt;0,$A842&gt;0),IF(C815=0,0,C815/C780),0)</f>
        <v>0</v>
      </c>
      <c r="E842" s="50">
        <f t="shared" si="1313"/>
        <v>0</v>
      </c>
      <c r="F842" s="50">
        <f t="shared" si="1313"/>
        <v>0</v>
      </c>
      <c r="G842" s="50">
        <f t="shared" si="1313"/>
        <v>0</v>
      </c>
      <c r="H842" s="50">
        <f t="shared" si="1313"/>
        <v>0</v>
      </c>
      <c r="I842" s="50">
        <f t="shared" si="1313"/>
        <v>0</v>
      </c>
      <c r="J842" s="50">
        <f t="shared" si="1313"/>
        <v>0</v>
      </c>
      <c r="K842" s="50">
        <f t="shared" si="1313"/>
        <v>0</v>
      </c>
      <c r="L842" s="50">
        <f t="shared" si="1313"/>
        <v>0</v>
      </c>
      <c r="M842" s="50">
        <f t="shared" si="1313"/>
        <v>0</v>
      </c>
      <c r="N842" s="50">
        <f t="shared" si="1313"/>
        <v>0</v>
      </c>
      <c r="O842" s="50">
        <f t="shared" si="1313"/>
        <v>0</v>
      </c>
      <c r="P842" s="50">
        <f t="shared" si="1313"/>
        <v>0</v>
      </c>
      <c r="Q842" s="50">
        <f t="shared" si="1313"/>
        <v>0</v>
      </c>
      <c r="R842" s="50">
        <f t="shared" si="1313"/>
        <v>0</v>
      </c>
      <c r="S842" s="50">
        <f t="shared" si="1313"/>
        <v>0</v>
      </c>
      <c r="T842" s="50">
        <f t="shared" si="1313"/>
        <v>0</v>
      </c>
      <c r="U842" s="50">
        <f t="shared" si="1313"/>
        <v>0</v>
      </c>
      <c r="V842" s="50">
        <f t="shared" si="1313"/>
        <v>0</v>
      </c>
      <c r="W842" s="50">
        <f t="shared" si="1313"/>
        <v>0</v>
      </c>
      <c r="X842" s="50">
        <f t="shared" si="1313"/>
        <v>0</v>
      </c>
      <c r="Y842" s="50">
        <f t="shared" si="1313"/>
        <v>0</v>
      </c>
      <c r="Z842" s="50">
        <f t="shared" si="1313"/>
        <v>0</v>
      </c>
      <c r="AA842" s="50">
        <f t="shared" si="1313"/>
        <v>0</v>
      </c>
      <c r="AB842" s="50">
        <f t="shared" si="1313"/>
        <v>0</v>
      </c>
      <c r="AC842" s="50">
        <f t="shared" si="1313"/>
        <v>0</v>
      </c>
      <c r="AD842" s="50">
        <f t="shared" si="1313"/>
        <v>0</v>
      </c>
      <c r="AE842" s="50">
        <f t="shared" si="1313"/>
        <v>0</v>
      </c>
      <c r="AF842" s="50">
        <f t="shared" si="1313"/>
        <v>0</v>
      </c>
      <c r="AG842" s="50">
        <f t="shared" si="1313"/>
        <v>0</v>
      </c>
      <c r="AH842" s="50">
        <f t="shared" si="1313"/>
        <v>0</v>
      </c>
      <c r="AI842" s="50">
        <f t="shared" si="1313"/>
        <v>0</v>
      </c>
      <c r="AJ842" s="50">
        <f t="shared" ref="AJ842:BC842" si="1314">IF(AND(AI$190&gt;0,$A842&gt;0),IF(AI815=0,0,AI815/AI780),0)</f>
        <v>0</v>
      </c>
      <c r="AK842" s="50">
        <f t="shared" si="1314"/>
        <v>0</v>
      </c>
      <c r="AL842" s="50">
        <f t="shared" si="1314"/>
        <v>0</v>
      </c>
      <c r="AM842" s="50">
        <f t="shared" si="1314"/>
        <v>0</v>
      </c>
      <c r="AN842" s="50">
        <f t="shared" si="1314"/>
        <v>0</v>
      </c>
      <c r="AO842" s="50">
        <f t="shared" si="1314"/>
        <v>0</v>
      </c>
      <c r="AP842" s="50">
        <f t="shared" si="1314"/>
        <v>0</v>
      </c>
      <c r="AQ842" s="50">
        <f t="shared" si="1314"/>
        <v>0</v>
      </c>
      <c r="AR842" s="50">
        <f t="shared" si="1314"/>
        <v>0</v>
      </c>
      <c r="AS842" s="50">
        <f t="shared" si="1314"/>
        <v>0</v>
      </c>
      <c r="AT842" s="50">
        <f t="shared" si="1314"/>
        <v>0</v>
      </c>
      <c r="AU842" s="50">
        <f t="shared" si="1314"/>
        <v>0</v>
      </c>
      <c r="AV842" s="50">
        <f t="shared" si="1314"/>
        <v>0</v>
      </c>
      <c r="AW842" s="50">
        <f t="shared" si="1314"/>
        <v>0</v>
      </c>
      <c r="AX842" s="50">
        <f t="shared" si="1314"/>
        <v>0</v>
      </c>
      <c r="AY842" s="50">
        <f t="shared" si="1314"/>
        <v>0</v>
      </c>
      <c r="AZ842" s="50">
        <f t="shared" si="1314"/>
        <v>0</v>
      </c>
      <c r="BA842" s="50">
        <f t="shared" si="1314"/>
        <v>0</v>
      </c>
      <c r="BB842" s="50">
        <f t="shared" si="1314"/>
        <v>0</v>
      </c>
      <c r="BC842" s="50">
        <f t="shared" si="1314"/>
        <v>0</v>
      </c>
      <c r="BD842" s="19">
        <f t="shared" si="1278"/>
        <v>0</v>
      </c>
    </row>
    <row r="843" spans="1:57" x14ac:dyDescent="0.25">
      <c r="A843">
        <f t="shared" si="1279"/>
        <v>-10</v>
      </c>
      <c r="B843" s="19">
        <f t="shared" si="1275"/>
        <v>0</v>
      </c>
      <c r="C843" s="50">
        <f t="shared" si="1280"/>
        <v>0</v>
      </c>
      <c r="D843" s="50">
        <f t="shared" ref="D843:AI843" si="1315">IF(AND(C$190&gt;0,$A843&gt;0),IF(C816=0,0,C816/C781),0)</f>
        <v>0</v>
      </c>
      <c r="E843" s="50">
        <f t="shared" si="1315"/>
        <v>0</v>
      </c>
      <c r="F843" s="50">
        <f t="shared" si="1315"/>
        <v>0</v>
      </c>
      <c r="G843" s="50">
        <f t="shared" si="1315"/>
        <v>0</v>
      </c>
      <c r="H843" s="50">
        <f t="shared" si="1315"/>
        <v>0</v>
      </c>
      <c r="I843" s="50">
        <f t="shared" si="1315"/>
        <v>0</v>
      </c>
      <c r="J843" s="50">
        <f t="shared" si="1315"/>
        <v>0</v>
      </c>
      <c r="K843" s="50">
        <f t="shared" si="1315"/>
        <v>0</v>
      </c>
      <c r="L843" s="50">
        <f t="shared" si="1315"/>
        <v>0</v>
      </c>
      <c r="M843" s="50">
        <f t="shared" si="1315"/>
        <v>0</v>
      </c>
      <c r="N843" s="50">
        <f t="shared" si="1315"/>
        <v>0</v>
      </c>
      <c r="O843" s="50">
        <f t="shared" si="1315"/>
        <v>0</v>
      </c>
      <c r="P843" s="50">
        <f t="shared" si="1315"/>
        <v>0</v>
      </c>
      <c r="Q843" s="50">
        <f t="shared" si="1315"/>
        <v>0</v>
      </c>
      <c r="R843" s="50">
        <f t="shared" si="1315"/>
        <v>0</v>
      </c>
      <c r="S843" s="50">
        <f t="shared" si="1315"/>
        <v>0</v>
      </c>
      <c r="T843" s="50">
        <f t="shared" si="1315"/>
        <v>0</v>
      </c>
      <c r="U843" s="50">
        <f t="shared" si="1315"/>
        <v>0</v>
      </c>
      <c r="V843" s="50">
        <f t="shared" si="1315"/>
        <v>0</v>
      </c>
      <c r="W843" s="50">
        <f t="shared" si="1315"/>
        <v>0</v>
      </c>
      <c r="X843" s="50">
        <f t="shared" si="1315"/>
        <v>0</v>
      </c>
      <c r="Y843" s="50">
        <f t="shared" si="1315"/>
        <v>0</v>
      </c>
      <c r="Z843" s="50">
        <f t="shared" si="1315"/>
        <v>0</v>
      </c>
      <c r="AA843" s="50">
        <f t="shared" si="1315"/>
        <v>0</v>
      </c>
      <c r="AB843" s="50">
        <f t="shared" si="1315"/>
        <v>0</v>
      </c>
      <c r="AC843" s="50">
        <f t="shared" si="1315"/>
        <v>0</v>
      </c>
      <c r="AD843" s="50">
        <f t="shared" si="1315"/>
        <v>0</v>
      </c>
      <c r="AE843" s="50">
        <f t="shared" si="1315"/>
        <v>0</v>
      </c>
      <c r="AF843" s="50">
        <f t="shared" si="1315"/>
        <v>0</v>
      </c>
      <c r="AG843" s="50">
        <f t="shared" si="1315"/>
        <v>0</v>
      </c>
      <c r="AH843" s="50">
        <f t="shared" si="1315"/>
        <v>0</v>
      </c>
      <c r="AI843" s="50">
        <f t="shared" si="1315"/>
        <v>0</v>
      </c>
      <c r="AJ843" s="50">
        <f t="shared" ref="AJ843:BC843" si="1316">IF(AND(AI$190&gt;0,$A843&gt;0),IF(AI816=0,0,AI816/AI781),0)</f>
        <v>0</v>
      </c>
      <c r="AK843" s="50">
        <f t="shared" si="1316"/>
        <v>0</v>
      </c>
      <c r="AL843" s="50">
        <f t="shared" si="1316"/>
        <v>0</v>
      </c>
      <c r="AM843" s="50">
        <f t="shared" si="1316"/>
        <v>0</v>
      </c>
      <c r="AN843" s="50">
        <f t="shared" si="1316"/>
        <v>0</v>
      </c>
      <c r="AO843" s="50">
        <f t="shared" si="1316"/>
        <v>0</v>
      </c>
      <c r="AP843" s="50">
        <f t="shared" si="1316"/>
        <v>0</v>
      </c>
      <c r="AQ843" s="50">
        <f t="shared" si="1316"/>
        <v>0</v>
      </c>
      <c r="AR843" s="50">
        <f t="shared" si="1316"/>
        <v>0</v>
      </c>
      <c r="AS843" s="50">
        <f t="shared" si="1316"/>
        <v>0</v>
      </c>
      <c r="AT843" s="50">
        <f t="shared" si="1316"/>
        <v>0</v>
      </c>
      <c r="AU843" s="50">
        <f t="shared" si="1316"/>
        <v>0</v>
      </c>
      <c r="AV843" s="50">
        <f t="shared" si="1316"/>
        <v>0</v>
      </c>
      <c r="AW843" s="50">
        <f t="shared" si="1316"/>
        <v>0</v>
      </c>
      <c r="AX843" s="50">
        <f t="shared" si="1316"/>
        <v>0</v>
      </c>
      <c r="AY843" s="50">
        <f t="shared" si="1316"/>
        <v>0</v>
      </c>
      <c r="AZ843" s="50">
        <f t="shared" si="1316"/>
        <v>0</v>
      </c>
      <c r="BA843" s="50">
        <f t="shared" si="1316"/>
        <v>0</v>
      </c>
      <c r="BB843" s="50">
        <f t="shared" si="1316"/>
        <v>0</v>
      </c>
      <c r="BC843" s="50">
        <f t="shared" si="1316"/>
        <v>0</v>
      </c>
      <c r="BD843" s="19">
        <f t="shared" si="1278"/>
        <v>0</v>
      </c>
    </row>
    <row r="844" spans="1:57" x14ac:dyDescent="0.25">
      <c r="A844">
        <f t="shared" si="1279"/>
        <v>-11</v>
      </c>
      <c r="B844" s="19">
        <f t="shared" si="1275"/>
        <v>0</v>
      </c>
      <c r="C844" s="50">
        <f t="shared" si="1280"/>
        <v>0</v>
      </c>
      <c r="D844" s="50">
        <f t="shared" ref="D844:AI844" si="1317">IF(AND(C$190&gt;0,$A844&gt;0),IF(C817=0,0,C817/C782),0)</f>
        <v>0</v>
      </c>
      <c r="E844" s="50">
        <f t="shared" si="1317"/>
        <v>0</v>
      </c>
      <c r="F844" s="50">
        <f t="shared" si="1317"/>
        <v>0</v>
      </c>
      <c r="G844" s="50">
        <f t="shared" si="1317"/>
        <v>0</v>
      </c>
      <c r="H844" s="50">
        <f t="shared" si="1317"/>
        <v>0</v>
      </c>
      <c r="I844" s="50">
        <f t="shared" si="1317"/>
        <v>0</v>
      </c>
      <c r="J844" s="50">
        <f t="shared" si="1317"/>
        <v>0</v>
      </c>
      <c r="K844" s="50">
        <f t="shared" si="1317"/>
        <v>0</v>
      </c>
      <c r="L844" s="50">
        <f t="shared" si="1317"/>
        <v>0</v>
      </c>
      <c r="M844" s="50">
        <f t="shared" si="1317"/>
        <v>0</v>
      </c>
      <c r="N844" s="50">
        <f t="shared" si="1317"/>
        <v>0</v>
      </c>
      <c r="O844" s="50">
        <f t="shared" si="1317"/>
        <v>0</v>
      </c>
      <c r="P844" s="50">
        <f t="shared" si="1317"/>
        <v>0</v>
      </c>
      <c r="Q844" s="50">
        <f t="shared" si="1317"/>
        <v>0</v>
      </c>
      <c r="R844" s="50">
        <f t="shared" si="1317"/>
        <v>0</v>
      </c>
      <c r="S844" s="50">
        <f t="shared" si="1317"/>
        <v>0</v>
      </c>
      <c r="T844" s="50">
        <f t="shared" si="1317"/>
        <v>0</v>
      </c>
      <c r="U844" s="50">
        <f t="shared" si="1317"/>
        <v>0</v>
      </c>
      <c r="V844" s="50">
        <f t="shared" si="1317"/>
        <v>0</v>
      </c>
      <c r="W844" s="50">
        <f t="shared" si="1317"/>
        <v>0</v>
      </c>
      <c r="X844" s="50">
        <f t="shared" si="1317"/>
        <v>0</v>
      </c>
      <c r="Y844" s="50">
        <f t="shared" si="1317"/>
        <v>0</v>
      </c>
      <c r="Z844" s="50">
        <f t="shared" si="1317"/>
        <v>0</v>
      </c>
      <c r="AA844" s="50">
        <f t="shared" si="1317"/>
        <v>0</v>
      </c>
      <c r="AB844" s="50">
        <f t="shared" si="1317"/>
        <v>0</v>
      </c>
      <c r="AC844" s="50">
        <f t="shared" si="1317"/>
        <v>0</v>
      </c>
      <c r="AD844" s="50">
        <f t="shared" si="1317"/>
        <v>0</v>
      </c>
      <c r="AE844" s="50">
        <f t="shared" si="1317"/>
        <v>0</v>
      </c>
      <c r="AF844" s="50">
        <f t="shared" si="1317"/>
        <v>0</v>
      </c>
      <c r="AG844" s="50">
        <f t="shared" si="1317"/>
        <v>0</v>
      </c>
      <c r="AH844" s="50">
        <f t="shared" si="1317"/>
        <v>0</v>
      </c>
      <c r="AI844" s="50">
        <f t="shared" si="1317"/>
        <v>0</v>
      </c>
      <c r="AJ844" s="50">
        <f t="shared" ref="AJ844:BC844" si="1318">IF(AND(AI$190&gt;0,$A844&gt;0),IF(AI817=0,0,AI817/AI782),0)</f>
        <v>0</v>
      </c>
      <c r="AK844" s="50">
        <f t="shared" si="1318"/>
        <v>0</v>
      </c>
      <c r="AL844" s="50">
        <f t="shared" si="1318"/>
        <v>0</v>
      </c>
      <c r="AM844" s="50">
        <f t="shared" si="1318"/>
        <v>0</v>
      </c>
      <c r="AN844" s="50">
        <f t="shared" si="1318"/>
        <v>0</v>
      </c>
      <c r="AO844" s="50">
        <f t="shared" si="1318"/>
        <v>0</v>
      </c>
      <c r="AP844" s="50">
        <f t="shared" si="1318"/>
        <v>0</v>
      </c>
      <c r="AQ844" s="50">
        <f t="shared" si="1318"/>
        <v>0</v>
      </c>
      <c r="AR844" s="50">
        <f t="shared" si="1318"/>
        <v>0</v>
      </c>
      <c r="AS844" s="50">
        <f t="shared" si="1318"/>
        <v>0</v>
      </c>
      <c r="AT844" s="50">
        <f t="shared" si="1318"/>
        <v>0</v>
      </c>
      <c r="AU844" s="50">
        <f t="shared" si="1318"/>
        <v>0</v>
      </c>
      <c r="AV844" s="50">
        <f t="shared" si="1318"/>
        <v>0</v>
      </c>
      <c r="AW844" s="50">
        <f t="shared" si="1318"/>
        <v>0</v>
      </c>
      <c r="AX844" s="50">
        <f t="shared" si="1318"/>
        <v>0</v>
      </c>
      <c r="AY844" s="50">
        <f t="shared" si="1318"/>
        <v>0</v>
      </c>
      <c r="AZ844" s="50">
        <f t="shared" si="1318"/>
        <v>0</v>
      </c>
      <c r="BA844" s="50">
        <f t="shared" si="1318"/>
        <v>0</v>
      </c>
      <c r="BB844" s="50">
        <f t="shared" si="1318"/>
        <v>0</v>
      </c>
      <c r="BC844" s="50">
        <f t="shared" si="1318"/>
        <v>0</v>
      </c>
      <c r="BD844" s="19">
        <f t="shared" si="1278"/>
        <v>0</v>
      </c>
    </row>
    <row r="845" spans="1:57" x14ac:dyDescent="0.25">
      <c r="B845" s="61" t="s">
        <v>232</v>
      </c>
      <c r="C845" s="61"/>
      <c r="D845" s="61">
        <f t="shared" ref="D845:AI845" si="1319">SUM(D825*C763,D826*C764,D827*C765,D828*C766,D829*C767,D830*C768,D831*C769,D832*C770,D833*C771,D834*C772,D835*C773,D836*C774,D837*C775,D838*C776,D839*C777,D840*C778,D841*C779,D842*C780,D843*C781,D844*C782)</f>
        <v>565200</v>
      </c>
      <c r="E845" s="61">
        <f t="shared" si="1319"/>
        <v>563039.99999999988</v>
      </c>
      <c r="F845" s="61">
        <f t="shared" si="1319"/>
        <v>571680</v>
      </c>
      <c r="G845" s="61">
        <f t="shared" si="1319"/>
        <v>556200</v>
      </c>
      <c r="H845" s="61">
        <f t="shared" si="1319"/>
        <v>575999.99999999988</v>
      </c>
      <c r="I845" s="61">
        <f t="shared" si="1319"/>
        <v>571680</v>
      </c>
      <c r="J845" s="61">
        <f t="shared" si="1319"/>
        <v>568080</v>
      </c>
      <c r="K845" s="61">
        <f t="shared" si="1319"/>
        <v>567720</v>
      </c>
      <c r="L845" s="61">
        <f t="shared" si="1319"/>
        <v>575280</v>
      </c>
      <c r="M845" s="61">
        <f t="shared" si="1319"/>
        <v>555840</v>
      </c>
      <c r="N845" s="61">
        <f t="shared" si="1319"/>
        <v>571680</v>
      </c>
      <c r="O845" s="61">
        <f t="shared" si="1319"/>
        <v>567000</v>
      </c>
      <c r="P845" s="61">
        <f t="shared" si="1319"/>
        <v>562680</v>
      </c>
      <c r="Q845" s="61">
        <f t="shared" si="1319"/>
        <v>569160</v>
      </c>
      <c r="R845" s="61">
        <f t="shared" si="1319"/>
        <v>562320</v>
      </c>
      <c r="S845" s="61">
        <f t="shared" si="1319"/>
        <v>574200</v>
      </c>
      <c r="T845" s="61">
        <f t="shared" si="1319"/>
        <v>572040</v>
      </c>
      <c r="U845" s="61">
        <f t="shared" si="1319"/>
        <v>569520</v>
      </c>
      <c r="V845" s="61">
        <f t="shared" si="1319"/>
        <v>567000</v>
      </c>
      <c r="W845" s="61">
        <f t="shared" si="1319"/>
        <v>570960</v>
      </c>
      <c r="X845" s="61">
        <f t="shared" si="1319"/>
        <v>560160</v>
      </c>
      <c r="Y845" s="61">
        <f t="shared" si="1319"/>
        <v>572400</v>
      </c>
      <c r="Z845" s="61">
        <f t="shared" si="1319"/>
        <v>565920</v>
      </c>
      <c r="AA845" s="61">
        <f t="shared" si="1319"/>
        <v>561600</v>
      </c>
      <c r="AB845" s="61">
        <f t="shared" si="1319"/>
        <v>571680</v>
      </c>
      <c r="AC845" s="61">
        <f t="shared" si="1319"/>
        <v>556920</v>
      </c>
      <c r="AD845" s="61">
        <f t="shared" si="1319"/>
        <v>574560</v>
      </c>
      <c r="AE845" s="61">
        <f t="shared" si="1319"/>
        <v>572400</v>
      </c>
      <c r="AF845" s="61">
        <f t="shared" si="1319"/>
        <v>568080</v>
      </c>
      <c r="AG845" s="61">
        <f t="shared" si="1319"/>
        <v>567720</v>
      </c>
      <c r="AH845" s="61">
        <f t="shared" si="1319"/>
        <v>575280</v>
      </c>
      <c r="AI845" s="61">
        <f t="shared" si="1319"/>
        <v>555840</v>
      </c>
      <c r="AJ845" s="61">
        <f t="shared" ref="AJ845:BC845" si="1320">SUM(AJ825*AI763,AJ826*AI764,AJ827*AI765,AJ828*AI766,AJ829*AI767,AJ830*AI768,AJ831*AI769,AJ832*AI770,AJ833*AI771,AJ834*AI772,AJ835*AI773,AJ836*AI774,AJ837*AI775,AJ838*AI776,AJ839*AI777,AJ840*AI778,AJ841*AI779,AJ842*AI780,AJ843*AI781,AJ844*AI782)</f>
        <v>577080</v>
      </c>
      <c r="AK845" s="61">
        <f t="shared" si="1320"/>
        <v>568800</v>
      </c>
      <c r="AL845" s="61">
        <f t="shared" si="1320"/>
        <v>568080.00000000012</v>
      </c>
      <c r="AM845" s="61">
        <f t="shared" si="1320"/>
        <v>566279.99999999988</v>
      </c>
      <c r="AN845" s="61">
        <f t="shared" si="1320"/>
        <v>565560</v>
      </c>
      <c r="AO845" s="61">
        <f t="shared" si="1320"/>
        <v>573120</v>
      </c>
      <c r="AP845" s="61">
        <f t="shared" si="1320"/>
        <v>568440</v>
      </c>
      <c r="AQ845" s="61">
        <f t="shared" si="1320"/>
        <v>563400</v>
      </c>
      <c r="AR845" s="61">
        <f t="shared" si="1320"/>
        <v>572400</v>
      </c>
      <c r="AS845" s="61">
        <f t="shared" si="1320"/>
        <v>559080</v>
      </c>
      <c r="AT845" s="61">
        <f t="shared" si="1320"/>
        <v>573120</v>
      </c>
      <c r="AU845" s="61">
        <f t="shared" si="1320"/>
        <v>569520</v>
      </c>
      <c r="AV845" s="61">
        <f t="shared" si="1320"/>
        <v>568080</v>
      </c>
      <c r="AW845" s="61">
        <f t="shared" si="1320"/>
        <v>562680</v>
      </c>
      <c r="AX845" s="61">
        <f t="shared" si="1320"/>
        <v>571320</v>
      </c>
      <c r="AY845" s="61">
        <f t="shared" si="1320"/>
        <v>556560</v>
      </c>
      <c r="AZ845" s="61">
        <f t="shared" si="1320"/>
        <v>573120</v>
      </c>
      <c r="BA845" s="61">
        <f t="shared" si="1320"/>
        <v>568800</v>
      </c>
      <c r="BB845" s="61">
        <f t="shared" si="1320"/>
        <v>568800</v>
      </c>
      <c r="BC845" s="61">
        <f t="shared" si="1320"/>
        <v>584640</v>
      </c>
      <c r="BD845" s="61">
        <f t="shared" ref="BD845" si="1321">SUM(D845:BC845)</f>
        <v>29538720</v>
      </c>
      <c r="BE845" s="136"/>
    </row>
    <row r="846" spans="1:57" x14ac:dyDescent="0.25">
      <c r="B846" s="61" t="s">
        <v>198</v>
      </c>
      <c r="C846" s="19"/>
      <c r="D846" s="50" t="b">
        <f t="shared" ref="D846:AI846" si="1322">AND(D845,C96,C818)</f>
        <v>1</v>
      </c>
      <c r="E846" s="50" t="b">
        <f t="shared" si="1322"/>
        <v>1</v>
      </c>
      <c r="F846" s="50" t="b">
        <f t="shared" si="1322"/>
        <v>1</v>
      </c>
      <c r="G846" s="50" t="b">
        <f t="shared" si="1322"/>
        <v>1</v>
      </c>
      <c r="H846" s="50" t="b">
        <f t="shared" si="1322"/>
        <v>1</v>
      </c>
      <c r="I846" s="50" t="b">
        <f t="shared" si="1322"/>
        <v>1</v>
      </c>
      <c r="J846" s="50" t="b">
        <f t="shared" si="1322"/>
        <v>1</v>
      </c>
      <c r="K846" s="50" t="b">
        <f t="shared" si="1322"/>
        <v>1</v>
      </c>
      <c r="L846" s="50" t="b">
        <f t="shared" si="1322"/>
        <v>1</v>
      </c>
      <c r="M846" s="50" t="b">
        <f t="shared" si="1322"/>
        <v>1</v>
      </c>
      <c r="N846" s="50" t="b">
        <f t="shared" si="1322"/>
        <v>1</v>
      </c>
      <c r="O846" s="50" t="b">
        <f t="shared" si="1322"/>
        <v>1</v>
      </c>
      <c r="P846" s="50" t="b">
        <f t="shared" si="1322"/>
        <v>1</v>
      </c>
      <c r="Q846" s="50" t="b">
        <f t="shared" si="1322"/>
        <v>1</v>
      </c>
      <c r="R846" s="50" t="b">
        <f t="shared" si="1322"/>
        <v>1</v>
      </c>
      <c r="S846" s="50" t="b">
        <f t="shared" si="1322"/>
        <v>1</v>
      </c>
      <c r="T846" s="50" t="b">
        <f t="shared" si="1322"/>
        <v>1</v>
      </c>
      <c r="U846" s="50" t="b">
        <f t="shared" si="1322"/>
        <v>1</v>
      </c>
      <c r="V846" s="50" t="b">
        <f t="shared" si="1322"/>
        <v>1</v>
      </c>
      <c r="W846" s="50" t="b">
        <f t="shared" si="1322"/>
        <v>1</v>
      </c>
      <c r="X846" s="50" t="b">
        <f t="shared" si="1322"/>
        <v>1</v>
      </c>
      <c r="Y846" s="50" t="b">
        <f t="shared" si="1322"/>
        <v>1</v>
      </c>
      <c r="Z846" s="50" t="b">
        <f t="shared" si="1322"/>
        <v>1</v>
      </c>
      <c r="AA846" s="50" t="b">
        <f t="shared" si="1322"/>
        <v>1</v>
      </c>
      <c r="AB846" s="50" t="b">
        <f t="shared" si="1322"/>
        <v>1</v>
      </c>
      <c r="AC846" s="50" t="b">
        <f t="shared" si="1322"/>
        <v>1</v>
      </c>
      <c r="AD846" s="50" t="b">
        <f t="shared" si="1322"/>
        <v>1</v>
      </c>
      <c r="AE846" s="50" t="b">
        <f t="shared" si="1322"/>
        <v>1</v>
      </c>
      <c r="AF846" s="50" t="b">
        <f t="shared" si="1322"/>
        <v>1</v>
      </c>
      <c r="AG846" s="50" t="b">
        <f t="shared" si="1322"/>
        <v>1</v>
      </c>
      <c r="AH846" s="50" t="b">
        <f t="shared" si="1322"/>
        <v>1</v>
      </c>
      <c r="AI846" s="50" t="b">
        <f t="shared" si="1322"/>
        <v>1</v>
      </c>
      <c r="AJ846" s="50" t="b">
        <f t="shared" ref="AJ846:BC846" si="1323">AND(AJ845,AI96,AI818)</f>
        <v>1</v>
      </c>
      <c r="AK846" s="50" t="b">
        <f t="shared" si="1323"/>
        <v>1</v>
      </c>
      <c r="AL846" s="50" t="b">
        <f t="shared" si="1323"/>
        <v>1</v>
      </c>
      <c r="AM846" s="50" t="b">
        <f t="shared" si="1323"/>
        <v>1</v>
      </c>
      <c r="AN846" s="50" t="b">
        <f t="shared" si="1323"/>
        <v>1</v>
      </c>
      <c r="AO846" s="50" t="b">
        <f t="shared" si="1323"/>
        <v>1</v>
      </c>
      <c r="AP846" s="50" t="b">
        <f t="shared" si="1323"/>
        <v>1</v>
      </c>
      <c r="AQ846" s="50" t="b">
        <f t="shared" si="1323"/>
        <v>1</v>
      </c>
      <c r="AR846" s="50" t="b">
        <f t="shared" si="1323"/>
        <v>1</v>
      </c>
      <c r="AS846" s="50" t="b">
        <f t="shared" si="1323"/>
        <v>1</v>
      </c>
      <c r="AT846" s="50" t="b">
        <f t="shared" si="1323"/>
        <v>1</v>
      </c>
      <c r="AU846" s="50" t="b">
        <f t="shared" si="1323"/>
        <v>1</v>
      </c>
      <c r="AV846" s="50" t="b">
        <f t="shared" si="1323"/>
        <v>1</v>
      </c>
      <c r="AW846" s="50" t="b">
        <f t="shared" si="1323"/>
        <v>1</v>
      </c>
      <c r="AX846" s="50" t="b">
        <f t="shared" si="1323"/>
        <v>1</v>
      </c>
      <c r="AY846" s="50" t="b">
        <f t="shared" si="1323"/>
        <v>1</v>
      </c>
      <c r="AZ846" s="50" t="b">
        <f t="shared" si="1323"/>
        <v>1</v>
      </c>
      <c r="BA846" s="50" t="b">
        <f t="shared" si="1323"/>
        <v>1</v>
      </c>
      <c r="BB846" s="50" t="b">
        <f t="shared" si="1323"/>
        <v>1</v>
      </c>
      <c r="BC846" s="50" t="b">
        <f t="shared" si="1323"/>
        <v>1</v>
      </c>
      <c r="BD846" s="61" t="b">
        <f>AND(D846:BC846)</f>
        <v>1</v>
      </c>
    </row>
    <row r="847" spans="1:57" x14ac:dyDescent="0.25">
      <c r="B847" s="61" t="s">
        <v>230</v>
      </c>
      <c r="C847" s="19"/>
      <c r="D847" s="61">
        <f t="shared" ref="D847:AI847" si="1324">SUM((D825-$C825)*C763,(D826-$C826)*C764,(D827-$C827)*C765,(D828-$C828)*C766,(D829-$C829)*C767,(D830-$C830)*C768,(D831-$C831)*C769,(D832-$C832)*C770,(D833-$C833)*C771,(D834-$C834)*C772,(D835-$C835)*C773,(D836-$C836)*C774,(D837-$C837)*C775,(D838-$C838)*C776,(D839-$C839)*C777,(D840-$C840)*C778,(D841-$C841)*C779,(D842-$C842)*C780,(D843-$C843)*C781,(D844-$C844)*C782)</f>
        <v>112800</v>
      </c>
      <c r="E847" s="61">
        <f t="shared" si="1324"/>
        <v>68139.999999999956</v>
      </c>
      <c r="F847" s="61">
        <f t="shared" si="1324"/>
        <v>53780.000000000022</v>
      </c>
      <c r="G847" s="61">
        <f t="shared" si="1324"/>
        <v>167000.00000000003</v>
      </c>
      <c r="H847" s="61">
        <f t="shared" si="1324"/>
        <v>167599.99999999997</v>
      </c>
      <c r="I847" s="61">
        <f t="shared" si="1324"/>
        <v>125380</v>
      </c>
      <c r="J847" s="61">
        <f t="shared" si="1324"/>
        <v>104179.99999999999</v>
      </c>
      <c r="K847" s="61">
        <f t="shared" si="1324"/>
        <v>84919.999999999985</v>
      </c>
      <c r="L847" s="61">
        <f t="shared" si="1324"/>
        <v>59880.000000000029</v>
      </c>
      <c r="M847" s="61">
        <f t="shared" si="1324"/>
        <v>152740.00000000003</v>
      </c>
      <c r="N847" s="61">
        <f t="shared" si="1324"/>
        <v>150980.00000000003</v>
      </c>
      <c r="O847" s="61">
        <f t="shared" si="1324"/>
        <v>131599.99999999997</v>
      </c>
      <c r="P847" s="61">
        <f t="shared" si="1324"/>
        <v>110279.99999999997</v>
      </c>
      <c r="Q847" s="61">
        <f t="shared" si="1324"/>
        <v>74259.999999999956</v>
      </c>
      <c r="R847" s="61">
        <f t="shared" si="1324"/>
        <v>43220.000000000022</v>
      </c>
      <c r="S847" s="61">
        <f t="shared" si="1324"/>
        <v>174800</v>
      </c>
      <c r="T847" s="61">
        <f t="shared" si="1324"/>
        <v>163640</v>
      </c>
      <c r="U847" s="61">
        <f t="shared" si="1324"/>
        <v>123620.00000000001</v>
      </c>
      <c r="V847" s="61">
        <f t="shared" si="1324"/>
        <v>103099.99999999997</v>
      </c>
      <c r="W847" s="61">
        <f t="shared" si="1324"/>
        <v>90559.999999999985</v>
      </c>
      <c r="X847" s="61">
        <f t="shared" si="1324"/>
        <v>52560.000000000022</v>
      </c>
      <c r="Y847" s="61">
        <f t="shared" si="1324"/>
        <v>169300</v>
      </c>
      <c r="Z847" s="61">
        <f t="shared" si="1324"/>
        <v>144020</v>
      </c>
      <c r="AA847" s="61">
        <f t="shared" si="1324"/>
        <v>130199.99999999997</v>
      </c>
      <c r="AB847" s="61">
        <f t="shared" si="1324"/>
        <v>119279.99999999997</v>
      </c>
      <c r="AC847" s="61">
        <f t="shared" si="1324"/>
        <v>61419.999999999985</v>
      </c>
      <c r="AD847" s="61">
        <f t="shared" si="1324"/>
        <v>56660</v>
      </c>
      <c r="AE847" s="61">
        <f t="shared" si="1324"/>
        <v>182000</v>
      </c>
      <c r="AF847" s="61">
        <f t="shared" si="1324"/>
        <v>159679.99999999994</v>
      </c>
      <c r="AG847" s="61">
        <f t="shared" si="1324"/>
        <v>121420.00000000003</v>
      </c>
      <c r="AH847" s="61">
        <f t="shared" si="1324"/>
        <v>111379.99999999996</v>
      </c>
      <c r="AI847" s="61">
        <f t="shared" si="1324"/>
        <v>75440.000000000015</v>
      </c>
      <c r="AJ847" s="61">
        <f t="shared" ref="AJ847:BC847" si="1325">SUM((AJ825-$C825)*AI763,(AJ826-$C826)*AI764,(AJ827-$C827)*AI765,(AJ828-$C828)*AI766,(AJ829-$C829)*AI767,(AJ830-$C830)*AI768,(AJ831-$C831)*AI769,(AJ832-$C832)*AI770,(AJ833-$C833)*AI771,(AJ834-$C834)*AI772,(AJ835-$C835)*AI773,(AJ836-$C836)*AI774,(AJ837-$C837)*AI775,(AJ838-$C838)*AI776,(AJ839-$C839)*AI777,(AJ840-$C840)*AI778,(AJ841-$C841)*AI779,(AJ842-$C842)*AI780,(AJ843-$C843)*AI781,(AJ844-$C844)*AI782)</f>
        <v>69480.000000000015</v>
      </c>
      <c r="AK847" s="61">
        <f t="shared" si="1325"/>
        <v>165700</v>
      </c>
      <c r="AL847" s="61">
        <f t="shared" si="1325"/>
        <v>146180</v>
      </c>
      <c r="AM847" s="61">
        <f t="shared" si="1325"/>
        <v>134879.99999999997</v>
      </c>
      <c r="AN847" s="61">
        <f t="shared" si="1325"/>
        <v>113160.00000000001</v>
      </c>
      <c r="AO847" s="61">
        <f t="shared" si="1325"/>
        <v>78219.999999999971</v>
      </c>
      <c r="AP847" s="61">
        <f t="shared" si="1325"/>
        <v>49340</v>
      </c>
      <c r="AQ847" s="61">
        <f t="shared" si="1325"/>
        <v>172999.99999999997</v>
      </c>
      <c r="AR847" s="61">
        <f t="shared" si="1325"/>
        <v>164000</v>
      </c>
      <c r="AS847" s="61">
        <f t="shared" si="1325"/>
        <v>112780.00000000003</v>
      </c>
      <c r="AT847" s="61">
        <f t="shared" si="1325"/>
        <v>64220.000000000007</v>
      </c>
      <c r="AU847" s="61">
        <f t="shared" si="1325"/>
        <v>67119.999999999985</v>
      </c>
      <c r="AV847" s="61">
        <f t="shared" si="1325"/>
        <v>63179.999999999971</v>
      </c>
      <c r="AW847" s="61">
        <f t="shared" si="1325"/>
        <v>49780.000000000015</v>
      </c>
      <c r="AX847" s="61">
        <f t="shared" si="1325"/>
        <v>107420</v>
      </c>
      <c r="AY847" s="61">
        <f t="shared" si="1325"/>
        <v>73759.999999999985</v>
      </c>
      <c r="AZ847" s="61">
        <f t="shared" si="1325"/>
        <v>57720</v>
      </c>
      <c r="BA847" s="61">
        <f t="shared" si="1325"/>
        <v>159700</v>
      </c>
      <c r="BB847" s="61">
        <f t="shared" si="1325"/>
        <v>146900</v>
      </c>
      <c r="BC847" s="61">
        <f t="shared" si="1325"/>
        <v>153240</v>
      </c>
      <c r="BD847" s="61">
        <f>SUM(D847:BC847)</f>
        <v>5795620</v>
      </c>
      <c r="BE847" s="136"/>
    </row>
    <row r="848" spans="1:57" x14ac:dyDescent="0.25">
      <c r="B848" s="61" t="s">
        <v>231</v>
      </c>
      <c r="C848" s="19"/>
      <c r="D848" s="61">
        <f t="shared" ref="D848:AI848" si="1326">D847*C318/60/60</f>
        <v>84716.689655172406</v>
      </c>
      <c r="E848" s="61">
        <f t="shared" si="1326"/>
        <v>51175.489655172372</v>
      </c>
      <c r="F848" s="61">
        <f t="shared" si="1326"/>
        <v>40390.634482758629</v>
      </c>
      <c r="G848" s="61">
        <f t="shared" si="1326"/>
        <v>125422.75862068967</v>
      </c>
      <c r="H848" s="61">
        <f t="shared" si="1326"/>
        <v>125873.37931034481</v>
      </c>
      <c r="I848" s="61">
        <f t="shared" si="1326"/>
        <v>94164.703448275861</v>
      </c>
      <c r="J848" s="61">
        <f t="shared" si="1326"/>
        <v>78242.772413793093</v>
      </c>
      <c r="K848" s="61">
        <f t="shared" si="1326"/>
        <v>63777.848275862052</v>
      </c>
      <c r="L848" s="61">
        <f t="shared" si="1326"/>
        <v>44971.944827586231</v>
      </c>
      <c r="M848" s="61">
        <f t="shared" si="1326"/>
        <v>114713.00689655174</v>
      </c>
      <c r="N848" s="61">
        <f t="shared" si="1326"/>
        <v>113391.18620689657</v>
      </c>
      <c r="O848" s="61">
        <f t="shared" si="1326"/>
        <v>98836.137931034464</v>
      </c>
      <c r="P848" s="61">
        <f t="shared" si="1326"/>
        <v>82824.082758620658</v>
      </c>
      <c r="Q848" s="61">
        <f t="shared" si="1326"/>
        <v>55771.820689655135</v>
      </c>
      <c r="R848" s="61">
        <f t="shared" si="1326"/>
        <v>32459.710344827603</v>
      </c>
      <c r="S848" s="61">
        <f t="shared" si="1326"/>
        <v>131280.8275862069</v>
      </c>
      <c r="T848" s="61">
        <f t="shared" si="1326"/>
        <v>122899.28275862067</v>
      </c>
      <c r="U848" s="61">
        <f t="shared" si="1326"/>
        <v>92842.88275862069</v>
      </c>
      <c r="V848" s="61">
        <f t="shared" si="1326"/>
        <v>77431.655172413768</v>
      </c>
      <c r="W848" s="61">
        <f t="shared" si="1326"/>
        <v>68013.682758620678</v>
      </c>
      <c r="X848" s="61">
        <f t="shared" si="1326"/>
        <v>39474.372413793113</v>
      </c>
      <c r="Y848" s="61">
        <f t="shared" si="1326"/>
        <v>127150.13793103448</v>
      </c>
      <c r="Z848" s="61">
        <f t="shared" si="1326"/>
        <v>108163.98620689656</v>
      </c>
      <c r="AA848" s="61">
        <f t="shared" si="1326"/>
        <v>97784.689655172391</v>
      </c>
      <c r="AB848" s="61">
        <f t="shared" si="1326"/>
        <v>89583.393103448252</v>
      </c>
      <c r="AC848" s="61">
        <f t="shared" si="1326"/>
        <v>46128.537931034472</v>
      </c>
      <c r="AD848" s="61">
        <f t="shared" si="1326"/>
        <v>42553.613793103446</v>
      </c>
      <c r="AE848" s="61">
        <f t="shared" si="1326"/>
        <v>136688.27586206896</v>
      </c>
      <c r="AF848" s="61">
        <f t="shared" si="1326"/>
        <v>119925.18620689651</v>
      </c>
      <c r="AG848" s="61">
        <f t="shared" si="1326"/>
        <v>91190.606896551748</v>
      </c>
      <c r="AH848" s="61">
        <f t="shared" si="1326"/>
        <v>83650.220689655136</v>
      </c>
      <c r="AI848" s="61">
        <f t="shared" si="1326"/>
        <v>56658.041379310351</v>
      </c>
      <c r="AJ848" s="61">
        <f t="shared" ref="AJ848:BC848" si="1327">AJ847*AI318/60/60</f>
        <v>52181.87586206897</v>
      </c>
      <c r="AK848" s="61">
        <f t="shared" si="1327"/>
        <v>124446.41379310345</v>
      </c>
      <c r="AL848" s="61">
        <f t="shared" si="1327"/>
        <v>109786.22068965518</v>
      </c>
      <c r="AM848" s="61">
        <f t="shared" si="1327"/>
        <v>101299.53103448273</v>
      </c>
      <c r="AN848" s="61">
        <f t="shared" si="1327"/>
        <v>84987.062068965533</v>
      </c>
      <c r="AO848" s="61">
        <f t="shared" si="1327"/>
        <v>58745.917241379284</v>
      </c>
      <c r="AP848" s="61">
        <f t="shared" si="1327"/>
        <v>37056.041379310343</v>
      </c>
      <c r="AQ848" s="61">
        <f t="shared" si="1327"/>
        <v>129928.96551724135</v>
      </c>
      <c r="AR848" s="61">
        <f t="shared" si="1327"/>
        <v>123169.65517241378</v>
      </c>
      <c r="AS848" s="61">
        <f t="shared" si="1327"/>
        <v>84701.668965517267</v>
      </c>
      <c r="AT848" s="61">
        <f t="shared" si="1327"/>
        <v>48231.434482758625</v>
      </c>
      <c r="AU848" s="61">
        <f t="shared" si="1327"/>
        <v>50409.43448275861</v>
      </c>
      <c r="AV848" s="61">
        <f t="shared" si="1327"/>
        <v>47450.358620689636</v>
      </c>
      <c r="AW848" s="61">
        <f t="shared" si="1327"/>
        <v>37386.496551724151</v>
      </c>
      <c r="AX848" s="61">
        <f t="shared" si="1327"/>
        <v>80676.124137931038</v>
      </c>
      <c r="AY848" s="61">
        <f t="shared" si="1327"/>
        <v>55396.303448275852</v>
      </c>
      <c r="AZ848" s="61">
        <f t="shared" si="1327"/>
        <v>43349.710344827588</v>
      </c>
      <c r="BA848" s="61">
        <f t="shared" si="1327"/>
        <v>119940.20689655171</v>
      </c>
      <c r="BB848" s="61">
        <f t="shared" si="1327"/>
        <v>110326.96551724136</v>
      </c>
      <c r="BC848" s="61">
        <f t="shared" si="1327"/>
        <v>115088.52413793103</v>
      </c>
      <c r="BD848" s="100">
        <f>SUM(D848:BC848)</f>
        <v>4352710.4689655155</v>
      </c>
    </row>
    <row r="850" spans="2:35" s="112" customFormat="1" ht="105" x14ac:dyDescent="0.25">
      <c r="B850" s="112" t="s">
        <v>514</v>
      </c>
      <c r="C850" s="112" t="s">
        <v>513</v>
      </c>
      <c r="D850" s="112" t="s">
        <v>515</v>
      </c>
      <c r="E850" s="112" t="s">
        <v>516</v>
      </c>
      <c r="F850" s="112" t="s">
        <v>518</v>
      </c>
      <c r="G850" s="112" t="s">
        <v>517</v>
      </c>
      <c r="H850" s="112" t="s">
        <v>519</v>
      </c>
      <c r="I850" s="112" t="s">
        <v>520</v>
      </c>
      <c r="J850" s="112" t="s">
        <v>521</v>
      </c>
      <c r="K850" s="112" t="s">
        <v>522</v>
      </c>
      <c r="L850" s="112" t="s">
        <v>523</v>
      </c>
      <c r="M850" s="112" t="s">
        <v>524</v>
      </c>
      <c r="N850" s="112" t="s">
        <v>525</v>
      </c>
      <c r="O850" s="112" t="s">
        <v>526</v>
      </c>
      <c r="P850" s="112" t="s">
        <v>527</v>
      </c>
      <c r="Q850" s="112" t="s">
        <v>528</v>
      </c>
      <c r="R850" s="112" t="s">
        <v>529</v>
      </c>
      <c r="S850" s="112" t="s">
        <v>530</v>
      </c>
      <c r="T850" s="112" t="s">
        <v>531</v>
      </c>
      <c r="U850" s="112" t="s">
        <v>532</v>
      </c>
      <c r="V850" s="112" t="s">
        <v>533</v>
      </c>
      <c r="W850" s="112" t="s">
        <v>534</v>
      </c>
      <c r="X850" s="112" t="s">
        <v>535</v>
      </c>
      <c r="Y850" s="112" t="s">
        <v>536</v>
      </c>
      <c r="Z850" s="112" t="s">
        <v>537</v>
      </c>
      <c r="AA850" s="112" t="s">
        <v>538</v>
      </c>
      <c r="AB850" s="112" t="s">
        <v>539</v>
      </c>
      <c r="AC850" s="112" t="s">
        <v>540</v>
      </c>
      <c r="AD850" s="112" t="s">
        <v>541</v>
      </c>
      <c r="AE850" s="112" t="s">
        <v>542</v>
      </c>
      <c r="AF850" s="112" t="s">
        <v>543</v>
      </c>
      <c r="AG850" s="112" t="s">
        <v>544</v>
      </c>
      <c r="AH850" s="112" t="s">
        <v>545</v>
      </c>
      <c r="AI850" s="112" t="s">
        <v>546</v>
      </c>
    </row>
    <row r="851" spans="2:35" x14ac:dyDescent="0.25">
      <c r="B851" s="1" t="s">
        <v>171</v>
      </c>
      <c r="C851">
        <f>$BC763/10000*'Client Data'!O300</f>
        <v>31875</v>
      </c>
      <c r="D851">
        <f>$BC763/10000*'Client Data'!P300</f>
        <v>9562.5</v>
      </c>
      <c r="E851">
        <f>$BC763/10000*'Client Data'!Q300</f>
        <v>31875</v>
      </c>
      <c r="F851">
        <f>$BC763/10000*'Client Data'!R300</f>
        <v>150000</v>
      </c>
      <c r="G851">
        <f>$BC763/10000*'Client Data'!S300</f>
        <v>150000</v>
      </c>
      <c r="H851">
        <f>$BC763/10000*'Client Data'!T300</f>
        <v>1200000</v>
      </c>
      <c r="I851">
        <f>$BC763/10000*'Client Data'!U300</f>
        <v>1800000</v>
      </c>
      <c r="J851">
        <f>$BC763/10000*'Client Data'!V300</f>
        <v>150000</v>
      </c>
      <c r="K851">
        <f>$BC763/10000*'Client Data'!W300</f>
        <v>150</v>
      </c>
      <c r="L851">
        <f>$BC763/10000*'Client Data'!X300</f>
        <v>30</v>
      </c>
      <c r="M851">
        <f>$BC763/10000*'Client Data'!Y300</f>
        <v>120</v>
      </c>
      <c r="N851">
        <f>'Client Data'!H323</f>
        <v>20</v>
      </c>
      <c r="O851">
        <f>'Client Data'!H324</f>
        <v>50</v>
      </c>
      <c r="P851">
        <f>'Client Data'!H325</f>
        <v>5</v>
      </c>
      <c r="Q851">
        <f>'Client Data'!H326</f>
        <v>1.75</v>
      </c>
      <c r="R851">
        <f>'Client Data'!H334</f>
        <v>1.75</v>
      </c>
      <c r="S851">
        <f>'Client Data'!H342</f>
        <v>0.875</v>
      </c>
      <c r="T851">
        <f>'Client Data'!H350</f>
        <v>0.875</v>
      </c>
      <c r="U851">
        <f>'Client Data'!H358</f>
        <v>1.75</v>
      </c>
      <c r="V851">
        <f>'Client Data'!H366</f>
        <v>0.08</v>
      </c>
      <c r="W851">
        <f>'Client Data'!H367</f>
        <v>0.13</v>
      </c>
      <c r="X851">
        <f>'Client Data'!H368</f>
        <v>0.25</v>
      </c>
      <c r="Y851">
        <f>C851*N851</f>
        <v>637500</v>
      </c>
      <c r="Z851">
        <f>D851*O851</f>
        <v>478125</v>
      </c>
      <c r="AA851">
        <f>E851*P851</f>
        <v>159375</v>
      </c>
      <c r="AB851">
        <f>F851*Q851</f>
        <v>262500</v>
      </c>
      <c r="AC851">
        <f>G851*R851</f>
        <v>262500</v>
      </c>
      <c r="AD851">
        <f>H851*S851/8</f>
        <v>131250</v>
      </c>
      <c r="AE851">
        <f>I851/12*T851</f>
        <v>131250</v>
      </c>
      <c r="AF851">
        <f>J851*U851</f>
        <v>262500</v>
      </c>
      <c r="AG851">
        <f>K851*V851</f>
        <v>12</v>
      </c>
      <c r="AH851">
        <f>L851*W851</f>
        <v>3.9000000000000004</v>
      </c>
      <c r="AI851">
        <f>M851*X851</f>
        <v>30</v>
      </c>
    </row>
    <row r="852" spans="2:35" x14ac:dyDescent="0.25">
      <c r="B852" s="1" t="s">
        <v>172</v>
      </c>
      <c r="C852">
        <f>$BC764/10000*'Client Data'!O301</f>
        <v>51620</v>
      </c>
      <c r="D852">
        <f>$BC764/10000*'Client Data'!P301</f>
        <v>15486</v>
      </c>
      <c r="E852">
        <f>$BC764/10000*'Client Data'!Q301</f>
        <v>51620</v>
      </c>
      <c r="F852">
        <f>$BC764/10000*'Client Data'!R301</f>
        <v>232000</v>
      </c>
      <c r="G852">
        <f>$BC764/10000*'Client Data'!S301</f>
        <v>232000</v>
      </c>
      <c r="H852">
        <f>$BC764/10000*'Client Data'!T301</f>
        <v>1856000</v>
      </c>
      <c r="I852">
        <f>$BC764/10000*'Client Data'!U301</f>
        <v>2784000</v>
      </c>
      <c r="J852">
        <f>$BC764/10000*'Client Data'!V301</f>
        <v>232000</v>
      </c>
      <c r="K852">
        <f>$BC764/10000*'Client Data'!W301</f>
        <v>232</v>
      </c>
      <c r="L852">
        <f>$BC764/10000*'Client Data'!X301</f>
        <v>46.4</v>
      </c>
      <c r="M852">
        <f>$BC764/10000*'Client Data'!Y301</f>
        <v>185.6</v>
      </c>
      <c r="N852">
        <f t="shared" ref="N852:O858" si="1328">N851</f>
        <v>20</v>
      </c>
      <c r="O852">
        <f t="shared" si="1328"/>
        <v>50</v>
      </c>
      <c r="P852">
        <f t="shared" ref="P852:P858" si="1329">P851</f>
        <v>5</v>
      </c>
      <c r="Q852">
        <f>'Client Data'!H327</f>
        <v>2</v>
      </c>
      <c r="R852">
        <f>'Client Data'!H335</f>
        <v>2</v>
      </c>
      <c r="S852">
        <f>'Client Data'!H343</f>
        <v>1</v>
      </c>
      <c r="T852">
        <f>'Client Data'!H351</f>
        <v>1</v>
      </c>
      <c r="U852">
        <f>'Client Data'!H359</f>
        <v>2</v>
      </c>
      <c r="V852">
        <f>V851</f>
        <v>0.08</v>
      </c>
      <c r="W852">
        <f>W851</f>
        <v>0.13</v>
      </c>
      <c r="X852">
        <f>X851</f>
        <v>0.25</v>
      </c>
      <c r="Y852">
        <f t="shared" ref="Y852:Y858" si="1330">C852*N852</f>
        <v>1032400</v>
      </c>
      <c r="Z852">
        <f t="shared" ref="Z852:Z858" si="1331">D852*O852</f>
        <v>774300</v>
      </c>
      <c r="AA852">
        <f t="shared" ref="AA852:AA858" si="1332">E852*P852</f>
        <v>258100</v>
      </c>
      <c r="AB852">
        <f t="shared" ref="AB852:AB858" si="1333">F852*Q852</f>
        <v>464000</v>
      </c>
      <c r="AC852">
        <f t="shared" ref="AC852:AC858" si="1334">G852*R852</f>
        <v>464000</v>
      </c>
      <c r="AD852">
        <f t="shared" ref="AD852:AD858" si="1335">H852*S852/8</f>
        <v>232000</v>
      </c>
      <c r="AE852">
        <f t="shared" ref="AE852:AE858" si="1336">I852/12*T852</f>
        <v>232000</v>
      </c>
      <c r="AF852">
        <f t="shared" ref="AF852:AF858" si="1337">J852*U852</f>
        <v>464000</v>
      </c>
      <c r="AG852">
        <f t="shared" ref="AG852:AG858" si="1338">K852*V852</f>
        <v>18.559999999999999</v>
      </c>
      <c r="AH852">
        <f t="shared" ref="AH852:AH858" si="1339">L852*W852</f>
        <v>6.032</v>
      </c>
      <c r="AI852">
        <f t="shared" ref="AI852:AI858" si="1340">M852*X852</f>
        <v>46.4</v>
      </c>
    </row>
    <row r="853" spans="2:35" x14ac:dyDescent="0.25">
      <c r="B853" s="1" t="s">
        <v>173</v>
      </c>
      <c r="C853">
        <f>$BC765/10000*'Client Data'!O302</f>
        <v>78975</v>
      </c>
      <c r="D853">
        <f>$BC765/10000*'Client Data'!P302</f>
        <v>23692.5</v>
      </c>
      <c r="E853">
        <f>$BC765/10000*'Client Data'!Q302</f>
        <v>78975</v>
      </c>
      <c r="F853">
        <f>$BC765/10000*'Client Data'!R302</f>
        <v>351000</v>
      </c>
      <c r="G853">
        <f>$BC765/10000*'Client Data'!S302</f>
        <v>351000</v>
      </c>
      <c r="H853">
        <f>$BC765/10000*'Client Data'!T302</f>
        <v>2808000</v>
      </c>
      <c r="I853">
        <f>$BC765/10000*'Client Data'!U302</f>
        <v>4212000</v>
      </c>
      <c r="J853">
        <f>$BC765/10000*'Client Data'!V302</f>
        <v>351000</v>
      </c>
      <c r="K853">
        <f>$BC765/10000*'Client Data'!W302</f>
        <v>351</v>
      </c>
      <c r="L853">
        <f>$BC765/10000*'Client Data'!X302</f>
        <v>70.2</v>
      </c>
      <c r="M853">
        <f>$BC765/10000*'Client Data'!Y302</f>
        <v>280.8</v>
      </c>
      <c r="N853">
        <f t="shared" si="1328"/>
        <v>20</v>
      </c>
      <c r="O853">
        <f t="shared" si="1328"/>
        <v>50</v>
      </c>
      <c r="P853">
        <f t="shared" si="1329"/>
        <v>5</v>
      </c>
      <c r="Q853">
        <f>'Client Data'!H328</f>
        <v>1.5</v>
      </c>
      <c r="R853">
        <f>'Client Data'!H336</f>
        <v>1.5</v>
      </c>
      <c r="S853">
        <f>'Client Data'!H344</f>
        <v>0.75</v>
      </c>
      <c r="T853">
        <f>'Client Data'!H352</f>
        <v>0.75</v>
      </c>
      <c r="U853">
        <f>'Client Data'!H360</f>
        <v>1.5</v>
      </c>
      <c r="V853">
        <f>V852</f>
        <v>0.08</v>
      </c>
      <c r="W853">
        <f>W852</f>
        <v>0.13</v>
      </c>
      <c r="X853">
        <f t="shared" ref="X853:X858" si="1341">X852</f>
        <v>0.25</v>
      </c>
      <c r="Y853">
        <f t="shared" si="1330"/>
        <v>1579500</v>
      </c>
      <c r="Z853">
        <f t="shared" si="1331"/>
        <v>1184625</v>
      </c>
      <c r="AA853">
        <f t="shared" si="1332"/>
        <v>394875</v>
      </c>
      <c r="AB853">
        <f t="shared" si="1333"/>
        <v>526500</v>
      </c>
      <c r="AC853">
        <f t="shared" si="1334"/>
        <v>526500</v>
      </c>
      <c r="AD853">
        <f t="shared" si="1335"/>
        <v>263250</v>
      </c>
      <c r="AE853">
        <f t="shared" si="1336"/>
        <v>263250</v>
      </c>
      <c r="AF853">
        <f t="shared" si="1337"/>
        <v>526500</v>
      </c>
      <c r="AG853">
        <f t="shared" si="1338"/>
        <v>28.080000000000002</v>
      </c>
      <c r="AH853">
        <f t="shared" si="1339"/>
        <v>9.1260000000000012</v>
      </c>
      <c r="AI853">
        <f t="shared" si="1340"/>
        <v>70.2</v>
      </c>
    </row>
    <row r="854" spans="2:35" x14ac:dyDescent="0.25">
      <c r="B854" s="1" t="s">
        <v>174</v>
      </c>
      <c r="C854">
        <f>$BC766/10000*'Client Data'!O303</f>
        <v>99200</v>
      </c>
      <c r="D854">
        <f>$BC766/10000*'Client Data'!P303</f>
        <v>29760</v>
      </c>
      <c r="E854">
        <f>$BC766/10000*'Client Data'!Q303</f>
        <v>99200</v>
      </c>
      <c r="F854">
        <f>$BC766/10000*'Client Data'!R303</f>
        <v>496000</v>
      </c>
      <c r="G854">
        <f>$BC766/10000*'Client Data'!S303</f>
        <v>496000</v>
      </c>
      <c r="H854">
        <f>$BC766/10000*'Client Data'!T303</f>
        <v>3968000</v>
      </c>
      <c r="I854">
        <f>$BC766/10000*'Client Data'!U303</f>
        <v>5952000</v>
      </c>
      <c r="J854">
        <f>$BC766/10000*'Client Data'!V303</f>
        <v>496000</v>
      </c>
      <c r="K854">
        <f>$BC766/10000*'Client Data'!W303</f>
        <v>496</v>
      </c>
      <c r="L854">
        <f>$BC766/10000*'Client Data'!X303</f>
        <v>99.2</v>
      </c>
      <c r="M854">
        <f>$BC766/10000*'Client Data'!Y303</f>
        <v>396.8</v>
      </c>
      <c r="N854">
        <f t="shared" si="1328"/>
        <v>20</v>
      </c>
      <c r="O854">
        <f t="shared" si="1328"/>
        <v>50</v>
      </c>
      <c r="P854">
        <f t="shared" si="1329"/>
        <v>5</v>
      </c>
      <c r="Q854">
        <f>'Client Data'!H329</f>
        <v>2.125</v>
      </c>
      <c r="R854">
        <f>'Client Data'!H337</f>
        <v>2.125</v>
      </c>
      <c r="S854">
        <f>'Client Data'!H345</f>
        <v>1.0625</v>
      </c>
      <c r="T854">
        <f>'Client Data'!H353</f>
        <v>1.0625</v>
      </c>
      <c r="U854">
        <f>'Client Data'!H361</f>
        <v>2.125</v>
      </c>
      <c r="V854">
        <f t="shared" ref="V854:V858" si="1342">V853</f>
        <v>0.08</v>
      </c>
      <c r="W854">
        <f t="shared" ref="W854:W858" si="1343">W853</f>
        <v>0.13</v>
      </c>
      <c r="X854">
        <f t="shared" si="1341"/>
        <v>0.25</v>
      </c>
      <c r="Y854">
        <f t="shared" si="1330"/>
        <v>1984000</v>
      </c>
      <c r="Z854">
        <f t="shared" si="1331"/>
        <v>1488000</v>
      </c>
      <c r="AA854">
        <f t="shared" si="1332"/>
        <v>496000</v>
      </c>
      <c r="AB854">
        <f t="shared" si="1333"/>
        <v>1054000</v>
      </c>
      <c r="AC854">
        <f t="shared" si="1334"/>
        <v>1054000</v>
      </c>
      <c r="AD854">
        <f t="shared" si="1335"/>
        <v>527000</v>
      </c>
      <c r="AE854">
        <f t="shared" si="1336"/>
        <v>527000</v>
      </c>
      <c r="AF854">
        <f t="shared" si="1337"/>
        <v>1054000</v>
      </c>
      <c r="AG854">
        <f t="shared" si="1338"/>
        <v>39.68</v>
      </c>
      <c r="AH854">
        <f t="shared" si="1339"/>
        <v>12.896000000000001</v>
      </c>
      <c r="AI854">
        <f t="shared" si="1340"/>
        <v>99.2</v>
      </c>
    </row>
    <row r="855" spans="2:35" x14ac:dyDescent="0.25">
      <c r="B855" s="1" t="s">
        <v>175</v>
      </c>
      <c r="C855">
        <f>$BC767/10000*'Client Data'!O304</f>
        <v>85800</v>
      </c>
      <c r="D855">
        <f>$BC767/10000*'Client Data'!P304</f>
        <v>25740</v>
      </c>
      <c r="E855">
        <f>$BC767/10000*'Client Data'!Q304</f>
        <v>85800</v>
      </c>
      <c r="F855">
        <f>$BC767/10000*'Client Data'!R304</f>
        <v>440000</v>
      </c>
      <c r="G855">
        <f>$BC767/10000*'Client Data'!S304</f>
        <v>440000</v>
      </c>
      <c r="H855">
        <f>$BC767/10000*'Client Data'!T304</f>
        <v>3520000</v>
      </c>
      <c r="I855">
        <f>$BC767/10000*'Client Data'!U304</f>
        <v>5280000</v>
      </c>
      <c r="J855">
        <f>$BC767/10000*'Client Data'!V304</f>
        <v>440000</v>
      </c>
      <c r="K855">
        <f>$BC767/10000*'Client Data'!W304</f>
        <v>440</v>
      </c>
      <c r="L855">
        <f>$BC767/10000*'Client Data'!X304</f>
        <v>88</v>
      </c>
      <c r="M855">
        <f>$BC767/10000*'Client Data'!Y304</f>
        <v>352</v>
      </c>
      <c r="N855">
        <f t="shared" si="1328"/>
        <v>20</v>
      </c>
      <c r="O855">
        <f t="shared" si="1328"/>
        <v>50</v>
      </c>
      <c r="P855">
        <f t="shared" si="1329"/>
        <v>5</v>
      </c>
      <c r="Q855">
        <f>'Client Data'!H330</f>
        <v>2</v>
      </c>
      <c r="R855">
        <f>'Client Data'!H338</f>
        <v>2</v>
      </c>
      <c r="S855">
        <f>'Client Data'!H346</f>
        <v>1</v>
      </c>
      <c r="T855">
        <f>'Client Data'!H354</f>
        <v>1</v>
      </c>
      <c r="U855">
        <f>'Client Data'!H362</f>
        <v>2</v>
      </c>
      <c r="V855">
        <f t="shared" si="1342"/>
        <v>0.08</v>
      </c>
      <c r="W855">
        <f t="shared" si="1343"/>
        <v>0.13</v>
      </c>
      <c r="X855">
        <f t="shared" si="1341"/>
        <v>0.25</v>
      </c>
      <c r="Y855">
        <f t="shared" si="1330"/>
        <v>1716000</v>
      </c>
      <c r="Z855">
        <f t="shared" si="1331"/>
        <v>1287000</v>
      </c>
      <c r="AA855">
        <f t="shared" si="1332"/>
        <v>429000</v>
      </c>
      <c r="AB855">
        <f t="shared" si="1333"/>
        <v>880000</v>
      </c>
      <c r="AC855">
        <f t="shared" si="1334"/>
        <v>880000</v>
      </c>
      <c r="AD855">
        <f t="shared" si="1335"/>
        <v>440000</v>
      </c>
      <c r="AE855">
        <f t="shared" si="1336"/>
        <v>440000</v>
      </c>
      <c r="AF855">
        <f t="shared" si="1337"/>
        <v>880000</v>
      </c>
      <c r="AG855">
        <f t="shared" si="1338"/>
        <v>35.200000000000003</v>
      </c>
      <c r="AH855">
        <f t="shared" si="1339"/>
        <v>11.440000000000001</v>
      </c>
      <c r="AI855">
        <f t="shared" si="1340"/>
        <v>88</v>
      </c>
    </row>
    <row r="856" spans="2:35" x14ac:dyDescent="0.25">
      <c r="B856" s="1" t="s">
        <v>176</v>
      </c>
      <c r="C856">
        <f>$BC768/10000*'Client Data'!O305</f>
        <v>68532.5</v>
      </c>
      <c r="D856">
        <f>$BC768/10000*'Client Data'!P305</f>
        <v>20559.750000000007</v>
      </c>
      <c r="E856">
        <f>$BC768/10000*'Client Data'!Q305</f>
        <v>68532.5</v>
      </c>
      <c r="F856">
        <f>$BC768/10000*'Client Data'!R305</f>
        <v>347000</v>
      </c>
      <c r="G856">
        <f>$BC768/10000*'Client Data'!S305</f>
        <v>347000</v>
      </c>
      <c r="H856">
        <f>$BC768/10000*'Client Data'!T305</f>
        <v>2776000</v>
      </c>
      <c r="I856">
        <f>$BC768/10000*'Client Data'!U305</f>
        <v>4164000.0000000005</v>
      </c>
      <c r="J856">
        <f>$BC768/10000*'Client Data'!V305</f>
        <v>347000</v>
      </c>
      <c r="K856">
        <f>$BC768/10000*'Client Data'!W305</f>
        <v>347</v>
      </c>
      <c r="L856">
        <f>$BC768/10000*'Client Data'!X305</f>
        <v>69.400000000000006</v>
      </c>
      <c r="M856">
        <f>$BC768/10000*'Client Data'!Y305</f>
        <v>277.60000000000002</v>
      </c>
      <c r="N856">
        <f t="shared" si="1328"/>
        <v>20</v>
      </c>
      <c r="O856">
        <f t="shared" si="1328"/>
        <v>50</v>
      </c>
      <c r="P856">
        <f t="shared" si="1329"/>
        <v>5</v>
      </c>
      <c r="Q856">
        <f>'Client Data'!H331</f>
        <v>2.25</v>
      </c>
      <c r="R856">
        <f>'Client Data'!H339</f>
        <v>2.25</v>
      </c>
      <c r="S856">
        <f>'Client Data'!H347</f>
        <v>1.125</v>
      </c>
      <c r="T856">
        <f>'Client Data'!H355</f>
        <v>1.125</v>
      </c>
      <c r="U856">
        <f>'Client Data'!H363</f>
        <v>2.25</v>
      </c>
      <c r="V856">
        <f t="shared" si="1342"/>
        <v>0.08</v>
      </c>
      <c r="W856">
        <f t="shared" si="1343"/>
        <v>0.13</v>
      </c>
      <c r="X856">
        <f t="shared" si="1341"/>
        <v>0.25</v>
      </c>
      <c r="Y856">
        <f t="shared" si="1330"/>
        <v>1370650</v>
      </c>
      <c r="Z856">
        <f t="shared" si="1331"/>
        <v>1027987.5000000003</v>
      </c>
      <c r="AA856">
        <f t="shared" si="1332"/>
        <v>342662.5</v>
      </c>
      <c r="AB856">
        <f t="shared" si="1333"/>
        <v>780750</v>
      </c>
      <c r="AC856">
        <f t="shared" si="1334"/>
        <v>780750</v>
      </c>
      <c r="AD856">
        <f t="shared" si="1335"/>
        <v>390375</v>
      </c>
      <c r="AE856">
        <f t="shared" si="1336"/>
        <v>390375.00000000006</v>
      </c>
      <c r="AF856">
        <f t="shared" si="1337"/>
        <v>780750</v>
      </c>
      <c r="AG856">
        <f t="shared" si="1338"/>
        <v>27.76</v>
      </c>
      <c r="AH856">
        <f t="shared" si="1339"/>
        <v>9.0220000000000002</v>
      </c>
      <c r="AI856">
        <f t="shared" si="1340"/>
        <v>69.400000000000006</v>
      </c>
    </row>
    <row r="857" spans="2:35" x14ac:dyDescent="0.25">
      <c r="B857" s="1" t="s">
        <v>177</v>
      </c>
      <c r="C857">
        <f>$BC769/10000*'Client Data'!O306</f>
        <v>45600</v>
      </c>
      <c r="D857">
        <f>$BC769/10000*'Client Data'!P306</f>
        <v>13680</v>
      </c>
      <c r="E857">
        <f>$BC769/10000*'Client Data'!Q306</f>
        <v>45600</v>
      </c>
      <c r="F857">
        <f>$BC769/10000*'Client Data'!R306</f>
        <v>228000</v>
      </c>
      <c r="G857">
        <f>$BC769/10000*'Client Data'!S306</f>
        <v>228000</v>
      </c>
      <c r="H857">
        <f>$BC769/10000*'Client Data'!T306</f>
        <v>1824000</v>
      </c>
      <c r="I857">
        <f>$BC769/10000*'Client Data'!U306</f>
        <v>2736000</v>
      </c>
      <c r="J857">
        <f>$BC769/10000*'Client Data'!V306</f>
        <v>228000</v>
      </c>
      <c r="K857">
        <f>$BC769/10000*'Client Data'!W306</f>
        <v>228</v>
      </c>
      <c r="L857">
        <f>$BC769/10000*'Client Data'!X306</f>
        <v>45.6</v>
      </c>
      <c r="M857">
        <f>$BC769/10000*'Client Data'!Y306</f>
        <v>182.4</v>
      </c>
      <c r="N857">
        <f t="shared" si="1328"/>
        <v>20</v>
      </c>
      <c r="O857">
        <f t="shared" si="1328"/>
        <v>50</v>
      </c>
      <c r="P857">
        <f t="shared" si="1329"/>
        <v>5</v>
      </c>
      <c r="Q857">
        <f>'Client Data'!H332</f>
        <v>1.7250000000000001</v>
      </c>
      <c r="R857">
        <f>'Client Data'!H340</f>
        <v>1.7250000000000001</v>
      </c>
      <c r="S857">
        <f>'Client Data'!H348</f>
        <v>0.86250000000000004</v>
      </c>
      <c r="T857">
        <f>'Client Data'!H356</f>
        <v>0.86250000000000004</v>
      </c>
      <c r="U857">
        <f>'Client Data'!H364</f>
        <v>1.7250000000000001</v>
      </c>
      <c r="V857">
        <f t="shared" si="1342"/>
        <v>0.08</v>
      </c>
      <c r="W857">
        <f t="shared" si="1343"/>
        <v>0.13</v>
      </c>
      <c r="X857">
        <f t="shared" si="1341"/>
        <v>0.25</v>
      </c>
      <c r="Y857">
        <f t="shared" si="1330"/>
        <v>912000</v>
      </c>
      <c r="Z857">
        <f t="shared" si="1331"/>
        <v>684000</v>
      </c>
      <c r="AA857">
        <f t="shared" si="1332"/>
        <v>228000</v>
      </c>
      <c r="AB857">
        <f t="shared" si="1333"/>
        <v>393300</v>
      </c>
      <c r="AC857">
        <f t="shared" si="1334"/>
        <v>393300</v>
      </c>
      <c r="AD857">
        <f t="shared" si="1335"/>
        <v>196650</v>
      </c>
      <c r="AE857">
        <f t="shared" si="1336"/>
        <v>196650</v>
      </c>
      <c r="AF857">
        <f t="shared" si="1337"/>
        <v>393300</v>
      </c>
      <c r="AG857">
        <f t="shared" si="1338"/>
        <v>18.240000000000002</v>
      </c>
      <c r="AH857">
        <f t="shared" si="1339"/>
        <v>5.9280000000000008</v>
      </c>
      <c r="AI857">
        <f t="shared" si="1340"/>
        <v>45.6</v>
      </c>
    </row>
    <row r="858" spans="2:35" x14ac:dyDescent="0.25">
      <c r="B858" s="1" t="s">
        <v>178</v>
      </c>
      <c r="C858">
        <f>$BC770/10000*'Client Data'!O307</f>
        <v>17250</v>
      </c>
      <c r="D858">
        <f>$BC770/10000*'Client Data'!P307</f>
        <v>5175</v>
      </c>
      <c r="E858">
        <f>$BC770/10000*'Client Data'!Q307</f>
        <v>17250</v>
      </c>
      <c r="F858">
        <f>$BC770/10000*'Client Data'!R307</f>
        <v>92000</v>
      </c>
      <c r="G858">
        <f>$BC770/10000*'Client Data'!S307</f>
        <v>92000</v>
      </c>
      <c r="H858">
        <f>$BC770/10000*'Client Data'!T307</f>
        <v>736000</v>
      </c>
      <c r="I858">
        <f>$BC770/10000*'Client Data'!U307</f>
        <v>1104000</v>
      </c>
      <c r="J858">
        <f>$BC770/10000*'Client Data'!V307</f>
        <v>92000</v>
      </c>
      <c r="K858">
        <f>$BC770/10000*'Client Data'!W307</f>
        <v>92</v>
      </c>
      <c r="L858">
        <f>$BC770/10000*'Client Data'!X307</f>
        <v>18.399999999999999</v>
      </c>
      <c r="M858">
        <f>$BC770/10000*'Client Data'!Y307</f>
        <v>73.599999999999994</v>
      </c>
      <c r="N858">
        <f t="shared" si="1328"/>
        <v>20</v>
      </c>
      <c r="O858">
        <f t="shared" si="1328"/>
        <v>50</v>
      </c>
      <c r="P858">
        <f t="shared" si="1329"/>
        <v>5</v>
      </c>
      <c r="Q858">
        <f>'Client Data'!H333</f>
        <v>1.95</v>
      </c>
      <c r="R858">
        <f>'Client Data'!H341</f>
        <v>1.95</v>
      </c>
      <c r="S858">
        <f>'Client Data'!H349</f>
        <v>0.97499999999999998</v>
      </c>
      <c r="T858">
        <f>'Client Data'!H357</f>
        <v>0.97499999999999998</v>
      </c>
      <c r="U858">
        <f>'Client Data'!H365</f>
        <v>1.95</v>
      </c>
      <c r="V858">
        <f t="shared" si="1342"/>
        <v>0.08</v>
      </c>
      <c r="W858">
        <f t="shared" si="1343"/>
        <v>0.13</v>
      </c>
      <c r="X858">
        <f t="shared" si="1341"/>
        <v>0.25</v>
      </c>
      <c r="Y858">
        <f t="shared" si="1330"/>
        <v>345000</v>
      </c>
      <c r="Z858">
        <f t="shared" si="1331"/>
        <v>258750</v>
      </c>
      <c r="AA858">
        <f t="shared" si="1332"/>
        <v>86250</v>
      </c>
      <c r="AB858">
        <f t="shared" si="1333"/>
        <v>179400</v>
      </c>
      <c r="AC858">
        <f t="shared" si="1334"/>
        <v>179400</v>
      </c>
      <c r="AD858">
        <f t="shared" si="1335"/>
        <v>89700</v>
      </c>
      <c r="AE858">
        <f t="shared" si="1336"/>
        <v>89700</v>
      </c>
      <c r="AF858">
        <f t="shared" si="1337"/>
        <v>179400</v>
      </c>
      <c r="AG858">
        <f t="shared" si="1338"/>
        <v>7.36</v>
      </c>
      <c r="AH858">
        <f t="shared" si="1339"/>
        <v>2.3919999999999999</v>
      </c>
      <c r="AI858">
        <f t="shared" si="1340"/>
        <v>18.399999999999999</v>
      </c>
    </row>
    <row r="882" spans="2:55" x14ac:dyDescent="0.25">
      <c r="BC882" s="130"/>
    </row>
    <row r="891" spans="2:55" x14ac:dyDescent="0.25">
      <c r="B891" t="s">
        <v>187</v>
      </c>
    </row>
    <row r="892" spans="2:55" x14ac:dyDescent="0.25">
      <c r="B892" t="s">
        <v>139</v>
      </c>
      <c r="C892" t="s">
        <v>137</v>
      </c>
      <c r="D892" t="s">
        <v>92</v>
      </c>
      <c r="E892" t="str">
        <f>B67</f>
        <v xml:space="preserve">Yield / Quality Target (%) </v>
      </c>
      <c r="F892" t="str">
        <f>B66</f>
        <v>Yield / Quality (%) - QuadWeek</v>
      </c>
    </row>
    <row r="893" spans="2:55" x14ac:dyDescent="0.25">
      <c r="B893" t="s">
        <v>152</v>
      </c>
      <c r="C893">
        <f>C62</f>
        <v>204364.85143052088</v>
      </c>
      <c r="D893">
        <f>C63</f>
        <v>183000</v>
      </c>
      <c r="E893" s="72">
        <f>C67</f>
        <v>2.4645547945206179E-4</v>
      </c>
      <c r="F893" s="72">
        <f>C66</f>
        <v>0.99954644808743165</v>
      </c>
    </row>
    <row r="894" spans="2:55" x14ac:dyDescent="0.25">
      <c r="B894" t="s">
        <v>140</v>
      </c>
      <c r="C894">
        <f>G62</f>
        <v>205767.44906941388</v>
      </c>
      <c r="D894">
        <f>G63</f>
        <v>177000</v>
      </c>
      <c r="E894" s="72">
        <f>E893</f>
        <v>2.4645547945206179E-4</v>
      </c>
      <c r="F894" s="72">
        <f>G66</f>
        <v>0.9995480225988701</v>
      </c>
    </row>
    <row r="895" spans="2:55" x14ac:dyDescent="0.25">
      <c r="B895" t="s">
        <v>141</v>
      </c>
      <c r="C895">
        <f>K62</f>
        <v>205289.29078342763</v>
      </c>
      <c r="D895">
        <f>K63</f>
        <v>174000</v>
      </c>
      <c r="E895" s="72">
        <f t="shared" ref="E895:E905" si="1344">E894</f>
        <v>2.4645547945206179E-4</v>
      </c>
      <c r="F895" s="72">
        <f>K66</f>
        <v>0.99955172413793103</v>
      </c>
    </row>
    <row r="896" spans="2:55" x14ac:dyDescent="0.25">
      <c r="B896" t="s">
        <v>142</v>
      </c>
      <c r="C896">
        <f>O62</f>
        <v>205034.27303090165</v>
      </c>
      <c r="D896">
        <f>O63</f>
        <v>183000</v>
      </c>
      <c r="E896" s="72">
        <f t="shared" si="1344"/>
        <v>2.4645547945206179E-4</v>
      </c>
      <c r="F896" s="72">
        <f>O66</f>
        <v>0.99954644808743165</v>
      </c>
    </row>
    <row r="897" spans="2:6" x14ac:dyDescent="0.25">
      <c r="B897" t="s">
        <v>143</v>
      </c>
      <c r="C897">
        <f>S62</f>
        <v>205639.94019315089</v>
      </c>
      <c r="D897">
        <f>S63</f>
        <v>177000</v>
      </c>
      <c r="E897" s="72">
        <f t="shared" si="1344"/>
        <v>2.4645547945206179E-4</v>
      </c>
      <c r="F897" s="72">
        <f>S66</f>
        <v>0.99956497175141246</v>
      </c>
    </row>
    <row r="898" spans="2:6" x14ac:dyDescent="0.25">
      <c r="B898" t="s">
        <v>144</v>
      </c>
      <c r="C898">
        <f>W62</f>
        <v>204460.48308771814</v>
      </c>
      <c r="D898">
        <f>W63</f>
        <v>174000</v>
      </c>
      <c r="E898" s="72">
        <f t="shared" si="1344"/>
        <v>2.4645547945206179E-4</v>
      </c>
      <c r="F898" s="72">
        <f>W66</f>
        <v>0.99955172413793103</v>
      </c>
    </row>
    <row r="899" spans="2:6" x14ac:dyDescent="0.25">
      <c r="B899" t="s">
        <v>145</v>
      </c>
      <c r="C899">
        <f>AA62</f>
        <v>205544.30853595363</v>
      </c>
      <c r="D899">
        <f>AA63</f>
        <v>183000</v>
      </c>
      <c r="E899" s="72">
        <f t="shared" si="1344"/>
        <v>2.4645547945206179E-4</v>
      </c>
      <c r="F899" s="72">
        <f>AA66</f>
        <v>0.99956284153005459</v>
      </c>
    </row>
    <row r="900" spans="2:6" x14ac:dyDescent="0.25">
      <c r="B900" t="s">
        <v>146</v>
      </c>
      <c r="C900">
        <f>AE62</f>
        <v>204715.50084024415</v>
      </c>
      <c r="D900">
        <f>AE63</f>
        <v>177000</v>
      </c>
      <c r="E900" s="72">
        <f t="shared" si="1344"/>
        <v>2.4645547945206179E-4</v>
      </c>
      <c r="F900" s="72">
        <f>AE66</f>
        <v>0.99953672316384179</v>
      </c>
    </row>
    <row r="901" spans="2:6" x14ac:dyDescent="0.25">
      <c r="B901" t="s">
        <v>147</v>
      </c>
      <c r="C901">
        <f>AI62</f>
        <v>205926.83516474263</v>
      </c>
      <c r="D901">
        <f>AI63</f>
        <v>174000</v>
      </c>
      <c r="E901" s="72">
        <f t="shared" si="1344"/>
        <v>2.4645547945206179E-4</v>
      </c>
      <c r="F901" s="72">
        <f>AI66</f>
        <v>0.99954597701149428</v>
      </c>
    </row>
    <row r="902" spans="2:6" x14ac:dyDescent="0.25">
      <c r="B902" t="s">
        <v>148</v>
      </c>
      <c r="C902">
        <f>AM62</f>
        <v>205161.78190716464</v>
      </c>
      <c r="D902">
        <f>AM63</f>
        <v>183000</v>
      </c>
      <c r="E902" s="72">
        <f t="shared" si="1344"/>
        <v>2.4645547945206179E-4</v>
      </c>
      <c r="F902" s="72">
        <f>AM66</f>
        <v>0.99953551912568306</v>
      </c>
    </row>
    <row r="903" spans="2:6" x14ac:dyDescent="0.25">
      <c r="B903" t="s">
        <v>149</v>
      </c>
      <c r="C903">
        <f>AQ62</f>
        <v>205512.43131688787</v>
      </c>
      <c r="D903">
        <f>AQ63</f>
        <v>184000</v>
      </c>
      <c r="E903" s="72">
        <f t="shared" si="1344"/>
        <v>2.4645547945206179E-4</v>
      </c>
      <c r="F903" s="72">
        <f>AQ66</f>
        <v>0.99953804347826092</v>
      </c>
    </row>
    <row r="904" spans="2:6" x14ac:dyDescent="0.25">
      <c r="B904" t="s">
        <v>150</v>
      </c>
      <c r="C904">
        <f>AU62</f>
        <v>204460.48308771814</v>
      </c>
      <c r="D904">
        <f>AU63</f>
        <v>193000</v>
      </c>
      <c r="E904" s="72">
        <f t="shared" si="1344"/>
        <v>2.4645547945206179E-4</v>
      </c>
      <c r="F904" s="72">
        <f>AU66</f>
        <v>0.99956476683937823</v>
      </c>
    </row>
    <row r="905" spans="2:6" x14ac:dyDescent="0.25">
      <c r="B905" t="s">
        <v>151</v>
      </c>
      <c r="C905">
        <f>AY62</f>
        <v>206978.78339391237</v>
      </c>
      <c r="D905">
        <f>AY63</f>
        <v>174000</v>
      </c>
      <c r="E905" s="72">
        <f t="shared" si="1344"/>
        <v>2.4645547945206179E-4</v>
      </c>
      <c r="F905" s="72">
        <f>AY66</f>
        <v>0.99955172413793103</v>
      </c>
    </row>
    <row r="907" spans="2:6" x14ac:dyDescent="0.25">
      <c r="B907" t="s">
        <v>186</v>
      </c>
    </row>
    <row r="908" spans="2:6" x14ac:dyDescent="0.25">
      <c r="B908" t="s">
        <v>89</v>
      </c>
      <c r="C908" t="s">
        <v>182</v>
      </c>
      <c r="D908" t="s">
        <v>183</v>
      </c>
      <c r="E908" t="s">
        <v>184</v>
      </c>
      <c r="F908" t="s">
        <v>185</v>
      </c>
    </row>
    <row r="909" spans="2:6" x14ac:dyDescent="0.25">
      <c r="B909">
        <v>1</v>
      </c>
      <c r="C909">
        <f>C57</f>
        <v>45000</v>
      </c>
      <c r="D909">
        <f>C61</f>
        <v>51226.691038659657</v>
      </c>
      <c r="E909" s="72">
        <f>C67</f>
        <v>2.4645547945206179E-4</v>
      </c>
      <c r="F909" s="72">
        <f>C64</f>
        <v>0.99953333333333338</v>
      </c>
    </row>
    <row r="910" spans="2:6" x14ac:dyDescent="0.25">
      <c r="B910">
        <v>2</v>
      </c>
      <c r="C910">
        <f>D57</f>
        <v>48000</v>
      </c>
      <c r="D910">
        <f>D61</f>
        <v>50939.796067067909</v>
      </c>
      <c r="E910" s="72">
        <f>E909</f>
        <v>2.4645547945206179E-4</v>
      </c>
      <c r="F910" s="72">
        <f>D64</f>
        <v>0.99958333333333338</v>
      </c>
    </row>
    <row r="911" spans="2:6" x14ac:dyDescent="0.25">
      <c r="B911">
        <v>3</v>
      </c>
      <c r="C911">
        <f>E57</f>
        <v>51000</v>
      </c>
      <c r="D911">
        <f>E61</f>
        <v>51768.603762777406</v>
      </c>
      <c r="E911" s="72">
        <f t="shared" ref="E911:E921" si="1345">E910</f>
        <v>2.4645547945206179E-4</v>
      </c>
      <c r="F911" s="72">
        <f>E64</f>
        <v>0.99952941176470589</v>
      </c>
    </row>
    <row r="912" spans="2:6" x14ac:dyDescent="0.25">
      <c r="B912">
        <v>4</v>
      </c>
      <c r="C912">
        <f>F57</f>
        <v>39000</v>
      </c>
      <c r="D912">
        <f>F61</f>
        <v>50429.760562015923</v>
      </c>
      <c r="E912" s="72">
        <f t="shared" si="1345"/>
        <v>2.4645547945206179E-4</v>
      </c>
      <c r="F912" s="72">
        <f>F64</f>
        <v>0.99953846153846149</v>
      </c>
    </row>
    <row r="913" spans="2:6" x14ac:dyDescent="0.25">
      <c r="B913">
        <v>5</v>
      </c>
      <c r="C913">
        <f>G57</f>
        <v>41000</v>
      </c>
      <c r="D913">
        <f>G61</f>
        <v>51832.3582009089</v>
      </c>
      <c r="E913" s="72">
        <f t="shared" si="1345"/>
        <v>2.4645547945206179E-4</v>
      </c>
      <c r="F913" s="72">
        <f>G64</f>
        <v>0.99953658536585366</v>
      </c>
    </row>
    <row r="914" spans="2:6" x14ac:dyDescent="0.25">
      <c r="B914">
        <v>6</v>
      </c>
      <c r="C914">
        <f>H57</f>
        <v>43000</v>
      </c>
      <c r="D914">
        <f>H61</f>
        <v>51513.586010251405</v>
      </c>
      <c r="E914" s="72">
        <f t="shared" si="1345"/>
        <v>2.4645547945206179E-4</v>
      </c>
      <c r="F914" s="72">
        <f>H64</f>
        <v>0.99953488372093025</v>
      </c>
    </row>
    <row r="915" spans="2:6" x14ac:dyDescent="0.25">
      <c r="B915">
        <v>7</v>
      </c>
      <c r="C915">
        <f>I57</f>
        <v>45000</v>
      </c>
      <c r="D915">
        <f>I61</f>
        <v>51322.322695856907</v>
      </c>
      <c r="E915" s="72">
        <f t="shared" si="1345"/>
        <v>2.4645547945206179E-4</v>
      </c>
      <c r="F915" s="72">
        <f>I64</f>
        <v>0.99957777777777779</v>
      </c>
    </row>
    <row r="916" spans="2:6" x14ac:dyDescent="0.25">
      <c r="B916">
        <v>8</v>
      </c>
      <c r="C916">
        <f>J57</f>
        <v>48000</v>
      </c>
      <c r="D916">
        <f>J61</f>
        <v>51099.182162396661</v>
      </c>
      <c r="E916" s="72">
        <f t="shared" si="1345"/>
        <v>2.4645547945206179E-4</v>
      </c>
      <c r="F916" s="72">
        <f>J64</f>
        <v>0.99954166666666666</v>
      </c>
    </row>
    <row r="917" spans="2:6" x14ac:dyDescent="0.25">
      <c r="B917">
        <v>9</v>
      </c>
      <c r="C917">
        <f>K57</f>
        <v>51000</v>
      </c>
      <c r="D917">
        <f>K61</f>
        <v>51832.3582009089</v>
      </c>
      <c r="E917" s="72">
        <f t="shared" si="1345"/>
        <v>2.4645547945206179E-4</v>
      </c>
      <c r="F917" s="72">
        <f>K64</f>
        <v>0.99958823529411767</v>
      </c>
    </row>
    <row r="918" spans="2:6" x14ac:dyDescent="0.25">
      <c r="B918">
        <v>10</v>
      </c>
      <c r="C918">
        <f>L57</f>
        <v>39000</v>
      </c>
      <c r="D918">
        <f>L61</f>
        <v>50461.63778108167</v>
      </c>
      <c r="E918" s="72">
        <f t="shared" si="1345"/>
        <v>2.4645547945206179E-4</v>
      </c>
      <c r="F918" s="72">
        <f>L64</f>
        <v>0.99953846153846149</v>
      </c>
    </row>
    <row r="919" spans="2:6" x14ac:dyDescent="0.25">
      <c r="B919">
        <v>11</v>
      </c>
      <c r="C919">
        <f>M57</f>
        <v>41000</v>
      </c>
      <c r="D919">
        <f>M61</f>
        <v>51672.972105580156</v>
      </c>
      <c r="E919" s="72">
        <f t="shared" si="1345"/>
        <v>2.4645547945206179E-4</v>
      </c>
      <c r="F919" s="72">
        <f>M64</f>
        <v>0.99953658536585366</v>
      </c>
    </row>
    <row r="920" spans="2:6" x14ac:dyDescent="0.25">
      <c r="B920">
        <v>12</v>
      </c>
      <c r="C920">
        <f>N57</f>
        <v>43000</v>
      </c>
      <c r="D920">
        <f>N61</f>
        <v>51322.322695856907</v>
      </c>
      <c r="E920" s="72">
        <f t="shared" si="1345"/>
        <v>2.4645547945206179E-4</v>
      </c>
      <c r="F920" s="72">
        <f>N64</f>
        <v>0.99953488372093025</v>
      </c>
    </row>
    <row r="921" spans="2:6" x14ac:dyDescent="0.25">
      <c r="B921">
        <v>13</v>
      </c>
      <c r="C921">
        <f>O57</f>
        <v>45000</v>
      </c>
      <c r="D921">
        <f>O61</f>
        <v>50971.673286133664</v>
      </c>
      <c r="E921" s="72">
        <f t="shared" si="1345"/>
        <v>2.4645547945206179E-4</v>
      </c>
      <c r="F921" s="72">
        <f>O64</f>
        <v>0.99957777777777779</v>
      </c>
    </row>
    <row r="923" spans="2:6" x14ac:dyDescent="0.25">
      <c r="B923" t="s">
        <v>188</v>
      </c>
      <c r="C923" t="s">
        <v>182</v>
      </c>
      <c r="D923" t="s">
        <v>183</v>
      </c>
      <c r="E923" t="s">
        <v>184</v>
      </c>
      <c r="F923" t="s">
        <v>185</v>
      </c>
    </row>
    <row r="924" spans="2:6" x14ac:dyDescent="0.25">
      <c r="B924">
        <v>0</v>
      </c>
      <c r="C924">
        <f>C63</f>
        <v>183000</v>
      </c>
      <c r="D924">
        <f>C62</f>
        <v>204364.85143052088</v>
      </c>
      <c r="E924" s="72">
        <f>E909</f>
        <v>2.4645547945206179E-4</v>
      </c>
      <c r="F924" s="72">
        <f>C66</f>
        <v>0.99954644808743165</v>
      </c>
    </row>
    <row r="925" spans="2:6" x14ac:dyDescent="0.25">
      <c r="B925">
        <v>1</v>
      </c>
      <c r="C925">
        <f>G63</f>
        <v>177000</v>
      </c>
      <c r="D925">
        <f>G62</f>
        <v>205767.44906941388</v>
      </c>
      <c r="E925" s="72">
        <f>E924</f>
        <v>2.4645547945206179E-4</v>
      </c>
      <c r="F925" s="72">
        <f>G66</f>
        <v>0.9995480225988701</v>
      </c>
    </row>
    <row r="926" spans="2:6" x14ac:dyDescent="0.25">
      <c r="B926">
        <v>2</v>
      </c>
      <c r="C926">
        <f>K63</f>
        <v>174000</v>
      </c>
      <c r="D926">
        <f>K62</f>
        <v>205289.29078342763</v>
      </c>
      <c r="E926" s="72">
        <f t="shared" ref="E926:E929" si="1346">E925</f>
        <v>2.4645547945206179E-4</v>
      </c>
      <c r="F926" s="72">
        <f>K66</f>
        <v>0.99955172413793103</v>
      </c>
    </row>
    <row r="927" spans="2:6" x14ac:dyDescent="0.25">
      <c r="B927">
        <v>3</v>
      </c>
      <c r="C927">
        <f>O63</f>
        <v>183000</v>
      </c>
      <c r="D927">
        <f>O62</f>
        <v>205034.27303090165</v>
      </c>
      <c r="E927" s="72">
        <f t="shared" si="1346"/>
        <v>2.4645547945206179E-4</v>
      </c>
      <c r="F927" s="72">
        <f>O66</f>
        <v>0.99954644808743165</v>
      </c>
    </row>
    <row r="928" spans="2:6" x14ac:dyDescent="0.25">
      <c r="B928">
        <v>4</v>
      </c>
      <c r="C928">
        <f>S63</f>
        <v>177000</v>
      </c>
      <c r="D928">
        <f>S62</f>
        <v>205639.94019315089</v>
      </c>
      <c r="E928" s="72">
        <f t="shared" si="1346"/>
        <v>2.4645547945206179E-4</v>
      </c>
      <c r="F928" s="72">
        <f>S66</f>
        <v>0.99956497175141246</v>
      </c>
    </row>
    <row r="929" spans="2:6" x14ac:dyDescent="0.25">
      <c r="B929">
        <v>5</v>
      </c>
      <c r="C929">
        <f>W63</f>
        <v>174000</v>
      </c>
      <c r="D929">
        <f>W62</f>
        <v>204460.48308771814</v>
      </c>
      <c r="E929" s="72">
        <f t="shared" si="1346"/>
        <v>2.4645547945206179E-4</v>
      </c>
      <c r="F929" s="72">
        <f>W66</f>
        <v>0.99955172413793103</v>
      </c>
    </row>
    <row r="931" spans="2:6" x14ac:dyDescent="0.25">
      <c r="B931" t="s">
        <v>192</v>
      </c>
      <c r="C931" t="s">
        <v>182</v>
      </c>
      <c r="D931" t="s">
        <v>183</v>
      </c>
      <c r="E931" t="s">
        <v>184</v>
      </c>
      <c r="F931" t="s">
        <v>185</v>
      </c>
    </row>
    <row r="932" spans="2:6" x14ac:dyDescent="0.25">
      <c r="B932">
        <v>1</v>
      </c>
      <c r="C932">
        <f>C58</f>
        <v>579000</v>
      </c>
      <c r="D932">
        <f>C60</f>
        <v>666393.26456949615</v>
      </c>
      <c r="E932" s="72">
        <f>C67</f>
        <v>2.4645547945206179E-4</v>
      </c>
      <c r="F932" s="72">
        <f>C65</f>
        <v>0.99955094991364424</v>
      </c>
    </row>
    <row r="933" spans="2:6" x14ac:dyDescent="0.25">
      <c r="B933">
        <v>2</v>
      </c>
      <c r="C933">
        <f>P58</f>
        <v>582000</v>
      </c>
      <c r="D933">
        <f>P60</f>
        <v>666393.26456949604</v>
      </c>
      <c r="E933" s="72">
        <f>E932</f>
        <v>2.4645547945206179E-4</v>
      </c>
      <c r="F933" s="72">
        <f>P65</f>
        <v>0.99955326460481098</v>
      </c>
    </row>
    <row r="934" spans="2:6" x14ac:dyDescent="0.25">
      <c r="B934">
        <v>3</v>
      </c>
      <c r="C934">
        <f>AC58</f>
        <v>585000</v>
      </c>
      <c r="D934">
        <f>AC60</f>
        <v>668146.51161811233</v>
      </c>
      <c r="E934" s="72">
        <f t="shared" ref="E934:E935" si="1347">E933</f>
        <v>2.4645547945206179E-4</v>
      </c>
      <c r="F934" s="72">
        <f>AC65</f>
        <v>0.9995452991452991</v>
      </c>
    </row>
    <row r="935" spans="2:6" x14ac:dyDescent="0.25">
      <c r="B935">
        <v>4</v>
      </c>
      <c r="C935">
        <f>AP58</f>
        <v>590000</v>
      </c>
      <c r="D935">
        <f>AP60</f>
        <v>667923.37108465191</v>
      </c>
      <c r="E935" s="72">
        <f t="shared" si="1347"/>
        <v>2.4645547945206179E-4</v>
      </c>
      <c r="F935" s="72">
        <f>AP65</f>
        <v>0.99954915254237287</v>
      </c>
    </row>
  </sheetData>
  <mergeCells count="339">
    <mergeCell ref="S5:V5"/>
    <mergeCell ref="X5:AA5"/>
    <mergeCell ref="X6:AA6"/>
    <mergeCell ref="AC5:AD5"/>
    <mergeCell ref="AC6:AD6"/>
    <mergeCell ref="S2:V2"/>
    <mergeCell ref="S3:V3"/>
    <mergeCell ref="S4:V4"/>
    <mergeCell ref="X2:AA2"/>
    <mergeCell ref="X3:AA3"/>
    <mergeCell ref="X4:AA4"/>
    <mergeCell ref="AC2:AD2"/>
    <mergeCell ref="AC3:AD3"/>
    <mergeCell ref="AC4:AD4"/>
    <mergeCell ref="D2:G2"/>
    <mergeCell ref="D3:G3"/>
    <mergeCell ref="D4:G4"/>
    <mergeCell ref="D5:G5"/>
    <mergeCell ref="D6:G6"/>
    <mergeCell ref="I2:L2"/>
    <mergeCell ref="I3:L3"/>
    <mergeCell ref="I4:L4"/>
    <mergeCell ref="N2:Q2"/>
    <mergeCell ref="N3:Q3"/>
    <mergeCell ref="N4:Q4"/>
    <mergeCell ref="I5:L5"/>
    <mergeCell ref="I6:L6"/>
    <mergeCell ref="N5:Q5"/>
    <mergeCell ref="N6:Q6"/>
    <mergeCell ref="C60:O60"/>
    <mergeCell ref="P60:AB60"/>
    <mergeCell ref="AC60:AO60"/>
    <mergeCell ref="AP60:BB60"/>
    <mergeCell ref="AY62:BB62"/>
    <mergeCell ref="C67:F67"/>
    <mergeCell ref="G67:J67"/>
    <mergeCell ref="K67:N67"/>
    <mergeCell ref="O67:R67"/>
    <mergeCell ref="S67:V67"/>
    <mergeCell ref="W67:Z67"/>
    <mergeCell ref="AA67:AD67"/>
    <mergeCell ref="AE67:AH67"/>
    <mergeCell ref="AI67:AL67"/>
    <mergeCell ref="AM67:AP67"/>
    <mergeCell ref="AQ67:AT67"/>
    <mergeCell ref="AU67:AX67"/>
    <mergeCell ref="AY67:BB67"/>
    <mergeCell ref="O62:R62"/>
    <mergeCell ref="S62:V62"/>
    <mergeCell ref="W62:Z62"/>
    <mergeCell ref="AA62:AD62"/>
    <mergeCell ref="AE62:AH62"/>
    <mergeCell ref="AI62:AL62"/>
    <mergeCell ref="C80:F80"/>
    <mergeCell ref="G80:J80"/>
    <mergeCell ref="K80:N80"/>
    <mergeCell ref="O80:R80"/>
    <mergeCell ref="S80:V80"/>
    <mergeCell ref="AU80:AX80"/>
    <mergeCell ref="AY80:BB80"/>
    <mergeCell ref="W80:Z80"/>
    <mergeCell ref="AA80:AD80"/>
    <mergeCell ref="AE80:AH80"/>
    <mergeCell ref="AI80:AL80"/>
    <mergeCell ref="AM80:AP80"/>
    <mergeCell ref="AQ80:AT80"/>
    <mergeCell ref="K77:N77"/>
    <mergeCell ref="O77:R77"/>
    <mergeCell ref="S77:V77"/>
    <mergeCell ref="W77:Z77"/>
    <mergeCell ref="C79:O79"/>
    <mergeCell ref="P79:AB79"/>
    <mergeCell ref="AM62:AP62"/>
    <mergeCell ref="AQ62:AT62"/>
    <mergeCell ref="AU62:AX62"/>
    <mergeCell ref="AC79:AO79"/>
    <mergeCell ref="AP79:BB79"/>
    <mergeCell ref="C76:O76"/>
    <mergeCell ref="P76:AB76"/>
    <mergeCell ref="AC76:AO76"/>
    <mergeCell ref="AP76:BB76"/>
    <mergeCell ref="W73:Z73"/>
    <mergeCell ref="AA73:AD73"/>
    <mergeCell ref="AP72:BB72"/>
    <mergeCell ref="C73:F73"/>
    <mergeCell ref="G73:J73"/>
    <mergeCell ref="K73:N73"/>
    <mergeCell ref="O73:R73"/>
    <mergeCell ref="S73:V73"/>
    <mergeCell ref="AU73:AX73"/>
    <mergeCell ref="AY73:BB73"/>
    <mergeCell ref="AE73:AH73"/>
    <mergeCell ref="AI73:AL73"/>
    <mergeCell ref="AM73:AP73"/>
    <mergeCell ref="AQ73:AT73"/>
    <mergeCell ref="C105:F105"/>
    <mergeCell ref="G105:J105"/>
    <mergeCell ref="K105:N105"/>
    <mergeCell ref="O105:R105"/>
    <mergeCell ref="S105:V105"/>
    <mergeCell ref="AA102:AD102"/>
    <mergeCell ref="AE102:AH102"/>
    <mergeCell ref="AI102:AL102"/>
    <mergeCell ref="AM102:AP102"/>
    <mergeCell ref="AP87:BB87"/>
    <mergeCell ref="AU105:AX105"/>
    <mergeCell ref="AY105:BB105"/>
    <mergeCell ref="W105:Z105"/>
    <mergeCell ref="AA105:AD105"/>
    <mergeCell ref="AE105:AH105"/>
    <mergeCell ref="AI105:AL105"/>
    <mergeCell ref="AM105:AP105"/>
    <mergeCell ref="AQ105:AT105"/>
    <mergeCell ref="AY102:BB102"/>
    <mergeCell ref="AQ102:AT102"/>
    <mergeCell ref="AU102:AX102"/>
    <mergeCell ref="C104:O104"/>
    <mergeCell ref="C101:O101"/>
    <mergeCell ref="P101:AB101"/>
    <mergeCell ref="AC101:AO101"/>
    <mergeCell ref="AP101:BB101"/>
    <mergeCell ref="C102:F102"/>
    <mergeCell ref="G102:J102"/>
    <mergeCell ref="K102:N102"/>
    <mergeCell ref="O102:R102"/>
    <mergeCell ref="S102:V102"/>
    <mergeCell ref="W102:Z102"/>
    <mergeCell ref="P104:AB104"/>
    <mergeCell ref="AC104:AO104"/>
    <mergeCell ref="AP104:BB104"/>
    <mergeCell ref="AE99:AH99"/>
    <mergeCell ref="AI99:AL99"/>
    <mergeCell ref="AM99:AP99"/>
    <mergeCell ref="AQ99:AT99"/>
    <mergeCell ref="AQ66:AT66"/>
    <mergeCell ref="AU99:AX99"/>
    <mergeCell ref="AY99:BB99"/>
    <mergeCell ref="P98:AB98"/>
    <mergeCell ref="AC98:AO98"/>
    <mergeCell ref="AP98:BB98"/>
    <mergeCell ref="AY86:BB86"/>
    <mergeCell ref="AA86:AD86"/>
    <mergeCell ref="AE86:AH86"/>
    <mergeCell ref="AI86:AL86"/>
    <mergeCell ref="AM86:AP86"/>
    <mergeCell ref="AQ86:AT86"/>
    <mergeCell ref="AU86:AX86"/>
    <mergeCell ref="AY77:BB77"/>
    <mergeCell ref="AA77:AD77"/>
    <mergeCell ref="AE77:AH77"/>
    <mergeCell ref="AI77:AL77"/>
    <mergeCell ref="AM77:AP77"/>
    <mergeCell ref="AQ77:AT77"/>
    <mergeCell ref="AU77:AX77"/>
    <mergeCell ref="AM70:AP70"/>
    <mergeCell ref="AQ70:AT70"/>
    <mergeCell ref="AU70:AX70"/>
    <mergeCell ref="AY70:BB70"/>
    <mergeCell ref="C70:F70"/>
    <mergeCell ref="G70:J70"/>
    <mergeCell ref="K70:N70"/>
    <mergeCell ref="O70:R70"/>
    <mergeCell ref="S70:V70"/>
    <mergeCell ref="AE70:AH70"/>
    <mergeCell ref="AI70:AL70"/>
    <mergeCell ref="C99:F99"/>
    <mergeCell ref="G99:J99"/>
    <mergeCell ref="K99:N99"/>
    <mergeCell ref="O99:R99"/>
    <mergeCell ref="S99:V99"/>
    <mergeCell ref="W99:Z99"/>
    <mergeCell ref="AA99:AD99"/>
    <mergeCell ref="W70:Z70"/>
    <mergeCell ref="AA70:AD70"/>
    <mergeCell ref="C98:O98"/>
    <mergeCell ref="C87:O87"/>
    <mergeCell ref="P87:AB87"/>
    <mergeCell ref="AC87:AO87"/>
    <mergeCell ref="C72:O72"/>
    <mergeCell ref="P72:AB72"/>
    <mergeCell ref="AC72:AO72"/>
    <mergeCell ref="C86:F86"/>
    <mergeCell ref="G86:J86"/>
    <mergeCell ref="K86:N86"/>
    <mergeCell ref="O86:R86"/>
    <mergeCell ref="S86:V86"/>
    <mergeCell ref="W86:Z86"/>
    <mergeCell ref="C77:F77"/>
    <mergeCell ref="G77:J77"/>
    <mergeCell ref="AM63:AP63"/>
    <mergeCell ref="C62:F62"/>
    <mergeCell ref="G62:J62"/>
    <mergeCell ref="K62:N62"/>
    <mergeCell ref="AU66:AX66"/>
    <mergeCell ref="C69:O69"/>
    <mergeCell ref="P69:AB69"/>
    <mergeCell ref="AC69:AO69"/>
    <mergeCell ref="AP69:BB69"/>
    <mergeCell ref="C66:F66"/>
    <mergeCell ref="G66:J66"/>
    <mergeCell ref="K66:N66"/>
    <mergeCell ref="O66:R66"/>
    <mergeCell ref="S66:V66"/>
    <mergeCell ref="W66:Z66"/>
    <mergeCell ref="AY66:BB66"/>
    <mergeCell ref="AA66:AD66"/>
    <mergeCell ref="AE66:AH66"/>
    <mergeCell ref="AI66:AL66"/>
    <mergeCell ref="AM66:AP66"/>
    <mergeCell ref="B823:B824"/>
    <mergeCell ref="C823:C824"/>
    <mergeCell ref="D823:BC823"/>
    <mergeCell ref="BD823:BD824"/>
    <mergeCell ref="C58:O58"/>
    <mergeCell ref="P58:AB58"/>
    <mergeCell ref="AC58:AO58"/>
    <mergeCell ref="AP58:BB58"/>
    <mergeCell ref="C65:O65"/>
    <mergeCell ref="P65:AB65"/>
    <mergeCell ref="AC65:AO65"/>
    <mergeCell ref="AP65:BB65"/>
    <mergeCell ref="AA63:AD63"/>
    <mergeCell ref="AE63:AH63"/>
    <mergeCell ref="AQ63:AT63"/>
    <mergeCell ref="AU63:AX63"/>
    <mergeCell ref="AY63:BB63"/>
    <mergeCell ref="C63:F63"/>
    <mergeCell ref="G63:J63"/>
    <mergeCell ref="K63:N63"/>
    <mergeCell ref="O63:R63"/>
    <mergeCell ref="S63:V63"/>
    <mergeCell ref="W63:Z63"/>
    <mergeCell ref="AI63:AL63"/>
    <mergeCell ref="C33:F33"/>
    <mergeCell ref="H33:J33"/>
    <mergeCell ref="K33:M33"/>
    <mergeCell ref="N33:P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H34:J34"/>
    <mergeCell ref="K34:M34"/>
    <mergeCell ref="N34:P34"/>
    <mergeCell ref="H35:J35"/>
    <mergeCell ref="K35:M35"/>
    <mergeCell ref="N35:P35"/>
    <mergeCell ref="H36:J36"/>
    <mergeCell ref="K36:M36"/>
    <mergeCell ref="N36:P36"/>
    <mergeCell ref="H37:J37"/>
    <mergeCell ref="K37:M37"/>
    <mergeCell ref="N37:P37"/>
    <mergeCell ref="H38:J38"/>
    <mergeCell ref="K38:M38"/>
    <mergeCell ref="N38:P38"/>
    <mergeCell ref="H39:J39"/>
    <mergeCell ref="K39:M39"/>
    <mergeCell ref="N39:P39"/>
    <mergeCell ref="H40:J40"/>
    <mergeCell ref="K40:M40"/>
    <mergeCell ref="N40:P40"/>
    <mergeCell ref="H41:J41"/>
    <mergeCell ref="K41:M41"/>
    <mergeCell ref="N41:P41"/>
    <mergeCell ref="H42:J42"/>
    <mergeCell ref="K42:M42"/>
    <mergeCell ref="N42:P42"/>
    <mergeCell ref="H43:J43"/>
    <mergeCell ref="K43:M43"/>
    <mergeCell ref="N43:P43"/>
    <mergeCell ref="R42:T42"/>
    <mergeCell ref="R43:T43"/>
    <mergeCell ref="U33:W33"/>
    <mergeCell ref="U34:W34"/>
    <mergeCell ref="U35:W35"/>
    <mergeCell ref="U36:W36"/>
    <mergeCell ref="U37:W37"/>
    <mergeCell ref="U38:W38"/>
    <mergeCell ref="U39:W39"/>
    <mergeCell ref="U40:W40"/>
    <mergeCell ref="U41:W41"/>
    <mergeCell ref="U42:W42"/>
    <mergeCell ref="U43:W43"/>
    <mergeCell ref="R33:T33"/>
    <mergeCell ref="R34:T34"/>
    <mergeCell ref="R35:T35"/>
    <mergeCell ref="R36:T36"/>
    <mergeCell ref="R37:T37"/>
    <mergeCell ref="R38:T38"/>
    <mergeCell ref="R39:T39"/>
    <mergeCell ref="R40:T40"/>
    <mergeCell ref="R41:T41"/>
    <mergeCell ref="AA37:AC37"/>
    <mergeCell ref="AA38:AC38"/>
    <mergeCell ref="AA39:AC39"/>
    <mergeCell ref="AA40:AC40"/>
    <mergeCell ref="AA41:AC41"/>
    <mergeCell ref="AA42:AC42"/>
    <mergeCell ref="AA43:AC43"/>
    <mergeCell ref="X33:Z33"/>
    <mergeCell ref="X34:Z34"/>
    <mergeCell ref="X35:Z35"/>
    <mergeCell ref="X36:Z36"/>
    <mergeCell ref="X37:Z37"/>
    <mergeCell ref="X38:Z38"/>
    <mergeCell ref="X39:Z39"/>
    <mergeCell ref="X40:Z40"/>
    <mergeCell ref="X41:Z41"/>
    <mergeCell ref="AE2:AF2"/>
    <mergeCell ref="AE3:AF3"/>
    <mergeCell ref="AE4:AF4"/>
    <mergeCell ref="AE5:AF5"/>
    <mergeCell ref="AE6:AF6"/>
    <mergeCell ref="R6:S6"/>
    <mergeCell ref="T6:V6"/>
    <mergeCell ref="AD42:AE42"/>
    <mergeCell ref="AD43:AE43"/>
    <mergeCell ref="AD33:AE33"/>
    <mergeCell ref="AD34:AE34"/>
    <mergeCell ref="AD35:AE35"/>
    <mergeCell ref="AD36:AE36"/>
    <mergeCell ref="AD37:AE37"/>
    <mergeCell ref="AD38:AE38"/>
    <mergeCell ref="AD39:AE39"/>
    <mergeCell ref="AD40:AE40"/>
    <mergeCell ref="AD41:AE41"/>
    <mergeCell ref="X42:Z42"/>
    <mergeCell ref="X43:Z43"/>
    <mergeCell ref="AA33:AC33"/>
    <mergeCell ref="AA34:AC34"/>
    <mergeCell ref="AA35:AC35"/>
    <mergeCell ref="AA36:AC3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0E25-EB23-4562-B082-02698269A331}">
  <dimension ref="B2:BB27"/>
  <sheetViews>
    <sheetView workbookViewId="0">
      <selection activeCell="F26" sqref="F26"/>
    </sheetView>
  </sheetViews>
  <sheetFormatPr defaultRowHeight="15" x14ac:dyDescent="0.25"/>
  <sheetData>
    <row r="2" spans="2:3" x14ac:dyDescent="0.25">
      <c r="B2" t="str">
        <f>'Val Size'!B28</f>
        <v>Category</v>
      </c>
      <c r="C2" t="str">
        <f>'Val Size'!E28</f>
        <v>Val Size VaS</v>
      </c>
    </row>
    <row r="3" spans="2:3" x14ac:dyDescent="0.25">
      <c r="B3" t="str">
        <f>'Val Size'!B29</f>
        <v>USDT - Machine Failure</v>
      </c>
      <c r="C3">
        <f>'Val Size'!E29</f>
        <v>430062.46979437937</v>
      </c>
    </row>
    <row r="4" spans="2:3" x14ac:dyDescent="0.25">
      <c r="B4" t="str">
        <f>'Val Size'!B30</f>
        <v>USDT - Machine Assist</v>
      </c>
      <c r="C4">
        <f>'Val Size'!E30</f>
        <v>0</v>
      </c>
    </row>
    <row r="5" spans="2:3" x14ac:dyDescent="0.25">
      <c r="B5" t="str">
        <f>'Val Size'!B31</f>
        <v>Quality Loss - Defect</v>
      </c>
      <c r="C5">
        <f>'Val Size'!E31</f>
        <v>7644.8905058054279</v>
      </c>
    </row>
    <row r="6" spans="2:3" x14ac:dyDescent="0.25">
      <c r="B6" t="str">
        <f>'Val Size'!B32</f>
        <v>Quality Loss - Rework</v>
      </c>
      <c r="C6">
        <f>'Val Size'!E32</f>
        <v>59955.976485998443</v>
      </c>
    </row>
    <row r="7" spans="2:3" x14ac:dyDescent="0.25">
      <c r="B7" t="str">
        <f>'Val Size'!B33</f>
        <v>Speed Loss</v>
      </c>
      <c r="C7">
        <f>'Val Size'!E33</f>
        <v>4352710.4689655183</v>
      </c>
    </row>
    <row r="8" spans="2:3" x14ac:dyDescent="0.25">
      <c r="B8" t="str">
        <f>'Val Size'!B34</f>
        <v>Labor Loss</v>
      </c>
      <c r="C8">
        <f>'Val Size'!E34</f>
        <v>51376.666666666708</v>
      </c>
    </row>
    <row r="9" spans="2:3" x14ac:dyDescent="0.25">
      <c r="B9" t="str">
        <f>'Val Size'!B35</f>
        <v>Utility Waste</v>
      </c>
      <c r="C9">
        <f>'Val Size'!E35</f>
        <v>19272</v>
      </c>
    </row>
    <row r="10" spans="2:3" x14ac:dyDescent="0.25">
      <c r="B10" t="str">
        <f>'Val Size'!B36</f>
        <v>Customer Return</v>
      </c>
      <c r="C10">
        <f>'Val Size'!E36</f>
        <v>193.07704109589042</v>
      </c>
    </row>
    <row r="11" spans="2:3" x14ac:dyDescent="0.25">
      <c r="B11" t="str">
        <f>'Val Size'!B37</f>
        <v>Material Waste</v>
      </c>
      <c r="C11">
        <f>'Val Size'!E37</f>
        <v>36736</v>
      </c>
    </row>
    <row r="12" spans="2:3" x14ac:dyDescent="0.25">
      <c r="B12" t="str">
        <f>'Val Size'!B38</f>
        <v>Tooling / Consulables Waste</v>
      </c>
      <c r="C12">
        <f>'Val Size'!E38</f>
        <v>23496</v>
      </c>
    </row>
    <row r="25" spans="2:54" x14ac:dyDescent="0.25">
      <c r="B25" t="str">
        <f>'Micro Data Tabulation'!B56</f>
        <v>Week</v>
      </c>
      <c r="C25">
        <f>'Micro Data Tabulation'!C56</f>
        <v>1</v>
      </c>
      <c r="D25">
        <f>'Micro Data Tabulation'!D56</f>
        <v>2</v>
      </c>
      <c r="E25">
        <f>'Micro Data Tabulation'!E56</f>
        <v>3</v>
      </c>
      <c r="F25">
        <f>'Micro Data Tabulation'!F56</f>
        <v>4</v>
      </c>
      <c r="G25">
        <f>'Micro Data Tabulation'!G56</f>
        <v>5</v>
      </c>
      <c r="H25">
        <f>'Micro Data Tabulation'!H56</f>
        <v>6</v>
      </c>
      <c r="I25">
        <f>'Micro Data Tabulation'!I56</f>
        <v>7</v>
      </c>
      <c r="J25">
        <f>'Micro Data Tabulation'!J56</f>
        <v>8</v>
      </c>
      <c r="K25">
        <f>'Micro Data Tabulation'!K56</f>
        <v>9</v>
      </c>
      <c r="L25">
        <f>'Micro Data Tabulation'!L56</f>
        <v>10</v>
      </c>
      <c r="M25">
        <f>'Micro Data Tabulation'!M56</f>
        <v>11</v>
      </c>
      <c r="N25">
        <f>'Micro Data Tabulation'!N56</f>
        <v>12</v>
      </c>
      <c r="O25">
        <f>'Micro Data Tabulation'!O56</f>
        <v>13</v>
      </c>
      <c r="P25">
        <f>'Micro Data Tabulation'!P56</f>
        <v>14</v>
      </c>
      <c r="Q25">
        <f>'Micro Data Tabulation'!Q56</f>
        <v>15</v>
      </c>
      <c r="R25">
        <f>'Micro Data Tabulation'!R56</f>
        <v>16</v>
      </c>
      <c r="S25">
        <f>'Micro Data Tabulation'!S56</f>
        <v>17</v>
      </c>
      <c r="T25">
        <f>'Micro Data Tabulation'!T56</f>
        <v>18</v>
      </c>
      <c r="U25">
        <f>'Micro Data Tabulation'!U56</f>
        <v>19</v>
      </c>
      <c r="V25">
        <f>'Micro Data Tabulation'!V56</f>
        <v>20</v>
      </c>
      <c r="W25">
        <f>'Micro Data Tabulation'!W56</f>
        <v>21</v>
      </c>
      <c r="X25">
        <f>'Micro Data Tabulation'!X56</f>
        <v>22</v>
      </c>
      <c r="Y25">
        <f>'Micro Data Tabulation'!Y56</f>
        <v>23</v>
      </c>
      <c r="Z25">
        <f>'Micro Data Tabulation'!Z56</f>
        <v>24</v>
      </c>
      <c r="AA25">
        <f>'Micro Data Tabulation'!AA56</f>
        <v>25</v>
      </c>
      <c r="AB25">
        <f>'Micro Data Tabulation'!AB56</f>
        <v>26</v>
      </c>
      <c r="AC25">
        <f>'Micro Data Tabulation'!AC56</f>
        <v>27</v>
      </c>
      <c r="AD25">
        <f>'Micro Data Tabulation'!AD56</f>
        <v>28</v>
      </c>
      <c r="AE25">
        <f>'Micro Data Tabulation'!AE56</f>
        <v>29</v>
      </c>
      <c r="AF25">
        <f>'Micro Data Tabulation'!AF56</f>
        <v>30</v>
      </c>
      <c r="AG25">
        <f>'Micro Data Tabulation'!AG56</f>
        <v>31</v>
      </c>
      <c r="AH25">
        <f>'Micro Data Tabulation'!AH56</f>
        <v>32</v>
      </c>
      <c r="AI25">
        <f>'Micro Data Tabulation'!AI56</f>
        <v>33</v>
      </c>
      <c r="AJ25">
        <f>'Micro Data Tabulation'!AJ56</f>
        <v>34</v>
      </c>
      <c r="AK25">
        <f>'Micro Data Tabulation'!AK56</f>
        <v>35</v>
      </c>
      <c r="AL25">
        <f>'Micro Data Tabulation'!AL56</f>
        <v>36</v>
      </c>
      <c r="AM25">
        <f>'Micro Data Tabulation'!AM56</f>
        <v>37</v>
      </c>
      <c r="AN25">
        <f>'Micro Data Tabulation'!AN56</f>
        <v>38</v>
      </c>
      <c r="AO25">
        <f>'Micro Data Tabulation'!AO56</f>
        <v>39</v>
      </c>
      <c r="AP25">
        <f>'Micro Data Tabulation'!AP56</f>
        <v>40</v>
      </c>
      <c r="AQ25">
        <f>'Micro Data Tabulation'!AQ56</f>
        <v>41</v>
      </c>
      <c r="AR25">
        <f>'Micro Data Tabulation'!AR56</f>
        <v>42</v>
      </c>
      <c r="AS25">
        <f>'Micro Data Tabulation'!AS56</f>
        <v>43</v>
      </c>
      <c r="AT25">
        <f>'Micro Data Tabulation'!AT56</f>
        <v>44</v>
      </c>
      <c r="AU25">
        <f>'Micro Data Tabulation'!AU56</f>
        <v>45</v>
      </c>
      <c r="AV25">
        <f>'Micro Data Tabulation'!AV56</f>
        <v>46</v>
      </c>
      <c r="AW25">
        <f>'Micro Data Tabulation'!AW56</f>
        <v>47</v>
      </c>
      <c r="AX25">
        <f>'Micro Data Tabulation'!AX56</f>
        <v>48</v>
      </c>
      <c r="AY25">
        <f>'Micro Data Tabulation'!AY56</f>
        <v>49</v>
      </c>
      <c r="AZ25">
        <f>'Micro Data Tabulation'!AZ56</f>
        <v>50</v>
      </c>
      <c r="BA25">
        <f>'Micro Data Tabulation'!BA56</f>
        <v>51</v>
      </c>
      <c r="BB25">
        <f>'Micro Data Tabulation'!BB56</f>
        <v>52</v>
      </c>
    </row>
    <row r="26" spans="2:54" x14ac:dyDescent="0.25">
      <c r="B26" t="str">
        <f>'Micro Data Tabulation'!B57</f>
        <v>Production (Volume) - Weekly (Unit)</v>
      </c>
      <c r="C26">
        <f>'Micro Data Tabulation'!C57</f>
        <v>45000</v>
      </c>
      <c r="D26">
        <f>'Micro Data Tabulation'!D57</f>
        <v>48000</v>
      </c>
      <c r="E26">
        <f>'Micro Data Tabulation'!E57</f>
        <v>51000</v>
      </c>
      <c r="F26">
        <f>'Micro Data Tabulation'!F57</f>
        <v>39000</v>
      </c>
      <c r="G26">
        <f>'Micro Data Tabulation'!G57</f>
        <v>41000</v>
      </c>
      <c r="H26">
        <f>'Micro Data Tabulation'!H57</f>
        <v>43000</v>
      </c>
      <c r="I26">
        <f>'Micro Data Tabulation'!I57</f>
        <v>45000</v>
      </c>
      <c r="J26">
        <f>'Micro Data Tabulation'!J57</f>
        <v>48000</v>
      </c>
      <c r="K26">
        <f>'Micro Data Tabulation'!K57</f>
        <v>51000</v>
      </c>
      <c r="L26">
        <f>'Micro Data Tabulation'!L57</f>
        <v>39000</v>
      </c>
      <c r="M26">
        <f>'Micro Data Tabulation'!M57</f>
        <v>41000</v>
      </c>
      <c r="N26">
        <f>'Micro Data Tabulation'!N57</f>
        <v>43000</v>
      </c>
      <c r="O26">
        <f>'Micro Data Tabulation'!O57</f>
        <v>45000</v>
      </c>
      <c r="P26">
        <f>'Micro Data Tabulation'!P57</f>
        <v>48000</v>
      </c>
      <c r="Q26">
        <f>'Micro Data Tabulation'!Q57</f>
        <v>51000</v>
      </c>
      <c r="R26">
        <f>'Micro Data Tabulation'!R57</f>
        <v>39000</v>
      </c>
      <c r="S26">
        <f>'Micro Data Tabulation'!S57</f>
        <v>41000</v>
      </c>
      <c r="T26">
        <f>'Micro Data Tabulation'!T57</f>
        <v>43000</v>
      </c>
      <c r="U26">
        <f>'Micro Data Tabulation'!U57</f>
        <v>45000</v>
      </c>
      <c r="V26">
        <f>'Micro Data Tabulation'!V57</f>
        <v>48000</v>
      </c>
      <c r="W26">
        <f>'Micro Data Tabulation'!W57</f>
        <v>51000</v>
      </c>
      <c r="X26">
        <f>'Micro Data Tabulation'!X57</f>
        <v>39000</v>
      </c>
      <c r="Y26">
        <f>'Micro Data Tabulation'!Y57</f>
        <v>41000</v>
      </c>
      <c r="Z26">
        <f>'Micro Data Tabulation'!Z57</f>
        <v>43000</v>
      </c>
      <c r="AA26">
        <f>'Micro Data Tabulation'!AA57</f>
        <v>45000</v>
      </c>
      <c r="AB26">
        <f>'Micro Data Tabulation'!AB57</f>
        <v>48000</v>
      </c>
      <c r="AC26">
        <f>'Micro Data Tabulation'!AC57</f>
        <v>51000</v>
      </c>
      <c r="AD26">
        <f>'Micro Data Tabulation'!AD57</f>
        <v>39000</v>
      </c>
      <c r="AE26">
        <f>'Micro Data Tabulation'!AE57</f>
        <v>41000</v>
      </c>
      <c r="AF26">
        <f>'Micro Data Tabulation'!AF57</f>
        <v>43000</v>
      </c>
      <c r="AG26">
        <f>'Micro Data Tabulation'!AG57</f>
        <v>45000</v>
      </c>
      <c r="AH26">
        <f>'Micro Data Tabulation'!AH57</f>
        <v>48000</v>
      </c>
      <c r="AI26">
        <f>'Micro Data Tabulation'!AI57</f>
        <v>51000</v>
      </c>
      <c r="AJ26">
        <f>'Micro Data Tabulation'!AJ57</f>
        <v>39000</v>
      </c>
      <c r="AK26">
        <f>'Micro Data Tabulation'!AK57</f>
        <v>41000</v>
      </c>
      <c r="AL26">
        <f>'Micro Data Tabulation'!AL57</f>
        <v>43000</v>
      </c>
      <c r="AM26">
        <f>'Micro Data Tabulation'!AM57</f>
        <v>45000</v>
      </c>
      <c r="AN26">
        <f>'Micro Data Tabulation'!AN57</f>
        <v>48000</v>
      </c>
      <c r="AO26">
        <f>'Micro Data Tabulation'!AO57</f>
        <v>51000</v>
      </c>
      <c r="AP26">
        <f>'Micro Data Tabulation'!AP57</f>
        <v>39000</v>
      </c>
      <c r="AQ26">
        <f>'Micro Data Tabulation'!AQ57</f>
        <v>41000</v>
      </c>
      <c r="AR26">
        <f>'Micro Data Tabulation'!AR57</f>
        <v>43000</v>
      </c>
      <c r="AS26">
        <f>'Micro Data Tabulation'!AS57</f>
        <v>50000</v>
      </c>
      <c r="AT26">
        <f>'Micro Data Tabulation'!AT57</f>
        <v>50000</v>
      </c>
      <c r="AU26">
        <f>'Micro Data Tabulation'!AU57</f>
        <v>50000</v>
      </c>
      <c r="AV26">
        <f>'Micro Data Tabulation'!AV57</f>
        <v>50000</v>
      </c>
      <c r="AW26">
        <f>'Micro Data Tabulation'!AW57</f>
        <v>45000</v>
      </c>
      <c r="AX26">
        <f>'Micro Data Tabulation'!AX57</f>
        <v>48000</v>
      </c>
      <c r="AY26">
        <f>'Micro Data Tabulation'!AY57</f>
        <v>51000</v>
      </c>
      <c r="AZ26">
        <f>'Micro Data Tabulation'!AZ57</f>
        <v>39000</v>
      </c>
      <c r="BA26">
        <f>'Micro Data Tabulation'!BA57</f>
        <v>41000</v>
      </c>
      <c r="BB26">
        <f>'Micro Data Tabulation'!BB57</f>
        <v>43000</v>
      </c>
    </row>
    <row r="27" spans="2:54" x14ac:dyDescent="0.25">
      <c r="B27" t="str">
        <f>'Micro Data Tabulation'!B64</f>
        <v>Yield / Quality (%) - Weekly</v>
      </c>
      <c r="C27">
        <f>'Micro Data Tabulation'!C64*100</f>
        <v>99.953333333333333</v>
      </c>
      <c r="D27">
        <f>'Micro Data Tabulation'!D64*100</f>
        <v>99.958333333333343</v>
      </c>
      <c r="E27">
        <f>'Micro Data Tabulation'!E64*100</f>
        <v>99.952941176470588</v>
      </c>
      <c r="F27">
        <f>'Micro Data Tabulation'!F64*100</f>
        <v>99.953846153846143</v>
      </c>
      <c r="G27">
        <f>'Micro Data Tabulation'!G64*100</f>
        <v>99.953658536585365</v>
      </c>
      <c r="H27">
        <f>'Micro Data Tabulation'!H64*100</f>
        <v>99.95348837209302</v>
      </c>
      <c r="I27">
        <f>'Micro Data Tabulation'!I64*100</f>
        <v>99.957777777777778</v>
      </c>
      <c r="J27">
        <f>'Micro Data Tabulation'!J64*100</f>
        <v>99.954166666666666</v>
      </c>
      <c r="K27">
        <f>'Micro Data Tabulation'!K64*100</f>
        <v>99.958823529411774</v>
      </c>
      <c r="L27">
        <f>'Micro Data Tabulation'!L64*100</f>
        <v>99.953846153846143</v>
      </c>
      <c r="M27">
        <f>'Micro Data Tabulation'!M64*100</f>
        <v>99.953658536585365</v>
      </c>
      <c r="N27">
        <f>'Micro Data Tabulation'!N64*100</f>
        <v>99.95348837209302</v>
      </c>
      <c r="O27">
        <f>'Micro Data Tabulation'!O64*100</f>
        <v>99.957777777777778</v>
      </c>
      <c r="P27">
        <f>'Micro Data Tabulation'!P64*100</f>
        <v>99.954166666666666</v>
      </c>
      <c r="Q27">
        <f>'Micro Data Tabulation'!Q64*100</f>
        <v>99.952941176470588</v>
      </c>
      <c r="R27">
        <f>'Micro Data Tabulation'!R64*100</f>
        <v>99.953846153846143</v>
      </c>
      <c r="S27">
        <f>'Micro Data Tabulation'!S64*100</f>
        <v>99.953658536585365</v>
      </c>
      <c r="T27">
        <f>'Micro Data Tabulation'!T64*100</f>
        <v>99.958139534883713</v>
      </c>
      <c r="U27">
        <f>'Micro Data Tabulation'!U64*100</f>
        <v>99.960000000000008</v>
      </c>
      <c r="V27">
        <f>'Micro Data Tabulation'!V64*100</f>
        <v>99.954166666666666</v>
      </c>
      <c r="W27">
        <f>'Micro Data Tabulation'!W64*100</f>
        <v>99.952941176470588</v>
      </c>
      <c r="X27">
        <f>'Micro Data Tabulation'!X64*100</f>
        <v>99.953846153846143</v>
      </c>
      <c r="Y27">
        <f>'Micro Data Tabulation'!Y64*100</f>
        <v>99.960975609756105</v>
      </c>
      <c r="Z27">
        <f>'Micro Data Tabulation'!Z64*100</f>
        <v>99.95348837209302</v>
      </c>
      <c r="AA27">
        <f>'Micro Data Tabulation'!AA64*100</f>
        <v>99.953333333333333</v>
      </c>
      <c r="AB27">
        <f>'Micro Data Tabulation'!AB64*100</f>
        <v>99.958333333333343</v>
      </c>
      <c r="AC27">
        <f>'Micro Data Tabulation'!AC64*100</f>
        <v>99.956862745098036</v>
      </c>
      <c r="AD27">
        <f>'Micro Data Tabulation'!AD64*100</f>
        <v>99.956410256410251</v>
      </c>
      <c r="AE27">
        <f>'Micro Data Tabulation'!AE64*100</f>
        <v>99.953658536585365</v>
      </c>
      <c r="AF27">
        <f>'Micro Data Tabulation'!AF64*100</f>
        <v>99.95348837209302</v>
      </c>
      <c r="AG27">
        <f>'Micro Data Tabulation'!AG64*100</f>
        <v>99.953333333333333</v>
      </c>
      <c r="AH27">
        <f>'Micro Data Tabulation'!AH64*100</f>
        <v>99.954166666666666</v>
      </c>
      <c r="AI27">
        <f>'Micro Data Tabulation'!AI64*100</f>
        <v>99.956862745098036</v>
      </c>
      <c r="AJ27">
        <f>'Micro Data Tabulation'!AJ64*100</f>
        <v>99.953846153846143</v>
      </c>
      <c r="AK27">
        <f>'Micro Data Tabulation'!AK64*100</f>
        <v>99.953658536585365</v>
      </c>
      <c r="AL27">
        <f>'Micro Data Tabulation'!AL64*100</f>
        <v>99.95348837209302</v>
      </c>
      <c r="AM27">
        <f>'Micro Data Tabulation'!AM64*100</f>
        <v>99.955555555555549</v>
      </c>
      <c r="AN27">
        <f>'Micro Data Tabulation'!AN64*100</f>
        <v>99.954166666666666</v>
      </c>
      <c r="AO27">
        <f>'Micro Data Tabulation'!AO64*100</f>
        <v>99.952941176470588</v>
      </c>
      <c r="AP27">
        <f>'Micro Data Tabulation'!AP64*100</f>
        <v>99.95128205128205</v>
      </c>
      <c r="AQ27">
        <f>'Micro Data Tabulation'!AQ64*100</f>
        <v>99.953658536585365</v>
      </c>
      <c r="AR27">
        <f>'Micro Data Tabulation'!AR64*100</f>
        <v>99.95348837209302</v>
      </c>
      <c r="AS27">
        <f>'Micro Data Tabulation'!AS64*100</f>
        <v>99.953999999999994</v>
      </c>
      <c r="AT27">
        <f>'Micro Data Tabulation'!AT64*100</f>
        <v>99.953999999999994</v>
      </c>
      <c r="AU27">
        <f>'Micro Data Tabulation'!AU64*100</f>
        <v>99.953999999999994</v>
      </c>
      <c r="AV27">
        <f>'Micro Data Tabulation'!AV64*100</f>
        <v>99.957999999999998</v>
      </c>
      <c r="AW27">
        <f>'Micro Data Tabulation'!AW64*100</f>
        <v>99.960000000000008</v>
      </c>
      <c r="AX27">
        <f>'Micro Data Tabulation'!AX64*100</f>
        <v>99.954166666666666</v>
      </c>
      <c r="AY27">
        <f>'Micro Data Tabulation'!AY64*100</f>
        <v>99.952941176470588</v>
      </c>
      <c r="AZ27">
        <f>'Micro Data Tabulation'!AZ64*100</f>
        <v>99.953846153846143</v>
      </c>
      <c r="BA27">
        <f>'Micro Data Tabulation'!BA64*100</f>
        <v>99.953658536585365</v>
      </c>
      <c r="BB27">
        <f>'Micro Data Tabulation'!BB64*100</f>
        <v>99.960465116279067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 Size</vt:lpstr>
      <vt:lpstr>Client Data</vt:lpstr>
      <vt:lpstr>Micro Data Tabulation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GUAN SEOW</dc:creator>
  <cp:lastModifiedBy>ENG GUAN SEOW</cp:lastModifiedBy>
  <dcterms:created xsi:type="dcterms:W3CDTF">2026-02-22T10:13:06Z</dcterms:created>
  <dcterms:modified xsi:type="dcterms:W3CDTF">2026-04-24T13:38:45Z</dcterms:modified>
</cp:coreProperties>
</file>