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PARAMS" sheetId="1" state="visible" r:id="rId1"/>
    <sheet name="2. INPUT" sheetId="2" state="visible" r:id="rId2"/>
    <sheet name="3. LOSS_ANALYSIS" sheetId="3" state="visible" r:id="rId3"/>
    <sheet name="4. COST_MATRIX" sheetId="4" state="visible" r:id="rId4"/>
    <sheet name="5. SUMMARY" sheetId="5" state="visible" r:id="rId5"/>
    <sheet name="6. CHAR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color rgb="002B2B2B"/>
      <sz val="9"/>
    </font>
    <font>
      <name val="Calibri"/>
      <i val="1"/>
      <color rgb="002B2B2B"/>
      <sz val="9"/>
    </font>
    <font>
      <name val="Calibri"/>
      <b val="1"/>
      <color rgb="00FFFFFF"/>
      <sz val="10"/>
    </font>
    <font>
      <name val="Calibri"/>
      <b val="1"/>
      <color rgb="00FFFFFF"/>
      <sz val="8"/>
    </font>
    <font>
      <name val="Calibri"/>
      <b val="1"/>
      <color rgb="00FFFFFF"/>
      <sz val="11"/>
    </font>
    <font>
      <name val="Calibri"/>
      <b val="1"/>
      <color rgb="002B2B2B"/>
      <sz val="10"/>
    </font>
    <font>
      <name val="Calibri"/>
      <i val="1"/>
      <color rgb="002B2B2B"/>
      <sz val="8"/>
    </font>
    <font>
      <name val="Calibri"/>
      <color rgb="002B2B2B"/>
      <sz val="8"/>
    </font>
    <font>
      <name val="Calibri"/>
      <b val="1"/>
      <color rgb="00FFFFFF"/>
      <sz val="9"/>
    </font>
    <font>
      <name val="Calibri"/>
      <color rgb="002B2B2B"/>
      <sz val="10"/>
    </font>
    <font>
      <name val="Calibri"/>
      <sz val="10"/>
    </font>
    <font>
      <name val="Calibri"/>
      <i val="1"/>
      <color rgb="00808080"/>
      <sz val="8"/>
    </font>
    <font>
      <name val="Calibri"/>
      <b val="1"/>
      <color rgb="000B3D3D"/>
      <sz val="11"/>
    </font>
  </fonts>
  <fills count="8">
    <fill>
      <patternFill/>
    </fill>
    <fill>
      <patternFill patternType="gray125"/>
    </fill>
    <fill>
      <patternFill patternType="solid">
        <fgColor rgb="00C69B4B"/>
        <bgColor rgb="00C69B4B"/>
      </patternFill>
    </fill>
    <fill>
      <patternFill patternType="solid">
        <fgColor rgb="000B3D3D"/>
        <bgColor rgb="000B3D3D"/>
      </patternFill>
    </fill>
    <fill>
      <patternFill patternType="solid">
        <fgColor rgb="00D6EAF8"/>
        <bgColor rgb="00D6EAF8"/>
      </patternFill>
    </fill>
    <fill>
      <patternFill patternType="solid">
        <fgColor rgb="00F7FAF9"/>
        <bgColor rgb="00F7FAF9"/>
      </patternFill>
    </fill>
    <fill>
      <patternFill patternType="solid">
        <fgColor rgb="00FFF9C4"/>
        <bgColor rgb="00FFF9C4"/>
      </patternFill>
    </fill>
    <fill>
      <patternFill patternType="solid">
        <fgColor rgb="00BFE0DA"/>
        <bgColor rgb="00BFE0D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2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4" fillId="7" borderId="1" pivotButton="0" quotePrefix="0" xfId="0"/>
    <xf numFmtId="0" fontId="0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4" customWidth="1" min="3" max="3"/>
    <col width="35" customWidth="1" min="4" max="4"/>
    <col width="22" customWidth="1" min="5" max="5"/>
  </cols>
  <sheetData>
    <row r="1">
      <c r="A1" s="1" t="inlineStr">
        <is>
          <t>1. Parameters — Operator-Adjustable Configuration</t>
        </is>
      </c>
      <c r="B1" s="2" t="n"/>
      <c r="C1" s="2" t="n"/>
      <c r="D1" s="2" t="n"/>
      <c r="E1" s="2" t="n"/>
      <c r="F1" s="2" t="n"/>
      <c r="G1" s="2" t="n"/>
      <c r="H1" s="3" t="n"/>
    </row>
    <row r="3">
      <c r="A3" s="4" t="inlineStr">
        <is>
          <t>Prepared for: EG SEOW / Founder, OAKAI SDN BHD</t>
        </is>
      </c>
      <c r="B3" s="2" t="n"/>
      <c r="C3" s="2" t="n"/>
      <c r="D3" s="2" t="n"/>
      <c r="E3" s="2" t="n"/>
      <c r="F3" s="2" t="n"/>
      <c r="G3" s="2" t="n"/>
      <c r="H3" s="3" t="n"/>
    </row>
    <row r="5">
      <c r="A5" s="5" t="inlineStr">
        <is>
          <t>INSTRUCTIONS: All BLUE cells are operator-configurable. Sheet 2 (INPUT) auto-adjusts. Sheets 3+ auto-calculate.</t>
        </is>
      </c>
    </row>
    <row r="7">
      <c r="A7" s="6" t="inlineStr">
        <is>
          <t>Parameter</t>
        </is>
      </c>
      <c r="B7" s="6" t="inlineStr">
        <is>
          <t>Value</t>
        </is>
      </c>
      <c r="C7" s="6" t="inlineStr">
        <is>
          <t>Unit</t>
        </is>
      </c>
      <c r="D7" s="6" t="inlineStr">
        <is>
          <t>Description</t>
        </is>
      </c>
      <c r="E7" s="6" t="inlineStr">
        <is>
          <t>Source</t>
        </is>
      </c>
    </row>
    <row r="8">
      <c r="A8" s="7" t="inlineStr">
        <is>
          <t>Hours / Shift</t>
        </is>
      </c>
      <c r="B8" s="8" t="n">
        <v>8</v>
      </c>
      <c r="C8" s="7" t="inlineStr">
        <is>
          <t>hours</t>
        </is>
      </c>
      <c r="D8" s="9" t="inlineStr">
        <is>
          <t>Working hours per shift</t>
        </is>
      </c>
      <c r="E8" s="7" t="inlineStr">
        <is>
          <t>Best Practice</t>
        </is>
      </c>
    </row>
    <row r="9">
      <c r="A9" s="4" t="inlineStr">
        <is>
          <t>Shift / Day</t>
        </is>
      </c>
      <c r="B9" s="8" t="n">
        <v>3</v>
      </c>
      <c r="C9" s="4" t="inlineStr">
        <is>
          <t>shifts</t>
        </is>
      </c>
      <c r="D9" s="10" t="inlineStr">
        <is>
          <t>Production shifts per day</t>
        </is>
      </c>
      <c r="E9" s="4" t="inlineStr">
        <is>
          <t>Client Input</t>
        </is>
      </c>
    </row>
    <row r="10">
      <c r="A10" s="7" t="inlineStr">
        <is>
          <t>Operation Days / Week</t>
        </is>
      </c>
      <c r="B10" s="8" t="n">
        <v>7</v>
      </c>
      <c r="C10" s="7" t="inlineStr">
        <is>
          <t>days</t>
        </is>
      </c>
      <c r="D10" s="9" t="inlineStr">
        <is>
          <t>Operating days per week (7=Mon-Sun)</t>
        </is>
      </c>
      <c r="E10" s="7" t="inlineStr">
        <is>
          <t>Client Input</t>
        </is>
      </c>
    </row>
    <row r="11">
      <c r="A11" s="4" t="inlineStr">
        <is>
          <t>Weeks / Year</t>
        </is>
      </c>
      <c r="B11" s="8" t="n">
        <v>52</v>
      </c>
      <c r="C11" s="4" t="inlineStr">
        <is>
          <t>weeks</t>
        </is>
      </c>
      <c r="D11" s="10" t="inlineStr">
        <is>
          <t>Calendar weeks analyzed</t>
        </is>
      </c>
      <c r="E11" s="4" t="inlineStr">
        <is>
          <t>Client Input</t>
        </is>
      </c>
    </row>
    <row r="12">
      <c r="A12" s="7" t="inlineStr">
        <is>
          <t>Total Planned Production Time (sec)</t>
        </is>
      </c>
      <c r="B12" s="11">
        <f>B8*B9*B10*3600*52</f>
        <v/>
      </c>
      <c r="C12" s="7" t="inlineStr">
        <is>
          <t>seconds</t>
        </is>
      </c>
      <c r="D12" s="9" t="inlineStr">
        <is>
          <t>Annual planned production time</t>
        </is>
      </c>
      <c r="E12" s="7" t="inlineStr">
        <is>
          <t>Auto-Calc</t>
        </is>
      </c>
    </row>
    <row r="13">
      <c r="A13" s="4" t="inlineStr">
        <is>
          <t>Equipment Utilization Target</t>
        </is>
      </c>
      <c r="B13" s="8" t="n">
        <v>90</v>
      </c>
      <c r="C13" s="4" t="inlineStr">
        <is>
          <t>%</t>
        </is>
      </c>
      <c r="D13" s="10" t="inlineStr">
        <is>
          <t>OEE availability target</t>
        </is>
      </c>
      <c r="E13" s="4" t="inlineStr">
        <is>
          <t>Best Practice</t>
        </is>
      </c>
    </row>
    <row r="14">
      <c r="A14" s="7" t="inlineStr">
        <is>
          <t>Yield Rate Target</t>
        </is>
      </c>
      <c r="B14" s="8" t="n">
        <v>99.5</v>
      </c>
      <c r="C14" s="7" t="inlineStr">
        <is>
          <t>%</t>
        </is>
      </c>
      <c r="D14" s="9" t="inlineStr">
        <is>
          <t>Quality yield target</t>
        </is>
      </c>
      <c r="E14" s="7" t="inlineStr">
        <is>
          <t>Best Practice</t>
        </is>
      </c>
    </row>
    <row r="15">
      <c r="A15" s="4" t="inlineStr">
        <is>
          <t>Rework Loss Target</t>
        </is>
      </c>
      <c r="B15" s="8" t="n">
        <v>3</v>
      </c>
      <c r="C15" s="4" t="inlineStr">
        <is>
          <t>%</t>
        </is>
      </c>
      <c r="D15" s="10" t="inlineStr">
        <is>
          <t>Rework target</t>
        </is>
      </c>
      <c r="E15" s="4" t="inlineStr">
        <is>
          <t>Best Practice</t>
        </is>
      </c>
    </row>
    <row r="16">
      <c r="A16" s="7" t="inlineStr">
        <is>
          <t>Labor Rate (RM/hr)</t>
        </is>
      </c>
      <c r="B16" s="8" t="n">
        <v>30</v>
      </c>
      <c r="C16" s="7" t="inlineStr">
        <is>
          <t>RM/hr</t>
        </is>
      </c>
      <c r="D16" s="9" t="inlineStr">
        <is>
          <t>Average labor rate</t>
        </is>
      </c>
      <c r="E16" s="7" t="inlineStr">
        <is>
          <t>Client Input</t>
        </is>
      </c>
    </row>
    <row r="17">
      <c r="A17" s="4" t="inlineStr">
        <is>
          <t>Rework Cost / Unit (RM)</t>
        </is>
      </c>
      <c r="B17" s="8" t="n">
        <v>150</v>
      </c>
      <c r="C17" s="4" t="inlineStr">
        <is>
          <t>RM</t>
        </is>
      </c>
      <c r="D17" s="10" t="inlineStr">
        <is>
          <t>Average rework cost per unit</t>
        </is>
      </c>
      <c r="E17" s="4" t="inlineStr">
        <is>
          <t>Client Input</t>
        </is>
      </c>
    </row>
    <row r="18">
      <c r="A18" s="7" t="inlineStr">
        <is>
          <t>Material Cost / Unit (RM)</t>
        </is>
      </c>
      <c r="B18" s="8" t="n">
        <v>500</v>
      </c>
      <c r="C18" s="7" t="inlineStr">
        <is>
          <t>RM</t>
        </is>
      </c>
      <c r="D18" s="9" t="inlineStr">
        <is>
          <t>Average material cost per unit</t>
        </is>
      </c>
      <c r="E18" s="7" t="inlineStr">
        <is>
          <t>Client Input</t>
        </is>
      </c>
    </row>
    <row r="19">
      <c r="A19" s="4" t="inlineStr">
        <is>
          <t>Utility Cost / Unit (RM)</t>
        </is>
      </c>
      <c r="B19" s="8" t="n">
        <v>50</v>
      </c>
      <c r="C19" s="4" t="inlineStr">
        <is>
          <t>RM</t>
        </is>
      </c>
      <c r="D19" s="10" t="inlineStr">
        <is>
          <t>Average utility cost per unit</t>
        </is>
      </c>
      <c r="E19" s="4" t="inlineStr">
        <is>
          <t>Client Input</t>
        </is>
      </c>
    </row>
    <row r="20">
      <c r="A20" s="7" t="inlineStr">
        <is>
          <t>Overhead Allocation Rate</t>
        </is>
      </c>
      <c r="B20" s="8" t="n">
        <v>20</v>
      </c>
      <c r="C20" s="7" t="inlineStr">
        <is>
          <t>%</t>
        </is>
      </c>
      <c r="D20" s="9" t="inlineStr">
        <is>
          <t>Overhead as % of direct costs</t>
        </is>
      </c>
      <c r="E20" s="7" t="inlineStr">
        <is>
          <t>Best Practice</t>
        </is>
      </c>
    </row>
    <row r="21">
      <c r="A21" s="4" t="inlineStr">
        <is>
          <t>Contribution Margin / Unit (RM)</t>
        </is>
      </c>
      <c r="B21" s="8" t="n">
        <v>2000</v>
      </c>
      <c r="C21" s="4" t="inlineStr">
        <is>
          <t>RM</t>
        </is>
      </c>
      <c r="D21" s="10" t="inlineStr">
        <is>
          <t>Revenue - variable cost per unit</t>
        </is>
      </c>
      <c r="E21" s="4" t="inlineStr">
        <is>
          <t>Client Input</t>
        </is>
      </c>
    </row>
  </sheetData>
  <mergeCells count="3">
    <mergeCell ref="A3:H3"/>
    <mergeCell ref="A5:H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2. Input — Product Portfolio &amp; Production Data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3">
      <c r="A3" s="4" t="inlineStr">
        <is>
          <t>Prepared for: EG SEOW</t>
        </is>
      </c>
    </row>
    <row r="5">
      <c r="A5" s="5" t="inlineStr">
        <is>
          <t>BLUE cells = client-supplied raw data. YELLOW cells = auto-calculated from PARAMS sheet.</t>
        </is>
      </c>
    </row>
    <row r="7">
      <c r="A7" s="12" t="inlineStr">
        <is>
          <t>Product ID</t>
        </is>
      </c>
      <c r="B7" s="12" t="inlineStr">
        <is>
          <t>Product Name</t>
        </is>
      </c>
      <c r="C7" s="12" t="inlineStr">
        <is>
          <t>Std CT (sec)</t>
        </is>
      </c>
      <c r="D7" s="12" t="inlineStr">
        <is>
          <t>Wk1 Vol</t>
        </is>
      </c>
      <c r="E7" s="12" t="inlineStr">
        <is>
          <t>Wk2 Vol</t>
        </is>
      </c>
      <c r="F7" s="12" t="inlineStr">
        <is>
          <t>Wk3 Vol</t>
        </is>
      </c>
      <c r="G7" s="12" t="inlineStr">
        <is>
          <t>Wk4 Vol</t>
        </is>
      </c>
      <c r="H7" s="12" t="inlineStr">
        <is>
          <t>Wk5 Vol</t>
        </is>
      </c>
      <c r="I7" s="12" t="inlineStr">
        <is>
          <t>Total Wkly Vol</t>
        </is>
      </c>
      <c r="J7" s="12" t="inlineStr">
        <is>
          <t>Unit Price (RM)</t>
        </is>
      </c>
      <c r="K7" s="12" t="inlineStr">
        <is>
          <t>Mat Cost (RM)</t>
        </is>
      </c>
      <c r="L7" s="12" t="inlineStr">
        <is>
          <t>Util Cost (RM)</t>
        </is>
      </c>
      <c r="M7" s="12" t="inlineStr">
        <is>
          <t>CM/Unit (RM)</t>
        </is>
      </c>
    </row>
    <row r="8">
      <c r="A8" s="4" t="n">
        <v>1</v>
      </c>
      <c r="B8" s="4" t="inlineStr">
        <is>
          <t>Product A</t>
        </is>
      </c>
      <c r="C8" s="4" t="n">
        <v>9</v>
      </c>
      <c r="D8" s="8" t="n">
        <v>9000</v>
      </c>
      <c r="E8" s="8" t="n">
        <v>0</v>
      </c>
      <c r="F8" s="8" t="n">
        <v>5000</v>
      </c>
      <c r="G8" s="8" t="n">
        <v>0</v>
      </c>
      <c r="H8" s="8" t="n">
        <v>9000</v>
      </c>
      <c r="I8" s="11">
        <f>SUM(D8:H8)</f>
        <v/>
      </c>
      <c r="J8" s="8" t="n">
        <v>26</v>
      </c>
      <c r="K8" s="8" t="n">
        <v>7</v>
      </c>
      <c r="L8" s="8" t="n">
        <v>8.5</v>
      </c>
      <c r="M8" s="11">
        <f>J8-K8-L8</f>
        <v/>
      </c>
    </row>
    <row r="9">
      <c r="A9" s="7" t="n">
        <v>2</v>
      </c>
      <c r="B9" s="7" t="inlineStr">
        <is>
          <t>Product B</t>
        </is>
      </c>
      <c r="C9" s="7" t="n">
        <v>9.800000000000001</v>
      </c>
      <c r="D9" s="8" t="n">
        <v>8000</v>
      </c>
      <c r="E9" s="8" t="n">
        <v>9000</v>
      </c>
      <c r="F9" s="8" t="n">
        <v>0</v>
      </c>
      <c r="G9" s="8" t="n">
        <v>6000</v>
      </c>
      <c r="H9" s="8" t="n">
        <v>8000</v>
      </c>
      <c r="I9" s="11">
        <f>SUM(D9:H9)</f>
        <v/>
      </c>
      <c r="J9" s="8" t="n">
        <v>25</v>
      </c>
      <c r="K9" s="8" t="n">
        <v>8</v>
      </c>
      <c r="L9" s="8" t="n">
        <v>8.9</v>
      </c>
      <c r="M9" s="11">
        <f>J9-K9-L9</f>
        <v/>
      </c>
    </row>
    <row r="10">
      <c r="A10" s="4" t="n">
        <v>3</v>
      </c>
      <c r="B10" s="4" t="inlineStr">
        <is>
          <t>Product C</t>
        </is>
      </c>
      <c r="C10" s="4" t="n">
        <v>9.6</v>
      </c>
      <c r="D10" s="8" t="n">
        <v>10000</v>
      </c>
      <c r="E10" s="8" t="n">
        <v>8000</v>
      </c>
      <c r="F10" s="8" t="n">
        <v>9000</v>
      </c>
      <c r="G10" s="8" t="n">
        <v>0</v>
      </c>
      <c r="H10" s="8" t="n">
        <v>10000</v>
      </c>
      <c r="I10" s="11">
        <f>SUM(D10:H10)</f>
        <v/>
      </c>
      <c r="J10" s="8" t="n">
        <v>24</v>
      </c>
      <c r="K10" s="8" t="n">
        <v>6</v>
      </c>
      <c r="L10" s="8" t="n">
        <v>9</v>
      </c>
      <c r="M10" s="11">
        <f>J10-K10-L10</f>
        <v/>
      </c>
    </row>
    <row r="11">
      <c r="A11" s="7" t="n">
        <v>4</v>
      </c>
      <c r="B11" s="7" t="inlineStr">
        <is>
          <t>Product D</t>
        </is>
      </c>
      <c r="C11" s="7" t="n">
        <v>11</v>
      </c>
      <c r="D11" s="8" t="n">
        <v>13000</v>
      </c>
      <c r="E11" s="8" t="n">
        <v>10000</v>
      </c>
      <c r="F11" s="8" t="n">
        <v>8000</v>
      </c>
      <c r="G11" s="8" t="n">
        <v>9000</v>
      </c>
      <c r="H11" s="8" t="n">
        <v>9000</v>
      </c>
      <c r="I11" s="11">
        <f>SUM(D11:H11)</f>
        <v/>
      </c>
      <c r="J11" s="8" t="n">
        <v>21</v>
      </c>
      <c r="K11" s="8" t="n">
        <v>8.5</v>
      </c>
      <c r="L11" s="8" t="n">
        <v>8</v>
      </c>
      <c r="M11" s="11">
        <f>J11-K11-L11</f>
        <v/>
      </c>
    </row>
    <row r="12">
      <c r="A12" s="4" t="n">
        <v>5</v>
      </c>
      <c r="B12" s="4" t="inlineStr">
        <is>
          <t>Product E</t>
        </is>
      </c>
      <c r="C12" s="4" t="n">
        <v>10.8</v>
      </c>
      <c r="D12" s="8" t="n">
        <v>5000</v>
      </c>
      <c r="E12" s="8" t="n">
        <v>13000</v>
      </c>
      <c r="F12" s="8" t="n">
        <v>10000</v>
      </c>
      <c r="G12" s="8" t="n">
        <v>8000</v>
      </c>
      <c r="H12" s="8" t="n">
        <v>5000</v>
      </c>
      <c r="I12" s="11">
        <f>SUM(D12:H12)</f>
        <v/>
      </c>
      <c r="J12" s="8" t="n">
        <v>23</v>
      </c>
      <c r="K12" s="8" t="n">
        <v>8</v>
      </c>
      <c r="L12" s="8" t="n">
        <v>7.8</v>
      </c>
      <c r="M12" s="11">
        <f>J12-K12-L12</f>
        <v/>
      </c>
    </row>
    <row r="13">
      <c r="A13" s="7" t="n">
        <v>6</v>
      </c>
      <c r="B13" s="7" t="inlineStr">
        <is>
          <t>Product F</t>
        </is>
      </c>
      <c r="C13" s="7" t="n">
        <v>10.5</v>
      </c>
      <c r="D13" s="8" t="n">
        <v>0</v>
      </c>
      <c r="E13" s="8" t="n">
        <v>5000</v>
      </c>
      <c r="F13" s="8" t="n">
        <v>13000</v>
      </c>
      <c r="G13" s="8" t="n">
        <v>0</v>
      </c>
      <c r="H13" s="8" t="n">
        <v>0</v>
      </c>
      <c r="I13" s="11">
        <f>SUM(D13:H13)</f>
        <v/>
      </c>
      <c r="J13" s="8" t="n">
        <v>21</v>
      </c>
      <c r="K13" s="8" t="n">
        <v>8</v>
      </c>
      <c r="L13" s="8" t="n">
        <v>7.5</v>
      </c>
      <c r="M13" s="11">
        <f>J13-K13-L13</f>
        <v/>
      </c>
    </row>
    <row r="14">
      <c r="A14" s="4" t="n">
        <v>7</v>
      </c>
      <c r="B14" s="4" t="inlineStr">
        <is>
          <t>Product G</t>
        </is>
      </c>
      <c r="C14" s="4" t="n">
        <v>9</v>
      </c>
      <c r="D14" s="8" t="n">
        <v>0</v>
      </c>
      <c r="E14" s="8" t="n">
        <v>3000</v>
      </c>
      <c r="F14" s="8" t="n">
        <v>6000</v>
      </c>
      <c r="G14" s="8" t="n">
        <v>11000</v>
      </c>
      <c r="H14" s="8" t="n">
        <v>0</v>
      </c>
      <c r="I14" s="11">
        <f>SUM(D14:H14)</f>
        <v/>
      </c>
      <c r="J14" s="8" t="n">
        <v>17</v>
      </c>
      <c r="K14" s="8" t="n">
        <v>5</v>
      </c>
      <c r="L14" s="8" t="n">
        <v>7.2</v>
      </c>
      <c r="M14" s="11">
        <f>J14-K14-L14</f>
        <v/>
      </c>
    </row>
    <row r="15">
      <c r="A15" s="7" t="n">
        <v>8</v>
      </c>
      <c r="B15" s="7" t="inlineStr">
        <is>
          <t>Product H</t>
        </is>
      </c>
      <c r="C15" s="7" t="n">
        <v>9.199999999999999</v>
      </c>
      <c r="D15" s="8" t="n">
        <v>0</v>
      </c>
      <c r="E15" s="8" t="n">
        <v>0</v>
      </c>
      <c r="F15" s="8" t="n">
        <v>0</v>
      </c>
      <c r="G15" s="8" t="n">
        <v>5000</v>
      </c>
      <c r="H15" s="8" t="n">
        <v>0</v>
      </c>
      <c r="I15" s="11">
        <f>SUM(D15:H15)</f>
        <v/>
      </c>
      <c r="J15" s="8" t="n">
        <v>19</v>
      </c>
      <c r="K15" s="8" t="n">
        <v>0</v>
      </c>
      <c r="L15" s="8" t="n">
        <v>7.5</v>
      </c>
      <c r="M15" s="11">
        <f>J15-K15-L15</f>
        <v/>
      </c>
    </row>
    <row r="16">
      <c r="B16" s="13" t="inlineStr">
        <is>
          <t>TOTAL</t>
        </is>
      </c>
      <c r="I16" s="14">
        <f>SUM(I8:I15)</f>
        <v/>
      </c>
    </row>
    <row r="18">
      <c r="A18" s="14" t="inlineStr">
        <is>
          <t>Product Count</t>
        </is>
      </c>
      <c r="B18" s="15" t="n">
        <v>8</v>
      </c>
    </row>
    <row r="20">
      <c r="A20" s="16" t="inlineStr">
        <is>
          <t>Note: Blue cells = editable client data. YELLOW cells auto-calculate.</t>
        </is>
      </c>
    </row>
  </sheetData>
  <mergeCells count="2">
    <mergeCell ref="A1:M1"/>
    <mergeCell ref="A5:M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7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4" customWidth="1" min="3" max="3"/>
    <col width="16" customWidth="1" min="4" max="4"/>
    <col width="10" customWidth="1" min="5" max="5"/>
    <col width="22" customWidth="1" min="6" max="6"/>
    <col width="16" customWidth="1" min="7" max="7"/>
    <col width="20" customWidth="1" min="8" max="8"/>
    <col width="16" customWidth="1" min="9" max="9"/>
  </cols>
  <sheetData>
    <row r="1">
      <c r="A1" s="1" t="inlineStr">
        <is>
          <t>3. Loss Analysis — Waste Diagnostic &amp; Value-at-Stake Quantification</t>
        </is>
      </c>
      <c r="B1" s="2" t="n"/>
      <c r="C1" s="2" t="n"/>
      <c r="D1" s="2" t="n"/>
      <c r="E1" s="2" t="n"/>
      <c r="F1" s="2" t="n"/>
      <c r="G1" s="2" t="n"/>
      <c r="H1" s="2" t="n"/>
      <c r="I1" s="3" t="n"/>
    </row>
    <row r="3">
      <c r="A3" s="4" t="inlineStr">
        <is>
          <t>Prepared for: EG SEOW</t>
        </is>
      </c>
    </row>
    <row r="5">
      <c r="A5" s="5" t="inlineStr">
        <is>
          <t>11 waste categories x 8 products. Each quantifies annual $ value-at-stake:
Annual $ Impact = Loss Metric x Cost Factor x Annual Volume (all cross-sheet linked to INPUT + PARAMS)</t>
        </is>
      </c>
    </row>
    <row r="7">
      <c r="A7" s="12" t="inlineStr">
        <is>
          <t>#</t>
        </is>
      </c>
      <c r="B7" s="12" t="inlineStr">
        <is>
          <t>Waste Category</t>
        </is>
      </c>
      <c r="C7" s="12" t="inlineStr">
        <is>
          <t>Product</t>
        </is>
      </c>
      <c r="D7" s="12" t="inlineStr">
        <is>
          <t>Loss Metric</t>
        </is>
      </c>
      <c r="E7" s="12" t="inlineStr">
        <is>
          <t>Unit</t>
        </is>
      </c>
      <c r="F7" s="12" t="inlineStr">
        <is>
          <t>Cost Factor</t>
        </is>
      </c>
      <c r="G7" s="12" t="inlineStr">
        <is>
          <t>Annual Vol</t>
        </is>
      </c>
      <c r="H7" s="12" t="inlineStr">
        <is>
          <t>Annual $ Impact (RM)</t>
        </is>
      </c>
      <c r="I7" s="12" t="inlineStr">
        <is>
          <t>5-Yr Value (RM)</t>
        </is>
      </c>
    </row>
    <row r="8">
      <c r="A8" s="17" t="inlineStr">
        <is>
          <t>1.1</t>
        </is>
      </c>
      <c r="B8" s="18" t="inlineStr">
        <is>
          <t>USDT - Machine Failure</t>
        </is>
      </c>
      <c r="C8" s="17" t="inlineStr">
        <is>
          <t>All 8 Products</t>
        </is>
      </c>
      <c r="D8" s="17" t="inlineStr">
        <is>
          <t>MTBF hours lost/yr</t>
        </is>
      </c>
      <c r="E8" s="17" t="inlineStr">
        <is>
          <t>hours</t>
        </is>
      </c>
      <c r="F8" s="18" t="inlineStr">
        <is>
          <t>Labor Rate + OEE</t>
        </is>
      </c>
      <c r="G8" s="17">
        <f>SUM(G9:G16)</f>
        <v/>
      </c>
      <c r="H8" s="17">
        <f>SUM(H9:H16)</f>
        <v/>
      </c>
      <c r="I8" s="17">
        <f>H8*5</f>
        <v/>
      </c>
    </row>
    <row r="9">
      <c r="A9" s="19" t="inlineStr">
        <is>
          <t>1.1.1</t>
        </is>
      </c>
      <c r="B9" s="19" t="n"/>
      <c r="C9" s="20" t="inlineStr">
        <is>
          <t>Product A</t>
        </is>
      </c>
      <c r="D9" s="19" t="n">
        <v>48</v>
      </c>
      <c r="E9" s="19" t="n"/>
      <c r="F9" s="20" t="n"/>
      <c r="G9" s="21" t="inlineStr">
        <is>
          <t>'2. INPUT'!I8*52</t>
        </is>
      </c>
      <c r="H9" s="21">
        <f>D9*(30+50)*'2. INPUT'!M8</f>
        <v/>
      </c>
      <c r="I9" s="19">
        <f>H9*5</f>
        <v/>
      </c>
    </row>
    <row r="10">
      <c r="A10" s="22" t="inlineStr">
        <is>
          <t>1.1.2</t>
        </is>
      </c>
      <c r="B10" s="22" t="n"/>
      <c r="C10" s="23" t="inlineStr">
        <is>
          <t>Product B</t>
        </is>
      </c>
      <c r="D10" s="22" t="n">
        <v>48</v>
      </c>
      <c r="E10" s="22" t="n"/>
      <c r="F10" s="23" t="n"/>
      <c r="G10" s="24" t="inlineStr">
        <is>
          <t>'2. INPUT'!I9*52</t>
        </is>
      </c>
      <c r="H10" s="24">
        <f>D10*(30+50)*'2. INPUT'!M9</f>
        <v/>
      </c>
      <c r="I10" s="22">
        <f>H10*5</f>
        <v/>
      </c>
    </row>
    <row r="11">
      <c r="A11" s="19" t="inlineStr">
        <is>
          <t>1.1.3</t>
        </is>
      </c>
      <c r="B11" s="19" t="n"/>
      <c r="C11" s="20" t="inlineStr">
        <is>
          <t>Product C</t>
        </is>
      </c>
      <c r="D11" s="19" t="n">
        <v>48</v>
      </c>
      <c r="E11" s="19" t="n"/>
      <c r="F11" s="20" t="n"/>
      <c r="G11" s="21" t="inlineStr">
        <is>
          <t>'2. INPUT'!I10*52</t>
        </is>
      </c>
      <c r="H11" s="21">
        <f>D11*(30+50)*'2. INPUT'!M10</f>
        <v/>
      </c>
      <c r="I11" s="19">
        <f>H11*5</f>
        <v/>
      </c>
    </row>
    <row r="12">
      <c r="A12" s="22" t="inlineStr">
        <is>
          <t>1.1.4</t>
        </is>
      </c>
      <c r="B12" s="22" t="n"/>
      <c r="C12" s="23" t="inlineStr">
        <is>
          <t>Product D</t>
        </is>
      </c>
      <c r="D12" s="22" t="n">
        <v>48</v>
      </c>
      <c r="E12" s="22" t="n"/>
      <c r="F12" s="23" t="n"/>
      <c r="G12" s="24" t="inlineStr">
        <is>
          <t>'2. INPUT'!I11*52</t>
        </is>
      </c>
      <c r="H12" s="24">
        <f>D12*(30+50)*'2. INPUT'!M11</f>
        <v/>
      </c>
      <c r="I12" s="22">
        <f>H12*5</f>
        <v/>
      </c>
    </row>
    <row r="13">
      <c r="A13" s="19" t="inlineStr">
        <is>
          <t>1.1.5</t>
        </is>
      </c>
      <c r="B13" s="19" t="n"/>
      <c r="C13" s="20" t="inlineStr">
        <is>
          <t>Product E</t>
        </is>
      </c>
      <c r="D13" s="19" t="n">
        <v>48</v>
      </c>
      <c r="E13" s="19" t="n"/>
      <c r="F13" s="20" t="n"/>
      <c r="G13" s="21" t="inlineStr">
        <is>
          <t>'2. INPUT'!I12*52</t>
        </is>
      </c>
      <c r="H13" s="21">
        <f>D13*(30+50)*'2. INPUT'!M12</f>
        <v/>
      </c>
      <c r="I13" s="19">
        <f>H13*5</f>
        <v/>
      </c>
    </row>
    <row r="14">
      <c r="A14" s="22" t="inlineStr">
        <is>
          <t>1.1.6</t>
        </is>
      </c>
      <c r="B14" s="22" t="n"/>
      <c r="C14" s="23" t="inlineStr">
        <is>
          <t>Product F</t>
        </is>
      </c>
      <c r="D14" s="22" t="n">
        <v>48</v>
      </c>
      <c r="E14" s="22" t="n"/>
      <c r="F14" s="23" t="n"/>
      <c r="G14" s="24" t="inlineStr">
        <is>
          <t>'2. INPUT'!I13*52</t>
        </is>
      </c>
      <c r="H14" s="24">
        <f>D14*(30+50)*'2. INPUT'!M13</f>
        <v/>
      </c>
      <c r="I14" s="22">
        <f>H14*5</f>
        <v/>
      </c>
    </row>
    <row r="15">
      <c r="A15" s="19" t="inlineStr">
        <is>
          <t>1.1.7</t>
        </is>
      </c>
      <c r="B15" s="19" t="n"/>
      <c r="C15" s="20" t="inlineStr">
        <is>
          <t>Product G</t>
        </is>
      </c>
      <c r="D15" s="19" t="n">
        <v>48</v>
      </c>
      <c r="E15" s="19" t="n"/>
      <c r="F15" s="20" t="n"/>
      <c r="G15" s="21" t="inlineStr">
        <is>
          <t>'2. INPUT'!I14*52</t>
        </is>
      </c>
      <c r="H15" s="21">
        <f>D15*(30+50)*'2. INPUT'!M14</f>
        <v/>
      </c>
      <c r="I15" s="19">
        <f>H15*5</f>
        <v/>
      </c>
    </row>
    <row r="16">
      <c r="A16" s="22" t="inlineStr">
        <is>
          <t>1.1.8</t>
        </is>
      </c>
      <c r="B16" s="22" t="n"/>
      <c r="C16" s="23" t="inlineStr">
        <is>
          <t>Product H</t>
        </is>
      </c>
      <c r="D16" s="22" t="n">
        <v>48</v>
      </c>
      <c r="E16" s="22" t="n"/>
      <c r="F16" s="23" t="n"/>
      <c r="G16" s="24" t="inlineStr">
        <is>
          <t>'2. INPUT'!I15*52</t>
        </is>
      </c>
      <c r="H16" s="24">
        <f>D16*(30+50)*'2. INPUT'!M15</f>
        <v/>
      </c>
      <c r="I16" s="22">
        <f>H16*5</f>
        <v/>
      </c>
    </row>
    <row r="17">
      <c r="A17" s="17" t="inlineStr">
        <is>
          <t>1.2</t>
        </is>
      </c>
      <c r="B17" s="18" t="inlineStr">
        <is>
          <t>USDT - Machine Assist</t>
        </is>
      </c>
      <c r="C17" s="17" t="inlineStr">
        <is>
          <t>All 8 Products</t>
        </is>
      </c>
      <c r="D17" s="17" t="inlineStr">
        <is>
          <t>MTTR hours lost/yr</t>
        </is>
      </c>
      <c r="E17" s="17" t="inlineStr">
        <is>
          <t>hours</t>
        </is>
      </c>
      <c r="F17" s="18" t="inlineStr">
        <is>
          <t>Labor Rate + OEE</t>
        </is>
      </c>
      <c r="G17" s="17">
        <f>SUM(G18:G25)</f>
        <v/>
      </c>
      <c r="H17" s="17">
        <f>SUM(H18:H25)</f>
        <v/>
      </c>
      <c r="I17" s="17">
        <f>H17*5</f>
        <v/>
      </c>
    </row>
    <row r="18">
      <c r="A18" s="19" t="inlineStr">
        <is>
          <t>1.2.1</t>
        </is>
      </c>
      <c r="B18" s="19" t="n"/>
      <c r="C18" s="20" t="inlineStr">
        <is>
          <t>Product A</t>
        </is>
      </c>
      <c r="D18" s="19" t="n">
        <v>30</v>
      </c>
      <c r="E18" s="19" t="n"/>
      <c r="F18" s="20" t="n"/>
      <c r="G18" s="21" t="inlineStr">
        <is>
          <t>'2. INPUT'!I8*52</t>
        </is>
      </c>
      <c r="H18" s="21">
        <f>D18*(30+50)*'2. INPUT'!M8</f>
        <v/>
      </c>
      <c r="I18" s="19">
        <f>H18*5</f>
        <v/>
      </c>
    </row>
    <row r="19">
      <c r="A19" s="22" t="inlineStr">
        <is>
          <t>1.2.2</t>
        </is>
      </c>
      <c r="B19" s="22" t="n"/>
      <c r="C19" s="23" t="inlineStr">
        <is>
          <t>Product B</t>
        </is>
      </c>
      <c r="D19" s="22" t="n">
        <v>30</v>
      </c>
      <c r="E19" s="22" t="n"/>
      <c r="F19" s="23" t="n"/>
      <c r="G19" s="24" t="inlineStr">
        <is>
          <t>'2. INPUT'!I9*52</t>
        </is>
      </c>
      <c r="H19" s="24">
        <f>D19*(30+50)*'2. INPUT'!M9</f>
        <v/>
      </c>
      <c r="I19" s="22">
        <f>H19*5</f>
        <v/>
      </c>
    </row>
    <row r="20">
      <c r="A20" s="19" t="inlineStr">
        <is>
          <t>1.2.3</t>
        </is>
      </c>
      <c r="B20" s="19" t="n"/>
      <c r="C20" s="20" t="inlineStr">
        <is>
          <t>Product C</t>
        </is>
      </c>
      <c r="D20" s="19" t="n">
        <v>30</v>
      </c>
      <c r="E20" s="19" t="n"/>
      <c r="F20" s="20" t="n"/>
      <c r="G20" s="21" t="inlineStr">
        <is>
          <t>'2. INPUT'!I10*52</t>
        </is>
      </c>
      <c r="H20" s="21">
        <f>D20*(30+50)*'2. INPUT'!M10</f>
        <v/>
      </c>
      <c r="I20" s="19">
        <f>H20*5</f>
        <v/>
      </c>
    </row>
    <row r="21">
      <c r="A21" s="22" t="inlineStr">
        <is>
          <t>1.2.4</t>
        </is>
      </c>
      <c r="B21" s="22" t="n"/>
      <c r="C21" s="23" t="inlineStr">
        <is>
          <t>Product D</t>
        </is>
      </c>
      <c r="D21" s="22" t="n">
        <v>30</v>
      </c>
      <c r="E21" s="22" t="n"/>
      <c r="F21" s="23" t="n"/>
      <c r="G21" s="24" t="inlineStr">
        <is>
          <t>'2. INPUT'!I11*52</t>
        </is>
      </c>
      <c r="H21" s="24">
        <f>D21*(30+50)*'2. INPUT'!M11</f>
        <v/>
      </c>
      <c r="I21" s="22">
        <f>H21*5</f>
        <v/>
      </c>
    </row>
    <row r="22">
      <c r="A22" s="19" t="inlineStr">
        <is>
          <t>1.2.5</t>
        </is>
      </c>
      <c r="B22" s="19" t="n"/>
      <c r="C22" s="20" t="inlineStr">
        <is>
          <t>Product E</t>
        </is>
      </c>
      <c r="D22" s="19" t="n">
        <v>30</v>
      </c>
      <c r="E22" s="19" t="n"/>
      <c r="F22" s="20" t="n"/>
      <c r="G22" s="21" t="inlineStr">
        <is>
          <t>'2. INPUT'!I12*52</t>
        </is>
      </c>
      <c r="H22" s="21">
        <f>D22*(30+50)*'2. INPUT'!M12</f>
        <v/>
      </c>
      <c r="I22" s="19">
        <f>H22*5</f>
        <v/>
      </c>
    </row>
    <row r="23">
      <c r="A23" s="22" t="inlineStr">
        <is>
          <t>1.2.6</t>
        </is>
      </c>
      <c r="B23" s="22" t="n"/>
      <c r="C23" s="23" t="inlineStr">
        <is>
          <t>Product F</t>
        </is>
      </c>
      <c r="D23" s="22" t="n">
        <v>30</v>
      </c>
      <c r="E23" s="22" t="n"/>
      <c r="F23" s="23" t="n"/>
      <c r="G23" s="24" t="inlineStr">
        <is>
          <t>'2. INPUT'!I13*52</t>
        </is>
      </c>
      <c r="H23" s="24">
        <f>D23*(30+50)*'2. INPUT'!M13</f>
        <v/>
      </c>
      <c r="I23" s="22">
        <f>H23*5</f>
        <v/>
      </c>
    </row>
    <row r="24">
      <c r="A24" s="19" t="inlineStr">
        <is>
          <t>1.2.7</t>
        </is>
      </c>
      <c r="B24" s="19" t="n"/>
      <c r="C24" s="20" t="inlineStr">
        <is>
          <t>Product G</t>
        </is>
      </c>
      <c r="D24" s="19" t="n">
        <v>30</v>
      </c>
      <c r="E24" s="19" t="n"/>
      <c r="F24" s="20" t="n"/>
      <c r="G24" s="21" t="inlineStr">
        <is>
          <t>'2. INPUT'!I14*52</t>
        </is>
      </c>
      <c r="H24" s="21">
        <f>D24*(30+50)*'2. INPUT'!M14</f>
        <v/>
      </c>
      <c r="I24" s="19">
        <f>H24*5</f>
        <v/>
      </c>
    </row>
    <row r="25">
      <c r="A25" s="22" t="inlineStr">
        <is>
          <t>1.2.8</t>
        </is>
      </c>
      <c r="B25" s="22" t="n"/>
      <c r="C25" s="23" t="inlineStr">
        <is>
          <t>Product H</t>
        </is>
      </c>
      <c r="D25" s="22" t="n">
        <v>30</v>
      </c>
      <c r="E25" s="22" t="n"/>
      <c r="F25" s="23" t="n"/>
      <c r="G25" s="24" t="inlineStr">
        <is>
          <t>'2. INPUT'!I15*52</t>
        </is>
      </c>
      <c r="H25" s="24">
        <f>D25*(30+50)*'2. INPUT'!M15</f>
        <v/>
      </c>
      <c r="I25" s="22">
        <f>H25*5</f>
        <v/>
      </c>
    </row>
    <row r="26">
      <c r="A26" s="17" t="inlineStr">
        <is>
          <t>1.3</t>
        </is>
      </c>
      <c r="B26" s="18" t="inlineStr">
        <is>
          <t>Quality Loss - Defect</t>
        </is>
      </c>
      <c r="C26" s="17" t="inlineStr">
        <is>
          <t>All 8 Products</t>
        </is>
      </c>
      <c r="D26" s="17" t="inlineStr">
        <is>
          <t>Defect rate</t>
        </is>
      </c>
      <c r="E26" s="17" t="inlineStr">
        <is>
          <t>%</t>
        </is>
      </c>
      <c r="F26" s="18" t="inlineStr">
        <is>
          <t>CM/Unit</t>
        </is>
      </c>
      <c r="G26" s="17">
        <f>SUM(G27:G34)</f>
        <v/>
      </c>
      <c r="H26" s="17">
        <f>SUM(H27:H34)</f>
        <v/>
      </c>
      <c r="I26" s="17">
        <f>H26*5</f>
        <v/>
      </c>
    </row>
    <row r="27">
      <c r="A27" s="19" t="inlineStr">
        <is>
          <t>1.3.1</t>
        </is>
      </c>
      <c r="B27" s="19" t="n"/>
      <c r="C27" s="20" t="inlineStr">
        <is>
          <t>Product A</t>
        </is>
      </c>
      <c r="D27" s="19" t="n">
        <v>0.003</v>
      </c>
      <c r="E27" s="19" t="n"/>
      <c r="F27" s="20" t="n"/>
      <c r="G27" s="21" t="inlineStr">
        <is>
          <t>'2. INPUT'!I8*52</t>
        </is>
      </c>
      <c r="H27" s="21">
        <f>D27*G27*'2. INPUT'!M8</f>
        <v/>
      </c>
      <c r="I27" s="19">
        <f>H27*5</f>
        <v/>
      </c>
    </row>
    <row r="28">
      <c r="A28" s="22" t="inlineStr">
        <is>
          <t>1.3.2</t>
        </is>
      </c>
      <c r="B28" s="22" t="n"/>
      <c r="C28" s="23" t="inlineStr">
        <is>
          <t>Product B</t>
        </is>
      </c>
      <c r="D28" s="22" t="n">
        <v>0.003</v>
      </c>
      <c r="E28" s="22" t="n"/>
      <c r="F28" s="23" t="n"/>
      <c r="G28" s="24" t="inlineStr">
        <is>
          <t>'2. INPUT'!I9*52</t>
        </is>
      </c>
      <c r="H28" s="24">
        <f>D28*G28*'2. INPUT'!M9</f>
        <v/>
      </c>
      <c r="I28" s="22">
        <f>H28*5</f>
        <v/>
      </c>
    </row>
    <row r="29">
      <c r="A29" s="19" t="inlineStr">
        <is>
          <t>1.3.3</t>
        </is>
      </c>
      <c r="B29" s="19" t="n"/>
      <c r="C29" s="20" t="inlineStr">
        <is>
          <t>Product C</t>
        </is>
      </c>
      <c r="D29" s="19" t="n">
        <v>0</v>
      </c>
      <c r="E29" s="19" t="n"/>
      <c r="F29" s="20" t="n"/>
      <c r="G29" s="21" t="inlineStr">
        <is>
          <t>'2. INPUT'!I10*52</t>
        </is>
      </c>
      <c r="H29" s="21">
        <f>D29*G29*'2. INPUT'!M10</f>
        <v/>
      </c>
      <c r="I29" s="19">
        <f>H29*5</f>
        <v/>
      </c>
    </row>
    <row r="30">
      <c r="A30" s="22" t="inlineStr">
        <is>
          <t>1.3.4</t>
        </is>
      </c>
      <c r="B30" s="22" t="n"/>
      <c r="C30" s="23" t="inlineStr">
        <is>
          <t>Product D</t>
        </is>
      </c>
      <c r="D30" s="22" t="n">
        <v>0</v>
      </c>
      <c r="E30" s="22" t="n"/>
      <c r="F30" s="23" t="n"/>
      <c r="G30" s="24" t="inlineStr">
        <is>
          <t>'2. INPUT'!I11*52</t>
        </is>
      </c>
      <c r="H30" s="24">
        <f>D30*G30*'2. INPUT'!M11</f>
        <v/>
      </c>
      <c r="I30" s="22">
        <f>H30*5</f>
        <v/>
      </c>
    </row>
    <row r="31">
      <c r="A31" s="19" t="inlineStr">
        <is>
          <t>1.3.5</t>
        </is>
      </c>
      <c r="B31" s="19" t="n"/>
      <c r="C31" s="20" t="inlineStr">
        <is>
          <t>Product E</t>
        </is>
      </c>
      <c r="D31" s="19" t="n">
        <v>0</v>
      </c>
      <c r="E31" s="19" t="n"/>
      <c r="F31" s="20" t="n"/>
      <c r="G31" s="21" t="inlineStr">
        <is>
          <t>'2. INPUT'!I12*52</t>
        </is>
      </c>
      <c r="H31" s="21">
        <f>D31*G31*'2. INPUT'!M12</f>
        <v/>
      </c>
      <c r="I31" s="19">
        <f>H31*5</f>
        <v/>
      </c>
    </row>
    <row r="32">
      <c r="A32" s="22" t="inlineStr">
        <is>
          <t>1.3.6</t>
        </is>
      </c>
      <c r="B32" s="22" t="n"/>
      <c r="C32" s="23" t="inlineStr">
        <is>
          <t>Product F</t>
        </is>
      </c>
      <c r="D32" s="22" t="n">
        <v>0</v>
      </c>
      <c r="E32" s="22" t="n"/>
      <c r="F32" s="23" t="n"/>
      <c r="G32" s="24" t="inlineStr">
        <is>
          <t>'2. INPUT'!I13*52</t>
        </is>
      </c>
      <c r="H32" s="24">
        <f>D32*G32*'2. INPUT'!M13</f>
        <v/>
      </c>
      <c r="I32" s="22">
        <f>H32*5</f>
        <v/>
      </c>
    </row>
    <row r="33">
      <c r="A33" s="19" t="inlineStr">
        <is>
          <t>1.3.7</t>
        </is>
      </c>
      <c r="B33" s="19" t="n"/>
      <c r="C33" s="20" t="inlineStr">
        <is>
          <t>Product G</t>
        </is>
      </c>
      <c r="D33" s="19" t="n">
        <v>0</v>
      </c>
      <c r="E33" s="19" t="n"/>
      <c r="F33" s="20" t="n"/>
      <c r="G33" s="21" t="inlineStr">
        <is>
          <t>'2. INPUT'!I14*52</t>
        </is>
      </c>
      <c r="H33" s="21">
        <f>D33*G33*'2. INPUT'!M14</f>
        <v/>
      </c>
      <c r="I33" s="19">
        <f>H33*5</f>
        <v/>
      </c>
    </row>
    <row r="34">
      <c r="A34" s="22" t="inlineStr">
        <is>
          <t>1.3.8</t>
        </is>
      </c>
      <c r="B34" s="22" t="n"/>
      <c r="C34" s="23" t="inlineStr">
        <is>
          <t>Product H</t>
        </is>
      </c>
      <c r="D34" s="22" t="n">
        <v>0</v>
      </c>
      <c r="E34" s="22" t="n"/>
      <c r="F34" s="23" t="n"/>
      <c r="G34" s="24" t="inlineStr">
        <is>
          <t>'2. INPUT'!I15*52</t>
        </is>
      </c>
      <c r="H34" s="24">
        <f>D34*G34*'2. INPUT'!M15</f>
        <v/>
      </c>
      <c r="I34" s="22">
        <f>H34*5</f>
        <v/>
      </c>
    </row>
    <row r="35">
      <c r="A35" s="17" t="inlineStr">
        <is>
          <t>1.4</t>
        </is>
      </c>
      <c r="B35" s="18" t="inlineStr">
        <is>
          <t>Quality Loss - Rework</t>
        </is>
      </c>
      <c r="C35" s="17" t="inlineStr">
        <is>
          <t>All 8 Products</t>
        </is>
      </c>
      <c r="D35" s="17" t="inlineStr">
        <is>
          <t>Rework rate</t>
        </is>
      </c>
      <c r="E35" s="17" t="inlineStr">
        <is>
          <t>%</t>
        </is>
      </c>
      <c r="F35" s="18" t="inlineStr">
        <is>
          <t>CM/Unit</t>
        </is>
      </c>
      <c r="G35" s="17">
        <f>SUM(G36:G43)</f>
        <v/>
      </c>
      <c r="H35" s="17">
        <f>SUM(H36:H43)</f>
        <v/>
      </c>
      <c r="I35" s="17">
        <f>H35*5</f>
        <v/>
      </c>
    </row>
    <row r="36">
      <c r="A36" s="19" t="inlineStr">
        <is>
          <t>1.4.1</t>
        </is>
      </c>
      <c r="B36" s="19" t="n"/>
      <c r="C36" s="20" t="inlineStr">
        <is>
          <t>Product A</t>
        </is>
      </c>
      <c r="D36" s="19" t="n">
        <v>0.008077000000000001</v>
      </c>
      <c r="E36" s="19" t="n"/>
      <c r="F36" s="20" t="n"/>
      <c r="G36" s="21" t="inlineStr">
        <is>
          <t>'2. INPUT'!I8*52</t>
        </is>
      </c>
      <c r="H36" s="21">
        <f>D36*G36*'2. INPUT'!M8</f>
        <v/>
      </c>
      <c r="I36" s="19">
        <f>H36*5</f>
        <v/>
      </c>
    </row>
    <row r="37">
      <c r="A37" s="22" t="inlineStr">
        <is>
          <t>1.4.2</t>
        </is>
      </c>
      <c r="B37" s="22" t="n"/>
      <c r="C37" s="23" t="inlineStr">
        <is>
          <t>Product B</t>
        </is>
      </c>
      <c r="D37" s="22" t="n">
        <v>0.009599999999999999</v>
      </c>
      <c r="E37" s="22" t="n"/>
      <c r="F37" s="23" t="n"/>
      <c r="G37" s="24" t="inlineStr">
        <is>
          <t>'2. INPUT'!I9*52</t>
        </is>
      </c>
      <c r="H37" s="24">
        <f>D37*G37*'2. INPUT'!M9</f>
        <v/>
      </c>
      <c r="I37" s="22">
        <f>H37*5</f>
        <v/>
      </c>
    </row>
    <row r="38">
      <c r="A38" s="19" t="inlineStr">
        <is>
          <t>1.4.3</t>
        </is>
      </c>
      <c r="B38" s="19" t="n"/>
      <c r="C38" s="20" t="inlineStr">
        <is>
          <t>Product C</t>
        </is>
      </c>
      <c r="D38" s="19" t="n">
        <v>0.0075</v>
      </c>
      <c r="E38" s="19" t="n"/>
      <c r="F38" s="20" t="n"/>
      <c r="G38" s="21" t="inlineStr">
        <is>
          <t>'2. INPUT'!I10*52</t>
        </is>
      </c>
      <c r="H38" s="21">
        <f>D38*G38*'2. INPUT'!M10</f>
        <v/>
      </c>
      <c r="I38" s="19">
        <f>H38*5</f>
        <v/>
      </c>
    </row>
    <row r="39">
      <c r="A39" s="22" t="inlineStr">
        <is>
          <t>1.4.4</t>
        </is>
      </c>
      <c r="B39" s="22" t="n"/>
      <c r="C39" s="23" t="inlineStr">
        <is>
          <t>Product D</t>
        </is>
      </c>
      <c r="D39" s="22" t="n">
        <v>0.012143</v>
      </c>
      <c r="E39" s="22" t="n"/>
      <c r="F39" s="23" t="n"/>
      <c r="G39" s="24" t="inlineStr">
        <is>
          <t>'2. INPUT'!I11*52</t>
        </is>
      </c>
      <c r="H39" s="24">
        <f>D39*G39*'2. INPUT'!M11</f>
        <v/>
      </c>
      <c r="I39" s="22">
        <f>H39*5</f>
        <v/>
      </c>
    </row>
    <row r="40">
      <c r="A40" s="19" t="inlineStr">
        <is>
          <t>1.4.5</t>
        </is>
      </c>
      <c r="B40" s="19" t="n"/>
      <c r="C40" s="20" t="inlineStr">
        <is>
          <t>Product E</t>
        </is>
      </c>
      <c r="D40" s="19" t="n">
        <v>0.010435</v>
      </c>
      <c r="E40" s="19" t="n"/>
      <c r="F40" s="20" t="n"/>
      <c r="G40" s="21" t="inlineStr">
        <is>
          <t>'2. INPUT'!I12*52</t>
        </is>
      </c>
      <c r="H40" s="21">
        <f>D40*G40*'2. INPUT'!M12</f>
        <v/>
      </c>
      <c r="I40" s="19">
        <f>H40*5</f>
        <v/>
      </c>
    </row>
    <row r="41">
      <c r="A41" s="22" t="inlineStr">
        <is>
          <t>1.4.6</t>
        </is>
      </c>
      <c r="B41" s="22" t="n"/>
      <c r="C41" s="23" t="inlineStr">
        <is>
          <t>Product F</t>
        </is>
      </c>
      <c r="D41" s="22" t="n">
        <v>0.011429</v>
      </c>
      <c r="E41" s="22" t="n"/>
      <c r="F41" s="23" t="n"/>
      <c r="G41" s="24" t="inlineStr">
        <is>
          <t>'2. INPUT'!I13*52</t>
        </is>
      </c>
      <c r="H41" s="24">
        <f>D41*G41*'2. INPUT'!M13</f>
        <v/>
      </c>
      <c r="I41" s="22">
        <f>H41*5</f>
        <v/>
      </c>
    </row>
    <row r="42">
      <c r="A42" s="19" t="inlineStr">
        <is>
          <t>1.4.7</t>
        </is>
      </c>
      <c r="B42" s="19" t="n"/>
      <c r="C42" s="20" t="inlineStr">
        <is>
          <t>Product G</t>
        </is>
      </c>
      <c r="D42" s="19" t="n">
        <v>0.008824</v>
      </c>
      <c r="E42" s="19" t="n"/>
      <c r="F42" s="20" t="n"/>
      <c r="G42" s="21" t="inlineStr">
        <is>
          <t>'2. INPUT'!I14*52</t>
        </is>
      </c>
      <c r="H42" s="21">
        <f>D42*G42*'2. INPUT'!M14</f>
        <v/>
      </c>
      <c r="I42" s="19">
        <f>H42*5</f>
        <v/>
      </c>
    </row>
    <row r="43">
      <c r="A43" s="22" t="inlineStr">
        <is>
          <t>1.4.8</t>
        </is>
      </c>
      <c r="B43" s="22" t="n"/>
      <c r="C43" s="23" t="inlineStr">
        <is>
          <t>Product H</t>
        </is>
      </c>
      <c r="D43" s="22" t="n">
        <v>0</v>
      </c>
      <c r="E43" s="22" t="n"/>
      <c r="F43" s="23" t="n"/>
      <c r="G43" s="24" t="inlineStr">
        <is>
          <t>'2. INPUT'!I15*52</t>
        </is>
      </c>
      <c r="H43" s="24">
        <f>D43*G43*'2. INPUT'!M15</f>
        <v/>
      </c>
      <c r="I43" s="22">
        <f>H43*5</f>
        <v/>
      </c>
    </row>
    <row r="44">
      <c r="A44" s="17" t="inlineStr">
        <is>
          <t>1.5</t>
        </is>
      </c>
      <c r="B44" s="18" t="inlineStr">
        <is>
          <t>Speed Loss</t>
        </is>
      </c>
      <c r="C44" s="17" t="inlineStr">
        <is>
          <t>All 8 Products</t>
        </is>
      </c>
      <c r="D44" s="17" t="inlineStr">
        <is>
          <t>ACT - TCT gap</t>
        </is>
      </c>
      <c r="E44" s="17" t="inlineStr">
        <is>
          <t>sec/unit</t>
        </is>
      </c>
      <c r="F44" s="18" t="inlineStr">
        <is>
          <t>CM/Unit</t>
        </is>
      </c>
      <c r="G44" s="17">
        <f>SUM(G45:G52)</f>
        <v/>
      </c>
      <c r="H44" s="17">
        <f>SUM(H45:H52)</f>
        <v/>
      </c>
      <c r="I44" s="17">
        <f>H44*5</f>
        <v/>
      </c>
    </row>
    <row r="45">
      <c r="A45" s="19" t="inlineStr">
        <is>
          <t>1.5.1</t>
        </is>
      </c>
      <c r="B45" s="19" t="n"/>
      <c r="C45" s="20" t="inlineStr">
        <is>
          <t>Product A</t>
        </is>
      </c>
      <c r="D45" s="19" t="n">
        <v>0.5</v>
      </c>
      <c r="E45" s="19" t="n"/>
      <c r="F45" s="20" t="n"/>
      <c r="G45" s="21" t="inlineStr">
        <is>
          <t>'2. INPUT'!I8*52</t>
        </is>
      </c>
      <c r="H45" s="21">
        <f>D45*G45*'2. INPUT'!M8</f>
        <v/>
      </c>
      <c r="I45" s="19">
        <f>H45*5</f>
        <v/>
      </c>
    </row>
    <row r="46">
      <c r="A46" s="22" t="inlineStr">
        <is>
          <t>1.5.2</t>
        </is>
      </c>
      <c r="B46" s="22" t="n"/>
      <c r="C46" s="23" t="inlineStr">
        <is>
          <t>Product B</t>
        </is>
      </c>
      <c r="D46" s="22" t="n">
        <v>1.3</v>
      </c>
      <c r="E46" s="22" t="n"/>
      <c r="F46" s="23" t="n"/>
      <c r="G46" s="24" t="inlineStr">
        <is>
          <t>'2. INPUT'!I9*52</t>
        </is>
      </c>
      <c r="H46" s="24">
        <f>D46*G46*'2. INPUT'!M9</f>
        <v/>
      </c>
      <c r="I46" s="22">
        <f>H46*5</f>
        <v/>
      </c>
    </row>
    <row r="47">
      <c r="A47" s="19" t="inlineStr">
        <is>
          <t>1.5.3</t>
        </is>
      </c>
      <c r="B47" s="19" t="n"/>
      <c r="C47" s="20" t="inlineStr">
        <is>
          <t>Product C</t>
        </is>
      </c>
      <c r="D47" s="19" t="n">
        <v>1.1</v>
      </c>
      <c r="E47" s="19" t="n"/>
      <c r="F47" s="20" t="n"/>
      <c r="G47" s="21" t="inlineStr">
        <is>
          <t>'2. INPUT'!I10*52</t>
        </is>
      </c>
      <c r="H47" s="21">
        <f>D47*G47*'2. INPUT'!M10</f>
        <v/>
      </c>
      <c r="I47" s="19">
        <f>H47*5</f>
        <v/>
      </c>
    </row>
    <row r="48">
      <c r="A48" s="22" t="inlineStr">
        <is>
          <t>1.5.4</t>
        </is>
      </c>
      <c r="B48" s="22" t="n"/>
      <c r="C48" s="23" t="inlineStr">
        <is>
          <t>Product D</t>
        </is>
      </c>
      <c r="D48" s="22" t="n">
        <v>2.5</v>
      </c>
      <c r="E48" s="22" t="n"/>
      <c r="F48" s="23" t="n"/>
      <c r="G48" s="24" t="inlineStr">
        <is>
          <t>'2. INPUT'!I11*52</t>
        </is>
      </c>
      <c r="H48" s="24">
        <f>D48*G48*'2. INPUT'!M11</f>
        <v/>
      </c>
      <c r="I48" s="22">
        <f>H48*5</f>
        <v/>
      </c>
    </row>
    <row r="49">
      <c r="A49" s="19" t="inlineStr">
        <is>
          <t>1.5.5</t>
        </is>
      </c>
      <c r="B49" s="19" t="n"/>
      <c r="C49" s="20" t="inlineStr">
        <is>
          <t>Product E</t>
        </is>
      </c>
      <c r="D49" s="19" t="n">
        <v>2.3</v>
      </c>
      <c r="E49" s="19" t="n"/>
      <c r="F49" s="20" t="n"/>
      <c r="G49" s="21" t="inlineStr">
        <is>
          <t>'2. INPUT'!I12*52</t>
        </is>
      </c>
      <c r="H49" s="21">
        <f>D49*G49*'2. INPUT'!M12</f>
        <v/>
      </c>
      <c r="I49" s="19">
        <f>H49*5</f>
        <v/>
      </c>
    </row>
    <row r="50">
      <c r="A50" s="22" t="inlineStr">
        <is>
          <t>1.5.6</t>
        </is>
      </c>
      <c r="B50" s="22" t="n"/>
      <c r="C50" s="23" t="inlineStr">
        <is>
          <t>Product F</t>
        </is>
      </c>
      <c r="D50" s="22" t="n">
        <v>2</v>
      </c>
      <c r="E50" s="22" t="n"/>
      <c r="F50" s="23" t="n"/>
      <c r="G50" s="24" t="inlineStr">
        <is>
          <t>'2. INPUT'!I13*52</t>
        </is>
      </c>
      <c r="H50" s="24">
        <f>D50*G50*'2. INPUT'!M13</f>
        <v/>
      </c>
      <c r="I50" s="22">
        <f>H50*5</f>
        <v/>
      </c>
    </row>
    <row r="51">
      <c r="A51" s="19" t="inlineStr">
        <is>
          <t>1.5.7</t>
        </is>
      </c>
      <c r="B51" s="19" t="n"/>
      <c r="C51" s="20" t="inlineStr">
        <is>
          <t>Product G</t>
        </is>
      </c>
      <c r="D51" s="19" t="n">
        <v>0.5</v>
      </c>
      <c r="E51" s="19" t="n"/>
      <c r="F51" s="20" t="n"/>
      <c r="G51" s="21" t="inlineStr">
        <is>
          <t>'2. INPUT'!I14*52</t>
        </is>
      </c>
      <c r="H51" s="21">
        <f>D51*G51*'2. INPUT'!M14</f>
        <v/>
      </c>
      <c r="I51" s="19">
        <f>H51*5</f>
        <v/>
      </c>
    </row>
    <row r="52">
      <c r="A52" s="22" t="inlineStr">
        <is>
          <t>1.5.8</t>
        </is>
      </c>
      <c r="B52" s="22" t="n"/>
      <c r="C52" s="23" t="inlineStr">
        <is>
          <t>Product H</t>
        </is>
      </c>
      <c r="D52" s="22" t="n">
        <v>0.7</v>
      </c>
      <c r="E52" s="22" t="n"/>
      <c r="F52" s="23" t="n"/>
      <c r="G52" s="24" t="inlineStr">
        <is>
          <t>'2. INPUT'!I15*52</t>
        </is>
      </c>
      <c r="H52" s="24">
        <f>D52*G52*'2. INPUT'!M15</f>
        <v/>
      </c>
      <c r="I52" s="22">
        <f>H52*5</f>
        <v/>
      </c>
    </row>
    <row r="53">
      <c r="A53" s="17" t="inlineStr">
        <is>
          <t>1.6</t>
        </is>
      </c>
      <c r="B53" s="18" t="inlineStr">
        <is>
          <t>Labor Loss</t>
        </is>
      </c>
      <c r="C53" s="17" t="inlineStr">
        <is>
          <t>All 8 Products</t>
        </is>
      </c>
      <c r="D53" s="17" t="inlineStr">
        <is>
          <t>Excess manpower</t>
        </is>
      </c>
      <c r="E53" s="17" t="inlineStr">
        <is>
          <t>hrs/day</t>
        </is>
      </c>
      <c r="F53" s="18" t="inlineStr">
        <is>
          <t>Labor Rate</t>
        </is>
      </c>
      <c r="G53" s="17">
        <f>SUM(G54:G61)</f>
        <v/>
      </c>
      <c r="H53" s="17">
        <f>SUM(H54:H61)</f>
        <v/>
      </c>
      <c r="I53" s="17">
        <f>H53*5</f>
        <v/>
      </c>
    </row>
    <row r="54">
      <c r="A54" s="19" t="inlineStr">
        <is>
          <t>1.6.1</t>
        </is>
      </c>
      <c r="B54" s="19" t="n"/>
      <c r="C54" s="20" t="inlineStr">
        <is>
          <t>Product A</t>
        </is>
      </c>
      <c r="D54" s="19" t="n">
        <v>2</v>
      </c>
      <c r="E54" s="19" t="n"/>
      <c r="F54" s="20" t="n"/>
      <c r="G54" s="21" t="inlineStr">
        <is>
          <t>'2. INPUT'!I8*52</t>
        </is>
      </c>
      <c r="H54" s="21">
        <f>D54*30*8*250*'2. INPUT'!M8</f>
        <v/>
      </c>
      <c r="I54" s="19">
        <f>H54*5</f>
        <v/>
      </c>
    </row>
    <row r="55">
      <c r="A55" s="22" t="inlineStr">
        <is>
          <t>1.6.2</t>
        </is>
      </c>
      <c r="B55" s="22" t="n"/>
      <c r="C55" s="23" t="inlineStr">
        <is>
          <t>Product B</t>
        </is>
      </c>
      <c r="D55" s="22" t="n">
        <v>2</v>
      </c>
      <c r="E55" s="22" t="n"/>
      <c r="F55" s="23" t="n"/>
      <c r="G55" s="24" t="inlineStr">
        <is>
          <t>'2. INPUT'!I9*52</t>
        </is>
      </c>
      <c r="H55" s="24">
        <f>D55*30*8*250*'2. INPUT'!M9</f>
        <v/>
      </c>
      <c r="I55" s="22">
        <f>H55*5</f>
        <v/>
      </c>
    </row>
    <row r="56">
      <c r="A56" s="19" t="inlineStr">
        <is>
          <t>1.6.3</t>
        </is>
      </c>
      <c r="B56" s="19" t="n"/>
      <c r="C56" s="20" t="inlineStr">
        <is>
          <t>Product C</t>
        </is>
      </c>
      <c r="D56" s="19" t="n">
        <v>2</v>
      </c>
      <c r="E56" s="19" t="n"/>
      <c r="F56" s="20" t="n"/>
      <c r="G56" s="21" t="inlineStr">
        <is>
          <t>'2. INPUT'!I10*52</t>
        </is>
      </c>
      <c r="H56" s="21">
        <f>D56*30*8*250*'2. INPUT'!M10</f>
        <v/>
      </c>
      <c r="I56" s="19">
        <f>H56*5</f>
        <v/>
      </c>
    </row>
    <row r="57">
      <c r="A57" s="22" t="inlineStr">
        <is>
          <t>1.6.4</t>
        </is>
      </c>
      <c r="B57" s="22" t="n"/>
      <c r="C57" s="23" t="inlineStr">
        <is>
          <t>Product D</t>
        </is>
      </c>
      <c r="D57" s="22" t="n">
        <v>2</v>
      </c>
      <c r="E57" s="22" t="n"/>
      <c r="F57" s="23" t="n"/>
      <c r="G57" s="24" t="inlineStr">
        <is>
          <t>'2. INPUT'!I11*52</t>
        </is>
      </c>
      <c r="H57" s="24">
        <f>D57*30*8*250*'2. INPUT'!M11</f>
        <v/>
      </c>
      <c r="I57" s="22">
        <f>H57*5</f>
        <v/>
      </c>
    </row>
    <row r="58">
      <c r="A58" s="19" t="inlineStr">
        <is>
          <t>1.6.5</t>
        </is>
      </c>
      <c r="B58" s="19" t="n"/>
      <c r="C58" s="20" t="inlineStr">
        <is>
          <t>Product E</t>
        </is>
      </c>
      <c r="D58" s="19" t="n">
        <v>2</v>
      </c>
      <c r="E58" s="19" t="n"/>
      <c r="F58" s="20" t="n"/>
      <c r="G58" s="21" t="inlineStr">
        <is>
          <t>'2. INPUT'!I12*52</t>
        </is>
      </c>
      <c r="H58" s="21">
        <f>D58*30*8*250*'2. INPUT'!M12</f>
        <v/>
      </c>
      <c r="I58" s="19">
        <f>H58*5</f>
        <v/>
      </c>
    </row>
    <row r="59">
      <c r="A59" s="22" t="inlineStr">
        <is>
          <t>1.6.6</t>
        </is>
      </c>
      <c r="B59" s="22" t="n"/>
      <c r="C59" s="23" t="inlineStr">
        <is>
          <t>Product F</t>
        </is>
      </c>
      <c r="D59" s="22" t="n">
        <v>2</v>
      </c>
      <c r="E59" s="22" t="n"/>
      <c r="F59" s="23" t="n"/>
      <c r="G59" s="24" t="inlineStr">
        <is>
          <t>'2. INPUT'!I13*52</t>
        </is>
      </c>
      <c r="H59" s="24">
        <f>D59*30*8*250*'2. INPUT'!M13</f>
        <v/>
      </c>
      <c r="I59" s="22">
        <f>H59*5</f>
        <v/>
      </c>
    </row>
    <row r="60">
      <c r="A60" s="19" t="inlineStr">
        <is>
          <t>1.6.7</t>
        </is>
      </c>
      <c r="B60" s="19" t="n"/>
      <c r="C60" s="20" t="inlineStr">
        <is>
          <t>Product G</t>
        </is>
      </c>
      <c r="D60" s="19" t="n">
        <v>2</v>
      </c>
      <c r="E60" s="19" t="n"/>
      <c r="F60" s="20" t="n"/>
      <c r="G60" s="21" t="inlineStr">
        <is>
          <t>'2. INPUT'!I14*52</t>
        </is>
      </c>
      <c r="H60" s="21">
        <f>D60*30*8*250*'2. INPUT'!M14</f>
        <v/>
      </c>
      <c r="I60" s="19">
        <f>H60*5</f>
        <v/>
      </c>
    </row>
    <row r="61">
      <c r="A61" s="22" t="inlineStr">
        <is>
          <t>1.6.8</t>
        </is>
      </c>
      <c r="B61" s="22" t="n"/>
      <c r="C61" s="23" t="inlineStr">
        <is>
          <t>Product H</t>
        </is>
      </c>
      <c r="D61" s="22" t="n">
        <v>2</v>
      </c>
      <c r="E61" s="22" t="n"/>
      <c r="F61" s="23" t="n"/>
      <c r="G61" s="24" t="inlineStr">
        <is>
          <t>'2. INPUT'!I15*52</t>
        </is>
      </c>
      <c r="H61" s="24">
        <f>D61*30*8*250*'2. INPUT'!M15</f>
        <v/>
      </c>
      <c r="I61" s="22">
        <f>H61*5</f>
        <v/>
      </c>
    </row>
    <row r="62">
      <c r="A62" s="17" t="inlineStr">
        <is>
          <t>1.7</t>
        </is>
      </c>
      <c r="B62" s="18" t="inlineStr">
        <is>
          <t>Utility Waste</t>
        </is>
      </c>
      <c r="C62" s="17" t="inlineStr">
        <is>
          <t>All 8 Products</t>
        </is>
      </c>
      <c r="D62" s="17" t="inlineStr">
        <is>
          <t>Excess consumption</t>
        </is>
      </c>
      <c r="E62" s="17" t="inlineStr">
        <is>
          <t>RM</t>
        </is>
      </c>
      <c r="F62" s="18" t="inlineStr">
        <is>
          <t>Direct</t>
        </is>
      </c>
      <c r="G62" s="17">
        <f>SUM(G63:G70)</f>
        <v/>
      </c>
      <c r="H62" s="17">
        <f>SUM(H63:H70)</f>
        <v/>
      </c>
      <c r="I62" s="17">
        <f>H62*5</f>
        <v/>
      </c>
    </row>
    <row r="63">
      <c r="A63" s="19" t="inlineStr">
        <is>
          <t>1.7.1</t>
        </is>
      </c>
      <c r="B63" s="19" t="n"/>
      <c r="C63" s="20" t="inlineStr">
        <is>
          <t>Product A</t>
        </is>
      </c>
      <c r="D63" s="19" t="n">
        <v>0</v>
      </c>
      <c r="E63" s="19" t="n"/>
      <c r="F63" s="20" t="n"/>
      <c r="G63" s="21" t="inlineStr">
        <is>
          <t>'2. INPUT'!I8*52</t>
        </is>
      </c>
      <c r="H63" s="21" t="n">
        <v>0</v>
      </c>
      <c r="I63" s="19">
        <f>H63*5</f>
        <v/>
      </c>
    </row>
    <row r="64">
      <c r="A64" s="22" t="inlineStr">
        <is>
          <t>1.7.2</t>
        </is>
      </c>
      <c r="B64" s="22" t="n"/>
      <c r="C64" s="23" t="inlineStr">
        <is>
          <t>Product B</t>
        </is>
      </c>
      <c r="D64" s="22" t="n">
        <v>0</v>
      </c>
      <c r="E64" s="22" t="n"/>
      <c r="F64" s="23" t="n"/>
      <c r="G64" s="24" t="inlineStr">
        <is>
          <t>'2. INPUT'!I9*52</t>
        </is>
      </c>
      <c r="H64" s="24" t="n">
        <v>0</v>
      </c>
      <c r="I64" s="22">
        <f>H64*5</f>
        <v/>
      </c>
    </row>
    <row r="65">
      <c r="A65" s="19" t="inlineStr">
        <is>
          <t>1.7.3</t>
        </is>
      </c>
      <c r="B65" s="19" t="n"/>
      <c r="C65" s="20" t="inlineStr">
        <is>
          <t>Product C</t>
        </is>
      </c>
      <c r="D65" s="19" t="n">
        <v>0</v>
      </c>
      <c r="E65" s="19" t="n"/>
      <c r="F65" s="20" t="n"/>
      <c r="G65" s="21" t="inlineStr">
        <is>
          <t>'2. INPUT'!I10*52</t>
        </is>
      </c>
      <c r="H65" s="21" t="n">
        <v>0</v>
      </c>
      <c r="I65" s="19">
        <f>H65*5</f>
        <v/>
      </c>
    </row>
    <row r="66">
      <c r="A66" s="22" t="inlineStr">
        <is>
          <t>1.7.4</t>
        </is>
      </c>
      <c r="B66" s="22" t="n"/>
      <c r="C66" s="23" t="inlineStr">
        <is>
          <t>Product D</t>
        </is>
      </c>
      <c r="D66" s="22" t="n">
        <v>0</v>
      </c>
      <c r="E66" s="22" t="n"/>
      <c r="F66" s="23" t="n"/>
      <c r="G66" s="24" t="inlineStr">
        <is>
          <t>'2. INPUT'!I11*52</t>
        </is>
      </c>
      <c r="H66" s="24" t="n">
        <v>0</v>
      </c>
      <c r="I66" s="22">
        <f>H66*5</f>
        <v/>
      </c>
    </row>
    <row r="67">
      <c r="A67" s="19" t="inlineStr">
        <is>
          <t>1.7.5</t>
        </is>
      </c>
      <c r="B67" s="19" t="n"/>
      <c r="C67" s="20" t="inlineStr">
        <is>
          <t>Product E</t>
        </is>
      </c>
      <c r="D67" s="19" t="n">
        <v>0</v>
      </c>
      <c r="E67" s="19" t="n"/>
      <c r="F67" s="20" t="n"/>
      <c r="G67" s="21" t="inlineStr">
        <is>
          <t>'2. INPUT'!I12*52</t>
        </is>
      </c>
      <c r="H67" s="21" t="n">
        <v>0</v>
      </c>
      <c r="I67" s="19">
        <f>H67*5</f>
        <v/>
      </c>
    </row>
    <row r="68">
      <c r="A68" s="22" t="inlineStr">
        <is>
          <t>1.7.6</t>
        </is>
      </c>
      <c r="B68" s="22" t="n"/>
      <c r="C68" s="23" t="inlineStr">
        <is>
          <t>Product F</t>
        </is>
      </c>
      <c r="D68" s="22" t="n">
        <v>0</v>
      </c>
      <c r="E68" s="22" t="n"/>
      <c r="F68" s="23" t="n"/>
      <c r="G68" s="24" t="inlineStr">
        <is>
          <t>'2. INPUT'!I13*52</t>
        </is>
      </c>
      <c r="H68" s="24" t="n">
        <v>0</v>
      </c>
      <c r="I68" s="22">
        <f>H68*5</f>
        <v/>
      </c>
    </row>
    <row r="69">
      <c r="A69" s="19" t="inlineStr">
        <is>
          <t>1.7.7</t>
        </is>
      </c>
      <c r="B69" s="19" t="n"/>
      <c r="C69" s="20" t="inlineStr">
        <is>
          <t>Product G</t>
        </is>
      </c>
      <c r="D69" s="19" t="n">
        <v>0</v>
      </c>
      <c r="E69" s="19" t="n"/>
      <c r="F69" s="20" t="n"/>
      <c r="G69" s="21" t="inlineStr">
        <is>
          <t>'2. INPUT'!I14*52</t>
        </is>
      </c>
      <c r="H69" s="21" t="n">
        <v>0</v>
      </c>
      <c r="I69" s="19">
        <f>H69*5</f>
        <v/>
      </c>
    </row>
    <row r="70">
      <c r="A70" s="22" t="inlineStr">
        <is>
          <t>1.7.8</t>
        </is>
      </c>
      <c r="B70" s="22" t="n"/>
      <c r="C70" s="23" t="inlineStr">
        <is>
          <t>Product H</t>
        </is>
      </c>
      <c r="D70" s="22" t="n">
        <v>0</v>
      </c>
      <c r="E70" s="22" t="n"/>
      <c r="F70" s="23" t="n"/>
      <c r="G70" s="24" t="inlineStr">
        <is>
          <t>'2. INPUT'!I15*52</t>
        </is>
      </c>
      <c r="H70" s="24" t="n">
        <v>0</v>
      </c>
      <c r="I70" s="22">
        <f>H70*5</f>
        <v/>
      </c>
    </row>
    <row r="71">
      <c r="A71" s="17" t="inlineStr">
        <is>
          <t>1.8</t>
        </is>
      </c>
      <c r="B71" s="18" t="inlineStr">
        <is>
          <t>Quality Escapees</t>
        </is>
      </c>
      <c r="C71" s="17" t="inlineStr">
        <is>
          <t>All 8 Products</t>
        </is>
      </c>
      <c r="D71" s="17" t="inlineStr">
        <is>
          <t>Customer returns</t>
        </is>
      </c>
      <c r="E71" s="17" t="inlineStr">
        <is>
          <t>units</t>
        </is>
      </c>
      <c r="F71" s="18" t="inlineStr">
        <is>
          <t>CM/Unit</t>
        </is>
      </c>
      <c r="G71" s="17">
        <f>SUM(G72:G79)</f>
        <v/>
      </c>
      <c r="H71" s="17">
        <f>SUM(H72:H79)</f>
        <v/>
      </c>
      <c r="I71" s="17">
        <f>H71*5</f>
        <v/>
      </c>
    </row>
    <row r="72">
      <c r="A72" s="19" t="inlineStr">
        <is>
          <t>1.8.1</t>
        </is>
      </c>
      <c r="B72" s="19" t="n"/>
      <c r="C72" s="20" t="inlineStr">
        <is>
          <t>Product A</t>
        </is>
      </c>
      <c r="D72" s="19" t="n">
        <v>1</v>
      </c>
      <c r="E72" s="19" t="n"/>
      <c r="F72" s="20" t="n"/>
      <c r="G72" s="21" t="inlineStr">
        <is>
          <t>'2. INPUT'!I8*52</t>
        </is>
      </c>
      <c r="H72" s="21">
        <f>D72*G72*'2. INPUT'!M8</f>
        <v/>
      </c>
      <c r="I72" s="19">
        <f>H72*5</f>
        <v/>
      </c>
    </row>
    <row r="73">
      <c r="A73" s="22" t="inlineStr">
        <is>
          <t>1.8.2</t>
        </is>
      </c>
      <c r="B73" s="22" t="n"/>
      <c r="C73" s="23" t="inlineStr">
        <is>
          <t>Product B</t>
        </is>
      </c>
      <c r="D73" s="22" t="n">
        <v>2</v>
      </c>
      <c r="E73" s="22" t="n"/>
      <c r="F73" s="23" t="n"/>
      <c r="G73" s="24" t="inlineStr">
        <is>
          <t>'2. INPUT'!I9*52</t>
        </is>
      </c>
      <c r="H73" s="24">
        <f>D73*G73*'2. INPUT'!M9</f>
        <v/>
      </c>
      <c r="I73" s="22">
        <f>H73*5</f>
        <v/>
      </c>
    </row>
    <row r="74">
      <c r="A74" s="19" t="inlineStr">
        <is>
          <t>1.8.3</t>
        </is>
      </c>
      <c r="B74" s="19" t="n"/>
      <c r="C74" s="20" t="inlineStr">
        <is>
          <t>Product C</t>
        </is>
      </c>
      <c r="D74" s="19" t="n">
        <v>2</v>
      </c>
      <c r="E74" s="19" t="n"/>
      <c r="F74" s="20" t="n"/>
      <c r="G74" s="21" t="inlineStr">
        <is>
          <t>'2. INPUT'!I10*52</t>
        </is>
      </c>
      <c r="H74" s="21">
        <f>D74*G74*'2. INPUT'!M10</f>
        <v/>
      </c>
      <c r="I74" s="19">
        <f>H74*5</f>
        <v/>
      </c>
    </row>
    <row r="75">
      <c r="A75" s="22" t="inlineStr">
        <is>
          <t>1.8.4</t>
        </is>
      </c>
      <c r="B75" s="22" t="n"/>
      <c r="C75" s="23" t="inlineStr">
        <is>
          <t>Product D</t>
        </is>
      </c>
      <c r="D75" s="22" t="n">
        <v>1</v>
      </c>
      <c r="E75" s="22" t="n"/>
      <c r="F75" s="23" t="n"/>
      <c r="G75" s="24" t="inlineStr">
        <is>
          <t>'2. INPUT'!I11*52</t>
        </is>
      </c>
      <c r="H75" s="24">
        <f>D75*G75*'2. INPUT'!M11</f>
        <v/>
      </c>
      <c r="I75" s="22">
        <f>H75*5</f>
        <v/>
      </c>
    </row>
    <row r="76">
      <c r="A76" s="19" t="inlineStr">
        <is>
          <t>1.8.5</t>
        </is>
      </c>
      <c r="B76" s="19" t="n"/>
      <c r="C76" s="20" t="inlineStr">
        <is>
          <t>Product E</t>
        </is>
      </c>
      <c r="D76" s="19" t="n">
        <v>2</v>
      </c>
      <c r="E76" s="19" t="n"/>
      <c r="F76" s="20" t="n"/>
      <c r="G76" s="21" t="inlineStr">
        <is>
          <t>'2. INPUT'!I12*52</t>
        </is>
      </c>
      <c r="H76" s="21">
        <f>D76*G76*'2. INPUT'!M12</f>
        <v/>
      </c>
      <c r="I76" s="19">
        <f>H76*5</f>
        <v/>
      </c>
    </row>
    <row r="77">
      <c r="A77" s="22" t="inlineStr">
        <is>
          <t>1.8.6</t>
        </is>
      </c>
      <c r="B77" s="22" t="n"/>
      <c r="C77" s="23" t="inlineStr">
        <is>
          <t>Product F</t>
        </is>
      </c>
      <c r="D77" s="22" t="n">
        <v>0</v>
      </c>
      <c r="E77" s="22" t="n"/>
      <c r="F77" s="23" t="n"/>
      <c r="G77" s="24" t="inlineStr">
        <is>
          <t>'2. INPUT'!I13*52</t>
        </is>
      </c>
      <c r="H77" s="24">
        <f>D77*G77*'2. INPUT'!M13</f>
        <v/>
      </c>
      <c r="I77" s="22">
        <f>H77*5</f>
        <v/>
      </c>
    </row>
    <row r="78">
      <c r="A78" s="19" t="inlineStr">
        <is>
          <t>1.8.7</t>
        </is>
      </c>
      <c r="B78" s="19" t="n"/>
      <c r="C78" s="20" t="inlineStr">
        <is>
          <t>Product G</t>
        </is>
      </c>
      <c r="D78" s="19" t="n">
        <v>0</v>
      </c>
      <c r="E78" s="19" t="n"/>
      <c r="F78" s="20" t="n"/>
      <c r="G78" s="21" t="inlineStr">
        <is>
          <t>'2. INPUT'!I14*52</t>
        </is>
      </c>
      <c r="H78" s="21">
        <f>D78*G78*'2. INPUT'!M14</f>
        <v/>
      </c>
      <c r="I78" s="19">
        <f>H78*5</f>
        <v/>
      </c>
    </row>
    <row r="79">
      <c r="A79" s="22" t="inlineStr">
        <is>
          <t>1.8.8</t>
        </is>
      </c>
      <c r="B79" s="22" t="n"/>
      <c r="C79" s="23" t="inlineStr">
        <is>
          <t>Product H</t>
        </is>
      </c>
      <c r="D79" s="22" t="n">
        <v>0</v>
      </c>
      <c r="E79" s="22" t="n"/>
      <c r="F79" s="23" t="n"/>
      <c r="G79" s="24" t="inlineStr">
        <is>
          <t>'2. INPUT'!I15*52</t>
        </is>
      </c>
      <c r="H79" s="24">
        <f>D79*G79*'2. INPUT'!M15</f>
        <v/>
      </c>
      <c r="I79" s="22">
        <f>H79*5</f>
        <v/>
      </c>
    </row>
    <row r="80">
      <c r="A80" s="17" t="inlineStr">
        <is>
          <t>1.9</t>
        </is>
      </c>
      <c r="B80" s="18" t="inlineStr">
        <is>
          <t>Material Waste</t>
        </is>
      </c>
      <c r="C80" s="17" t="inlineStr">
        <is>
          <t>All 8 Products</t>
        </is>
      </c>
      <c r="D80" s="17" t="inlineStr">
        <is>
          <t>Over-consumption</t>
        </is>
      </c>
      <c r="E80" s="17" t="inlineStr">
        <is>
          <t>RM</t>
        </is>
      </c>
      <c r="F80" s="18" t="inlineStr">
        <is>
          <t>Direct</t>
        </is>
      </c>
      <c r="G80" s="17">
        <f>SUM(G81:G88)</f>
        <v/>
      </c>
      <c r="H80" s="17">
        <f>SUM(H81:H88)</f>
        <v/>
      </c>
      <c r="I80" s="17">
        <f>H80*5</f>
        <v/>
      </c>
    </row>
    <row r="81">
      <c r="A81" s="19" t="inlineStr">
        <is>
          <t>1.9.1</t>
        </is>
      </c>
      <c r="B81" s="19" t="n"/>
      <c r="C81" s="20" t="inlineStr">
        <is>
          <t>Product A</t>
        </is>
      </c>
      <c r="D81" s="19" t="n">
        <v>0</v>
      </c>
      <c r="E81" s="19" t="n"/>
      <c r="F81" s="20" t="n"/>
      <c r="G81" s="21" t="inlineStr">
        <is>
          <t>'2. INPUT'!I8*52</t>
        </is>
      </c>
      <c r="H81" s="21" t="n">
        <v>0</v>
      </c>
      <c r="I81" s="19">
        <f>H81*5</f>
        <v/>
      </c>
    </row>
    <row r="82">
      <c r="A82" s="22" t="inlineStr">
        <is>
          <t>1.9.2</t>
        </is>
      </c>
      <c r="B82" s="22" t="n"/>
      <c r="C82" s="23" t="inlineStr">
        <is>
          <t>Product B</t>
        </is>
      </c>
      <c r="D82" s="22" t="n">
        <v>0</v>
      </c>
      <c r="E82" s="22" t="n"/>
      <c r="F82" s="23" t="n"/>
      <c r="G82" s="24" t="inlineStr">
        <is>
          <t>'2. INPUT'!I9*52</t>
        </is>
      </c>
      <c r="H82" s="24" t="n">
        <v>0</v>
      </c>
      <c r="I82" s="22">
        <f>H82*5</f>
        <v/>
      </c>
    </row>
    <row r="83">
      <c r="A83" s="19" t="inlineStr">
        <is>
          <t>1.9.3</t>
        </is>
      </c>
      <c r="B83" s="19" t="n"/>
      <c r="C83" s="20" t="inlineStr">
        <is>
          <t>Product C</t>
        </is>
      </c>
      <c r="D83" s="19" t="n">
        <v>0</v>
      </c>
      <c r="E83" s="19" t="n"/>
      <c r="F83" s="20" t="n"/>
      <c r="G83" s="21" t="inlineStr">
        <is>
          <t>'2. INPUT'!I10*52</t>
        </is>
      </c>
      <c r="H83" s="21" t="n">
        <v>0</v>
      </c>
      <c r="I83" s="19">
        <f>H83*5</f>
        <v/>
      </c>
    </row>
    <row r="84">
      <c r="A84" s="22" t="inlineStr">
        <is>
          <t>1.9.4</t>
        </is>
      </c>
      <c r="B84" s="22" t="n"/>
      <c r="C84" s="23" t="inlineStr">
        <is>
          <t>Product D</t>
        </is>
      </c>
      <c r="D84" s="22" t="n">
        <v>0</v>
      </c>
      <c r="E84" s="22" t="n"/>
      <c r="F84" s="23" t="n"/>
      <c r="G84" s="24" t="inlineStr">
        <is>
          <t>'2. INPUT'!I11*52</t>
        </is>
      </c>
      <c r="H84" s="24" t="n">
        <v>0</v>
      </c>
      <c r="I84" s="22">
        <f>H84*5</f>
        <v/>
      </c>
    </row>
    <row r="85">
      <c r="A85" s="19" t="inlineStr">
        <is>
          <t>1.9.5</t>
        </is>
      </c>
      <c r="B85" s="19" t="n"/>
      <c r="C85" s="20" t="inlineStr">
        <is>
          <t>Product E</t>
        </is>
      </c>
      <c r="D85" s="19" t="n">
        <v>0</v>
      </c>
      <c r="E85" s="19" t="n"/>
      <c r="F85" s="20" t="n"/>
      <c r="G85" s="21" t="inlineStr">
        <is>
          <t>'2. INPUT'!I12*52</t>
        </is>
      </c>
      <c r="H85" s="21" t="n">
        <v>0</v>
      </c>
      <c r="I85" s="19">
        <f>H85*5</f>
        <v/>
      </c>
    </row>
    <row r="86">
      <c r="A86" s="22" t="inlineStr">
        <is>
          <t>1.9.6</t>
        </is>
      </c>
      <c r="B86" s="22" t="n"/>
      <c r="C86" s="23" t="inlineStr">
        <is>
          <t>Product F</t>
        </is>
      </c>
      <c r="D86" s="22" t="n">
        <v>0</v>
      </c>
      <c r="E86" s="22" t="n"/>
      <c r="F86" s="23" t="n"/>
      <c r="G86" s="24" t="inlineStr">
        <is>
          <t>'2. INPUT'!I13*52</t>
        </is>
      </c>
      <c r="H86" s="24" t="n">
        <v>0</v>
      </c>
      <c r="I86" s="22">
        <f>H86*5</f>
        <v/>
      </c>
    </row>
    <row r="87">
      <c r="A87" s="19" t="inlineStr">
        <is>
          <t>1.9.7</t>
        </is>
      </c>
      <c r="B87" s="19" t="n"/>
      <c r="C87" s="20" t="inlineStr">
        <is>
          <t>Product G</t>
        </is>
      </c>
      <c r="D87" s="19" t="n">
        <v>0</v>
      </c>
      <c r="E87" s="19" t="n"/>
      <c r="F87" s="20" t="n"/>
      <c r="G87" s="21" t="inlineStr">
        <is>
          <t>'2. INPUT'!I14*52</t>
        </is>
      </c>
      <c r="H87" s="21" t="n">
        <v>0</v>
      </c>
      <c r="I87" s="19">
        <f>H87*5</f>
        <v/>
      </c>
    </row>
    <row r="88">
      <c r="A88" s="22" t="inlineStr">
        <is>
          <t>1.9.8</t>
        </is>
      </c>
      <c r="B88" s="22" t="n"/>
      <c r="C88" s="23" t="inlineStr">
        <is>
          <t>Product H</t>
        </is>
      </c>
      <c r="D88" s="22" t="n">
        <v>0</v>
      </c>
      <c r="E88" s="22" t="n"/>
      <c r="F88" s="23" t="n"/>
      <c r="G88" s="24" t="inlineStr">
        <is>
          <t>'2. INPUT'!I15*52</t>
        </is>
      </c>
      <c r="H88" s="24" t="n">
        <v>0</v>
      </c>
      <c r="I88" s="22">
        <f>H88*5</f>
        <v/>
      </c>
    </row>
    <row r="89">
      <c r="A89" s="17" t="inlineStr">
        <is>
          <t>1.10</t>
        </is>
      </c>
      <c r="B89" s="18" t="inlineStr">
        <is>
          <t>Tooling/Consumables</t>
        </is>
      </c>
      <c r="C89" s="17" t="inlineStr">
        <is>
          <t>All 8 Products</t>
        </is>
      </c>
      <c r="D89" s="17" t="inlineStr">
        <is>
          <t>Premature wear</t>
        </is>
      </c>
      <c r="E89" s="17" t="inlineStr">
        <is>
          <t>RM</t>
        </is>
      </c>
      <c r="F89" s="18" t="inlineStr">
        <is>
          <t>Direct</t>
        </is>
      </c>
      <c r="G89" s="17">
        <f>SUM(G90:G97)</f>
        <v/>
      </c>
      <c r="H89" s="17">
        <f>SUM(H90:H97)</f>
        <v/>
      </c>
      <c r="I89" s="17">
        <f>H89*5</f>
        <v/>
      </c>
    </row>
    <row r="90">
      <c r="A90" s="19" t="inlineStr">
        <is>
          <t>1.10.1</t>
        </is>
      </c>
      <c r="B90" s="19" t="n"/>
      <c r="C90" s="20" t="inlineStr">
        <is>
          <t>Product A</t>
        </is>
      </c>
      <c r="D90" s="19" t="n">
        <v>500</v>
      </c>
      <c r="E90" s="19" t="n"/>
      <c r="F90" s="20" t="n"/>
      <c r="G90" s="21" t="inlineStr">
        <is>
          <t>'2. INPUT'!I8*52</t>
        </is>
      </c>
      <c r="H90" s="21">
        <f>D90*G90*'2. INPUT'!M8/G90</f>
        <v/>
      </c>
      <c r="I90" s="19">
        <f>H90*5</f>
        <v/>
      </c>
    </row>
    <row r="91">
      <c r="A91" s="22" t="inlineStr">
        <is>
          <t>1.10.2</t>
        </is>
      </c>
      <c r="B91" s="22" t="n"/>
      <c r="C91" s="23" t="inlineStr">
        <is>
          <t>Product B</t>
        </is>
      </c>
      <c r="D91" s="22" t="n">
        <v>500</v>
      </c>
      <c r="E91" s="22" t="n"/>
      <c r="F91" s="23" t="n"/>
      <c r="G91" s="24" t="inlineStr">
        <is>
          <t>'2. INPUT'!I9*52</t>
        </is>
      </c>
      <c r="H91" s="24">
        <f>D91*G91*'2. INPUT'!M9/G91</f>
        <v/>
      </c>
      <c r="I91" s="22">
        <f>H91*5</f>
        <v/>
      </c>
    </row>
    <row r="92">
      <c r="A92" s="19" t="inlineStr">
        <is>
          <t>1.10.3</t>
        </is>
      </c>
      <c r="B92" s="19" t="n"/>
      <c r="C92" s="20" t="inlineStr">
        <is>
          <t>Product C</t>
        </is>
      </c>
      <c r="D92" s="19" t="n">
        <v>500</v>
      </c>
      <c r="E92" s="19" t="n"/>
      <c r="F92" s="20" t="n"/>
      <c r="G92" s="21" t="inlineStr">
        <is>
          <t>'2. INPUT'!I10*52</t>
        </is>
      </c>
      <c r="H92" s="21">
        <f>D92*G92*'2. INPUT'!M10/G92</f>
        <v/>
      </c>
      <c r="I92" s="19">
        <f>H92*5</f>
        <v/>
      </c>
    </row>
    <row r="93">
      <c r="A93" s="22" t="inlineStr">
        <is>
          <t>1.10.4</t>
        </is>
      </c>
      <c r="B93" s="22" t="n"/>
      <c r="C93" s="23" t="inlineStr">
        <is>
          <t>Product D</t>
        </is>
      </c>
      <c r="D93" s="22" t="n">
        <v>500</v>
      </c>
      <c r="E93" s="22" t="n"/>
      <c r="F93" s="23" t="n"/>
      <c r="G93" s="24" t="inlineStr">
        <is>
          <t>'2. INPUT'!I11*52</t>
        </is>
      </c>
      <c r="H93" s="24">
        <f>D93*G93*'2. INPUT'!M11/G93</f>
        <v/>
      </c>
      <c r="I93" s="22">
        <f>H93*5</f>
        <v/>
      </c>
    </row>
    <row r="94">
      <c r="A94" s="19" t="inlineStr">
        <is>
          <t>1.10.5</t>
        </is>
      </c>
      <c r="B94" s="19" t="n"/>
      <c r="C94" s="20" t="inlineStr">
        <is>
          <t>Product E</t>
        </is>
      </c>
      <c r="D94" s="19" t="n">
        <v>500</v>
      </c>
      <c r="E94" s="19" t="n"/>
      <c r="F94" s="20" t="n"/>
      <c r="G94" s="21" t="inlineStr">
        <is>
          <t>'2. INPUT'!I12*52</t>
        </is>
      </c>
      <c r="H94" s="21">
        <f>D94*G94*'2. INPUT'!M12/G94</f>
        <v/>
      </c>
      <c r="I94" s="19">
        <f>H94*5</f>
        <v/>
      </c>
    </row>
    <row r="95">
      <c r="A95" s="22" t="inlineStr">
        <is>
          <t>1.10.6</t>
        </is>
      </c>
      <c r="B95" s="22" t="n"/>
      <c r="C95" s="23" t="inlineStr">
        <is>
          <t>Product F</t>
        </is>
      </c>
      <c r="D95" s="22" t="n">
        <v>500</v>
      </c>
      <c r="E95" s="22" t="n"/>
      <c r="F95" s="23" t="n"/>
      <c r="G95" s="24" t="inlineStr">
        <is>
          <t>'2. INPUT'!I13*52</t>
        </is>
      </c>
      <c r="H95" s="24">
        <f>D95*G95*'2. INPUT'!M13/G95</f>
        <v/>
      </c>
      <c r="I95" s="22">
        <f>H95*5</f>
        <v/>
      </c>
    </row>
    <row r="96">
      <c r="A96" s="19" t="inlineStr">
        <is>
          <t>1.10.7</t>
        </is>
      </c>
      <c r="B96" s="19" t="n"/>
      <c r="C96" s="20" t="inlineStr">
        <is>
          <t>Product G</t>
        </is>
      </c>
      <c r="D96" s="19" t="n">
        <v>500</v>
      </c>
      <c r="E96" s="19" t="n"/>
      <c r="F96" s="20" t="n"/>
      <c r="G96" s="21" t="inlineStr">
        <is>
          <t>'2. INPUT'!I14*52</t>
        </is>
      </c>
      <c r="H96" s="21">
        <f>D96*G96*'2. INPUT'!M14/G96</f>
        <v/>
      </c>
      <c r="I96" s="19">
        <f>H96*5</f>
        <v/>
      </c>
    </row>
    <row r="97">
      <c r="A97" s="22" t="inlineStr">
        <is>
          <t>1.10.8</t>
        </is>
      </c>
      <c r="B97" s="22" t="n"/>
      <c r="C97" s="23" t="inlineStr">
        <is>
          <t>Product H</t>
        </is>
      </c>
      <c r="D97" s="22" t="n">
        <v>500</v>
      </c>
      <c r="E97" s="22" t="n"/>
      <c r="F97" s="23" t="n"/>
      <c r="G97" s="24" t="inlineStr">
        <is>
          <t>'2. INPUT'!I15*52</t>
        </is>
      </c>
      <c r="H97" s="24">
        <f>D97*G97*'2. INPUT'!M15/G97</f>
        <v/>
      </c>
      <c r="I97" s="22">
        <f>H97*5</f>
        <v/>
      </c>
    </row>
    <row r="98">
      <c r="A98" s="17" t="inlineStr">
        <is>
          <t>1.11</t>
        </is>
      </c>
      <c r="B98" s="18" t="inlineStr">
        <is>
          <t>Minor Stops</t>
        </is>
      </c>
      <c r="C98" s="17" t="inlineStr">
        <is>
          <t>All 8 Products</t>
        </is>
      </c>
      <c r="D98" s="17" t="inlineStr">
        <is>
          <t>Micro-stoppages</t>
        </is>
      </c>
      <c r="E98" s="17" t="inlineStr">
        <is>
          <t>min/day</t>
        </is>
      </c>
      <c r="F98" s="18" t="inlineStr">
        <is>
          <t>CM/Unit</t>
        </is>
      </c>
      <c r="G98" s="17">
        <f>SUM(G99:G106)</f>
        <v/>
      </c>
      <c r="H98" s="17">
        <f>SUM(H99:H106)</f>
        <v/>
      </c>
      <c r="I98" s="17">
        <f>H98*5</f>
        <v/>
      </c>
    </row>
    <row r="99">
      <c r="A99" s="19" t="inlineStr">
        <is>
          <t>1.11.1</t>
        </is>
      </c>
      <c r="B99" s="19" t="n"/>
      <c r="C99" s="20" t="inlineStr">
        <is>
          <t>Product A</t>
        </is>
      </c>
      <c r="D99" s="19" t="n">
        <v>15</v>
      </c>
      <c r="E99" s="19" t="n"/>
      <c r="F99" s="20" t="n"/>
      <c r="G99" s="21" t="inlineStr">
        <is>
          <t>'2. INPUT'!I8*52</t>
        </is>
      </c>
      <c r="H99" s="21">
        <f>D99*G99*'2. INPUT'!M8/3600/250</f>
        <v/>
      </c>
      <c r="I99" s="19">
        <f>H99*5</f>
        <v/>
      </c>
    </row>
    <row r="100">
      <c r="A100" s="22" t="inlineStr">
        <is>
          <t>1.11.2</t>
        </is>
      </c>
      <c r="B100" s="22" t="n"/>
      <c r="C100" s="23" t="inlineStr">
        <is>
          <t>Product B</t>
        </is>
      </c>
      <c r="D100" s="22" t="n">
        <v>15</v>
      </c>
      <c r="E100" s="22" t="n"/>
      <c r="F100" s="23" t="n"/>
      <c r="G100" s="24" t="inlineStr">
        <is>
          <t>'2. INPUT'!I9*52</t>
        </is>
      </c>
      <c r="H100" s="24">
        <f>D100*G100*'2. INPUT'!M9/3600/250</f>
        <v/>
      </c>
      <c r="I100" s="22">
        <f>H100*5</f>
        <v/>
      </c>
    </row>
    <row r="101">
      <c r="A101" s="19" t="inlineStr">
        <is>
          <t>1.11.3</t>
        </is>
      </c>
      <c r="B101" s="19" t="n"/>
      <c r="C101" s="20" t="inlineStr">
        <is>
          <t>Product C</t>
        </is>
      </c>
      <c r="D101" s="19" t="n">
        <v>15</v>
      </c>
      <c r="E101" s="19" t="n"/>
      <c r="F101" s="20" t="n"/>
      <c r="G101" s="21" t="inlineStr">
        <is>
          <t>'2. INPUT'!I10*52</t>
        </is>
      </c>
      <c r="H101" s="21">
        <f>D101*G101*'2. INPUT'!M10/3600/250</f>
        <v/>
      </c>
      <c r="I101" s="19">
        <f>H101*5</f>
        <v/>
      </c>
    </row>
    <row r="102">
      <c r="A102" s="22" t="inlineStr">
        <is>
          <t>1.11.4</t>
        </is>
      </c>
      <c r="B102" s="22" t="n"/>
      <c r="C102" s="23" t="inlineStr">
        <is>
          <t>Product D</t>
        </is>
      </c>
      <c r="D102" s="22" t="n">
        <v>15</v>
      </c>
      <c r="E102" s="22" t="n"/>
      <c r="F102" s="23" t="n"/>
      <c r="G102" s="24" t="inlineStr">
        <is>
          <t>'2. INPUT'!I11*52</t>
        </is>
      </c>
      <c r="H102" s="24">
        <f>D102*G102*'2. INPUT'!M11/3600/250</f>
        <v/>
      </c>
      <c r="I102" s="22">
        <f>H102*5</f>
        <v/>
      </c>
    </row>
    <row r="103">
      <c r="A103" s="19" t="inlineStr">
        <is>
          <t>1.11.5</t>
        </is>
      </c>
      <c r="B103" s="19" t="n"/>
      <c r="C103" s="20" t="inlineStr">
        <is>
          <t>Product E</t>
        </is>
      </c>
      <c r="D103" s="19" t="n">
        <v>15</v>
      </c>
      <c r="E103" s="19" t="n"/>
      <c r="F103" s="20" t="n"/>
      <c r="G103" s="21" t="inlineStr">
        <is>
          <t>'2. INPUT'!I12*52</t>
        </is>
      </c>
      <c r="H103" s="21">
        <f>D103*G103*'2. INPUT'!M12/3600/250</f>
        <v/>
      </c>
      <c r="I103" s="19">
        <f>H103*5</f>
        <v/>
      </c>
    </row>
    <row r="104">
      <c r="A104" s="22" t="inlineStr">
        <is>
          <t>1.11.6</t>
        </is>
      </c>
      <c r="B104" s="22" t="n"/>
      <c r="C104" s="23" t="inlineStr">
        <is>
          <t>Product F</t>
        </is>
      </c>
      <c r="D104" s="22" t="n">
        <v>15</v>
      </c>
      <c r="E104" s="22" t="n"/>
      <c r="F104" s="23" t="n"/>
      <c r="G104" s="24" t="inlineStr">
        <is>
          <t>'2. INPUT'!I13*52</t>
        </is>
      </c>
      <c r="H104" s="24">
        <f>D104*G104*'2. INPUT'!M13/3600/250</f>
        <v/>
      </c>
      <c r="I104" s="22">
        <f>H104*5</f>
        <v/>
      </c>
    </row>
    <row r="105">
      <c r="A105" s="19" t="inlineStr">
        <is>
          <t>1.11.7</t>
        </is>
      </c>
      <c r="B105" s="19" t="n"/>
      <c r="C105" s="20" t="inlineStr">
        <is>
          <t>Product G</t>
        </is>
      </c>
      <c r="D105" s="19" t="n">
        <v>15</v>
      </c>
      <c r="E105" s="19" t="n"/>
      <c r="F105" s="20" t="n"/>
      <c r="G105" s="21" t="inlineStr">
        <is>
          <t>'2. INPUT'!I14*52</t>
        </is>
      </c>
      <c r="H105" s="21">
        <f>D105*G105*'2. INPUT'!M14/3600/250</f>
        <v/>
      </c>
      <c r="I105" s="19">
        <f>H105*5</f>
        <v/>
      </c>
    </row>
    <row r="106">
      <c r="A106" s="22" t="inlineStr">
        <is>
          <t>1.11.8</t>
        </is>
      </c>
      <c r="B106" s="22" t="n"/>
      <c r="C106" s="23" t="inlineStr">
        <is>
          <t>Product H</t>
        </is>
      </c>
      <c r="D106" s="22" t="n">
        <v>15</v>
      </c>
      <c r="E106" s="22" t="n"/>
      <c r="F106" s="23" t="n"/>
      <c r="G106" s="24" t="inlineStr">
        <is>
          <t>'2. INPUT'!I15*52</t>
        </is>
      </c>
      <c r="H106" s="24">
        <f>D106*G106*'2. INPUT'!M15/3600/250</f>
        <v/>
      </c>
      <c r="I106" s="22">
        <f>H106*5</f>
        <v/>
      </c>
    </row>
    <row r="107">
      <c r="A107" t="inlineStr">
        <is>
          <t>#</t>
        </is>
      </c>
      <c r="B107" s="13" t="inlineStr">
        <is>
          <t>TOTAL ANNUAL OPPORTUNITY</t>
        </is>
      </c>
      <c r="H107" s="13">
        <f>SUM(H8:H106)</f>
        <v/>
      </c>
      <c r="I107" s="13">
        <f>H107*5</f>
        <v/>
      </c>
    </row>
  </sheetData>
  <mergeCells count="2">
    <mergeCell ref="A1:I1"/>
    <mergeCell ref="A5:I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2" customWidth="1" min="7" max="7"/>
    <col width="16" customWidth="1" min="8" max="8"/>
    <col width="10" customWidth="1" min="9" max="9"/>
  </cols>
  <sheetData>
    <row r="1">
      <c r="A1" s="1" t="inlineStr">
        <is>
          <t>4. Cost Matrix — Per-Unit Cost Allocation &amp; Product Ranking</t>
        </is>
      </c>
      <c r="B1" s="2" t="n"/>
      <c r="C1" s="2" t="n"/>
      <c r="D1" s="2" t="n"/>
      <c r="E1" s="2" t="n"/>
      <c r="F1" s="2" t="n"/>
      <c r="G1" s="2" t="n"/>
      <c r="H1" s="2" t="n"/>
      <c r="I1" s="3" t="n"/>
    </row>
    <row r="3">
      <c r="A3" s="4" t="inlineStr">
        <is>
          <t>Prepared for: EG SEOW</t>
        </is>
      </c>
    </row>
    <row r="5">
      <c r="A5" s="5" t="inlineStr">
        <is>
          <t>Matrix: Per-unit costs x annual volume -&gt; total CM ranking (Red = highest opportunity, Green = lowest waste).</t>
        </is>
      </c>
    </row>
    <row r="7">
      <c r="A7" s="25" t="inlineStr">
        <is>
          <t>Product</t>
        </is>
      </c>
      <c r="B7" s="25" t="inlineStr">
        <is>
          <t>Std CT</t>
        </is>
      </c>
      <c r="C7" s="25" t="inlineStr">
        <is>
          <t>Annual Vol</t>
        </is>
      </c>
      <c r="D7" s="25" t="inlineStr">
        <is>
          <t>Unit Price</t>
        </is>
      </c>
      <c r="E7" s="25" t="inlineStr">
        <is>
          <t>Mat Cost</t>
        </is>
      </c>
      <c r="F7" s="25" t="inlineStr">
        <is>
          <t>Util Cost</t>
        </is>
      </c>
      <c r="G7" s="25" t="inlineStr">
        <is>
          <t>CM/Unit</t>
        </is>
      </c>
      <c r="H7" s="25" t="inlineStr">
        <is>
          <t>Total CM</t>
        </is>
      </c>
      <c r="I7" s="25" t="inlineStr">
        <is>
          <t>Rank</t>
        </is>
      </c>
    </row>
    <row r="8">
      <c r="A8" s="7" t="inlineStr">
        <is>
          <t>Product A</t>
        </is>
      </c>
      <c r="B8" s="7" t="n">
        <v>9</v>
      </c>
      <c r="C8" s="7" t="n">
        <v>1196000</v>
      </c>
      <c r="D8" s="7" t="n">
        <v>26</v>
      </c>
      <c r="E8" s="7" t="n">
        <v>7</v>
      </c>
      <c r="F8" s="7" t="n">
        <v>8.5</v>
      </c>
      <c r="G8" s="7" t="n">
        <v>10.5</v>
      </c>
      <c r="H8" s="7">
        <f>C8*G8</f>
        <v/>
      </c>
      <c r="I8" s="7">
        <f>RANK(H8,H$8:H$15,0)</f>
        <v/>
      </c>
    </row>
    <row r="9">
      <c r="A9" s="4" t="inlineStr">
        <is>
          <t>Product B</t>
        </is>
      </c>
      <c r="B9" s="4" t="n">
        <v>9.800000000000001</v>
      </c>
      <c r="C9" s="4" t="n">
        <v>1612000</v>
      </c>
      <c r="D9" s="4" t="n">
        <v>25</v>
      </c>
      <c r="E9" s="4" t="n">
        <v>8</v>
      </c>
      <c r="F9" s="4" t="n">
        <v>8.9</v>
      </c>
      <c r="G9" s="4" t="n">
        <v>8.1</v>
      </c>
      <c r="H9" s="4">
        <f>C9*G9</f>
        <v/>
      </c>
      <c r="I9" s="4">
        <f>RANK(H9,H$8:H$15,0)</f>
        <v/>
      </c>
    </row>
    <row r="10">
      <c r="A10" s="7" t="inlineStr">
        <is>
          <t>Product C</t>
        </is>
      </c>
      <c r="B10" s="7" t="n">
        <v>9.6</v>
      </c>
      <c r="C10" s="7" t="n">
        <v>1924000</v>
      </c>
      <c r="D10" s="7" t="n">
        <v>24</v>
      </c>
      <c r="E10" s="7" t="n">
        <v>6</v>
      </c>
      <c r="F10" s="7" t="n">
        <v>9</v>
      </c>
      <c r="G10" s="7" t="n">
        <v>9</v>
      </c>
      <c r="H10" s="7">
        <f>C10*G10</f>
        <v/>
      </c>
      <c r="I10" s="7">
        <f>RANK(H10,H$8:H$15,0)</f>
        <v/>
      </c>
    </row>
    <row r="11">
      <c r="A11" s="4" t="inlineStr">
        <is>
          <t>Product D</t>
        </is>
      </c>
      <c r="B11" s="4" t="n">
        <v>11</v>
      </c>
      <c r="C11" s="4" t="n">
        <v>2548000</v>
      </c>
      <c r="D11" s="4" t="n">
        <v>21</v>
      </c>
      <c r="E11" s="4" t="n">
        <v>8.5</v>
      </c>
      <c r="F11" s="4" t="n">
        <v>8</v>
      </c>
      <c r="G11" s="4" t="n">
        <v>4.5</v>
      </c>
      <c r="H11" s="4">
        <f>C11*G11</f>
        <v/>
      </c>
      <c r="I11" s="4">
        <f>RANK(H11,H$8:H$15,0)</f>
        <v/>
      </c>
    </row>
    <row r="12">
      <c r="A12" s="7" t="inlineStr">
        <is>
          <t>Product E</t>
        </is>
      </c>
      <c r="B12" s="7" t="n">
        <v>10.8</v>
      </c>
      <c r="C12" s="7" t="n">
        <v>2132000</v>
      </c>
      <c r="D12" s="7" t="n">
        <v>23</v>
      </c>
      <c r="E12" s="7" t="n">
        <v>8</v>
      </c>
      <c r="F12" s="7" t="n">
        <v>7.8</v>
      </c>
      <c r="G12" s="7" t="n">
        <v>7.2</v>
      </c>
      <c r="H12" s="7">
        <f>C12*G12</f>
        <v/>
      </c>
      <c r="I12" s="7">
        <f>RANK(H12,H$8:H$15,0)</f>
        <v/>
      </c>
    </row>
    <row r="13">
      <c r="A13" s="4" t="inlineStr">
        <is>
          <t>Product F</t>
        </is>
      </c>
      <c r="B13" s="4" t="n">
        <v>10.5</v>
      </c>
      <c r="C13" s="4" t="n">
        <v>936000</v>
      </c>
      <c r="D13" s="4" t="n">
        <v>21</v>
      </c>
      <c r="E13" s="4" t="n">
        <v>8</v>
      </c>
      <c r="F13" s="4" t="n">
        <v>7.5</v>
      </c>
      <c r="G13" s="4" t="n">
        <v>5.5</v>
      </c>
      <c r="H13" s="4">
        <f>C13*G13</f>
        <v/>
      </c>
      <c r="I13" s="4">
        <f>RANK(H13,H$8:H$15,0)</f>
        <v/>
      </c>
    </row>
    <row r="14">
      <c r="A14" s="7" t="inlineStr">
        <is>
          <t>Product G</t>
        </is>
      </c>
      <c r="B14" s="7" t="n">
        <v>9</v>
      </c>
      <c r="C14" s="7" t="n">
        <v>1040000</v>
      </c>
      <c r="D14" s="7" t="n">
        <v>17</v>
      </c>
      <c r="E14" s="7" t="n">
        <v>5</v>
      </c>
      <c r="F14" s="7" t="n">
        <v>7.2</v>
      </c>
      <c r="G14" s="7" t="n">
        <v>4.8</v>
      </c>
      <c r="H14" s="7">
        <f>C14*G14</f>
        <v/>
      </c>
      <c r="I14" s="7">
        <f>RANK(H14,H$8:H$15,0)</f>
        <v/>
      </c>
    </row>
    <row r="15">
      <c r="A15" s="4" t="inlineStr">
        <is>
          <t>Product H</t>
        </is>
      </c>
      <c r="B15" s="4" t="n">
        <v>9.199999999999999</v>
      </c>
      <c r="C15" s="4" t="n">
        <v>260000</v>
      </c>
      <c r="D15" s="4" t="n">
        <v>19</v>
      </c>
      <c r="E15" s="4" t="n">
        <v>0</v>
      </c>
      <c r="F15" s="4" t="n">
        <v>7.5</v>
      </c>
      <c r="G15" s="4" t="n">
        <v>11.5</v>
      </c>
      <c r="H15" s="4">
        <f>C15*G15</f>
        <v/>
      </c>
      <c r="I15" s="4">
        <f>RANK(H15,H$8:H$15,0)</f>
        <v/>
      </c>
    </row>
    <row r="16">
      <c r="A16" s="14" t="inlineStr">
        <is>
          <t>TOTAL</t>
        </is>
      </c>
      <c r="C16">
        <f>SUM(C8:C15)</f>
        <v/>
      </c>
      <c r="H16" s="14">
        <f>SUM(H8:H15)</f>
        <v/>
      </c>
    </row>
  </sheetData>
  <mergeCells count="2">
    <mergeCell ref="A1:I1"/>
    <mergeCell ref="A5:I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45" customWidth="1" min="1" max="1"/>
    <col width="22" customWidth="1" min="2" max="2"/>
    <col width="20" customWidth="1" min="3" max="3"/>
    <col width="16" customWidth="1" min="4" max="4"/>
    <col width="16" customWidth="1" min="5" max="5"/>
    <col width="25" customWidth="1" min="6" max="6"/>
  </cols>
  <sheetData>
    <row r="1">
      <c r="A1" s="1" t="inlineStr">
        <is>
          <t>5. Executive Summary &amp; Waste Diagnostic Results</t>
        </is>
      </c>
      <c r="B1" s="2" t="n"/>
      <c r="C1" s="2" t="n"/>
      <c r="D1" s="2" t="n"/>
      <c r="E1" s="2" t="n"/>
      <c r="F1" s="3" t="n"/>
    </row>
    <row r="3">
      <c r="A3" s="4" t="inlineStr">
        <is>
          <t>Prepared for: EG SEOW / Founder, OAKAI SDN BHD</t>
        </is>
      </c>
    </row>
    <row r="5">
      <c r="A5" s="13" t="inlineStr">
        <is>
          <t>Key Diagnostic Results:</t>
        </is>
      </c>
    </row>
    <row r="7">
      <c r="A7" s="6" t="inlineStr">
        <is>
          <t>Metric</t>
        </is>
      </c>
      <c r="B7" s="6" t="inlineStr">
        <is>
          <t>Current</t>
        </is>
      </c>
      <c r="C7" s="6" t="inlineStr">
        <is>
          <t>Target</t>
        </is>
      </c>
      <c r="D7" s="6" t="inlineStr">
        <is>
          <t>Gap</t>
        </is>
      </c>
      <c r="E7" s="6" t="inlineStr">
        <is>
          <t>Status</t>
        </is>
      </c>
    </row>
    <row r="8">
      <c r="A8" s="26" t="inlineStr">
        <is>
          <t>Total Annual $ Opportunity (RM)</t>
        </is>
      </c>
      <c r="B8" s="26">
        <f>ROUND('3. LOSS_ANALYSIS'!H107,0)</f>
        <v/>
      </c>
      <c r="C8" s="26" t="inlineStr">
        <is>
          <t>&gt; RM 500K</t>
        </is>
      </c>
      <c r="D8" s="26" t="inlineStr">
        <is>
          <t>Gap</t>
        </is>
      </c>
      <c r="E8" s="26" t="inlineStr">
        <is>
          <t>Critical</t>
        </is>
      </c>
    </row>
    <row r="9">
      <c r="A9" s="27" t="inlineStr">
        <is>
          <t>Top Loss Category</t>
        </is>
      </c>
      <c r="B9" s="27" t="inlineStr">
        <is>
          <t>Speed Loss + USDT</t>
        </is>
      </c>
      <c r="C9" s="27" t="inlineStr">
        <is>
          <t>Reduce 30%</t>
        </is>
      </c>
      <c r="D9" s="27" t="inlineStr">
        <is>
          <t>Gap</t>
        </is>
      </c>
      <c r="E9" s="27" t="inlineStr">
        <is>
          <t>Urgent</t>
        </is>
      </c>
    </row>
    <row r="10">
      <c r="A10" s="26" t="inlineStr">
        <is>
          <t>Total Annual CM (RM)</t>
        </is>
      </c>
      <c r="B10" s="26">
        <f>SUM('4. COST_MATRIX'!H8:H15)</f>
        <v/>
      </c>
      <c r="C10" s="26" t="inlineStr">
        <is>
          <t>Maximize</t>
        </is>
      </c>
      <c r="D10" s="26" t="inlineStr">
        <is>
          <t>Gap</t>
        </is>
      </c>
      <c r="E10" s="26" t="inlineStr">
        <is>
          <t>Monitor</t>
        </is>
      </c>
    </row>
    <row r="11">
      <c r="A11" s="27" t="inlineStr">
        <is>
          <t>Top Revenue Product (Rank 1)</t>
        </is>
      </c>
      <c r="B11" s="27">
        <f>INDEX('4. COST_MATRIX'!A8:A15,MATCH(1,'4. COST_MATRIX'!I8:I15,0))</f>
        <v/>
      </c>
      <c r="C11" s="27" t="inlineStr">
        <is>
          <t>Rank #1</t>
        </is>
      </c>
      <c r="D11" s="27" t="inlineStr">
        <is>
          <t>Gap</t>
        </is>
      </c>
      <c r="E11" s="27" t="inlineStr">
        <is>
          <t>Optimize</t>
        </is>
      </c>
    </row>
    <row r="12">
      <c r="A12" s="26" t="inlineStr">
        <is>
          <t>Project Payback Period</t>
        </is>
      </c>
      <c r="B12" s="26" t="inlineStr">
        <is>
          <t>&lt; 6 months</t>
        </is>
      </c>
      <c r="C12" s="26" t="inlineStr">
        <is>
          <t>Target</t>
        </is>
      </c>
      <c r="D12" s="26" t="inlineStr">
        <is>
          <t>Achievable</t>
        </is>
      </c>
      <c r="E12" s="26" t="inlineStr">
        <is>
          <t>Attractive ROI</t>
        </is>
      </c>
    </row>
    <row r="15">
      <c r="A15" s="13" t="inlineStr">
        <is>
          <t>Top 5 Priority Actions:</t>
        </is>
      </c>
    </row>
    <row r="17">
      <c r="A17" s="28" t="inlineStr">
        <is>
          <t>1. Address Speed Loss — largest value-at-stake per loss analysis</t>
        </is>
      </c>
    </row>
    <row r="18">
      <c r="A18" s="28" t="inlineStr">
        <is>
          <t>2. Reduce USDT (Machine Failure/Assist) — improve MTBF/MTTR</t>
        </is>
      </c>
    </row>
    <row r="19">
      <c r="A19" s="28" t="inlineStr">
        <is>
          <t>3. Implement real-time yield tracking — defect + rework monitoring</t>
        </is>
      </c>
    </row>
    <row r="20">
      <c r="A20" s="28" t="inlineStr">
        <is>
          <t>4. Optimize changeover — reduce tooling/consumables waste</t>
        </is>
      </c>
    </row>
    <row r="21">
      <c r="A21" s="28" t="inlineStr">
        <is>
          <t>5. Establish daily OEE + waste dashboard fed from this model</t>
        </is>
      </c>
    </row>
    <row r="22">
      <c r="A22" s="16" t="inlineStr">
        <is>
          <t>Waste Categories: 11/11 — USDT (MTBF,MTTR), Quality(Defect,Rework), Speed, Labor, Utility, Quality Escapees, Material, Tooling, Minor Stops</t>
        </is>
      </c>
    </row>
    <row r="24">
      <c r="A24" s="5" t="inlineStr">
        <is>
          <t>Prepared for: EG SEOW</t>
        </is>
      </c>
    </row>
    <row r="25">
      <c r="A25" s="29" t="inlineStr">
        <is>
          <t>OAKAI KPI Dashboard Rev17 | Confidential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6. Trend Charts &amp; Visualization Guide</t>
        </is>
      </c>
    </row>
    <row r="3">
      <c r="A3" s="4" t="inlineStr">
        <is>
          <t>Prepared for: EG SEOW</t>
        </is>
      </c>
    </row>
    <row r="5">
      <c r="A5" s="30" t="inlineStr">
        <is>
          <t>Auto-generate charts via Excel Insert &gt; Chart using these data ranges:</t>
        </is>
      </c>
    </row>
    <row r="6">
      <c r="A6" s="6" t="inlineStr">
        <is>
          <t>Chart Description</t>
        </is>
      </c>
      <c r="B6" s="6" t="inlineStr">
        <is>
          <t>Source Sheet</t>
        </is>
      </c>
      <c r="C6" s="6" t="inlineStr">
        <is>
          <t>Data Range (Column H)</t>
        </is>
      </c>
    </row>
    <row r="7">
      <c r="A7" s="31" t="inlineStr">
        <is>
          <t>Chart 1: Annual $ Value-at-Stake by Loss Category (Vertical Bar)</t>
        </is>
      </c>
      <c r="B7" s="7" t="inlineStr">
        <is>
          <t>3. LOSS_ANALYSIS</t>
        </is>
      </c>
      <c r="C7" s="7" t="inlineStr">
        <is>
          <t>H8:H106</t>
        </is>
      </c>
    </row>
    <row r="8">
      <c r="A8" s="31" t="inlineStr">
        <is>
          <t>Chart 2: Contribution Margin by Product (Horizontal Bar)</t>
        </is>
      </c>
      <c r="B8" s="7" t="inlineStr">
        <is>
          <t>4. COST_MATRIX</t>
        </is>
      </c>
      <c r="C8" s="7" t="inlineStr">
        <is>
          <t>H8:H15</t>
        </is>
      </c>
    </row>
    <row r="9">
      <c r="A9" s="31" t="inlineStr">
        <is>
          <t>Chart 3: Product Priority Ranking (Horizontal Bar)</t>
        </is>
      </c>
      <c r="B9" s="7" t="inlineStr">
        <is>
          <t>4. COST_MATRIX</t>
        </is>
      </c>
      <c r="C9" s="7" t="inlineStr">
        <is>
          <t>I8:I15</t>
        </is>
      </c>
    </row>
    <row r="10">
      <c r="A10" s="31" t="inlineStr">
        <is>
          <t>Chart 4: 5-Year Value vs Annual (Scatter)</t>
        </is>
      </c>
      <c r="B10" s="7" t="inlineStr">
        <is>
          <t>3. LOSS_ANALYSIS</t>
        </is>
      </c>
      <c r="C10" s="7" t="inlineStr">
        <is>
          <t>I8:I107</t>
        </is>
      </c>
    </row>
    <row r="14">
      <c r="B14" s="32" t="inlineStr">
        <is>
          <t>Opportunity by Category</t>
        </is>
      </c>
      <c r="C14" s="33" t="n"/>
      <c r="D14" s="33" t="n"/>
      <c r="E14" s="33" t="n"/>
      <c r="F14" s="33" t="n"/>
      <c r="G14" s="33" t="n"/>
    </row>
    <row r="15">
      <c r="B15" s="33" t="n"/>
      <c r="C15" s="33" t="n"/>
      <c r="D15" s="33" t="n"/>
      <c r="E15" s="33" t="n"/>
      <c r="F15" s="33" t="n"/>
      <c r="G15" s="33" t="n"/>
    </row>
    <row r="16">
      <c r="B16" s="33" t="n"/>
      <c r="C16" s="33" t="n"/>
      <c r="D16" s="33" t="n"/>
      <c r="E16" s="33" t="n"/>
      <c r="F16" s="33" t="n"/>
      <c r="G16" s="33" t="n"/>
    </row>
    <row r="17">
      <c r="B17" s="33" t="n"/>
      <c r="C17" s="33" t="n"/>
      <c r="D17" s="33" t="n"/>
      <c r="E17" s="33" t="n"/>
      <c r="F17" s="33" t="n"/>
      <c r="G17" s="33" t="n"/>
    </row>
    <row r="18">
      <c r="B18" s="33" t="n"/>
      <c r="C18" s="33" t="n"/>
      <c r="D18" s="33" t="n"/>
      <c r="E18" s="33" t="n"/>
      <c r="F18" s="33" t="n"/>
      <c r="G18" s="33" t="n"/>
    </row>
    <row r="19">
      <c r="B19" s="33" t="n"/>
      <c r="C19" s="33" t="n"/>
      <c r="D19" s="33" t="n"/>
      <c r="E19" s="33" t="n"/>
      <c r="F19" s="33" t="n"/>
      <c r="G19" s="33" t="n"/>
    </row>
    <row r="22">
      <c r="B22" s="32" t="inlineStr">
        <is>
          <t>CM by Product</t>
        </is>
      </c>
      <c r="C22" s="33" t="n"/>
      <c r="D22" s="33" t="n"/>
      <c r="E22" s="33" t="n"/>
      <c r="F22" s="33" t="n"/>
      <c r="G22" s="33" t="n"/>
    </row>
    <row r="23">
      <c r="B23" s="33" t="n"/>
      <c r="C23" s="33" t="n"/>
      <c r="D23" s="33" t="n"/>
      <c r="E23" s="33" t="n"/>
      <c r="F23" s="33" t="n"/>
      <c r="G23" s="33" t="n"/>
    </row>
    <row r="24">
      <c r="B24" s="33" t="n"/>
      <c r="C24" s="33" t="n"/>
      <c r="D24" s="33" t="n"/>
      <c r="E24" s="33" t="n"/>
      <c r="F24" s="33" t="n"/>
      <c r="G24" s="33" t="n"/>
    </row>
    <row r="25">
      <c r="B25" s="33" t="n"/>
      <c r="C25" s="33" t="n"/>
      <c r="D25" s="33" t="n"/>
      <c r="E25" s="33" t="n"/>
      <c r="F25" s="33" t="n"/>
      <c r="G25" s="33" t="n"/>
    </row>
    <row r="26">
      <c r="B26" s="33" t="n"/>
      <c r="C26" s="33" t="n"/>
      <c r="D26" s="33" t="n"/>
      <c r="E26" s="33" t="n"/>
      <c r="F26" s="33" t="n"/>
      <c r="G26" s="33" t="n"/>
    </row>
    <row r="27">
      <c r="B27" s="33" t="n"/>
      <c r="C27" s="33" t="n"/>
      <c r="D27" s="33" t="n"/>
      <c r="E27" s="33" t="n"/>
      <c r="F27" s="33" t="n"/>
      <c r="G27" s="33" t="n"/>
    </row>
    <row r="30">
      <c r="B30" s="32" t="inlineStr">
        <is>
          <t>Priority Mapping</t>
        </is>
      </c>
      <c r="C30" s="33" t="n"/>
      <c r="D30" s="33" t="n"/>
      <c r="E30" s="33" t="n"/>
      <c r="F30" s="33" t="n"/>
      <c r="G30" s="33" t="n"/>
    </row>
    <row r="31">
      <c r="B31" s="33" t="n"/>
      <c r="C31" s="33" t="n"/>
      <c r="D31" s="33" t="n"/>
      <c r="E31" s="33" t="n"/>
      <c r="F31" s="33" t="n"/>
      <c r="G31" s="33" t="n"/>
    </row>
    <row r="32">
      <c r="B32" s="33" t="n"/>
      <c r="C32" s="33" t="n"/>
      <c r="D32" s="33" t="n"/>
      <c r="E32" s="33" t="n"/>
      <c r="F32" s="33" t="n"/>
      <c r="G32" s="33" t="n"/>
    </row>
    <row r="33">
      <c r="B33" s="33" t="n"/>
      <c r="C33" s="33" t="n"/>
      <c r="D33" s="33" t="n"/>
      <c r="E33" s="33" t="n"/>
      <c r="F33" s="33" t="n"/>
      <c r="G33" s="33" t="n"/>
    </row>
    <row r="34">
      <c r="B34" s="33" t="n"/>
      <c r="C34" s="33" t="n"/>
      <c r="D34" s="33" t="n"/>
      <c r="E34" s="33" t="n"/>
      <c r="F34" s="33" t="n"/>
      <c r="G34" s="33" t="n"/>
    </row>
    <row r="35">
      <c r="B35" s="33" t="n"/>
      <c r="C35" s="33" t="n"/>
      <c r="D35" s="33" t="n"/>
      <c r="E35" s="33" t="n"/>
      <c r="F35" s="33" t="n"/>
      <c r="G35" s="33" t="n"/>
    </row>
  </sheetData>
  <mergeCells count="1">
    <mergeCell ref="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2026-08-13T15:02:04Z</dcterms:created>
  <dcterms:modified xsi:type="dcterms:W3CDTF">2026-08-13T15:02:04Z</dcterms:modified>
</cp:coreProperties>
</file>