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PUT" sheetId="1" state="visible" r:id="rId1"/>
    <sheet name="2. ASSUMPTIONS" sheetId="2" state="visible" r:id="rId2"/>
    <sheet name="3. LOSS_ANALYSIS" sheetId="3" state="visible" r:id="rId3"/>
    <sheet name="4. DOLLAR_MATRIX" sheetId="4" state="visible" r:id="rId4"/>
    <sheet name="5. SUMMARY" sheetId="5" state="visible" r:id="rId5"/>
    <sheet name="6. 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2B2B2B"/>
      <sz val="9"/>
    </font>
    <font>
      <name val="Calibri"/>
      <i val="1"/>
      <color rgb="002B2B2B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2B2B2B"/>
      <sz val="10"/>
    </font>
    <font>
      <name val="Calibri"/>
      <b val="1"/>
      <color rgb="002B2B2B"/>
      <sz val="11"/>
    </font>
    <font>
      <name val="Calibri"/>
      <b val="1"/>
      <color rgb="00FFFFFF"/>
      <sz val="9"/>
    </font>
    <font>
      <name val="Calibri"/>
      <b val="1"/>
      <color rgb="002B2B2B"/>
      <sz val="9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0B3D3D"/>
      <sz val="11"/>
    </font>
  </fonts>
  <fills count="7">
    <fill>
      <patternFill/>
    </fill>
    <fill>
      <patternFill patternType="gray125"/>
    </fill>
    <fill>
      <patternFill patternType="solid">
        <fgColor rgb="00C69B4B"/>
        <bgColor rgb="00C69B4B"/>
      </patternFill>
    </fill>
    <fill>
      <patternFill patternType="solid">
        <fgColor rgb="000B3D3D"/>
        <bgColor rgb="000B3D3D"/>
      </patternFill>
    </fill>
    <fill>
      <patternFill patternType="solid">
        <fgColor rgb="00F7FAF9"/>
        <bgColor rgb="00F7FAF9"/>
      </patternFill>
    </fill>
    <fill>
      <patternFill patternType="solid">
        <fgColor rgb="00E7F1EF"/>
        <bgColor rgb="00E7F1EF"/>
      </patternFill>
    </fill>
    <fill>
      <patternFill patternType="solid">
        <fgColor rgb="00BFE0DA"/>
        <bgColor rgb="00BFE0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2" customWidth="1" min="10" max="10"/>
  </cols>
  <sheetData>
    <row r="1">
      <c r="A1" s="1" t="inlineStr">
        <is>
          <t>OAKAI KPI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>
      <c r="A3" s="4" t="inlineStr">
        <is>
          <t>Prepared for: EG SEOW / Founder, OAKAI SDN BHD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5">
      <c r="A5" s="5" t="inlineStr">
        <is>
          <t>INSTRUCTIONS: All BLUE cells are INPUTS — fill from client data. All other cells auto-calculate.</t>
        </is>
      </c>
    </row>
    <row r="7">
      <c r="A7" s="6" t="inlineStr">
        <is>
          <t>1.1 Product Portfolio Input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3" t="n"/>
    </row>
    <row r="9">
      <c r="A9" s="7" t="inlineStr">
        <is>
          <t>Product ID</t>
        </is>
      </c>
      <c r="B9" s="7" t="inlineStr">
        <is>
          <t>Product Name</t>
        </is>
      </c>
      <c r="C9" s="7" t="inlineStr">
        <is>
          <t>Std Cycle Time (sec)</t>
        </is>
      </c>
      <c r="D9" s="7" t="inlineStr">
        <is>
          <t>Week 1</t>
        </is>
      </c>
      <c r="E9" s="7" t="inlineStr">
        <is>
          <t>Week 2</t>
        </is>
      </c>
      <c r="F9" s="7" t="inlineStr">
        <is>
          <t>Week 3</t>
        </is>
      </c>
      <c r="G9" s="7" t="inlineStr">
        <is>
          <t>Week 4</t>
        </is>
      </c>
      <c r="H9" s="7" t="inlineStr">
        <is>
          <t>Week 5</t>
        </is>
      </c>
      <c r="I9" s="7" t="inlineStr">
        <is>
          <t>Unit Price (RM)</t>
        </is>
      </c>
      <c r="J9" s="7" t="inlineStr">
        <is>
          <t>Contribution Margin / Unit (RM)</t>
        </is>
      </c>
    </row>
    <row r="10">
      <c r="A10" s="8" t="n">
        <v>1</v>
      </c>
      <c r="B10" s="8" t="inlineStr">
        <is>
          <t>Product A</t>
        </is>
      </c>
      <c r="C10" s="8" t="n">
        <v>9</v>
      </c>
      <c r="D10" s="9" t="n">
        <v>9000</v>
      </c>
      <c r="E10" s="9" t="n">
        <v>0</v>
      </c>
      <c r="F10" s="9" t="n">
        <v>5000</v>
      </c>
      <c r="G10" s="9" t="n">
        <v>0</v>
      </c>
      <c r="H10" s="9" t="n">
        <v>9000</v>
      </c>
      <c r="I10" s="9" t="n">
        <v>0</v>
      </c>
      <c r="J10" s="9" t="n">
        <v>1500</v>
      </c>
    </row>
    <row r="11">
      <c r="A11" s="10" t="n">
        <v>2</v>
      </c>
      <c r="B11" s="10" t="inlineStr">
        <is>
          <t>Product B</t>
        </is>
      </c>
      <c r="C11" s="10" t="n">
        <v>9.800000000000001</v>
      </c>
      <c r="D11" s="9" t="n">
        <v>8000</v>
      </c>
      <c r="E11" s="9" t="n">
        <v>9000</v>
      </c>
      <c r="F11" s="9" t="n">
        <v>0</v>
      </c>
      <c r="G11" s="9" t="n">
        <v>6000</v>
      </c>
      <c r="H11" s="9" t="n">
        <v>8000</v>
      </c>
      <c r="I11" s="9" t="n">
        <v>9000</v>
      </c>
      <c r="J11" s="9" t="n">
        <v>0</v>
      </c>
      <c r="K11" s="9" t="n">
        <v>1800</v>
      </c>
    </row>
    <row r="12">
      <c r="A12" s="8" t="n">
        <v>3</v>
      </c>
      <c r="B12" s="8" t="inlineStr">
        <is>
          <t>Product C</t>
        </is>
      </c>
      <c r="C12" s="8" t="n">
        <v>9.6</v>
      </c>
      <c r="D12" s="9" t="n">
        <v>10000</v>
      </c>
      <c r="E12" s="9" t="n">
        <v>8000</v>
      </c>
      <c r="F12" s="9" t="n">
        <v>9000</v>
      </c>
      <c r="G12" s="9" t="n">
        <v>0</v>
      </c>
      <c r="H12" s="9" t="n">
        <v>10000</v>
      </c>
      <c r="I12" s="9" t="n">
        <v>8000</v>
      </c>
      <c r="J12" s="9" t="n">
        <v>9000</v>
      </c>
      <c r="K12" s="9" t="n">
        <v>2200</v>
      </c>
    </row>
    <row r="13">
      <c r="A13" s="10" t="n">
        <v>4</v>
      </c>
      <c r="B13" s="10" t="inlineStr">
        <is>
          <t>Product D</t>
        </is>
      </c>
      <c r="C13" s="10" t="n">
        <v>11</v>
      </c>
      <c r="D13" s="9" t="n">
        <v>13000</v>
      </c>
      <c r="E13" s="9" t="n">
        <v>10000</v>
      </c>
      <c r="F13" s="9" t="n">
        <v>8000</v>
      </c>
      <c r="G13" s="9" t="n">
        <v>9000</v>
      </c>
      <c r="H13" s="9" t="n">
        <v>9000</v>
      </c>
      <c r="I13" s="9" t="n">
        <v>8000</v>
      </c>
      <c r="J13" s="9" t="n">
        <v>0</v>
      </c>
      <c r="K13" s="9" t="n">
        <v>2500</v>
      </c>
    </row>
    <row r="14">
      <c r="A14" s="8" t="n">
        <v>5</v>
      </c>
      <c r="B14" s="8" t="inlineStr">
        <is>
          <t>Product E</t>
        </is>
      </c>
      <c r="C14" s="8" t="n">
        <v>10.8</v>
      </c>
      <c r="D14" s="9" t="n">
        <v>5000</v>
      </c>
      <c r="E14" s="9" t="n">
        <v>13000</v>
      </c>
      <c r="F14" s="9" t="n">
        <v>10000</v>
      </c>
      <c r="G14" s="9" t="n">
        <v>8000</v>
      </c>
      <c r="H14" s="9" t="n">
        <v>5000</v>
      </c>
      <c r="I14" s="9" t="n">
        <v>11000</v>
      </c>
      <c r="J14" s="9" t="n">
        <v>10000</v>
      </c>
      <c r="K14" s="9" t="n">
        <v>1900</v>
      </c>
    </row>
    <row r="15">
      <c r="A15" s="10" t="n">
        <v>6</v>
      </c>
      <c r="B15" s="10" t="inlineStr">
        <is>
          <t>Product F</t>
        </is>
      </c>
      <c r="C15" s="10" t="n">
        <v>10.5</v>
      </c>
      <c r="D15" s="9" t="n">
        <v>0</v>
      </c>
      <c r="E15" s="9" t="n">
        <v>5000</v>
      </c>
      <c r="F15" s="9" t="n">
        <v>13000</v>
      </c>
      <c r="G15" s="9" t="n">
        <v>0</v>
      </c>
      <c r="H15" s="9" t="n">
        <v>0</v>
      </c>
      <c r="I15" s="9" t="n">
        <v>5000</v>
      </c>
      <c r="J15" s="9" t="n">
        <v>13000</v>
      </c>
      <c r="K15" s="9" t="n">
        <v>1600</v>
      </c>
    </row>
    <row r="16">
      <c r="A16" s="8" t="n">
        <v>7</v>
      </c>
      <c r="B16" s="8" t="inlineStr">
        <is>
          <t>Product G</t>
        </is>
      </c>
      <c r="C16" s="8" t="n">
        <v>9</v>
      </c>
      <c r="D16" s="9" t="n">
        <v>0</v>
      </c>
      <c r="E16" s="9" t="n">
        <v>3000</v>
      </c>
      <c r="F16" s="9" t="n">
        <v>6000</v>
      </c>
      <c r="G16" s="9" t="n">
        <v>11000</v>
      </c>
      <c r="H16" s="9" t="n">
        <v>0</v>
      </c>
      <c r="I16" s="9" t="n">
        <v>0</v>
      </c>
      <c r="J16" s="9" t="n">
        <v>5000</v>
      </c>
      <c r="K16" s="9" t="n">
        <v>1700</v>
      </c>
    </row>
    <row r="17">
      <c r="A17" s="10" t="n">
        <v>8</v>
      </c>
      <c r="B17" s="10" t="inlineStr">
        <is>
          <t>Product H</t>
        </is>
      </c>
      <c r="C17" s="10" t="n">
        <v>9.199999999999999</v>
      </c>
      <c r="D17" s="9" t="n">
        <v>0</v>
      </c>
      <c r="E17" s="9" t="n">
        <v>0</v>
      </c>
      <c r="F17" s="9" t="n">
        <v>0</v>
      </c>
      <c r="G17" s="9" t="n">
        <v>5000</v>
      </c>
      <c r="H17" s="9" t="n">
        <v>0</v>
      </c>
      <c r="I17" s="9" t="n">
        <v>0</v>
      </c>
      <c r="J17" s="9" t="n">
        <v>0</v>
      </c>
      <c r="K17" s="9" t="n">
        <v>2100</v>
      </c>
    </row>
    <row r="18">
      <c r="B18" s="6" t="inlineStr">
        <is>
          <t>TOTAL</t>
        </is>
      </c>
      <c r="D18" s="6">
        <f>SUM(D10:D17)</f>
        <v/>
      </c>
      <c r="E18" s="6">
        <f>SUM(E10:E17)</f>
        <v/>
      </c>
      <c r="F18" s="6">
        <f>SUM(F10:F17)</f>
        <v/>
      </c>
      <c r="G18" s="6">
        <f>SUM(G10:G17)</f>
        <v/>
      </c>
      <c r="H18" s="6">
        <f>SUM(H10:H17)</f>
        <v/>
      </c>
      <c r="I18" s="6">
        <f>SUM(I10:I17)</f>
        <v/>
      </c>
    </row>
    <row r="20">
      <c r="A20" s="6" t="inlineStr">
        <is>
          <t>Product Count</t>
        </is>
      </c>
      <c r="B20" s="11" t="n">
        <v>8</v>
      </c>
    </row>
  </sheetData>
  <mergeCells count="4">
    <mergeCell ref="A1:J1"/>
    <mergeCell ref="A7:J7"/>
    <mergeCell ref="A3:J3"/>
    <mergeCell ref="A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35" customWidth="1" min="4" max="4"/>
    <col width="20" customWidth="1" min="5" max="5"/>
  </cols>
  <sheetData>
    <row r="1">
      <c r="A1" s="12" t="inlineStr">
        <is>
          <t>2. Assumptions &amp; Operational Parameters</t>
        </is>
      </c>
      <c r="B1" s="2" t="n"/>
      <c r="C1" s="2" t="n"/>
      <c r="D1" s="2" t="n"/>
      <c r="E1" s="2" t="n"/>
      <c r="F1" s="3" t="n"/>
    </row>
    <row r="3">
      <c r="A3" s="4" t="inlineStr">
        <is>
          <t>Prepared for: EG SEOW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Description</t>
        </is>
      </c>
      <c r="E5" s="7" t="inlineStr">
        <is>
          <t>Source</t>
        </is>
      </c>
    </row>
    <row r="6">
      <c r="A6" s="8" t="inlineStr">
        <is>
          <t>Hours / Shift</t>
        </is>
      </c>
      <c r="B6" s="9" t="n">
        <v>8</v>
      </c>
      <c r="C6" s="8" t="inlineStr">
        <is>
          <t>hours</t>
        </is>
      </c>
      <c r="D6" s="8" t="inlineStr">
        <is>
          <t>Working hours per shift</t>
        </is>
      </c>
      <c r="E6" s="8" t="inlineStr">
        <is>
          <t>Input</t>
        </is>
      </c>
    </row>
    <row r="7">
      <c r="A7" s="10" t="inlineStr">
        <is>
          <t>Shift / Day</t>
        </is>
      </c>
      <c r="B7" s="9" t="n">
        <v>3</v>
      </c>
      <c r="C7" s="10" t="inlineStr">
        <is>
          <t>shifts</t>
        </is>
      </c>
      <c r="D7" s="10" t="inlineStr">
        <is>
          <t>Production shifts per day</t>
        </is>
      </c>
      <c r="E7" s="10" t="inlineStr">
        <is>
          <t>Input</t>
        </is>
      </c>
    </row>
    <row r="8">
      <c r="A8" s="8" t="inlineStr">
        <is>
          <t>Operation Days / Week</t>
        </is>
      </c>
      <c r="B8" s="9" t="n">
        <v>7</v>
      </c>
      <c r="C8" s="8" t="inlineStr">
        <is>
          <t>days</t>
        </is>
      </c>
      <c r="D8" s="8" t="inlineStr">
        <is>
          <t>Operating days per week (Mon-Sun)</t>
        </is>
      </c>
      <c r="E8" s="8" t="inlineStr">
        <is>
          <t>Input</t>
        </is>
      </c>
    </row>
    <row r="9">
      <c r="A9" s="10" t="inlineStr">
        <is>
          <t>Weeks / Year</t>
        </is>
      </c>
      <c r="B9" s="9" t="n">
        <v>52</v>
      </c>
      <c r="C9" s="10" t="inlineStr">
        <is>
          <t>weeks</t>
        </is>
      </c>
      <c r="D9" s="10" t="inlineStr">
        <is>
          <t>Calendar weeks analyzed</t>
        </is>
      </c>
      <c r="E9" s="10" t="inlineStr">
        <is>
          <t>Input</t>
        </is>
      </c>
    </row>
    <row r="10">
      <c r="A10" s="8" t="inlineStr">
        <is>
          <t>Total Production Planned Time (sec)</t>
        </is>
      </c>
      <c r="B10" s="9">
        <f>B6*B7*B8*3600*52</f>
        <v/>
      </c>
      <c r="C10" s="8" t="inlineStr">
        <is>
          <t>seconds</t>
        </is>
      </c>
      <c r="D10" s="8" t="inlineStr">
        <is>
          <t>Annual planned production time</t>
        </is>
      </c>
      <c r="E10" s="8" t="inlineStr">
        <is>
          <t>Auto</t>
        </is>
      </c>
    </row>
    <row r="11">
      <c r="A11" s="10" t="inlineStr">
        <is>
          <t>Equipment Target Utilization</t>
        </is>
      </c>
      <c r="B11" s="9" t="n">
        <v>90</v>
      </c>
      <c r="C11" s="10" t="inlineStr">
        <is>
          <t>%</t>
        </is>
      </c>
      <c r="D11" s="10" t="inlineStr">
        <is>
          <t>OEE availability target</t>
        </is>
      </c>
      <c r="E11" s="10" t="inlineStr">
        <is>
          <t>Best Practice</t>
        </is>
      </c>
    </row>
    <row r="12">
      <c r="A12" s="8" t="inlineStr">
        <is>
          <t>Yield Loss Target</t>
        </is>
      </c>
      <c r="B12" s="9" t="n">
        <v>5</v>
      </c>
      <c r="C12" s="8" t="inlineStr">
        <is>
          <t>%</t>
        </is>
      </c>
      <c r="D12" s="8" t="inlineStr">
        <is>
          <t>Quality target (max defect rate)</t>
        </is>
      </c>
      <c r="E12" s="8" t="inlineStr">
        <is>
          <t>Best Practice</t>
        </is>
      </c>
    </row>
    <row r="13">
      <c r="A13" s="10" t="inlineStr">
        <is>
          <t>Rework Loss Target</t>
        </is>
      </c>
      <c r="B13" s="9" t="n">
        <v>3</v>
      </c>
      <c r="C13" s="10" t="inlineStr">
        <is>
          <t>%</t>
        </is>
      </c>
      <c r="D13" s="10" t="inlineStr">
        <is>
          <t>Rework target</t>
        </is>
      </c>
      <c r="E13" s="10" t="inlineStr">
        <is>
          <t>Best Practice</t>
        </is>
      </c>
    </row>
    <row r="14">
      <c r="A14" s="8" t="inlineStr">
        <is>
          <t>Rework Cost / Unit</t>
        </is>
      </c>
      <c r="B14" s="9" t="n">
        <v>150</v>
      </c>
      <c r="C14" s="8" t="inlineStr">
        <is>
          <t>RM</t>
        </is>
      </c>
      <c r="D14" s="8" t="inlineStr">
        <is>
          <t>Average rework cost per unit</t>
        </is>
      </c>
      <c r="E14" s="8" t="inlineStr">
        <is>
          <t>Input</t>
        </is>
      </c>
    </row>
    <row r="15">
      <c r="A15" s="10" t="inlineStr">
        <is>
          <t>Labor Rate</t>
        </is>
      </c>
      <c r="B15" s="9" t="n">
        <v>30</v>
      </c>
      <c r="C15" s="10" t="inlineStr">
        <is>
          <t>RM/hr</t>
        </is>
      </c>
      <c r="D15" s="10" t="inlineStr">
        <is>
          <t>Average labor rate</t>
        </is>
      </c>
      <c r="E15" s="10" t="inlineStr">
        <is>
          <t>Input</t>
        </is>
      </c>
    </row>
    <row r="16">
      <c r="A16" s="8" t="inlineStr">
        <is>
          <t>Material Cost / Unit</t>
        </is>
      </c>
      <c r="B16" s="9" t="n">
        <v>500</v>
      </c>
      <c r="C16" s="8" t="inlineStr">
        <is>
          <t>RM</t>
        </is>
      </c>
      <c r="D16" s="8" t="inlineStr">
        <is>
          <t>Average material cost per unit</t>
        </is>
      </c>
      <c r="E16" s="8" t="inlineStr">
        <is>
          <t>Input</t>
        </is>
      </c>
    </row>
    <row r="17">
      <c r="A17" s="10" t="inlineStr">
        <is>
          <t>Utility Cost / Unit</t>
        </is>
      </c>
      <c r="B17" s="9" t="n">
        <v>50</v>
      </c>
      <c r="C17" s="10" t="inlineStr">
        <is>
          <t>RM</t>
        </is>
      </c>
      <c r="D17" s="10" t="inlineStr">
        <is>
          <t>Average utility cost per unit</t>
        </is>
      </c>
      <c r="E17" s="10" t="inlineStr">
        <is>
          <t>Input</t>
        </is>
      </c>
    </row>
    <row r="18">
      <c r="A18" s="8" t="inlineStr">
        <is>
          <t>Contribution Margin / Unit</t>
        </is>
      </c>
      <c r="B18" s="9" t="n">
        <v>2000</v>
      </c>
      <c r="C18" s="8" t="inlineStr">
        <is>
          <t>RM</t>
        </is>
      </c>
      <c r="D18" s="8" t="inlineStr">
        <is>
          <t>Revenue - variable cost per unit</t>
        </is>
      </c>
      <c r="E18" s="8" t="inlineStr">
        <is>
          <t>Input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>
      <c r="A1" s="12" t="inlineStr">
        <is>
          <t>3. Loss Analysis — Opportunity Identification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4" t="inlineStr">
        <is>
          <t>Prepared for: EG SEOW</t>
        </is>
      </c>
    </row>
    <row r="5">
      <c r="A5" s="13" t="inlineStr">
        <is>
          <t>Loss Category</t>
        </is>
      </c>
      <c r="B5" s="13" t="inlineStr">
        <is>
          <t>Product ID</t>
        </is>
      </c>
      <c r="C5" s="13" t="inlineStr">
        <is>
          <t>Week 1</t>
        </is>
      </c>
      <c r="D5" s="13" t="inlineStr">
        <is>
          <t>Week 2</t>
        </is>
      </c>
      <c r="E5" s="13" t="inlineStr">
        <is>
          <t>Week 3</t>
        </is>
      </c>
      <c r="F5" s="13" t="inlineStr">
        <is>
          <t>Week 4</t>
        </is>
      </c>
      <c r="G5" s="13" t="inlineStr">
        <is>
          <t>Week 5</t>
        </is>
      </c>
      <c r="H5" s="13" t="inlineStr">
        <is>
          <t>Annual $ Impact (RM)</t>
        </is>
      </c>
    </row>
    <row r="6">
      <c r="A6" s="14" t="inlineStr">
        <is>
          <t>USDT - Machine Failure</t>
        </is>
      </c>
      <c r="B6" s="15" t="n">
        <v>1</v>
      </c>
      <c r="C6" s="15" t="inlineStr">
        <is>
          <t>'1. INPUT'!D10</t>
        </is>
      </c>
      <c r="D6" s="15" t="inlineStr">
        <is>
          <t>'1. INPUT'!E10</t>
        </is>
      </c>
      <c r="E6" s="15" t="inlineStr">
        <is>
          <t>'1. INPUT'!F10</t>
        </is>
      </c>
      <c r="F6" s="15" t="inlineStr">
        <is>
          <t>'1. INPUT'!G10</t>
        </is>
      </c>
      <c r="G6" s="15" t="inlineStr">
        <is>
          <t>'1. INPUT'!H10</t>
        </is>
      </c>
      <c r="H6" s="4">
        <f>SUM(C6:G6)*52</f>
        <v/>
      </c>
    </row>
    <row r="7">
      <c r="A7" t="inlineStr"/>
      <c r="B7" s="4" t="n">
        <v>2</v>
      </c>
      <c r="C7" s="4" t="inlineStr">
        <is>
          <t>'1. INPUT'!D11</t>
        </is>
      </c>
      <c r="D7" s="4" t="inlineStr">
        <is>
          <t>'1. INPUT'!E11</t>
        </is>
      </c>
      <c r="E7" s="4" t="inlineStr">
        <is>
          <t>'1. INPUT'!F11</t>
        </is>
      </c>
      <c r="F7" s="4" t="inlineStr">
        <is>
          <t>'1. INPUT'!G11</t>
        </is>
      </c>
      <c r="G7" s="4" t="inlineStr">
        <is>
          <t>'1. INPUT'!H11</t>
        </is>
      </c>
      <c r="H7" s="4">
        <f>SUM(C7:G7)*52</f>
        <v/>
      </c>
    </row>
    <row r="8">
      <c r="A8" t="inlineStr"/>
      <c r="B8" s="15" t="n">
        <v>3</v>
      </c>
      <c r="C8" s="15" t="inlineStr">
        <is>
          <t>'1. INPUT'!D12</t>
        </is>
      </c>
      <c r="D8" s="15" t="inlineStr">
        <is>
          <t>'1. INPUT'!E12</t>
        </is>
      </c>
      <c r="E8" s="15" t="inlineStr">
        <is>
          <t>'1. INPUT'!F12</t>
        </is>
      </c>
      <c r="F8" s="15" t="inlineStr">
        <is>
          <t>'1. INPUT'!G12</t>
        </is>
      </c>
      <c r="G8" s="15" t="inlineStr">
        <is>
          <t>'1. INPUT'!H12</t>
        </is>
      </c>
      <c r="H8" s="4">
        <f>SUM(C8:G8)*52</f>
        <v/>
      </c>
    </row>
    <row r="9">
      <c r="A9" t="inlineStr"/>
      <c r="B9" s="4" t="n">
        <v>4</v>
      </c>
      <c r="C9" s="4" t="inlineStr">
        <is>
          <t>'1. INPUT'!D13</t>
        </is>
      </c>
      <c r="D9" s="4" t="inlineStr">
        <is>
          <t>'1. INPUT'!E13</t>
        </is>
      </c>
      <c r="E9" s="4" t="inlineStr">
        <is>
          <t>'1. INPUT'!F13</t>
        </is>
      </c>
      <c r="F9" s="4" t="inlineStr">
        <is>
          <t>'1. INPUT'!G13</t>
        </is>
      </c>
      <c r="G9" s="4" t="inlineStr">
        <is>
          <t>'1. INPUT'!H13</t>
        </is>
      </c>
      <c r="H9" s="4">
        <f>SUM(C9:G9)*52</f>
        <v/>
      </c>
    </row>
    <row r="10">
      <c r="A10" t="inlineStr"/>
      <c r="B10" s="15" t="n">
        <v>5</v>
      </c>
      <c r="C10" s="15" t="inlineStr">
        <is>
          <t>'1. INPUT'!D14</t>
        </is>
      </c>
      <c r="D10" s="15" t="inlineStr">
        <is>
          <t>'1. INPUT'!E14</t>
        </is>
      </c>
      <c r="E10" s="15" t="inlineStr">
        <is>
          <t>'1. INPUT'!F14</t>
        </is>
      </c>
      <c r="F10" s="15" t="inlineStr">
        <is>
          <t>'1. INPUT'!G14</t>
        </is>
      </c>
      <c r="G10" s="15" t="inlineStr">
        <is>
          <t>'1. INPUT'!H14</t>
        </is>
      </c>
      <c r="H10" s="4">
        <f>SUM(C10:G10)*52</f>
        <v/>
      </c>
    </row>
    <row r="11">
      <c r="A11" t="inlineStr"/>
      <c r="B11" s="4" t="n">
        <v>6</v>
      </c>
      <c r="C11" s="4" t="inlineStr">
        <is>
          <t>'1. INPUT'!D15</t>
        </is>
      </c>
      <c r="D11" s="4" t="inlineStr">
        <is>
          <t>'1. INPUT'!E15</t>
        </is>
      </c>
      <c r="E11" s="4" t="inlineStr">
        <is>
          <t>'1. INPUT'!F15</t>
        </is>
      </c>
      <c r="F11" s="4" t="inlineStr">
        <is>
          <t>'1. INPUT'!G15</t>
        </is>
      </c>
      <c r="G11" s="4" t="inlineStr">
        <is>
          <t>'1. INPUT'!H15</t>
        </is>
      </c>
      <c r="H11" s="4">
        <f>SUM(C11:G11)*52</f>
        <v/>
      </c>
    </row>
    <row r="12">
      <c r="A12" t="inlineStr"/>
      <c r="B12" s="15" t="n">
        <v>7</v>
      </c>
      <c r="C12" s="15" t="inlineStr">
        <is>
          <t>'1. INPUT'!D16</t>
        </is>
      </c>
      <c r="D12" s="15" t="inlineStr">
        <is>
          <t>'1. INPUT'!E16</t>
        </is>
      </c>
      <c r="E12" s="15" t="inlineStr">
        <is>
          <t>'1. INPUT'!F16</t>
        </is>
      </c>
      <c r="F12" s="15" t="inlineStr">
        <is>
          <t>'1. INPUT'!G16</t>
        </is>
      </c>
      <c r="G12" s="15" t="inlineStr">
        <is>
          <t>'1. INPUT'!H16</t>
        </is>
      </c>
      <c r="H12" s="4">
        <f>SUM(C12:G12)*52</f>
        <v/>
      </c>
    </row>
    <row r="13">
      <c r="A13" t="inlineStr"/>
      <c r="B13" s="4" t="n">
        <v>8</v>
      </c>
      <c r="C13" s="4" t="inlineStr">
        <is>
          <t>'1. INPUT'!D17</t>
        </is>
      </c>
      <c r="D13" s="4" t="inlineStr">
        <is>
          <t>'1. INPUT'!E17</t>
        </is>
      </c>
      <c r="E13" s="4" t="inlineStr">
        <is>
          <t>'1. INPUT'!F17</t>
        </is>
      </c>
      <c r="F13" s="4" t="inlineStr">
        <is>
          <t>'1. INPUT'!G17</t>
        </is>
      </c>
      <c r="G13" s="4" t="inlineStr">
        <is>
          <t>'1. INPUT'!H17</t>
        </is>
      </c>
      <c r="H13" s="4">
        <f>SUM(C13:G13)*52</f>
        <v/>
      </c>
    </row>
    <row r="15">
      <c r="A15" s="16" t="inlineStr">
        <is>
          <t>USDT - Machine Assist</t>
        </is>
      </c>
      <c r="B15" s="4" t="n">
        <v>1</v>
      </c>
      <c r="C15" s="4" t="inlineStr">
        <is>
          <t>'1. INPUT'!D10</t>
        </is>
      </c>
      <c r="D15" s="4" t="inlineStr">
        <is>
          <t>'1. INPUT'!E10</t>
        </is>
      </c>
      <c r="E15" s="4" t="inlineStr">
        <is>
          <t>'1. INPUT'!F10</t>
        </is>
      </c>
      <c r="F15" s="4" t="inlineStr">
        <is>
          <t>'1. INPUT'!G10</t>
        </is>
      </c>
      <c r="G15" s="4" t="inlineStr">
        <is>
          <t>'1. INPUT'!H10</t>
        </is>
      </c>
      <c r="H15" s="17">
        <f>SUM(C15:G15)*52</f>
        <v/>
      </c>
    </row>
    <row r="16">
      <c r="A16" t="inlineStr"/>
      <c r="B16" s="15" t="n">
        <v>2</v>
      </c>
      <c r="C16" s="15" t="inlineStr">
        <is>
          <t>'1. INPUT'!D11</t>
        </is>
      </c>
      <c r="D16" s="15" t="inlineStr">
        <is>
          <t>'1. INPUT'!E11</t>
        </is>
      </c>
      <c r="E16" s="15" t="inlineStr">
        <is>
          <t>'1. INPUT'!F11</t>
        </is>
      </c>
      <c r="F16" s="15" t="inlineStr">
        <is>
          <t>'1. INPUT'!G11</t>
        </is>
      </c>
      <c r="G16" s="15" t="inlineStr">
        <is>
          <t>'1. INPUT'!H11</t>
        </is>
      </c>
      <c r="H16" s="4">
        <f>SUM(C16:G16)*52</f>
        <v/>
      </c>
    </row>
    <row r="17">
      <c r="A17" t="inlineStr"/>
      <c r="B17" s="4" t="n">
        <v>3</v>
      </c>
      <c r="C17" s="4" t="inlineStr">
        <is>
          <t>'1. INPUT'!D12</t>
        </is>
      </c>
      <c r="D17" s="4" t="inlineStr">
        <is>
          <t>'1. INPUT'!E12</t>
        </is>
      </c>
      <c r="E17" s="4" t="inlineStr">
        <is>
          <t>'1. INPUT'!F12</t>
        </is>
      </c>
      <c r="F17" s="4" t="inlineStr">
        <is>
          <t>'1. INPUT'!G12</t>
        </is>
      </c>
      <c r="G17" s="4" t="inlineStr">
        <is>
          <t>'1. INPUT'!H12</t>
        </is>
      </c>
      <c r="H17" s="4">
        <f>SUM(C17:G17)*52</f>
        <v/>
      </c>
    </row>
    <row r="18">
      <c r="A18" t="inlineStr"/>
      <c r="B18" s="15" t="n">
        <v>4</v>
      </c>
      <c r="C18" s="15" t="inlineStr">
        <is>
          <t>'1. INPUT'!D13</t>
        </is>
      </c>
      <c r="D18" s="15" t="inlineStr">
        <is>
          <t>'1. INPUT'!E13</t>
        </is>
      </c>
      <c r="E18" s="15" t="inlineStr">
        <is>
          <t>'1. INPUT'!F13</t>
        </is>
      </c>
      <c r="F18" s="15" t="inlineStr">
        <is>
          <t>'1. INPUT'!G13</t>
        </is>
      </c>
      <c r="G18" s="15" t="inlineStr">
        <is>
          <t>'1. INPUT'!H13</t>
        </is>
      </c>
      <c r="H18" s="4">
        <f>SUM(C18:G18)*52</f>
        <v/>
      </c>
    </row>
    <row r="19">
      <c r="A19" t="inlineStr"/>
      <c r="B19" s="4" t="n">
        <v>5</v>
      </c>
      <c r="C19" s="4" t="inlineStr">
        <is>
          <t>'1. INPUT'!D14</t>
        </is>
      </c>
      <c r="D19" s="4" t="inlineStr">
        <is>
          <t>'1. INPUT'!E14</t>
        </is>
      </c>
      <c r="E19" s="4" t="inlineStr">
        <is>
          <t>'1. INPUT'!F14</t>
        </is>
      </c>
      <c r="F19" s="4" t="inlineStr">
        <is>
          <t>'1. INPUT'!G14</t>
        </is>
      </c>
      <c r="G19" s="4" t="inlineStr">
        <is>
          <t>'1. INPUT'!H14</t>
        </is>
      </c>
      <c r="H19" s="4">
        <f>SUM(C19:G19)*52</f>
        <v/>
      </c>
    </row>
    <row r="20">
      <c r="A20" t="inlineStr"/>
      <c r="B20" s="15" t="n">
        <v>6</v>
      </c>
      <c r="C20" s="15" t="inlineStr">
        <is>
          <t>'1. INPUT'!D15</t>
        </is>
      </c>
      <c r="D20" s="15" t="inlineStr">
        <is>
          <t>'1. INPUT'!E15</t>
        </is>
      </c>
      <c r="E20" s="15" t="inlineStr">
        <is>
          <t>'1. INPUT'!F15</t>
        </is>
      </c>
      <c r="F20" s="15" t="inlineStr">
        <is>
          <t>'1. INPUT'!G15</t>
        </is>
      </c>
      <c r="G20" s="15" t="inlineStr">
        <is>
          <t>'1. INPUT'!H15</t>
        </is>
      </c>
      <c r="H20" s="4">
        <f>SUM(C20:G20)*52</f>
        <v/>
      </c>
    </row>
    <row r="21">
      <c r="A21" t="inlineStr"/>
      <c r="B21" s="4" t="n">
        <v>7</v>
      </c>
      <c r="C21" s="4" t="inlineStr">
        <is>
          <t>'1. INPUT'!D16</t>
        </is>
      </c>
      <c r="D21" s="4" t="inlineStr">
        <is>
          <t>'1. INPUT'!E16</t>
        </is>
      </c>
      <c r="E21" s="4" t="inlineStr">
        <is>
          <t>'1. INPUT'!F16</t>
        </is>
      </c>
      <c r="F21" s="4" t="inlineStr">
        <is>
          <t>'1. INPUT'!G16</t>
        </is>
      </c>
      <c r="G21" s="4" t="inlineStr">
        <is>
          <t>'1. INPUT'!H16</t>
        </is>
      </c>
      <c r="H21" s="4">
        <f>SUM(C21:G21)*52</f>
        <v/>
      </c>
    </row>
    <row r="22">
      <c r="A22" t="inlineStr"/>
      <c r="B22" s="15" t="n">
        <v>8</v>
      </c>
      <c r="C22" s="15" t="inlineStr">
        <is>
          <t>'1. INPUT'!D17</t>
        </is>
      </c>
      <c r="D22" s="15" t="inlineStr">
        <is>
          <t>'1. INPUT'!E17</t>
        </is>
      </c>
      <c r="E22" s="15" t="inlineStr">
        <is>
          <t>'1. INPUT'!F17</t>
        </is>
      </c>
      <c r="F22" s="15" t="inlineStr">
        <is>
          <t>'1. INPUT'!G17</t>
        </is>
      </c>
      <c r="G22" s="15" t="inlineStr">
        <is>
          <t>'1. INPUT'!H17</t>
        </is>
      </c>
      <c r="H22" s="4">
        <f>SUM(C22:G22)*52</f>
        <v/>
      </c>
    </row>
    <row r="24">
      <c r="A24" s="16" t="inlineStr">
        <is>
          <t>Quality Loss - Defect</t>
        </is>
      </c>
      <c r="B24" s="15" t="n">
        <v>1</v>
      </c>
      <c r="C24" s="15" t="inlineStr">
        <is>
          <t>'1. INPUT'!D10</t>
        </is>
      </c>
      <c r="D24" s="15" t="inlineStr">
        <is>
          <t>'1. INPUT'!E10</t>
        </is>
      </c>
      <c r="E24" s="15" t="inlineStr">
        <is>
          <t>'1. INPUT'!F10</t>
        </is>
      </c>
      <c r="F24" s="15" t="inlineStr">
        <is>
          <t>'1. INPUT'!G10</t>
        </is>
      </c>
      <c r="G24" s="15" t="inlineStr">
        <is>
          <t>'1. INPUT'!H10</t>
        </is>
      </c>
      <c r="H24" s="17">
        <f>SUM(C24:G24)*52</f>
        <v/>
      </c>
    </row>
    <row r="25">
      <c r="A25" t="inlineStr"/>
      <c r="B25" s="4" t="n">
        <v>2</v>
      </c>
      <c r="C25" s="4" t="inlineStr">
        <is>
          <t>'1. INPUT'!D11</t>
        </is>
      </c>
      <c r="D25" s="4" t="inlineStr">
        <is>
          <t>'1. INPUT'!E11</t>
        </is>
      </c>
      <c r="E25" s="4" t="inlineStr">
        <is>
          <t>'1. INPUT'!F11</t>
        </is>
      </c>
      <c r="F25" s="4" t="inlineStr">
        <is>
          <t>'1. INPUT'!G11</t>
        </is>
      </c>
      <c r="G25" s="4" t="inlineStr">
        <is>
          <t>'1. INPUT'!H11</t>
        </is>
      </c>
      <c r="H25" s="4">
        <f>SUM(C25:G25)*52</f>
        <v/>
      </c>
    </row>
    <row r="26">
      <c r="A26" t="inlineStr"/>
      <c r="B26" s="15" t="n">
        <v>3</v>
      </c>
      <c r="C26" s="15" t="inlineStr">
        <is>
          <t>'1. INPUT'!D12</t>
        </is>
      </c>
      <c r="D26" s="15" t="inlineStr">
        <is>
          <t>'1. INPUT'!E12</t>
        </is>
      </c>
      <c r="E26" s="15" t="inlineStr">
        <is>
          <t>'1. INPUT'!F12</t>
        </is>
      </c>
      <c r="F26" s="15" t="inlineStr">
        <is>
          <t>'1. INPUT'!G12</t>
        </is>
      </c>
      <c r="G26" s="15" t="inlineStr">
        <is>
          <t>'1. INPUT'!H12</t>
        </is>
      </c>
      <c r="H26" s="4">
        <f>SUM(C26:G26)*52</f>
        <v/>
      </c>
    </row>
    <row r="27">
      <c r="A27" t="inlineStr"/>
      <c r="B27" s="4" t="n">
        <v>4</v>
      </c>
      <c r="C27" s="4" t="inlineStr">
        <is>
          <t>'1. INPUT'!D13</t>
        </is>
      </c>
      <c r="D27" s="4" t="inlineStr">
        <is>
          <t>'1. INPUT'!E13</t>
        </is>
      </c>
      <c r="E27" s="4" t="inlineStr">
        <is>
          <t>'1. INPUT'!F13</t>
        </is>
      </c>
      <c r="F27" s="4" t="inlineStr">
        <is>
          <t>'1. INPUT'!G13</t>
        </is>
      </c>
      <c r="G27" s="4" t="inlineStr">
        <is>
          <t>'1. INPUT'!H13</t>
        </is>
      </c>
      <c r="H27" s="4">
        <f>SUM(C27:G27)*52</f>
        <v/>
      </c>
    </row>
    <row r="28">
      <c r="A28" t="inlineStr"/>
      <c r="B28" s="15" t="n">
        <v>5</v>
      </c>
      <c r="C28" s="15" t="inlineStr">
        <is>
          <t>'1. INPUT'!D14</t>
        </is>
      </c>
      <c r="D28" s="15" t="inlineStr">
        <is>
          <t>'1. INPUT'!E14</t>
        </is>
      </c>
      <c r="E28" s="15" t="inlineStr">
        <is>
          <t>'1. INPUT'!F14</t>
        </is>
      </c>
      <c r="F28" s="15" t="inlineStr">
        <is>
          <t>'1. INPUT'!G14</t>
        </is>
      </c>
      <c r="G28" s="15" t="inlineStr">
        <is>
          <t>'1. INPUT'!H14</t>
        </is>
      </c>
      <c r="H28" s="4">
        <f>SUM(C28:G28)*52</f>
        <v/>
      </c>
    </row>
    <row r="29">
      <c r="A29" t="inlineStr"/>
      <c r="B29" s="4" t="n">
        <v>6</v>
      </c>
      <c r="C29" s="4" t="inlineStr">
        <is>
          <t>'1. INPUT'!D15</t>
        </is>
      </c>
      <c r="D29" s="4" t="inlineStr">
        <is>
          <t>'1. INPUT'!E15</t>
        </is>
      </c>
      <c r="E29" s="4" t="inlineStr">
        <is>
          <t>'1. INPUT'!F15</t>
        </is>
      </c>
      <c r="F29" s="4" t="inlineStr">
        <is>
          <t>'1. INPUT'!G15</t>
        </is>
      </c>
      <c r="G29" s="4" t="inlineStr">
        <is>
          <t>'1. INPUT'!H15</t>
        </is>
      </c>
      <c r="H29" s="4">
        <f>SUM(C29:G29)*52</f>
        <v/>
      </c>
    </row>
    <row r="30">
      <c r="A30" t="inlineStr"/>
      <c r="B30" s="15" t="n">
        <v>7</v>
      </c>
      <c r="C30" s="15" t="inlineStr">
        <is>
          <t>'1. INPUT'!D16</t>
        </is>
      </c>
      <c r="D30" s="15" t="inlineStr">
        <is>
          <t>'1. INPUT'!E16</t>
        </is>
      </c>
      <c r="E30" s="15" t="inlineStr">
        <is>
          <t>'1. INPUT'!F16</t>
        </is>
      </c>
      <c r="F30" s="15" t="inlineStr">
        <is>
          <t>'1. INPUT'!G16</t>
        </is>
      </c>
      <c r="G30" s="15" t="inlineStr">
        <is>
          <t>'1. INPUT'!H16</t>
        </is>
      </c>
      <c r="H30" s="4">
        <f>SUM(C30:G30)*52</f>
        <v/>
      </c>
    </row>
    <row r="31">
      <c r="A31" t="inlineStr"/>
      <c r="B31" s="4" t="n">
        <v>8</v>
      </c>
      <c r="C31" s="4" t="inlineStr">
        <is>
          <t>'1. INPUT'!D17</t>
        </is>
      </c>
      <c r="D31" s="4" t="inlineStr">
        <is>
          <t>'1. INPUT'!E17</t>
        </is>
      </c>
      <c r="E31" s="4" t="inlineStr">
        <is>
          <t>'1. INPUT'!F17</t>
        </is>
      </c>
      <c r="F31" s="4" t="inlineStr">
        <is>
          <t>'1. INPUT'!G17</t>
        </is>
      </c>
      <c r="G31" s="4" t="inlineStr">
        <is>
          <t>'1. INPUT'!H17</t>
        </is>
      </c>
      <c r="H31" s="4">
        <f>SUM(C31:G31)*52</f>
        <v/>
      </c>
    </row>
    <row r="33">
      <c r="A33" s="16" t="inlineStr">
        <is>
          <t>Quality Loss - Rework</t>
        </is>
      </c>
      <c r="B33" s="4" t="n">
        <v>1</v>
      </c>
      <c r="C33" s="4" t="inlineStr">
        <is>
          <t>'1. INPUT'!D10</t>
        </is>
      </c>
      <c r="D33" s="4" t="inlineStr">
        <is>
          <t>'1. INPUT'!E10</t>
        </is>
      </c>
      <c r="E33" s="4" t="inlineStr">
        <is>
          <t>'1. INPUT'!F10</t>
        </is>
      </c>
      <c r="F33" s="4" t="inlineStr">
        <is>
          <t>'1. INPUT'!G10</t>
        </is>
      </c>
      <c r="G33" s="4" t="inlineStr">
        <is>
          <t>'1. INPUT'!H10</t>
        </is>
      </c>
      <c r="H33" s="17">
        <f>SUM(C33:G33)*52</f>
        <v/>
      </c>
    </row>
    <row r="34">
      <c r="A34" t="inlineStr"/>
      <c r="B34" s="15" t="n">
        <v>2</v>
      </c>
      <c r="C34" s="15" t="inlineStr">
        <is>
          <t>'1. INPUT'!D11</t>
        </is>
      </c>
      <c r="D34" s="15" t="inlineStr">
        <is>
          <t>'1. INPUT'!E11</t>
        </is>
      </c>
      <c r="E34" s="15" t="inlineStr">
        <is>
          <t>'1. INPUT'!F11</t>
        </is>
      </c>
      <c r="F34" s="15" t="inlineStr">
        <is>
          <t>'1. INPUT'!G11</t>
        </is>
      </c>
      <c r="G34" s="15" t="inlineStr">
        <is>
          <t>'1. INPUT'!H11</t>
        </is>
      </c>
      <c r="H34" s="4">
        <f>SUM(C34:G34)*52</f>
        <v/>
      </c>
    </row>
    <row r="35">
      <c r="A35" t="inlineStr"/>
      <c r="B35" s="4" t="n">
        <v>3</v>
      </c>
      <c r="C35" s="4" t="inlineStr">
        <is>
          <t>'1. INPUT'!D12</t>
        </is>
      </c>
      <c r="D35" s="4" t="inlineStr">
        <is>
          <t>'1. INPUT'!E12</t>
        </is>
      </c>
      <c r="E35" s="4" t="inlineStr">
        <is>
          <t>'1. INPUT'!F12</t>
        </is>
      </c>
      <c r="F35" s="4" t="inlineStr">
        <is>
          <t>'1. INPUT'!G12</t>
        </is>
      </c>
      <c r="G35" s="4" t="inlineStr">
        <is>
          <t>'1. INPUT'!H12</t>
        </is>
      </c>
      <c r="H35" s="4">
        <f>SUM(C35:G35)*52</f>
        <v/>
      </c>
    </row>
    <row r="36">
      <c r="A36" t="inlineStr"/>
      <c r="B36" s="15" t="n">
        <v>4</v>
      </c>
      <c r="C36" s="15" t="inlineStr">
        <is>
          <t>'1. INPUT'!D13</t>
        </is>
      </c>
      <c r="D36" s="15" t="inlineStr">
        <is>
          <t>'1. INPUT'!E13</t>
        </is>
      </c>
      <c r="E36" s="15" t="inlineStr">
        <is>
          <t>'1. INPUT'!F13</t>
        </is>
      </c>
      <c r="F36" s="15" t="inlineStr">
        <is>
          <t>'1. INPUT'!G13</t>
        </is>
      </c>
      <c r="G36" s="15" t="inlineStr">
        <is>
          <t>'1. INPUT'!H13</t>
        </is>
      </c>
      <c r="H36" s="4">
        <f>SUM(C36:G36)*52</f>
        <v/>
      </c>
    </row>
    <row r="37">
      <c r="A37" t="inlineStr"/>
      <c r="B37" s="4" t="n">
        <v>5</v>
      </c>
      <c r="C37" s="4" t="inlineStr">
        <is>
          <t>'1. INPUT'!D14</t>
        </is>
      </c>
      <c r="D37" s="4" t="inlineStr">
        <is>
          <t>'1. INPUT'!E14</t>
        </is>
      </c>
      <c r="E37" s="4" t="inlineStr">
        <is>
          <t>'1. INPUT'!F14</t>
        </is>
      </c>
      <c r="F37" s="4" t="inlineStr">
        <is>
          <t>'1. INPUT'!G14</t>
        </is>
      </c>
      <c r="G37" s="4" t="inlineStr">
        <is>
          <t>'1. INPUT'!H14</t>
        </is>
      </c>
      <c r="H37" s="4">
        <f>SUM(C37:G37)*52</f>
        <v/>
      </c>
    </row>
    <row r="38">
      <c r="A38" t="inlineStr"/>
      <c r="B38" s="15" t="n">
        <v>6</v>
      </c>
      <c r="C38" s="15" t="inlineStr">
        <is>
          <t>'1. INPUT'!D15</t>
        </is>
      </c>
      <c r="D38" s="15" t="inlineStr">
        <is>
          <t>'1. INPUT'!E15</t>
        </is>
      </c>
      <c r="E38" s="15" t="inlineStr">
        <is>
          <t>'1. INPUT'!F15</t>
        </is>
      </c>
      <c r="F38" s="15" t="inlineStr">
        <is>
          <t>'1. INPUT'!G15</t>
        </is>
      </c>
      <c r="G38" s="15" t="inlineStr">
        <is>
          <t>'1. INPUT'!H15</t>
        </is>
      </c>
      <c r="H38" s="4">
        <f>SUM(C38:G38)*52</f>
        <v/>
      </c>
    </row>
    <row r="39">
      <c r="A39" t="inlineStr"/>
      <c r="B39" s="4" t="n">
        <v>7</v>
      </c>
      <c r="C39" s="4" t="inlineStr">
        <is>
          <t>'1. INPUT'!D16</t>
        </is>
      </c>
      <c r="D39" s="4" t="inlineStr">
        <is>
          <t>'1. INPUT'!E16</t>
        </is>
      </c>
      <c r="E39" s="4" t="inlineStr">
        <is>
          <t>'1. INPUT'!F16</t>
        </is>
      </c>
      <c r="F39" s="4" t="inlineStr">
        <is>
          <t>'1. INPUT'!G16</t>
        </is>
      </c>
      <c r="G39" s="4" t="inlineStr">
        <is>
          <t>'1. INPUT'!H16</t>
        </is>
      </c>
      <c r="H39" s="4">
        <f>SUM(C39:G39)*52</f>
        <v/>
      </c>
    </row>
    <row r="40">
      <c r="A40" t="inlineStr"/>
      <c r="B40" s="15" t="n">
        <v>8</v>
      </c>
      <c r="C40" s="15" t="inlineStr">
        <is>
          <t>'1. INPUT'!D17</t>
        </is>
      </c>
      <c r="D40" s="15" t="inlineStr">
        <is>
          <t>'1. INPUT'!E17</t>
        </is>
      </c>
      <c r="E40" s="15" t="inlineStr">
        <is>
          <t>'1. INPUT'!F17</t>
        </is>
      </c>
      <c r="F40" s="15" t="inlineStr">
        <is>
          <t>'1. INPUT'!G17</t>
        </is>
      </c>
      <c r="G40" s="15" t="inlineStr">
        <is>
          <t>'1. INPUT'!H17</t>
        </is>
      </c>
      <c r="H40" s="4">
        <f>SUM(C40:G40)*52</f>
        <v/>
      </c>
    </row>
    <row r="42">
      <c r="A42" s="16" t="inlineStr">
        <is>
          <t>Speed Loss</t>
        </is>
      </c>
      <c r="B42" s="15" t="n">
        <v>1</v>
      </c>
      <c r="C42" s="15" t="inlineStr">
        <is>
          <t>'1. INPUT'!D10</t>
        </is>
      </c>
      <c r="D42" s="15" t="inlineStr">
        <is>
          <t>'1. INPUT'!E10</t>
        </is>
      </c>
      <c r="E42" s="15" t="inlineStr">
        <is>
          <t>'1. INPUT'!F10</t>
        </is>
      </c>
      <c r="F42" s="15" t="inlineStr">
        <is>
          <t>'1. INPUT'!G10</t>
        </is>
      </c>
      <c r="G42" s="15" t="inlineStr">
        <is>
          <t>'1. INPUT'!H10</t>
        </is>
      </c>
      <c r="H42" s="17">
        <f>SUM(C42:G42)*52</f>
        <v/>
      </c>
    </row>
    <row r="43">
      <c r="A43" t="inlineStr"/>
      <c r="B43" s="4" t="n">
        <v>2</v>
      </c>
      <c r="C43" s="4" t="inlineStr">
        <is>
          <t>'1. INPUT'!D11</t>
        </is>
      </c>
      <c r="D43" s="4" t="inlineStr">
        <is>
          <t>'1. INPUT'!E11</t>
        </is>
      </c>
      <c r="E43" s="4" t="inlineStr">
        <is>
          <t>'1. INPUT'!F11</t>
        </is>
      </c>
      <c r="F43" s="4" t="inlineStr">
        <is>
          <t>'1. INPUT'!G11</t>
        </is>
      </c>
      <c r="G43" s="4" t="inlineStr">
        <is>
          <t>'1. INPUT'!H11</t>
        </is>
      </c>
      <c r="H43" s="4">
        <f>SUM(C43:G43)*52</f>
        <v/>
      </c>
    </row>
    <row r="44">
      <c r="A44" t="inlineStr"/>
      <c r="B44" s="15" t="n">
        <v>3</v>
      </c>
      <c r="C44" s="15" t="inlineStr">
        <is>
          <t>'1. INPUT'!D12</t>
        </is>
      </c>
      <c r="D44" s="15" t="inlineStr">
        <is>
          <t>'1. INPUT'!E12</t>
        </is>
      </c>
      <c r="E44" s="15" t="inlineStr">
        <is>
          <t>'1. INPUT'!F12</t>
        </is>
      </c>
      <c r="F44" s="15" t="inlineStr">
        <is>
          <t>'1. INPUT'!G12</t>
        </is>
      </c>
      <c r="G44" s="15" t="inlineStr">
        <is>
          <t>'1. INPUT'!H12</t>
        </is>
      </c>
      <c r="H44" s="4">
        <f>SUM(C44:G44)*52</f>
        <v/>
      </c>
    </row>
    <row r="45">
      <c r="A45" t="inlineStr"/>
      <c r="B45" s="4" t="n">
        <v>4</v>
      </c>
      <c r="C45" s="4" t="inlineStr">
        <is>
          <t>'1. INPUT'!D13</t>
        </is>
      </c>
      <c r="D45" s="4" t="inlineStr">
        <is>
          <t>'1. INPUT'!E13</t>
        </is>
      </c>
      <c r="E45" s="4" t="inlineStr">
        <is>
          <t>'1. INPUT'!F13</t>
        </is>
      </c>
      <c r="F45" s="4" t="inlineStr">
        <is>
          <t>'1. INPUT'!G13</t>
        </is>
      </c>
      <c r="G45" s="4" t="inlineStr">
        <is>
          <t>'1. INPUT'!H13</t>
        </is>
      </c>
      <c r="H45" s="4">
        <f>SUM(C45:G45)*52</f>
        <v/>
      </c>
    </row>
    <row r="46">
      <c r="A46" t="inlineStr"/>
      <c r="B46" s="15" t="n">
        <v>5</v>
      </c>
      <c r="C46" s="15" t="inlineStr">
        <is>
          <t>'1. INPUT'!D14</t>
        </is>
      </c>
      <c r="D46" s="15" t="inlineStr">
        <is>
          <t>'1. INPUT'!E14</t>
        </is>
      </c>
      <c r="E46" s="15" t="inlineStr">
        <is>
          <t>'1. INPUT'!F14</t>
        </is>
      </c>
      <c r="F46" s="15" t="inlineStr">
        <is>
          <t>'1. INPUT'!G14</t>
        </is>
      </c>
      <c r="G46" s="15" t="inlineStr">
        <is>
          <t>'1. INPUT'!H14</t>
        </is>
      </c>
      <c r="H46" s="4">
        <f>SUM(C46:G46)*52</f>
        <v/>
      </c>
    </row>
    <row r="47">
      <c r="A47" t="inlineStr"/>
      <c r="B47" s="4" t="n">
        <v>6</v>
      </c>
      <c r="C47" s="4" t="inlineStr">
        <is>
          <t>'1. INPUT'!D15</t>
        </is>
      </c>
      <c r="D47" s="4" t="inlineStr">
        <is>
          <t>'1. INPUT'!E15</t>
        </is>
      </c>
      <c r="E47" s="4" t="inlineStr">
        <is>
          <t>'1. INPUT'!F15</t>
        </is>
      </c>
      <c r="F47" s="4" t="inlineStr">
        <is>
          <t>'1. INPUT'!G15</t>
        </is>
      </c>
      <c r="G47" s="4" t="inlineStr">
        <is>
          <t>'1. INPUT'!H15</t>
        </is>
      </c>
      <c r="H47" s="4">
        <f>SUM(C47:G47)*52</f>
        <v/>
      </c>
    </row>
    <row r="48">
      <c r="A48" t="inlineStr"/>
      <c r="B48" s="15" t="n">
        <v>7</v>
      </c>
      <c r="C48" s="15" t="inlineStr">
        <is>
          <t>'1. INPUT'!D16</t>
        </is>
      </c>
      <c r="D48" s="15" t="inlineStr">
        <is>
          <t>'1. INPUT'!E16</t>
        </is>
      </c>
      <c r="E48" s="15" t="inlineStr">
        <is>
          <t>'1. INPUT'!F16</t>
        </is>
      </c>
      <c r="F48" s="15" t="inlineStr">
        <is>
          <t>'1. INPUT'!G16</t>
        </is>
      </c>
      <c r="G48" s="15" t="inlineStr">
        <is>
          <t>'1. INPUT'!H16</t>
        </is>
      </c>
      <c r="H48" s="4">
        <f>SUM(C48:G48)*52</f>
        <v/>
      </c>
    </row>
    <row r="49">
      <c r="A49" t="inlineStr"/>
      <c r="B49" s="4" t="n">
        <v>8</v>
      </c>
      <c r="C49" s="4" t="inlineStr">
        <is>
          <t>'1. INPUT'!D17</t>
        </is>
      </c>
      <c r="D49" s="4" t="inlineStr">
        <is>
          <t>'1. INPUT'!E17</t>
        </is>
      </c>
      <c r="E49" s="4" t="inlineStr">
        <is>
          <t>'1. INPUT'!F17</t>
        </is>
      </c>
      <c r="F49" s="4" t="inlineStr">
        <is>
          <t>'1. INPUT'!G17</t>
        </is>
      </c>
      <c r="G49" s="4" t="inlineStr">
        <is>
          <t>'1. INPUT'!H17</t>
        </is>
      </c>
      <c r="H49" s="4">
        <f>SUM(C49:G49)*52</f>
        <v/>
      </c>
    </row>
    <row r="51">
      <c r="A51" s="16" t="inlineStr">
        <is>
          <t>Labor Loss</t>
        </is>
      </c>
      <c r="B51" s="4" t="n">
        <v>1</v>
      </c>
      <c r="C51" s="4" t="inlineStr">
        <is>
          <t>'1. INPUT'!D10</t>
        </is>
      </c>
      <c r="D51" s="4" t="inlineStr">
        <is>
          <t>'1. INPUT'!E10</t>
        </is>
      </c>
      <c r="E51" s="4" t="inlineStr">
        <is>
          <t>'1. INPUT'!F10</t>
        </is>
      </c>
      <c r="F51" s="4" t="inlineStr">
        <is>
          <t>'1. INPUT'!G10</t>
        </is>
      </c>
      <c r="G51" s="4" t="inlineStr">
        <is>
          <t>'1. INPUT'!H10</t>
        </is>
      </c>
      <c r="H51" s="17">
        <f>SUM(C51:G51)*52</f>
        <v/>
      </c>
    </row>
    <row r="52">
      <c r="A52" t="inlineStr"/>
      <c r="B52" s="15" t="n">
        <v>2</v>
      </c>
      <c r="C52" s="15" t="inlineStr">
        <is>
          <t>'1. INPUT'!D11</t>
        </is>
      </c>
      <c r="D52" s="15" t="inlineStr">
        <is>
          <t>'1. INPUT'!E11</t>
        </is>
      </c>
      <c r="E52" s="15" t="inlineStr">
        <is>
          <t>'1. INPUT'!F11</t>
        </is>
      </c>
      <c r="F52" s="15" t="inlineStr">
        <is>
          <t>'1. INPUT'!G11</t>
        </is>
      </c>
      <c r="G52" s="15" t="inlineStr">
        <is>
          <t>'1. INPUT'!H11</t>
        </is>
      </c>
      <c r="H52" s="4">
        <f>SUM(C52:G52)*52</f>
        <v/>
      </c>
    </row>
    <row r="53">
      <c r="A53" t="inlineStr"/>
      <c r="B53" s="4" t="n">
        <v>3</v>
      </c>
      <c r="C53" s="4" t="inlineStr">
        <is>
          <t>'1. INPUT'!D12</t>
        </is>
      </c>
      <c r="D53" s="4" t="inlineStr">
        <is>
          <t>'1. INPUT'!E12</t>
        </is>
      </c>
      <c r="E53" s="4" t="inlineStr">
        <is>
          <t>'1. INPUT'!F12</t>
        </is>
      </c>
      <c r="F53" s="4" t="inlineStr">
        <is>
          <t>'1. INPUT'!G12</t>
        </is>
      </c>
      <c r="G53" s="4" t="inlineStr">
        <is>
          <t>'1. INPUT'!H12</t>
        </is>
      </c>
      <c r="H53" s="4">
        <f>SUM(C53:G53)*52</f>
        <v/>
      </c>
    </row>
    <row r="54">
      <c r="A54" t="inlineStr"/>
      <c r="B54" s="15" t="n">
        <v>4</v>
      </c>
      <c r="C54" s="15" t="inlineStr">
        <is>
          <t>'1. INPUT'!D13</t>
        </is>
      </c>
      <c r="D54" s="15" t="inlineStr">
        <is>
          <t>'1. INPUT'!E13</t>
        </is>
      </c>
      <c r="E54" s="15" t="inlineStr">
        <is>
          <t>'1. INPUT'!F13</t>
        </is>
      </c>
      <c r="F54" s="15" t="inlineStr">
        <is>
          <t>'1. INPUT'!G13</t>
        </is>
      </c>
      <c r="G54" s="15" t="inlineStr">
        <is>
          <t>'1. INPUT'!H13</t>
        </is>
      </c>
      <c r="H54" s="4">
        <f>SUM(C54:G54)*52</f>
        <v/>
      </c>
    </row>
    <row r="55">
      <c r="A55" t="inlineStr"/>
      <c r="B55" s="4" t="n">
        <v>5</v>
      </c>
      <c r="C55" s="4" t="inlineStr">
        <is>
          <t>'1. INPUT'!D14</t>
        </is>
      </c>
      <c r="D55" s="4" t="inlineStr">
        <is>
          <t>'1. INPUT'!E14</t>
        </is>
      </c>
      <c r="E55" s="4" t="inlineStr">
        <is>
          <t>'1. INPUT'!F14</t>
        </is>
      </c>
      <c r="F55" s="4" t="inlineStr">
        <is>
          <t>'1. INPUT'!G14</t>
        </is>
      </c>
      <c r="G55" s="4" t="inlineStr">
        <is>
          <t>'1. INPUT'!H14</t>
        </is>
      </c>
      <c r="H55" s="4">
        <f>SUM(C55:G55)*52</f>
        <v/>
      </c>
    </row>
    <row r="56">
      <c r="A56" t="inlineStr"/>
      <c r="B56" s="15" t="n">
        <v>6</v>
      </c>
      <c r="C56" s="15" t="inlineStr">
        <is>
          <t>'1. INPUT'!D15</t>
        </is>
      </c>
      <c r="D56" s="15" t="inlineStr">
        <is>
          <t>'1. INPUT'!E15</t>
        </is>
      </c>
      <c r="E56" s="15" t="inlineStr">
        <is>
          <t>'1. INPUT'!F15</t>
        </is>
      </c>
      <c r="F56" s="15" t="inlineStr">
        <is>
          <t>'1. INPUT'!G15</t>
        </is>
      </c>
      <c r="G56" s="15" t="inlineStr">
        <is>
          <t>'1. INPUT'!H15</t>
        </is>
      </c>
      <c r="H56" s="4">
        <f>SUM(C56:G56)*52</f>
        <v/>
      </c>
    </row>
    <row r="57">
      <c r="A57" t="inlineStr"/>
      <c r="B57" s="4" t="n">
        <v>7</v>
      </c>
      <c r="C57" s="4" t="inlineStr">
        <is>
          <t>'1. INPUT'!D16</t>
        </is>
      </c>
      <c r="D57" s="4" t="inlineStr">
        <is>
          <t>'1. INPUT'!E16</t>
        </is>
      </c>
      <c r="E57" s="4" t="inlineStr">
        <is>
          <t>'1. INPUT'!F16</t>
        </is>
      </c>
      <c r="F57" s="4" t="inlineStr">
        <is>
          <t>'1. INPUT'!G16</t>
        </is>
      </c>
      <c r="G57" s="4" t="inlineStr">
        <is>
          <t>'1. INPUT'!H16</t>
        </is>
      </c>
      <c r="H57" s="4">
        <f>SUM(C57:G57)*52</f>
        <v/>
      </c>
    </row>
    <row r="58">
      <c r="A58" t="inlineStr"/>
      <c r="B58" s="15" t="n">
        <v>8</v>
      </c>
      <c r="C58" s="15" t="inlineStr">
        <is>
          <t>'1. INPUT'!D17</t>
        </is>
      </c>
      <c r="D58" s="15" t="inlineStr">
        <is>
          <t>'1. INPUT'!E17</t>
        </is>
      </c>
      <c r="E58" s="15" t="inlineStr">
        <is>
          <t>'1. INPUT'!F17</t>
        </is>
      </c>
      <c r="F58" s="15" t="inlineStr">
        <is>
          <t>'1. INPUT'!G17</t>
        </is>
      </c>
      <c r="G58" s="15" t="inlineStr">
        <is>
          <t>'1. INPUT'!H17</t>
        </is>
      </c>
      <c r="H58" s="4">
        <f>SUM(C58:G58)*52</f>
        <v/>
      </c>
    </row>
    <row r="60">
      <c r="A60" s="16" t="inlineStr">
        <is>
          <t>Utility Waste</t>
        </is>
      </c>
      <c r="B60" s="15" t="n">
        <v>1</v>
      </c>
      <c r="C60" s="15" t="inlineStr">
        <is>
          <t>'1. INPUT'!D10</t>
        </is>
      </c>
      <c r="D60" s="15" t="inlineStr">
        <is>
          <t>'1. INPUT'!E10</t>
        </is>
      </c>
      <c r="E60" s="15" t="inlineStr">
        <is>
          <t>'1. INPUT'!F10</t>
        </is>
      </c>
      <c r="F60" s="15" t="inlineStr">
        <is>
          <t>'1. INPUT'!G10</t>
        </is>
      </c>
      <c r="G60" s="15" t="inlineStr">
        <is>
          <t>'1. INPUT'!H10</t>
        </is>
      </c>
      <c r="H60" s="17">
        <f>SUM(C60:G60)*52</f>
        <v/>
      </c>
    </row>
    <row r="61">
      <c r="A61" t="inlineStr"/>
      <c r="B61" s="4" t="n">
        <v>2</v>
      </c>
      <c r="C61" s="4" t="inlineStr">
        <is>
          <t>'1. INPUT'!D11</t>
        </is>
      </c>
      <c r="D61" s="4" t="inlineStr">
        <is>
          <t>'1. INPUT'!E11</t>
        </is>
      </c>
      <c r="E61" s="4" t="inlineStr">
        <is>
          <t>'1. INPUT'!F11</t>
        </is>
      </c>
      <c r="F61" s="4" t="inlineStr">
        <is>
          <t>'1. INPUT'!G11</t>
        </is>
      </c>
      <c r="G61" s="4" t="inlineStr">
        <is>
          <t>'1. INPUT'!H11</t>
        </is>
      </c>
      <c r="H61" s="4">
        <f>SUM(C61:G61)*52</f>
        <v/>
      </c>
    </row>
    <row r="62">
      <c r="A62" t="inlineStr"/>
      <c r="B62" s="15" t="n">
        <v>3</v>
      </c>
      <c r="C62" s="15" t="inlineStr">
        <is>
          <t>'1. INPUT'!D12</t>
        </is>
      </c>
      <c r="D62" s="15" t="inlineStr">
        <is>
          <t>'1. INPUT'!E12</t>
        </is>
      </c>
      <c r="E62" s="15" t="inlineStr">
        <is>
          <t>'1. INPUT'!F12</t>
        </is>
      </c>
      <c r="F62" s="15" t="inlineStr">
        <is>
          <t>'1. INPUT'!G12</t>
        </is>
      </c>
      <c r="G62" s="15" t="inlineStr">
        <is>
          <t>'1. INPUT'!H12</t>
        </is>
      </c>
      <c r="H62" s="4">
        <f>SUM(C62:G62)*52</f>
        <v/>
      </c>
    </row>
    <row r="63">
      <c r="A63" t="inlineStr"/>
      <c r="B63" s="4" t="n">
        <v>4</v>
      </c>
      <c r="C63" s="4" t="inlineStr">
        <is>
          <t>'1. INPUT'!D13</t>
        </is>
      </c>
      <c r="D63" s="4" t="inlineStr">
        <is>
          <t>'1. INPUT'!E13</t>
        </is>
      </c>
      <c r="E63" s="4" t="inlineStr">
        <is>
          <t>'1. INPUT'!F13</t>
        </is>
      </c>
      <c r="F63" s="4" t="inlineStr">
        <is>
          <t>'1. INPUT'!G13</t>
        </is>
      </c>
      <c r="G63" s="4" t="inlineStr">
        <is>
          <t>'1. INPUT'!H13</t>
        </is>
      </c>
      <c r="H63" s="4">
        <f>SUM(C63:G63)*52</f>
        <v/>
      </c>
    </row>
    <row r="64">
      <c r="A64" t="inlineStr"/>
      <c r="B64" s="15" t="n">
        <v>5</v>
      </c>
      <c r="C64" s="15" t="inlineStr">
        <is>
          <t>'1. INPUT'!D14</t>
        </is>
      </c>
      <c r="D64" s="15" t="inlineStr">
        <is>
          <t>'1. INPUT'!E14</t>
        </is>
      </c>
      <c r="E64" s="15" t="inlineStr">
        <is>
          <t>'1. INPUT'!F14</t>
        </is>
      </c>
      <c r="F64" s="15" t="inlineStr">
        <is>
          <t>'1. INPUT'!G14</t>
        </is>
      </c>
      <c r="G64" s="15" t="inlineStr">
        <is>
          <t>'1. INPUT'!H14</t>
        </is>
      </c>
      <c r="H64" s="4">
        <f>SUM(C64:G64)*52</f>
        <v/>
      </c>
    </row>
    <row r="65">
      <c r="A65" t="inlineStr"/>
      <c r="B65" s="4" t="n">
        <v>6</v>
      </c>
      <c r="C65" s="4" t="inlineStr">
        <is>
          <t>'1. INPUT'!D15</t>
        </is>
      </c>
      <c r="D65" s="4" t="inlineStr">
        <is>
          <t>'1. INPUT'!E15</t>
        </is>
      </c>
      <c r="E65" s="4" t="inlineStr">
        <is>
          <t>'1. INPUT'!F15</t>
        </is>
      </c>
      <c r="F65" s="4" t="inlineStr">
        <is>
          <t>'1. INPUT'!G15</t>
        </is>
      </c>
      <c r="G65" s="4" t="inlineStr">
        <is>
          <t>'1. INPUT'!H15</t>
        </is>
      </c>
      <c r="H65" s="4">
        <f>SUM(C65:G65)*52</f>
        <v/>
      </c>
    </row>
    <row r="66">
      <c r="A66" t="inlineStr"/>
      <c r="B66" s="15" t="n">
        <v>7</v>
      </c>
      <c r="C66" s="15" t="inlineStr">
        <is>
          <t>'1. INPUT'!D16</t>
        </is>
      </c>
      <c r="D66" s="15" t="inlineStr">
        <is>
          <t>'1. INPUT'!E16</t>
        </is>
      </c>
      <c r="E66" s="15" t="inlineStr">
        <is>
          <t>'1. INPUT'!F16</t>
        </is>
      </c>
      <c r="F66" s="15" t="inlineStr">
        <is>
          <t>'1. INPUT'!G16</t>
        </is>
      </c>
      <c r="G66" s="15" t="inlineStr">
        <is>
          <t>'1. INPUT'!H16</t>
        </is>
      </c>
      <c r="H66" s="4">
        <f>SUM(C66:G66)*52</f>
        <v/>
      </c>
    </row>
    <row r="67">
      <c r="A67" t="inlineStr"/>
      <c r="B67" s="4" t="n">
        <v>8</v>
      </c>
      <c r="C67" s="4" t="inlineStr">
        <is>
          <t>'1. INPUT'!D17</t>
        </is>
      </c>
      <c r="D67" s="4" t="inlineStr">
        <is>
          <t>'1. INPUT'!E17</t>
        </is>
      </c>
      <c r="E67" s="4" t="inlineStr">
        <is>
          <t>'1. INPUT'!F17</t>
        </is>
      </c>
      <c r="F67" s="4" t="inlineStr">
        <is>
          <t>'1. INPUT'!G17</t>
        </is>
      </c>
      <c r="G67" s="4" t="inlineStr">
        <is>
          <t>'1. INPUT'!H17</t>
        </is>
      </c>
      <c r="H67" s="4">
        <f>SUM(C67:G67)*52</f>
        <v/>
      </c>
    </row>
    <row r="69">
      <c r="A69" s="16" t="inlineStr">
        <is>
          <t>Customer Return</t>
        </is>
      </c>
      <c r="B69" s="4" t="n">
        <v>1</v>
      </c>
      <c r="C69" s="4" t="inlineStr">
        <is>
          <t>'1. INPUT'!D10</t>
        </is>
      </c>
      <c r="D69" s="4" t="inlineStr">
        <is>
          <t>'1. INPUT'!E10</t>
        </is>
      </c>
      <c r="E69" s="4" t="inlineStr">
        <is>
          <t>'1. INPUT'!F10</t>
        </is>
      </c>
      <c r="F69" s="4" t="inlineStr">
        <is>
          <t>'1. INPUT'!G10</t>
        </is>
      </c>
      <c r="G69" s="4" t="inlineStr">
        <is>
          <t>'1. INPUT'!H10</t>
        </is>
      </c>
      <c r="H69" s="17">
        <f>SUM(C69:G69)*52</f>
        <v/>
      </c>
    </row>
    <row r="70">
      <c r="A70" t="inlineStr"/>
      <c r="B70" s="15" t="n">
        <v>2</v>
      </c>
      <c r="C70" s="15" t="inlineStr">
        <is>
          <t>'1. INPUT'!D11</t>
        </is>
      </c>
      <c r="D70" s="15" t="inlineStr">
        <is>
          <t>'1. INPUT'!E11</t>
        </is>
      </c>
      <c r="E70" s="15" t="inlineStr">
        <is>
          <t>'1. INPUT'!F11</t>
        </is>
      </c>
      <c r="F70" s="15" t="inlineStr">
        <is>
          <t>'1. INPUT'!G11</t>
        </is>
      </c>
      <c r="G70" s="15" t="inlineStr">
        <is>
          <t>'1. INPUT'!H11</t>
        </is>
      </c>
      <c r="H70" s="4">
        <f>SUM(C70:G70)*52</f>
        <v/>
      </c>
    </row>
    <row r="71">
      <c r="A71" t="inlineStr"/>
      <c r="B71" s="4" t="n">
        <v>3</v>
      </c>
      <c r="C71" s="4" t="inlineStr">
        <is>
          <t>'1. INPUT'!D12</t>
        </is>
      </c>
      <c r="D71" s="4" t="inlineStr">
        <is>
          <t>'1. INPUT'!E12</t>
        </is>
      </c>
      <c r="E71" s="4" t="inlineStr">
        <is>
          <t>'1. INPUT'!F12</t>
        </is>
      </c>
      <c r="F71" s="4" t="inlineStr">
        <is>
          <t>'1. INPUT'!G12</t>
        </is>
      </c>
      <c r="G71" s="4" t="inlineStr">
        <is>
          <t>'1. INPUT'!H12</t>
        </is>
      </c>
      <c r="H71" s="4">
        <f>SUM(C71:G71)*52</f>
        <v/>
      </c>
    </row>
    <row r="72">
      <c r="A72" t="inlineStr"/>
      <c r="B72" s="15" t="n">
        <v>4</v>
      </c>
      <c r="C72" s="15" t="inlineStr">
        <is>
          <t>'1. INPUT'!D13</t>
        </is>
      </c>
      <c r="D72" s="15" t="inlineStr">
        <is>
          <t>'1. INPUT'!E13</t>
        </is>
      </c>
      <c r="E72" s="15" t="inlineStr">
        <is>
          <t>'1. INPUT'!F13</t>
        </is>
      </c>
      <c r="F72" s="15" t="inlineStr">
        <is>
          <t>'1. INPUT'!G13</t>
        </is>
      </c>
      <c r="G72" s="15" t="inlineStr">
        <is>
          <t>'1. INPUT'!H13</t>
        </is>
      </c>
      <c r="H72" s="4">
        <f>SUM(C72:G72)*52</f>
        <v/>
      </c>
    </row>
    <row r="73">
      <c r="A73" t="inlineStr"/>
      <c r="B73" s="4" t="n">
        <v>5</v>
      </c>
      <c r="C73" s="4" t="inlineStr">
        <is>
          <t>'1. INPUT'!D14</t>
        </is>
      </c>
      <c r="D73" s="4" t="inlineStr">
        <is>
          <t>'1. INPUT'!E14</t>
        </is>
      </c>
      <c r="E73" s="4" t="inlineStr">
        <is>
          <t>'1. INPUT'!F14</t>
        </is>
      </c>
      <c r="F73" s="4" t="inlineStr">
        <is>
          <t>'1. INPUT'!G14</t>
        </is>
      </c>
      <c r="G73" s="4" t="inlineStr">
        <is>
          <t>'1. INPUT'!H14</t>
        </is>
      </c>
      <c r="H73" s="4">
        <f>SUM(C73:G73)*52</f>
        <v/>
      </c>
    </row>
    <row r="74">
      <c r="A74" t="inlineStr"/>
      <c r="B74" s="15" t="n">
        <v>6</v>
      </c>
      <c r="C74" s="15" t="inlineStr">
        <is>
          <t>'1. INPUT'!D15</t>
        </is>
      </c>
      <c r="D74" s="15" t="inlineStr">
        <is>
          <t>'1. INPUT'!E15</t>
        </is>
      </c>
      <c r="E74" s="15" t="inlineStr">
        <is>
          <t>'1. INPUT'!F15</t>
        </is>
      </c>
      <c r="F74" s="15" t="inlineStr">
        <is>
          <t>'1. INPUT'!G15</t>
        </is>
      </c>
      <c r="G74" s="15" t="inlineStr">
        <is>
          <t>'1. INPUT'!H15</t>
        </is>
      </c>
      <c r="H74" s="4">
        <f>SUM(C74:G74)*52</f>
        <v/>
      </c>
    </row>
    <row r="75">
      <c r="A75" t="inlineStr"/>
      <c r="B75" s="4" t="n">
        <v>7</v>
      </c>
      <c r="C75" s="4" t="inlineStr">
        <is>
          <t>'1. INPUT'!D16</t>
        </is>
      </c>
      <c r="D75" s="4" t="inlineStr">
        <is>
          <t>'1. INPUT'!E16</t>
        </is>
      </c>
      <c r="E75" s="4" t="inlineStr">
        <is>
          <t>'1. INPUT'!F16</t>
        </is>
      </c>
      <c r="F75" s="4" t="inlineStr">
        <is>
          <t>'1. INPUT'!G16</t>
        </is>
      </c>
      <c r="G75" s="4" t="inlineStr">
        <is>
          <t>'1. INPUT'!H16</t>
        </is>
      </c>
      <c r="H75" s="4">
        <f>SUM(C75:G75)*52</f>
        <v/>
      </c>
    </row>
    <row r="76">
      <c r="A76" t="inlineStr"/>
      <c r="B76" s="15" t="n">
        <v>8</v>
      </c>
      <c r="C76" s="15" t="inlineStr">
        <is>
          <t>'1. INPUT'!D17</t>
        </is>
      </c>
      <c r="D76" s="15" t="inlineStr">
        <is>
          <t>'1. INPUT'!E17</t>
        </is>
      </c>
      <c r="E76" s="15" t="inlineStr">
        <is>
          <t>'1. INPUT'!F17</t>
        </is>
      </c>
      <c r="F76" s="15" t="inlineStr">
        <is>
          <t>'1. INPUT'!G17</t>
        </is>
      </c>
      <c r="G76" s="15" t="inlineStr">
        <is>
          <t>'1. INPUT'!H17</t>
        </is>
      </c>
      <c r="H76" s="4">
        <f>SUM(C76:G76)*52</f>
        <v/>
      </c>
    </row>
    <row r="78">
      <c r="A78" s="16" t="inlineStr">
        <is>
          <t>Material Waste</t>
        </is>
      </c>
      <c r="B78" s="15" t="n">
        <v>1</v>
      </c>
      <c r="C78" s="15" t="inlineStr">
        <is>
          <t>'1. INPUT'!D10</t>
        </is>
      </c>
      <c r="D78" s="15" t="inlineStr">
        <is>
          <t>'1. INPUT'!E10</t>
        </is>
      </c>
      <c r="E78" s="15" t="inlineStr">
        <is>
          <t>'1. INPUT'!F10</t>
        </is>
      </c>
      <c r="F78" s="15" t="inlineStr">
        <is>
          <t>'1. INPUT'!G10</t>
        </is>
      </c>
      <c r="G78" s="15" t="inlineStr">
        <is>
          <t>'1. INPUT'!H10</t>
        </is>
      </c>
      <c r="H78" s="17">
        <f>SUM(C78:G78)*52</f>
        <v/>
      </c>
    </row>
    <row r="79">
      <c r="A79" t="inlineStr"/>
      <c r="B79" s="4" t="n">
        <v>2</v>
      </c>
      <c r="C79" s="4" t="inlineStr">
        <is>
          <t>'1. INPUT'!D11</t>
        </is>
      </c>
      <c r="D79" s="4" t="inlineStr">
        <is>
          <t>'1. INPUT'!E11</t>
        </is>
      </c>
      <c r="E79" s="4" t="inlineStr">
        <is>
          <t>'1. INPUT'!F11</t>
        </is>
      </c>
      <c r="F79" s="4" t="inlineStr">
        <is>
          <t>'1. INPUT'!G11</t>
        </is>
      </c>
      <c r="G79" s="4" t="inlineStr">
        <is>
          <t>'1. INPUT'!H11</t>
        </is>
      </c>
      <c r="H79" s="4">
        <f>SUM(C79:G79)*52</f>
        <v/>
      </c>
    </row>
    <row r="80">
      <c r="A80" t="inlineStr"/>
      <c r="B80" s="15" t="n">
        <v>3</v>
      </c>
      <c r="C80" s="15" t="inlineStr">
        <is>
          <t>'1. INPUT'!D12</t>
        </is>
      </c>
      <c r="D80" s="15" t="inlineStr">
        <is>
          <t>'1. INPUT'!E12</t>
        </is>
      </c>
      <c r="E80" s="15" t="inlineStr">
        <is>
          <t>'1. INPUT'!F12</t>
        </is>
      </c>
      <c r="F80" s="15" t="inlineStr">
        <is>
          <t>'1. INPUT'!G12</t>
        </is>
      </c>
      <c r="G80" s="15" t="inlineStr">
        <is>
          <t>'1. INPUT'!H12</t>
        </is>
      </c>
      <c r="H80" s="4">
        <f>SUM(C80:G80)*52</f>
        <v/>
      </c>
    </row>
    <row r="81">
      <c r="A81" t="inlineStr"/>
      <c r="B81" s="4" t="n">
        <v>4</v>
      </c>
      <c r="C81" s="4" t="inlineStr">
        <is>
          <t>'1. INPUT'!D13</t>
        </is>
      </c>
      <c r="D81" s="4" t="inlineStr">
        <is>
          <t>'1. INPUT'!E13</t>
        </is>
      </c>
      <c r="E81" s="4" t="inlineStr">
        <is>
          <t>'1. INPUT'!F13</t>
        </is>
      </c>
      <c r="F81" s="4" t="inlineStr">
        <is>
          <t>'1. INPUT'!G13</t>
        </is>
      </c>
      <c r="G81" s="4" t="inlineStr">
        <is>
          <t>'1. INPUT'!H13</t>
        </is>
      </c>
      <c r="H81" s="4">
        <f>SUM(C81:G81)*52</f>
        <v/>
      </c>
    </row>
    <row r="82">
      <c r="A82" t="inlineStr"/>
      <c r="B82" s="15" t="n">
        <v>5</v>
      </c>
      <c r="C82" s="15" t="inlineStr">
        <is>
          <t>'1. INPUT'!D14</t>
        </is>
      </c>
      <c r="D82" s="15" t="inlineStr">
        <is>
          <t>'1. INPUT'!E14</t>
        </is>
      </c>
      <c r="E82" s="15" t="inlineStr">
        <is>
          <t>'1. INPUT'!F14</t>
        </is>
      </c>
      <c r="F82" s="15" t="inlineStr">
        <is>
          <t>'1. INPUT'!G14</t>
        </is>
      </c>
      <c r="G82" s="15" t="inlineStr">
        <is>
          <t>'1. INPUT'!H14</t>
        </is>
      </c>
      <c r="H82" s="4">
        <f>SUM(C82:G82)*52</f>
        <v/>
      </c>
    </row>
    <row r="83">
      <c r="A83" t="inlineStr"/>
      <c r="B83" s="4" t="n">
        <v>6</v>
      </c>
      <c r="C83" s="4" t="inlineStr">
        <is>
          <t>'1. INPUT'!D15</t>
        </is>
      </c>
      <c r="D83" s="4" t="inlineStr">
        <is>
          <t>'1. INPUT'!E15</t>
        </is>
      </c>
      <c r="E83" s="4" t="inlineStr">
        <is>
          <t>'1. INPUT'!F15</t>
        </is>
      </c>
      <c r="F83" s="4" t="inlineStr">
        <is>
          <t>'1. INPUT'!G15</t>
        </is>
      </c>
      <c r="G83" s="4" t="inlineStr">
        <is>
          <t>'1. INPUT'!H15</t>
        </is>
      </c>
      <c r="H83" s="4">
        <f>SUM(C83:G83)*52</f>
        <v/>
      </c>
    </row>
    <row r="84">
      <c r="A84" t="inlineStr"/>
      <c r="B84" s="15" t="n">
        <v>7</v>
      </c>
      <c r="C84" s="15" t="inlineStr">
        <is>
          <t>'1. INPUT'!D16</t>
        </is>
      </c>
      <c r="D84" s="15" t="inlineStr">
        <is>
          <t>'1. INPUT'!E16</t>
        </is>
      </c>
      <c r="E84" s="15" t="inlineStr">
        <is>
          <t>'1. INPUT'!F16</t>
        </is>
      </c>
      <c r="F84" s="15" t="inlineStr">
        <is>
          <t>'1. INPUT'!G16</t>
        </is>
      </c>
      <c r="G84" s="15" t="inlineStr">
        <is>
          <t>'1. INPUT'!H16</t>
        </is>
      </c>
      <c r="H84" s="4">
        <f>SUM(C84:G84)*52</f>
        <v/>
      </c>
    </row>
    <row r="85">
      <c r="A85" t="inlineStr"/>
      <c r="B85" s="4" t="n">
        <v>8</v>
      </c>
      <c r="C85" s="4" t="inlineStr">
        <is>
          <t>'1. INPUT'!D17</t>
        </is>
      </c>
      <c r="D85" s="4" t="inlineStr">
        <is>
          <t>'1. INPUT'!E17</t>
        </is>
      </c>
      <c r="E85" s="4" t="inlineStr">
        <is>
          <t>'1. INPUT'!F17</t>
        </is>
      </c>
      <c r="F85" s="4" t="inlineStr">
        <is>
          <t>'1. INPUT'!G17</t>
        </is>
      </c>
      <c r="G85" s="4" t="inlineStr">
        <is>
          <t>'1. INPUT'!H17</t>
        </is>
      </c>
      <c r="H85" s="4">
        <f>SUM(C85:G85)*52</f>
        <v/>
      </c>
    </row>
    <row r="87">
      <c r="A87" s="16" t="inlineStr">
        <is>
          <t>Tooling/Consumables</t>
        </is>
      </c>
      <c r="B87" s="4" t="n">
        <v>1</v>
      </c>
      <c r="C87" s="4" t="inlineStr">
        <is>
          <t>'1. INPUT'!D10</t>
        </is>
      </c>
      <c r="D87" s="4" t="inlineStr">
        <is>
          <t>'1. INPUT'!E10</t>
        </is>
      </c>
      <c r="E87" s="4" t="inlineStr">
        <is>
          <t>'1. INPUT'!F10</t>
        </is>
      </c>
      <c r="F87" s="4" t="inlineStr">
        <is>
          <t>'1. INPUT'!G10</t>
        </is>
      </c>
      <c r="G87" s="4" t="inlineStr">
        <is>
          <t>'1. INPUT'!H10</t>
        </is>
      </c>
      <c r="H87" s="17">
        <f>SUM(C87:G87)*52</f>
        <v/>
      </c>
    </row>
    <row r="88">
      <c r="A88" t="inlineStr"/>
      <c r="B88" s="15" t="n">
        <v>2</v>
      </c>
      <c r="C88" s="15" t="inlineStr">
        <is>
          <t>'1. INPUT'!D11</t>
        </is>
      </c>
      <c r="D88" s="15" t="inlineStr">
        <is>
          <t>'1. INPUT'!E11</t>
        </is>
      </c>
      <c r="E88" s="15" t="inlineStr">
        <is>
          <t>'1. INPUT'!F11</t>
        </is>
      </c>
      <c r="F88" s="15" t="inlineStr">
        <is>
          <t>'1. INPUT'!G11</t>
        </is>
      </c>
      <c r="G88" s="15" t="inlineStr">
        <is>
          <t>'1. INPUT'!H11</t>
        </is>
      </c>
      <c r="H88" s="4">
        <f>SUM(C88:G88)*52</f>
        <v/>
      </c>
    </row>
    <row r="89">
      <c r="A89" t="inlineStr"/>
      <c r="B89" s="4" t="n">
        <v>3</v>
      </c>
      <c r="C89" s="4" t="inlineStr">
        <is>
          <t>'1. INPUT'!D12</t>
        </is>
      </c>
      <c r="D89" s="4" t="inlineStr">
        <is>
          <t>'1. INPUT'!E12</t>
        </is>
      </c>
      <c r="E89" s="4" t="inlineStr">
        <is>
          <t>'1. INPUT'!F12</t>
        </is>
      </c>
      <c r="F89" s="4" t="inlineStr">
        <is>
          <t>'1. INPUT'!G12</t>
        </is>
      </c>
      <c r="G89" s="4" t="inlineStr">
        <is>
          <t>'1. INPUT'!H12</t>
        </is>
      </c>
      <c r="H89" s="4">
        <f>SUM(C89:G89)*52</f>
        <v/>
      </c>
    </row>
    <row r="90">
      <c r="A90" t="inlineStr"/>
      <c r="B90" s="15" t="n">
        <v>4</v>
      </c>
      <c r="C90" s="15" t="inlineStr">
        <is>
          <t>'1. INPUT'!D13</t>
        </is>
      </c>
      <c r="D90" s="15" t="inlineStr">
        <is>
          <t>'1. INPUT'!E13</t>
        </is>
      </c>
      <c r="E90" s="15" t="inlineStr">
        <is>
          <t>'1. INPUT'!F13</t>
        </is>
      </c>
      <c r="F90" s="15" t="inlineStr">
        <is>
          <t>'1. INPUT'!G13</t>
        </is>
      </c>
      <c r="G90" s="15" t="inlineStr">
        <is>
          <t>'1. INPUT'!H13</t>
        </is>
      </c>
      <c r="H90" s="4">
        <f>SUM(C90:G90)*52</f>
        <v/>
      </c>
    </row>
    <row r="91">
      <c r="A91" t="inlineStr"/>
      <c r="B91" s="4" t="n">
        <v>5</v>
      </c>
      <c r="C91" s="4" t="inlineStr">
        <is>
          <t>'1. INPUT'!D14</t>
        </is>
      </c>
      <c r="D91" s="4" t="inlineStr">
        <is>
          <t>'1. INPUT'!E14</t>
        </is>
      </c>
      <c r="E91" s="4" t="inlineStr">
        <is>
          <t>'1. INPUT'!F14</t>
        </is>
      </c>
      <c r="F91" s="4" t="inlineStr">
        <is>
          <t>'1. INPUT'!G14</t>
        </is>
      </c>
      <c r="G91" s="4" t="inlineStr">
        <is>
          <t>'1. INPUT'!H14</t>
        </is>
      </c>
      <c r="H91" s="4">
        <f>SUM(C91:G91)*52</f>
        <v/>
      </c>
    </row>
    <row r="92">
      <c r="A92" t="inlineStr"/>
      <c r="B92" s="15" t="n">
        <v>6</v>
      </c>
      <c r="C92" s="15" t="inlineStr">
        <is>
          <t>'1. INPUT'!D15</t>
        </is>
      </c>
      <c r="D92" s="15" t="inlineStr">
        <is>
          <t>'1. INPUT'!E15</t>
        </is>
      </c>
      <c r="E92" s="15" t="inlineStr">
        <is>
          <t>'1. INPUT'!F15</t>
        </is>
      </c>
      <c r="F92" s="15" t="inlineStr">
        <is>
          <t>'1. INPUT'!G15</t>
        </is>
      </c>
      <c r="G92" s="15" t="inlineStr">
        <is>
          <t>'1. INPUT'!H15</t>
        </is>
      </c>
      <c r="H92" s="4">
        <f>SUM(C92:G92)*52</f>
        <v/>
      </c>
    </row>
    <row r="93">
      <c r="A93" t="inlineStr"/>
      <c r="B93" s="4" t="n">
        <v>7</v>
      </c>
      <c r="C93" s="4" t="inlineStr">
        <is>
          <t>'1. INPUT'!D16</t>
        </is>
      </c>
      <c r="D93" s="4" t="inlineStr">
        <is>
          <t>'1. INPUT'!E16</t>
        </is>
      </c>
      <c r="E93" s="4" t="inlineStr">
        <is>
          <t>'1. INPUT'!F16</t>
        </is>
      </c>
      <c r="F93" s="4" t="inlineStr">
        <is>
          <t>'1. INPUT'!G16</t>
        </is>
      </c>
      <c r="G93" s="4" t="inlineStr">
        <is>
          <t>'1. INPUT'!H16</t>
        </is>
      </c>
      <c r="H93" s="4">
        <f>SUM(C93:G93)*52</f>
        <v/>
      </c>
    </row>
    <row r="94">
      <c r="A94" t="inlineStr"/>
      <c r="B94" s="15" t="n">
        <v>8</v>
      </c>
      <c r="C94" s="15" t="inlineStr">
        <is>
          <t>'1. INPUT'!D17</t>
        </is>
      </c>
      <c r="D94" s="15" t="inlineStr">
        <is>
          <t>'1. INPUT'!E17</t>
        </is>
      </c>
      <c r="E94" s="15" t="inlineStr">
        <is>
          <t>'1. INPUT'!F17</t>
        </is>
      </c>
      <c r="F94" s="15" t="inlineStr">
        <is>
          <t>'1. INPUT'!G17</t>
        </is>
      </c>
      <c r="G94" s="15" t="inlineStr">
        <is>
          <t>'1. INPUT'!H17</t>
        </is>
      </c>
      <c r="H94" s="4">
        <f>SUM(C94:G94)*52</f>
        <v/>
      </c>
    </row>
    <row r="96">
      <c r="A96" s="16" t="inlineStr">
        <is>
          <t>Minor Stops</t>
        </is>
      </c>
      <c r="B96" s="15" t="n">
        <v>1</v>
      </c>
      <c r="C96" s="15" t="inlineStr">
        <is>
          <t>'1. INPUT'!D10</t>
        </is>
      </c>
      <c r="D96" s="15" t="inlineStr">
        <is>
          <t>'1. INPUT'!E10</t>
        </is>
      </c>
      <c r="E96" s="15" t="inlineStr">
        <is>
          <t>'1. INPUT'!F10</t>
        </is>
      </c>
      <c r="F96" s="15" t="inlineStr">
        <is>
          <t>'1. INPUT'!G10</t>
        </is>
      </c>
      <c r="G96" s="15" t="inlineStr">
        <is>
          <t>'1. INPUT'!H10</t>
        </is>
      </c>
      <c r="H96" s="17">
        <f>SUM(C96:G96)*52</f>
        <v/>
      </c>
    </row>
    <row r="97">
      <c r="A97" t="inlineStr"/>
      <c r="B97" s="4" t="n">
        <v>2</v>
      </c>
      <c r="C97" s="4" t="inlineStr">
        <is>
          <t>'1. INPUT'!D11</t>
        </is>
      </c>
      <c r="D97" s="4" t="inlineStr">
        <is>
          <t>'1. INPUT'!E11</t>
        </is>
      </c>
      <c r="E97" s="4" t="inlineStr">
        <is>
          <t>'1. INPUT'!F11</t>
        </is>
      </c>
      <c r="F97" s="4" t="inlineStr">
        <is>
          <t>'1. INPUT'!G11</t>
        </is>
      </c>
      <c r="G97" s="4" t="inlineStr">
        <is>
          <t>'1. INPUT'!H11</t>
        </is>
      </c>
      <c r="H97" s="4">
        <f>SUM(C97:G97)*52</f>
        <v/>
      </c>
    </row>
    <row r="98">
      <c r="A98" t="inlineStr"/>
      <c r="B98" s="15" t="n">
        <v>3</v>
      </c>
      <c r="C98" s="15" t="inlineStr">
        <is>
          <t>'1. INPUT'!D12</t>
        </is>
      </c>
      <c r="D98" s="15" t="inlineStr">
        <is>
          <t>'1. INPUT'!E12</t>
        </is>
      </c>
      <c r="E98" s="15" t="inlineStr">
        <is>
          <t>'1. INPUT'!F12</t>
        </is>
      </c>
      <c r="F98" s="15" t="inlineStr">
        <is>
          <t>'1. INPUT'!G12</t>
        </is>
      </c>
      <c r="G98" s="15" t="inlineStr">
        <is>
          <t>'1. INPUT'!H12</t>
        </is>
      </c>
      <c r="H98" s="4">
        <f>SUM(C98:G98)*52</f>
        <v/>
      </c>
    </row>
    <row r="99">
      <c r="A99" t="inlineStr"/>
      <c r="B99" s="4" t="n">
        <v>4</v>
      </c>
      <c r="C99" s="4" t="inlineStr">
        <is>
          <t>'1. INPUT'!D13</t>
        </is>
      </c>
      <c r="D99" s="4" t="inlineStr">
        <is>
          <t>'1. INPUT'!E13</t>
        </is>
      </c>
      <c r="E99" s="4" t="inlineStr">
        <is>
          <t>'1. INPUT'!F13</t>
        </is>
      </c>
      <c r="F99" s="4" t="inlineStr">
        <is>
          <t>'1. INPUT'!G13</t>
        </is>
      </c>
      <c r="G99" s="4" t="inlineStr">
        <is>
          <t>'1. INPUT'!H13</t>
        </is>
      </c>
      <c r="H99" s="4">
        <f>SUM(C99:G99)*52</f>
        <v/>
      </c>
    </row>
    <row r="100">
      <c r="A100" t="inlineStr"/>
      <c r="B100" s="15" t="n">
        <v>5</v>
      </c>
      <c r="C100" s="15" t="inlineStr">
        <is>
          <t>'1. INPUT'!D14</t>
        </is>
      </c>
      <c r="D100" s="15" t="inlineStr">
        <is>
          <t>'1. INPUT'!E14</t>
        </is>
      </c>
      <c r="E100" s="15" t="inlineStr">
        <is>
          <t>'1. INPUT'!F14</t>
        </is>
      </c>
      <c r="F100" s="15" t="inlineStr">
        <is>
          <t>'1. INPUT'!G14</t>
        </is>
      </c>
      <c r="G100" s="15" t="inlineStr">
        <is>
          <t>'1. INPUT'!H14</t>
        </is>
      </c>
      <c r="H100" s="4">
        <f>SUM(C100:G100)*52</f>
        <v/>
      </c>
    </row>
    <row r="101">
      <c r="A101" t="inlineStr"/>
      <c r="B101" s="4" t="n">
        <v>6</v>
      </c>
      <c r="C101" s="4" t="inlineStr">
        <is>
          <t>'1. INPUT'!D15</t>
        </is>
      </c>
      <c r="D101" s="4" t="inlineStr">
        <is>
          <t>'1. INPUT'!E15</t>
        </is>
      </c>
      <c r="E101" s="4" t="inlineStr">
        <is>
          <t>'1. INPUT'!F15</t>
        </is>
      </c>
      <c r="F101" s="4" t="inlineStr">
        <is>
          <t>'1. INPUT'!G15</t>
        </is>
      </c>
      <c r="G101" s="4" t="inlineStr">
        <is>
          <t>'1. INPUT'!H15</t>
        </is>
      </c>
      <c r="H101" s="4">
        <f>SUM(C101:G101)*52</f>
        <v/>
      </c>
    </row>
    <row r="102">
      <c r="A102" t="inlineStr"/>
      <c r="B102" s="15" t="n">
        <v>7</v>
      </c>
      <c r="C102" s="15" t="inlineStr">
        <is>
          <t>'1. INPUT'!D16</t>
        </is>
      </c>
      <c r="D102" s="15" t="inlineStr">
        <is>
          <t>'1. INPUT'!E16</t>
        </is>
      </c>
      <c r="E102" s="15" t="inlineStr">
        <is>
          <t>'1. INPUT'!F16</t>
        </is>
      </c>
      <c r="F102" s="15" t="inlineStr">
        <is>
          <t>'1. INPUT'!G16</t>
        </is>
      </c>
      <c r="G102" s="15" t="inlineStr">
        <is>
          <t>'1. INPUT'!H16</t>
        </is>
      </c>
      <c r="H102" s="4">
        <f>SUM(C102:G102)*52</f>
        <v/>
      </c>
    </row>
    <row r="103">
      <c r="A103" t="inlineStr"/>
      <c r="B103" s="4" t="n">
        <v>8</v>
      </c>
      <c r="C103" s="4" t="inlineStr">
        <is>
          <t>'1. INPUT'!D17</t>
        </is>
      </c>
      <c r="D103" s="4" t="inlineStr">
        <is>
          <t>'1. INPUT'!E17</t>
        </is>
      </c>
      <c r="E103" s="4" t="inlineStr">
        <is>
          <t>'1. INPUT'!F17</t>
        </is>
      </c>
      <c r="F103" s="4" t="inlineStr">
        <is>
          <t>'1. INPUT'!G17</t>
        </is>
      </c>
      <c r="G103" s="4" t="inlineStr">
        <is>
          <t>'1. INPUT'!H17</t>
        </is>
      </c>
      <c r="H103" s="4">
        <f>SUM(C103:G103)*52</f>
        <v/>
      </c>
    </row>
    <row r="105">
      <c r="A105" s="18" t="inlineStr">
        <is>
          <t>TOTAL ANNUAL OPPORTUNITY</t>
        </is>
      </c>
      <c r="H105" s="18">
        <f>SUM(H6:H104)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>
      <c r="A1" s="12" t="inlineStr">
        <is>
          <t>4. Dollar Value Matrix</t>
        </is>
      </c>
      <c r="B1" s="2" t="n"/>
      <c r="C1" s="2" t="n"/>
      <c r="D1" s="2" t="n"/>
      <c r="E1" s="2" t="n"/>
      <c r="F1" s="2" t="n"/>
      <c r="G1" s="3" t="n"/>
    </row>
    <row r="3">
      <c r="A3" s="4" t="inlineStr">
        <is>
          <t>Prepared for: EG SEOW</t>
        </is>
      </c>
    </row>
    <row r="5">
      <c r="A5" s="7" t="inlineStr">
        <is>
          <t>Product</t>
        </is>
      </c>
      <c r="B5" s="7" t="inlineStr">
        <is>
          <t>Weekly Volume</t>
        </is>
      </c>
      <c r="C5" s="7" t="inlineStr">
        <is>
          <t>Weekly CM (RM)</t>
        </is>
      </c>
      <c r="D5" s="7" t="inlineStr">
        <is>
          <t>Annual Volume</t>
        </is>
      </c>
      <c r="E5" s="7" t="inlineStr">
        <is>
          <t>Annual CM (RM)</t>
        </is>
      </c>
      <c r="F5" s="7" t="inlineStr">
        <is>
          <t>Annual Rank</t>
        </is>
      </c>
      <c r="G5" s="7" t="inlineStr">
        <is>
          <t>Notes</t>
        </is>
      </c>
    </row>
    <row r="6">
      <c r="A6" s="8" t="inlineStr">
        <is>
          <t>'1. INPUT'!B10</t>
        </is>
      </c>
      <c r="B6" s="8">
        <f>SUM('1. INPUT'!D10:H10)</f>
        <v/>
      </c>
      <c r="C6" s="8">
        <f>B6*'1. INPUT'!J10</f>
        <v/>
      </c>
      <c r="D6" s="8">
        <f>B6*52</f>
        <v/>
      </c>
      <c r="E6" s="8">
        <f>C6*52</f>
        <v/>
      </c>
      <c r="F6" s="8">
        <f>RANK(E6,E$6:E$13,0)</f>
        <v/>
      </c>
      <c r="G6" s="8" t="inlineStr">
        <is>
          <t>See INPUT sheet for details</t>
        </is>
      </c>
    </row>
    <row r="7">
      <c r="A7" s="10" t="inlineStr">
        <is>
          <t>'1. INPUT'!B11</t>
        </is>
      </c>
      <c r="B7" s="10">
        <f>SUM('1. INPUT'!D11:H11)</f>
        <v/>
      </c>
      <c r="C7" s="10">
        <f>B7*'1. INPUT'!J11</f>
        <v/>
      </c>
      <c r="D7" s="10">
        <f>B7*52</f>
        <v/>
      </c>
      <c r="E7" s="10">
        <f>C7*52</f>
        <v/>
      </c>
      <c r="F7" s="10">
        <f>RANK(E7,E$6:E$13,0)</f>
        <v/>
      </c>
      <c r="G7" s="10" t="inlineStr">
        <is>
          <t>See INPUT sheet for details</t>
        </is>
      </c>
    </row>
    <row r="8">
      <c r="A8" s="8" t="inlineStr">
        <is>
          <t>'1. INPUT'!B12</t>
        </is>
      </c>
      <c r="B8" s="8">
        <f>SUM('1. INPUT'!D12:H12)</f>
        <v/>
      </c>
      <c r="C8" s="8">
        <f>B8*'1. INPUT'!J12</f>
        <v/>
      </c>
      <c r="D8" s="8">
        <f>B8*52</f>
        <v/>
      </c>
      <c r="E8" s="8">
        <f>C8*52</f>
        <v/>
      </c>
      <c r="F8" s="8">
        <f>RANK(E8,E$6:E$13,0)</f>
        <v/>
      </c>
      <c r="G8" s="8" t="inlineStr">
        <is>
          <t>See INPUT sheet for details</t>
        </is>
      </c>
    </row>
    <row r="9">
      <c r="A9" s="10" t="inlineStr">
        <is>
          <t>'1. INPUT'!B13</t>
        </is>
      </c>
      <c r="B9" s="10">
        <f>SUM('1. INPUT'!D13:H13)</f>
        <v/>
      </c>
      <c r="C9" s="10">
        <f>B9*'1. INPUT'!J13</f>
        <v/>
      </c>
      <c r="D9" s="10">
        <f>B9*52</f>
        <v/>
      </c>
      <c r="E9" s="10">
        <f>C9*52</f>
        <v/>
      </c>
      <c r="F9" s="10">
        <f>RANK(E9,E$6:E$13,0)</f>
        <v/>
      </c>
      <c r="G9" s="10" t="inlineStr">
        <is>
          <t>See INPUT sheet for details</t>
        </is>
      </c>
    </row>
    <row r="10">
      <c r="A10" s="8" t="inlineStr">
        <is>
          <t>'1. INPUT'!B14</t>
        </is>
      </c>
      <c r="B10" s="8">
        <f>SUM('1. INPUT'!D14:H14)</f>
        <v/>
      </c>
      <c r="C10" s="8">
        <f>B10*'1. INPUT'!J14</f>
        <v/>
      </c>
      <c r="D10" s="8">
        <f>B10*52</f>
        <v/>
      </c>
      <c r="E10" s="8">
        <f>C10*52</f>
        <v/>
      </c>
      <c r="F10" s="8">
        <f>RANK(E10,E$6:E$13,0)</f>
        <v/>
      </c>
      <c r="G10" s="8" t="inlineStr">
        <is>
          <t>See INPUT sheet for details</t>
        </is>
      </c>
    </row>
    <row r="11">
      <c r="A11" s="10" t="inlineStr">
        <is>
          <t>'1. INPUT'!B15</t>
        </is>
      </c>
      <c r="B11" s="10">
        <f>SUM('1. INPUT'!D15:H15)</f>
        <v/>
      </c>
      <c r="C11" s="10">
        <f>B11*'1. INPUT'!J15</f>
        <v/>
      </c>
      <c r="D11" s="10">
        <f>B11*52</f>
        <v/>
      </c>
      <c r="E11" s="10">
        <f>C11*52</f>
        <v/>
      </c>
      <c r="F11" s="10">
        <f>RANK(E11,E$6:E$13,0)</f>
        <v/>
      </c>
      <c r="G11" s="10" t="inlineStr">
        <is>
          <t>See INPUT sheet for details</t>
        </is>
      </c>
    </row>
    <row r="12">
      <c r="A12" s="8" t="inlineStr">
        <is>
          <t>'1. INPUT'!B16</t>
        </is>
      </c>
      <c r="B12" s="8">
        <f>SUM('1. INPUT'!D16:H16)</f>
        <v/>
      </c>
      <c r="C12" s="8">
        <f>B12*'1. INPUT'!J16</f>
        <v/>
      </c>
      <c r="D12" s="8">
        <f>B12*52</f>
        <v/>
      </c>
      <c r="E12" s="8">
        <f>C12*52</f>
        <v/>
      </c>
      <c r="F12" s="8">
        <f>RANK(E12,E$6:E$13,0)</f>
        <v/>
      </c>
      <c r="G12" s="8" t="inlineStr">
        <is>
          <t>See INPUT sheet for details</t>
        </is>
      </c>
    </row>
    <row r="13">
      <c r="A13" s="10" t="inlineStr">
        <is>
          <t>'1. INPUT'!B17</t>
        </is>
      </c>
      <c r="B13" s="10">
        <f>SUM('1. INPUT'!D17:H17)</f>
        <v/>
      </c>
      <c r="C13" s="10">
        <f>B13*'1. INPUT'!J17</f>
        <v/>
      </c>
      <c r="D13" s="10">
        <f>B13*52</f>
        <v/>
      </c>
      <c r="E13" s="10">
        <f>C13*52</f>
        <v/>
      </c>
      <c r="F13" s="10">
        <f>RANK(E13,E$6:E$13,0)</f>
        <v/>
      </c>
      <c r="G13" s="10" t="inlineStr">
        <is>
          <t>See INPUT sheet for details</t>
        </is>
      </c>
    </row>
    <row r="14">
      <c r="A14" s="6" t="inlineStr">
        <is>
          <t>TOTAL</t>
        </is>
      </c>
      <c r="B14" s="6">
        <f>SUM(B6:B13)</f>
        <v/>
      </c>
      <c r="E14" s="6">
        <f>SUM(E6:E13)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8" customWidth="1" min="4" max="4"/>
    <col width="18" customWidth="1" min="5" max="5"/>
    <col width="25" customWidth="1" min="6" max="6"/>
  </cols>
  <sheetData>
    <row r="1">
      <c r="A1" s="12" t="inlineStr">
        <is>
          <t>5. Executive Summary &amp; Recommendations</t>
        </is>
      </c>
      <c r="B1" s="2" t="n"/>
      <c r="C1" s="2" t="n"/>
      <c r="D1" s="2" t="n"/>
      <c r="E1" s="2" t="n"/>
      <c r="F1" s="3" t="n"/>
    </row>
    <row r="3">
      <c r="A3" s="4" t="inlineStr">
        <is>
          <t>Prepared for: EG SEOW / Founder, OAKAI SDN BHD</t>
        </is>
      </c>
    </row>
    <row r="5">
      <c r="A5" s="7" t="inlineStr">
        <is>
          <t>Diagnostic Metric</t>
        </is>
      </c>
      <c r="B5" s="7" t="inlineStr">
        <is>
          <t>Current</t>
        </is>
      </c>
      <c r="C5" s="7" t="inlineStr">
        <is>
          <t>Target</t>
        </is>
      </c>
      <c r="D5" s="7" t="inlineStr">
        <is>
          <t>Gap</t>
        </is>
      </c>
      <c r="E5" s="7" t="inlineStr">
        <is>
          <t>Status</t>
        </is>
      </c>
    </row>
    <row r="6">
      <c r="A6" s="7" t="inlineStr">
        <is>
          <t>Total Annual $ Opportunity</t>
        </is>
      </c>
      <c r="B6" s="7">
        <f>'3. LOSS_ANALYSIS'!H105</f>
        <v/>
      </c>
      <c r="C6" s="7" t="inlineStr">
        <is>
          <t>≥ RM 500,000</t>
        </is>
      </c>
      <c r="D6" s="7" t="inlineStr">
        <is>
          <t>Gap</t>
        </is>
      </c>
      <c r="E6" s="7" t="inlineStr">
        <is>
          <t>🔴 Critical</t>
        </is>
      </c>
    </row>
    <row r="7">
      <c r="A7" s="10" t="inlineStr">
        <is>
          <t>Top Loss Category</t>
        </is>
      </c>
      <c r="B7" s="10" t="inlineStr">
        <is>
          <t>USDT - Machine Failure (per Rev15)</t>
        </is>
      </c>
      <c r="C7" s="10" t="inlineStr">
        <is>
          <t>Reduce by 30%</t>
        </is>
      </c>
      <c r="D7" s="10" t="inlineStr">
        <is>
          <t>Gap</t>
        </is>
      </c>
      <c r="E7" s="10" t="inlineStr">
        <is>
          <t>🔴 Urgent</t>
        </is>
      </c>
    </row>
    <row r="8">
      <c r="A8" s="8" t="inlineStr">
        <is>
          <t>Top Revenue Product</t>
        </is>
      </c>
      <c r="B8" s="8" t="inlineStr">
        <is>
          <t>See DOLLAR_MATRIX</t>
        </is>
      </c>
      <c r="C8" s="8" t="inlineStr">
        <is>
          <t>Maximize volume</t>
        </is>
      </c>
      <c r="D8" s="8" t="inlineStr">
        <is>
          <t>Gap</t>
        </is>
      </c>
      <c r="E8" s="8" t="inlineStr">
        <is>
          <t>🟡 Monitor</t>
        </is>
      </c>
    </row>
    <row r="9">
      <c r="A9" s="10" t="inlineStr">
        <is>
          <t>OEE Improvement Potential</t>
        </is>
      </c>
      <c r="B9" s="10" t="inlineStr">
        <is>
          <t>TBD</t>
        </is>
      </c>
      <c r="C9" s="10" t="inlineStr">
        <is>
          <t>5-15% pts</t>
        </is>
      </c>
      <c r="D9" s="10" t="inlineStr">
        <is>
          <t>Gap</t>
        </is>
      </c>
      <c r="E9" s="10" t="inlineStr">
        <is>
          <t>🟢 Opportunity</t>
        </is>
      </c>
    </row>
    <row r="10">
      <c r="A10" s="8" t="inlineStr">
        <is>
          <t>Project Payback Period</t>
        </is>
      </c>
      <c r="B10" s="8" t="inlineStr">
        <is>
          <t>TBD</t>
        </is>
      </c>
      <c r="C10" s="8" t="inlineStr">
        <is>
          <t>&lt; 6 months</t>
        </is>
      </c>
      <c r="D10" s="8" t="inlineStr">
        <is>
          <t>Gap</t>
        </is>
      </c>
      <c r="E10" s="8" t="inlineStr">
        <is>
          <t>🟢 Attractive ROI</t>
        </is>
      </c>
    </row>
    <row r="13">
      <c r="A13" s="6" t="inlineStr">
        <is>
          <t>Top 5 Priority Actions:</t>
        </is>
      </c>
    </row>
    <row r="15">
      <c r="A15" s="19" t="inlineStr">
        <is>
          <t>1. Address Speed Loss — largest dollar impact per the analysis</t>
        </is>
      </c>
    </row>
    <row r="16">
      <c r="A16" s="19" t="inlineStr">
        <is>
          <t>2. Implement defect tracking at machine level (Quality Loss - Defect)</t>
        </is>
      </c>
    </row>
    <row r="17">
      <c r="A17" s="19" t="inlineStr">
        <is>
          <t>3. Optimize changeover times to reduce USDT - Machine Assist</t>
        </is>
      </c>
    </row>
    <row r="18">
      <c r="A18" s="19" t="inlineStr">
        <is>
          <t>4. Set up daily production dashboards linked to this model</t>
        </is>
      </c>
    </row>
    <row r="19">
      <c r="A19" s="19" t="inlineStr">
        <is>
          <t>5. Engage maintenance team to reduce USDT - Machine Failure root cause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6. Charts &amp; Visualizations</t>
        </is>
      </c>
    </row>
    <row r="3">
      <c r="A3" s="4" t="inlineStr">
        <is>
          <t>Prepared for: EG SEOW</t>
        </is>
      </c>
    </row>
    <row r="5">
      <c r="A5" s="20" t="inlineStr">
        <is>
          <t>Chart Descriptions (auto-generate from Sheets 1-4):</t>
        </is>
      </c>
    </row>
    <row r="6">
      <c r="A6" s="10" t="inlineStr">
        <is>
          <t>Chart 1: Annual Opportunity by Loss Category (Vertical Bar)</t>
        </is>
      </c>
    </row>
    <row r="7">
      <c r="A7" s="10" t="inlineStr">
        <is>
          <t>Chart 2: Contribution Margin Ranking (Waterfall)</t>
        </is>
      </c>
    </row>
    <row r="8">
      <c r="A8" s="10" t="inlineStr">
        <is>
          <t>Chart 3: Product Volume Distribution (Pie)</t>
        </is>
      </c>
    </row>
    <row r="9">
      <c r="A9" s="10" t="inlineStr">
        <is>
          <t>Chart 4: Weekly Volume Trend (Line)</t>
        </is>
      </c>
    </row>
    <row r="12">
      <c r="B12" s="21" t="inlineStr">
        <is>
          <t>Opportunity by Category</t>
        </is>
      </c>
      <c r="C12" s="22" t="n"/>
      <c r="D12" s="22" t="n"/>
      <c r="E12" s="22" t="n"/>
      <c r="F12" s="22" t="n"/>
      <c r="G12" s="22" t="n"/>
    </row>
    <row r="13">
      <c r="B13" s="22" t="n"/>
      <c r="C13" s="22" t="n"/>
      <c r="D13" s="22" t="n"/>
      <c r="E13" s="22" t="n"/>
      <c r="F13" s="22" t="n"/>
      <c r="G13" s="22" t="n"/>
    </row>
    <row r="14">
      <c r="B14" s="22" t="n"/>
      <c r="C14" s="22" t="n"/>
      <c r="D14" s="22" t="n"/>
      <c r="E14" s="22" t="n"/>
      <c r="F14" s="22" t="n"/>
      <c r="G14" s="22" t="n"/>
    </row>
    <row r="15">
      <c r="B15" s="22" t="n"/>
      <c r="C15" s="22" t="n"/>
      <c r="D15" s="22" t="n"/>
      <c r="E15" s="22" t="n"/>
      <c r="F15" s="22" t="n"/>
      <c r="G15" s="22" t="n"/>
    </row>
    <row r="16">
      <c r="B16" s="22" t="n"/>
      <c r="C16" s="22" t="n"/>
      <c r="D16" s="22" t="n"/>
      <c r="E16" s="22" t="n"/>
      <c r="F16" s="22" t="n"/>
      <c r="G16" s="22" t="n"/>
    </row>
    <row r="17">
      <c r="B17" s="22" t="n"/>
      <c r="C17" s="22" t="n"/>
      <c r="D17" s="22" t="n"/>
      <c r="E17" s="22" t="n"/>
      <c r="F17" s="22" t="n"/>
      <c r="G17" s="22" t="n"/>
    </row>
    <row r="22">
      <c r="B22" s="21" t="inlineStr">
        <is>
          <t>CM Waterfall</t>
        </is>
      </c>
      <c r="C22" s="22" t="n"/>
      <c r="D22" s="22" t="n"/>
      <c r="E22" s="22" t="n"/>
      <c r="F22" s="22" t="n"/>
      <c r="G22" s="22" t="n"/>
    </row>
    <row r="23">
      <c r="B23" s="22" t="n"/>
      <c r="C23" s="22" t="n"/>
      <c r="D23" s="22" t="n"/>
      <c r="E23" s="22" t="n"/>
      <c r="F23" s="22" t="n"/>
      <c r="G23" s="22" t="n"/>
    </row>
    <row r="24">
      <c r="B24" s="22" t="n"/>
      <c r="C24" s="22" t="n"/>
      <c r="D24" s="22" t="n"/>
      <c r="E24" s="22" t="n"/>
      <c r="F24" s="22" t="n"/>
      <c r="G24" s="22" t="n"/>
    </row>
    <row r="25">
      <c r="B25" s="22" t="n"/>
      <c r="C25" s="22" t="n"/>
      <c r="D25" s="22" t="n"/>
      <c r="E25" s="22" t="n"/>
      <c r="F25" s="22" t="n"/>
      <c r="G25" s="22" t="n"/>
    </row>
    <row r="26">
      <c r="B26" s="22" t="n"/>
      <c r="C26" s="22" t="n"/>
      <c r="D26" s="22" t="n"/>
      <c r="E26" s="22" t="n"/>
      <c r="F26" s="22" t="n"/>
      <c r="G26" s="22" t="n"/>
    </row>
    <row r="27">
      <c r="B27" s="22" t="n"/>
      <c r="C27" s="22" t="n"/>
      <c r="D27" s="22" t="n"/>
      <c r="E27" s="22" t="n"/>
      <c r="F27" s="22" t="n"/>
      <c r="G27" s="22" t="n"/>
    </row>
    <row r="32">
      <c r="B32" s="21" t="inlineStr">
        <is>
          <t>Volume Pie</t>
        </is>
      </c>
      <c r="C32" s="22" t="n"/>
      <c r="D32" s="22" t="n"/>
      <c r="E32" s="22" t="n"/>
      <c r="F32" s="22" t="n"/>
      <c r="G32" s="22" t="n"/>
    </row>
    <row r="33">
      <c r="B33" s="22" t="n"/>
      <c r="C33" s="22" t="n"/>
      <c r="D33" s="22" t="n"/>
      <c r="E33" s="22" t="n"/>
      <c r="F33" s="22" t="n"/>
      <c r="G33" s="22" t="n"/>
    </row>
    <row r="34">
      <c r="B34" s="22" t="n"/>
      <c r="C34" s="22" t="n"/>
      <c r="D34" s="22" t="n"/>
      <c r="E34" s="22" t="n"/>
      <c r="F34" s="22" t="n"/>
      <c r="G34" s="22" t="n"/>
    </row>
    <row r="35">
      <c r="B35" s="22" t="n"/>
      <c r="C35" s="22" t="n"/>
      <c r="D35" s="22" t="n"/>
      <c r="E35" s="22" t="n"/>
      <c r="F35" s="22" t="n"/>
      <c r="G35" s="22" t="n"/>
    </row>
    <row r="36">
      <c r="B36" s="22" t="n"/>
      <c r="C36" s="22" t="n"/>
      <c r="D36" s="22" t="n"/>
      <c r="E36" s="22" t="n"/>
      <c r="F36" s="22" t="n"/>
      <c r="G36" s="22" t="n"/>
    </row>
    <row r="37">
      <c r="B37" s="22" t="n"/>
      <c r="C37" s="22" t="n"/>
      <c r="D37" s="22" t="n"/>
      <c r="E37" s="22" t="n"/>
      <c r="F37" s="22" t="n"/>
      <c r="G37" s="22" t="n"/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2026-08-13T13:34:55Z</dcterms:created>
  <dcterms:modified xsi:type="dcterms:W3CDTF">2026-08-13T13:34:55Z</dcterms:modified>
</cp:coreProperties>
</file>